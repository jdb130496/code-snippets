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GB Personal Data\"/>
    </mc:Choice>
  </mc:AlternateContent>
  <xr:revisionPtr revIDLastSave="0" documentId="13_ncr:9_{62A81D0F-DDC1-40A9-ABAD-D6AB114EE6E8}" xr6:coauthVersionLast="47" xr6:coauthVersionMax="47" xr10:uidLastSave="{00000000-0000-0000-0000-000000000000}"/>
  <bookViews>
    <workbookView xWindow="-120" yWindow="-120" windowWidth="20730" windowHeight="11040" xr2:uid="{5A2E4F57-ABAA-44FA-BCCF-1C1F67EA3D83}"/>
  </bookViews>
  <sheets>
    <sheet name="Pd180724" sheetId="2" r:id="rId1"/>
    <sheet name="Pd190721" sheetId="1" r:id="rId2"/>
    <sheet name="Pd190719" sheetId="3" r:id="rId3"/>
  </sheets>
  <functionGroups builtInGroupCount="19">
    <functionGroup name="xlwings"/>
  </functionGroups>
  <definedNames>
    <definedName name="_xlnm._FilterDatabase" localSheetId="0" hidden="1">'Pd180724'!$U$81:$U$2886</definedName>
  </definedNames>
  <calcPr calcId="0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U5" i="2" l="1" a="1"/>
  <c r="T5" i="2" a="1"/>
  <c r="U5" i="2" l="1"/>
  <c r="T5" i="2"/>
  <c r="G64" i="3"/>
  <c r="F64" i="3"/>
  <c r="J68" i="1"/>
  <c r="I68" i="1"/>
  <c r="H68" i="1"/>
  <c r="G68" i="1"/>
  <c r="F68" i="1"/>
  <c r="R82" i="2" a="1"/>
  <c r="R82" i="2" s="1"/>
  <c r="T82" i="2" s="1" a="1"/>
  <c r="T82" i="2" s="1"/>
  <c r="Q82" i="2" a="1"/>
  <c r="Q82" i="2" s="1"/>
  <c r="S82" i="2" s="1" a="1"/>
  <c r="S82" i="2" s="1"/>
  <c r="U82" i="2" l="1" a="1"/>
  <c r="U82" i="2" s="1"/>
  <c r="V82" i="2" s="1" a="1"/>
  <c r="V82" i="2" s="1"/>
  <c r="W82" i="2" l="1" a="1"/>
  <c r="W8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<sst xmlns="http://schemas.openxmlformats.org/spreadsheetml/2006/main" count="42834" uniqueCount="6842">
  <si>
    <t>MKT</t>
  </si>
  <si>
    <t>SERIES</t>
  </si>
  <si>
    <t>SYMBOL</t>
  </si>
  <si>
    <t>SECURITY</t>
  </si>
  <si>
    <t>PREV_CL_PR</t>
  </si>
  <si>
    <t>OPEN_PRICE</t>
  </si>
  <si>
    <t>HIGH_PRICE</t>
  </si>
  <si>
    <t>LOW_PRICE</t>
  </si>
  <si>
    <t>CLOSE_PRICE</t>
  </si>
  <si>
    <t>NET_TRDVAL</t>
  </si>
  <si>
    <t>NET_TRDQTY</t>
  </si>
  <si>
    <t>IND_SEC</t>
  </si>
  <si>
    <t>CORP_IND</t>
  </si>
  <si>
    <t>TRADES</t>
  </si>
  <si>
    <t>HI_52_WK</t>
  </si>
  <si>
    <t>LO_52_WK</t>
  </si>
  <si>
    <t>Y</t>
  </si>
  <si>
    <t xml:space="preserve"> </t>
  </si>
  <si>
    <t>Nifty 50</t>
  </si>
  <si>
    <t>NIFTY50 EQL Wgt</t>
  </si>
  <si>
    <t>NIFTY100 EQL Wgt</t>
  </si>
  <si>
    <t>NIFTY100 LowVol30</t>
  </si>
  <si>
    <t>NIFTY Alpha 50</t>
  </si>
  <si>
    <t>NIFTY MIDCAP 150</t>
  </si>
  <si>
    <t>NIFTY SMLCAP 50</t>
  </si>
  <si>
    <t>NIFTY SMLCAP 250</t>
  </si>
  <si>
    <t>NIFTY MIDSML 400</t>
  </si>
  <si>
    <t>NIFTY200 QUALTY30</t>
  </si>
  <si>
    <t>Nifty FinSrv25 50</t>
  </si>
  <si>
    <t>NIFTY AlphaLowVol</t>
  </si>
  <si>
    <t>Nifty200Momentm30</t>
  </si>
  <si>
    <t>Nifty100ESGSecLdr</t>
  </si>
  <si>
    <t>Nifty IT</t>
  </si>
  <si>
    <t>Nifty Next 50</t>
  </si>
  <si>
    <t>Nifty Bank</t>
  </si>
  <si>
    <t>NIFTY MIDCAP 100</t>
  </si>
  <si>
    <t>Nifty 500</t>
  </si>
  <si>
    <t>Nifty 100</t>
  </si>
  <si>
    <t>Nifty Midcap 50</t>
  </si>
  <si>
    <t>Nifty Realty</t>
  </si>
  <si>
    <t>Nifty Infra</t>
  </si>
  <si>
    <t>Nifty Energy</t>
  </si>
  <si>
    <t>Nifty FMCG</t>
  </si>
  <si>
    <t>Nifty MNC</t>
  </si>
  <si>
    <t>Nifty Pharma</t>
  </si>
  <si>
    <t>Nifty PSE</t>
  </si>
  <si>
    <t>Nifty PSU Bank</t>
  </si>
  <si>
    <t>Nifty Serv Sector</t>
  </si>
  <si>
    <t>India VIX</t>
  </si>
  <si>
    <t>Nifty Auto</t>
  </si>
  <si>
    <t>Nifty Metal</t>
  </si>
  <si>
    <t>Nifty Media</t>
  </si>
  <si>
    <t>NIFTY SMLCAP 100</t>
  </si>
  <si>
    <t>Nifty 200</t>
  </si>
  <si>
    <t>Nifty Div Opps 50</t>
  </si>
  <si>
    <t>Nifty Commodities</t>
  </si>
  <si>
    <t>Nifty Consumption</t>
  </si>
  <si>
    <t>Nifty Fin Service</t>
  </si>
  <si>
    <t>Nifty50 Div Point</t>
  </si>
  <si>
    <t>Nifty100 Liq 15</t>
  </si>
  <si>
    <t>Nifty CPSE</t>
  </si>
  <si>
    <t>Nifty GrowSect 15</t>
  </si>
  <si>
    <t>Nifty50 PR 2x Lev</t>
  </si>
  <si>
    <t>Nifty50 PR 1x Inv</t>
  </si>
  <si>
    <t>Nifty50 TR 2x Lev</t>
  </si>
  <si>
    <t>Nifty50 TR 1x Inv</t>
  </si>
  <si>
    <t>Nifty50 Value 20</t>
  </si>
  <si>
    <t>Nifty Mid Liq 15</t>
  </si>
  <si>
    <t>Nifty Pvt Bank</t>
  </si>
  <si>
    <t>NIFTY100 Qualty30</t>
  </si>
  <si>
    <t>Nifty GS 8 13Yr</t>
  </si>
  <si>
    <t>Nifty GS 10Yr</t>
  </si>
  <si>
    <t>Nifty GS 10Yr Cln</t>
  </si>
  <si>
    <t>Nifty GS 4 8Yr</t>
  </si>
  <si>
    <t>Nifty GS 11 15Yr</t>
  </si>
  <si>
    <t>Nifty GS 15YrPlus</t>
  </si>
  <si>
    <t>Nifty GS Compsite</t>
  </si>
  <si>
    <t>NIFTY 50 Sec</t>
  </si>
  <si>
    <t>N</t>
  </si>
  <si>
    <t>EQ</t>
  </si>
  <si>
    <t>ADANIPORTS</t>
  </si>
  <si>
    <t>ADANI PORT &amp; SEZ LTD</t>
  </si>
  <si>
    <t>ASIANPAINT</t>
  </si>
  <si>
    <t>ASIAN PAINTS LIMITED</t>
  </si>
  <si>
    <t>AXISBANK</t>
  </si>
  <si>
    <t>AXIS BANK LIMITED</t>
  </si>
  <si>
    <t>BAJAJ-AUTO</t>
  </si>
  <si>
    <t>BAJAJ AUTO LIMITED</t>
  </si>
  <si>
    <t>BAJAJFINSV</t>
  </si>
  <si>
    <t>BAJAJ FINSERV LTD.</t>
  </si>
  <si>
    <t>BAJFINANCE</t>
  </si>
  <si>
    <t>BAJAJ FINANCE LIMITED</t>
  </si>
  <si>
    <t>BHARTIARTL</t>
  </si>
  <si>
    <t>BHARTI AIRTEL LIMITED</t>
  </si>
  <si>
    <t>BPCL</t>
  </si>
  <si>
    <t>BHARAT PETROLEUM CORP  LT</t>
  </si>
  <si>
    <t>BRITANNIA</t>
  </si>
  <si>
    <t>BRITANNIA INDUSTRIES LTD</t>
  </si>
  <si>
    <t>CIPLA</t>
  </si>
  <si>
    <t>CIPLA LTD</t>
  </si>
  <si>
    <t>COALINDIA</t>
  </si>
  <si>
    <t>COAL INDIA LTD</t>
  </si>
  <si>
    <t>DIVISLAB</t>
  </si>
  <si>
    <t>DIVI'S LABORATORIES LTD</t>
  </si>
  <si>
    <t>DRREDDY</t>
  </si>
  <si>
    <t>DR. REDDY'S LABORATORIES</t>
  </si>
  <si>
    <t>EICHERMOT</t>
  </si>
  <si>
    <t>EICHER MOTORS LTD</t>
  </si>
  <si>
    <t>GAIL</t>
  </si>
  <si>
    <t>GAIL (INDIA) LTD</t>
  </si>
  <si>
    <t>GRASIM</t>
  </si>
  <si>
    <t>GRASIM INDUSTRIES LTD</t>
  </si>
  <si>
    <t>HCLTECH</t>
  </si>
  <si>
    <t>HCL TECHNOLOGIES LTD</t>
  </si>
  <si>
    <t>HDFC</t>
  </si>
  <si>
    <t>HDFC LTD</t>
  </si>
  <si>
    <t>HDFCBANK</t>
  </si>
  <si>
    <t>HDFC BANK LTD</t>
  </si>
  <si>
    <t>HDFCLIFE</t>
  </si>
  <si>
    <t>HDFC LIFE INS CO LTD</t>
  </si>
  <si>
    <t>HEROMOTOCO</t>
  </si>
  <si>
    <t>HERO MOTOCORP LIMITED</t>
  </si>
  <si>
    <t>HINDALCO</t>
  </si>
  <si>
    <t>HINDALCO  INDUSTRIES  LTD</t>
  </si>
  <si>
    <t>HINDUNILVR</t>
  </si>
  <si>
    <t>HINDUSTAN UNILEVER LTD.</t>
  </si>
  <si>
    <t>ICICIBANK</t>
  </si>
  <si>
    <t>ICICI BANK LTD.</t>
  </si>
  <si>
    <t>INDUSINDBK</t>
  </si>
  <si>
    <t>INDUSIND BANK LIMITED</t>
  </si>
  <si>
    <t>INFY</t>
  </si>
  <si>
    <t>INFOSYS LIMITED</t>
  </si>
  <si>
    <t>IOC</t>
  </si>
  <si>
    <t>INDIAN OIL CORP LTD</t>
  </si>
  <si>
    <t>ITC</t>
  </si>
  <si>
    <t>ITC LTD</t>
  </si>
  <si>
    <t>JSWSTEEL</t>
  </si>
  <si>
    <t>JSW STEEL LIMITED</t>
  </si>
  <si>
    <t>KOTAKBANK</t>
  </si>
  <si>
    <t>KOTAK MAHINDRA BANK LTD</t>
  </si>
  <si>
    <t>LT</t>
  </si>
  <si>
    <t>LARSEN &amp; TOUBRO LTD.</t>
  </si>
  <si>
    <t>M&amp;M</t>
  </si>
  <si>
    <t>MAHINDRA &amp; MAHINDRA LTD</t>
  </si>
  <si>
    <t>MARUTI</t>
  </si>
  <si>
    <t>MARUTI SUZUKI INDIA LTD.</t>
  </si>
  <si>
    <t>NESTLEIND</t>
  </si>
  <si>
    <t>NESTLE INDIA LIMITED</t>
  </si>
  <si>
    <t>NTPC</t>
  </si>
  <si>
    <t>NTPC LTD</t>
  </si>
  <si>
    <t>ONGC</t>
  </si>
  <si>
    <t>OIL AND NATURAL GAS CORP.</t>
  </si>
  <si>
    <t>POWERGRID</t>
  </si>
  <si>
    <t>POWER GRID CORP. LTD.</t>
  </si>
  <si>
    <t>RELIANCE</t>
  </si>
  <si>
    <t>RELIANCE INDUSTRIES LTD</t>
  </si>
  <si>
    <t>SBILIFE</t>
  </si>
  <si>
    <t>SBI LIFE INSURANCE CO LTD</t>
  </si>
  <si>
    <t>SBIN</t>
  </si>
  <si>
    <t>STATE BANK OF INDIA</t>
  </si>
  <si>
    <t>SHREECEM</t>
  </si>
  <si>
    <t>SHREE CEMENT LIMITED</t>
  </si>
  <si>
    <t>SUNPHARMA</t>
  </si>
  <si>
    <t>SUN PHARMACEUTICAL IND L</t>
  </si>
  <si>
    <t>TATAMOTORS</t>
  </si>
  <si>
    <t>TATA MOTORS LIMITED</t>
  </si>
  <si>
    <t>TATASTEEL</t>
  </si>
  <si>
    <t>TATA STEEL LIMITED</t>
  </si>
  <si>
    <t>TCS</t>
  </si>
  <si>
    <t>TATA CONSULTANCY SERV LT</t>
  </si>
  <si>
    <t>TECHM</t>
  </si>
  <si>
    <t>TECH MAHINDRA LIMITED</t>
  </si>
  <si>
    <t>TITAN</t>
  </si>
  <si>
    <t>TITAN COMPANY LIMITED</t>
  </si>
  <si>
    <t>ULTRACEMCO</t>
  </si>
  <si>
    <t>ULTRATECH CEMENT LIMITED</t>
  </si>
  <si>
    <t>UPL</t>
  </si>
  <si>
    <t>UPL LIMITED</t>
  </si>
  <si>
    <t>WIPRO</t>
  </si>
  <si>
    <t>WIPRO LTD</t>
  </si>
  <si>
    <t>NIFTY Next 50 Sec</t>
  </si>
  <si>
    <t>ABBOTINDIA</t>
  </si>
  <si>
    <t>ABBOTT INDIA LIMITED</t>
  </si>
  <si>
    <t>XDO</t>
  </si>
  <si>
    <t>ACC</t>
  </si>
  <si>
    <t>ACC LIMITED</t>
  </si>
  <si>
    <t>ALKEM</t>
  </si>
  <si>
    <t>ALKEM LABORATORIES LTD.</t>
  </si>
  <si>
    <t>AMBUJACEM</t>
  </si>
  <si>
    <t>AMBUJA CEMENTS LTD</t>
  </si>
  <si>
    <t>AUROPHARMA</t>
  </si>
  <si>
    <t>AUROBINDO PHARMA LTD</t>
  </si>
  <si>
    <t>BAJAJHLDNG</t>
  </si>
  <si>
    <t>BAJAJ HOLDINGS &amp; INVS LTD</t>
  </si>
  <si>
    <t>BANDHANBNK</t>
  </si>
  <si>
    <t>BANDHAN BANK LIMITED</t>
  </si>
  <si>
    <t>BANKBARODA</t>
  </si>
  <si>
    <t>BANK OF BARODA</t>
  </si>
  <si>
    <t>BERGEPAINT</t>
  </si>
  <si>
    <t>BERGER PAINTS (I) LTD</t>
  </si>
  <si>
    <t>BIOCON</t>
  </si>
  <si>
    <t>BIOCON LIMITED.</t>
  </si>
  <si>
    <t>BOSCHLTD</t>
  </si>
  <si>
    <t>BOSCH LIMITED</t>
  </si>
  <si>
    <t>CADILAHC</t>
  </si>
  <si>
    <t>CADILA HEALTHCARE LIMITED</t>
  </si>
  <si>
    <t>COLPAL</t>
  </si>
  <si>
    <t>COLGATE PALMOLIVE LTD.</t>
  </si>
  <si>
    <t>CONCOR</t>
  </si>
  <si>
    <t>CONTAINER CORP OF IND LTD</t>
  </si>
  <si>
    <t>DABUR</t>
  </si>
  <si>
    <t>DABUR INDIA LTD</t>
  </si>
  <si>
    <t>DLF</t>
  </si>
  <si>
    <t>DLF LIMITED</t>
  </si>
  <si>
    <t>DMART</t>
  </si>
  <si>
    <t>AVENUE SUPERMARTS LIMITED</t>
  </si>
  <si>
    <t>GICRE</t>
  </si>
  <si>
    <t>GENERAL INS CORP OF INDIA</t>
  </si>
  <si>
    <t>GODREJCP</t>
  </si>
  <si>
    <t>GODREJ CONSUMER PRODUCTS</t>
  </si>
  <si>
    <t>HAVELLS</t>
  </si>
  <si>
    <t>HAVELLS INDIA LIMITED</t>
  </si>
  <si>
    <t>HDFCAMC</t>
  </si>
  <si>
    <t>HDFC AMC LIMITED</t>
  </si>
  <si>
    <t>HINDPETRO</t>
  </si>
  <si>
    <t>HINDUSTAN PETROLEUM CORP</t>
  </si>
  <si>
    <t>HINDZINC</t>
  </si>
  <si>
    <t>HINDUSTAN ZINC LIMITED</t>
  </si>
  <si>
    <t>ICICIGI</t>
  </si>
  <si>
    <t>ICICI LOMBARD GIC LIMITED</t>
  </si>
  <si>
    <t>ICICIPRULI</t>
  </si>
  <si>
    <t>ICICI PRU LIFE INS CO LTD</t>
  </si>
  <si>
    <t>IGL</t>
  </si>
  <si>
    <t>INDRAPRASTHA GAS LTD</t>
  </si>
  <si>
    <t>INDIGO</t>
  </si>
  <si>
    <t>INTERGLOBE AVIATION LTD</t>
  </si>
  <si>
    <t>LTI</t>
  </si>
  <si>
    <t>L&amp;T INFOTECH LIMITED</t>
  </si>
  <si>
    <t>LUPIN</t>
  </si>
  <si>
    <t>LUPIN LIMITED</t>
  </si>
  <si>
    <t>MARICO</t>
  </si>
  <si>
    <t>MARICO LIMITED</t>
  </si>
  <si>
    <t>MCDOWELL-N</t>
  </si>
  <si>
    <t>UNITED SPIRITS LIMITED</t>
  </si>
  <si>
    <t>MOTHERSUMI</t>
  </si>
  <si>
    <t>MOTHERSON SUMI SYSTEMS LT</t>
  </si>
  <si>
    <t>MUTHOOTFIN</t>
  </si>
  <si>
    <t>MUTHOOT FINANCE LIMITED</t>
  </si>
  <si>
    <t>NAUKRI</t>
  </si>
  <si>
    <t>INFO EDGE (I) LTD</t>
  </si>
  <si>
    <t>NMDC</t>
  </si>
  <si>
    <t>NMDC LTD.</t>
  </si>
  <si>
    <t>OFSS</t>
  </si>
  <si>
    <t>ORACLE FIN SERV SOFT LTD.</t>
  </si>
  <si>
    <t>PEL</t>
  </si>
  <si>
    <t>PIRAMAL ENTERPRISES LTD</t>
  </si>
  <si>
    <t>PETRONET</t>
  </si>
  <si>
    <t>PETRONET LNG LIMITED</t>
  </si>
  <si>
    <t>PFC</t>
  </si>
  <si>
    <t>POWER FIN CORP LTD.</t>
  </si>
  <si>
    <t>PGHH</t>
  </si>
  <si>
    <t>P&amp;G HYGIENE &amp; HEALTH CARE</t>
  </si>
  <si>
    <t>PIDILITIND</t>
  </si>
  <si>
    <t>PIDILITE INDUSTRIES LTD</t>
  </si>
  <si>
    <t>PNB</t>
  </si>
  <si>
    <t>PUNJAB NATIONAL BANK</t>
  </si>
  <si>
    <t>SBICARD</t>
  </si>
  <si>
    <t>SBI CARDS &amp; PAY SER LTD</t>
  </si>
  <si>
    <t>SIEMENS</t>
  </si>
  <si>
    <t>SIEMENS LTD</t>
  </si>
  <si>
    <t>TATACONSUM</t>
  </si>
  <si>
    <t>TATA CONSUMER PRODUCT LTD</t>
  </si>
  <si>
    <t>TORNTPHARM</t>
  </si>
  <si>
    <t>TORRENT PHARMACEUTICALS L</t>
  </si>
  <si>
    <t>UBL</t>
  </si>
  <si>
    <t>UNITED BREWERIES LTD</t>
  </si>
  <si>
    <t>COMPULSORY ROLLING STOCKS</t>
  </si>
  <si>
    <t>20MICRONS</t>
  </si>
  <si>
    <t>20 MICRONS LTD</t>
  </si>
  <si>
    <t>21STCENMGM</t>
  </si>
  <si>
    <t>21ST CENTURY MGMT SERVICE</t>
  </si>
  <si>
    <t>3MINDIA</t>
  </si>
  <si>
    <t>3M INDIA LIMITED</t>
  </si>
  <si>
    <t>3PLAND</t>
  </si>
  <si>
    <t>3P LAND HOLDINGS LIMITED</t>
  </si>
  <si>
    <t>5PAISA</t>
  </si>
  <si>
    <t>5PAISA CAPITAL LIMITED</t>
  </si>
  <si>
    <t>SM</t>
  </si>
  <si>
    <t>AAATECH</t>
  </si>
  <si>
    <t>AAA TECHNOLOGIES LIMITED</t>
  </si>
  <si>
    <t>AAKASH</t>
  </si>
  <si>
    <t>AAKASH EXPLORATION SER L</t>
  </si>
  <si>
    <t>AARTIDRUGS</t>
  </si>
  <si>
    <t>AARTI DRUGS LTD.</t>
  </si>
  <si>
    <t>AARTIIND</t>
  </si>
  <si>
    <t>AARTI INDUSTRIES LTD</t>
  </si>
  <si>
    <t>AARTISURF</t>
  </si>
  <si>
    <t>AARTI SURFACTANTS LIMITED</t>
  </si>
  <si>
    <t>AARVI</t>
  </si>
  <si>
    <t>AARVI ENCON LIMITED</t>
  </si>
  <si>
    <t>AAVAS</t>
  </si>
  <si>
    <t>AAVAS FINANCIERS LIMITED</t>
  </si>
  <si>
    <t>ABB</t>
  </si>
  <si>
    <t>ABB INDIA LIMITED</t>
  </si>
  <si>
    <t>ABCAPITAL</t>
  </si>
  <si>
    <t>ADITYA BIRLA CAPITAL LTD.</t>
  </si>
  <si>
    <t>ABFRL</t>
  </si>
  <si>
    <t>ADITYA BIRLA FASHION &amp; RT</t>
  </si>
  <si>
    <t>ABINFRA</t>
  </si>
  <si>
    <t>A B INFRABUILD LIMITED</t>
  </si>
  <si>
    <t>ABMINTLTD</t>
  </si>
  <si>
    <t>ABM INTERNATIONAL LTD</t>
  </si>
  <si>
    <t>ACCELYA</t>
  </si>
  <si>
    <t>ACCELYA SOLN INDIA LTD</t>
  </si>
  <si>
    <t>ACCURACY</t>
  </si>
  <si>
    <t>ACCURACY SHIPPING LIMITED</t>
  </si>
  <si>
    <t>ACE</t>
  </si>
  <si>
    <t>ACTION CONST EQUIP LTD</t>
  </si>
  <si>
    <t>ACRYSIL</t>
  </si>
  <si>
    <t>ACRYSIL LIMITED</t>
  </si>
  <si>
    <t>ADANIENT</t>
  </si>
  <si>
    <t>ADANI ENTERPRISES LIMITED</t>
  </si>
  <si>
    <t>ADFFOODS</t>
  </si>
  <si>
    <t>ADF FOODS LIMITED</t>
  </si>
  <si>
    <t>ADORWELD</t>
  </si>
  <si>
    <t>ADOR WELDING LTD</t>
  </si>
  <si>
    <t>ADSL</t>
  </si>
  <si>
    <t>ALLIED DIGITAL SERV. LTD</t>
  </si>
  <si>
    <t>ADVANIHOTR</t>
  </si>
  <si>
    <t>ADVANI HOT.&amp; RES.(I) LTD</t>
  </si>
  <si>
    <t>ADVENZYMES</t>
  </si>
  <si>
    <t>ADVANCED ENZYME TECH LTD</t>
  </si>
  <si>
    <t>AEGISCHEM</t>
  </si>
  <si>
    <t>AEGIS LOGISTICS LIMITED</t>
  </si>
  <si>
    <t>AGARIND</t>
  </si>
  <si>
    <t>AGARWAL INDS CORP LTD.</t>
  </si>
  <si>
    <t>AGRITECH</t>
  </si>
  <si>
    <t>AGRI-TECH (INDIA) LIMITED</t>
  </si>
  <si>
    <t>AGROPHOS</t>
  </si>
  <si>
    <t>AGRO PHOS INDIA LIMITED</t>
  </si>
  <si>
    <t>AHLADA</t>
  </si>
  <si>
    <t>AHLADA ENGINEERS LIMITED</t>
  </si>
  <si>
    <t>AHLEAST</t>
  </si>
  <si>
    <t>ASIAN HOTELS (EAST) LTD</t>
  </si>
  <si>
    <t>AHLUCONT</t>
  </si>
  <si>
    <t>AHLUWALIA CONT IND LTD</t>
  </si>
  <si>
    <t>AHLWEST</t>
  </si>
  <si>
    <t>ASIAN HOTELS (WEST) LTD</t>
  </si>
  <si>
    <t>AIAENG</t>
  </si>
  <si>
    <t>AIA ENGINEERING LIMITED</t>
  </si>
  <si>
    <t>AILIMITED</t>
  </si>
  <si>
    <t>ABHISHEK INTEGRATIONS LTD</t>
  </si>
  <si>
    <t>AIROLAM</t>
  </si>
  <si>
    <t>AIRO LAM LIMITED</t>
  </si>
  <si>
    <t>AISL</t>
  </si>
  <si>
    <t>ANI INTEGRATED SERV LTD.</t>
  </si>
  <si>
    <t>AJANTPHARM</t>
  </si>
  <si>
    <t>AJANTA PHARMA LIMITED</t>
  </si>
  <si>
    <t>AJMERA</t>
  </si>
  <si>
    <t>AJMERA REALTY &amp; INF I LTD</t>
  </si>
  <si>
    <t>AKASH</t>
  </si>
  <si>
    <t>AKASH INFRA-PROJECTS LTD</t>
  </si>
  <si>
    <t>AKG</t>
  </si>
  <si>
    <t>AKG EXIM LIMITED</t>
  </si>
  <si>
    <t>AKSHARCHEM</t>
  </si>
  <si>
    <t>AKSHARCHEM INDIA LIMITED</t>
  </si>
  <si>
    <t>AKZOINDIA</t>
  </si>
  <si>
    <t>AKZO NOBEL INDIA LIMITED</t>
  </si>
  <si>
    <t>ALANKIT</t>
  </si>
  <si>
    <t>ALANKIT LIMITED</t>
  </si>
  <si>
    <t>ALBERTDAVD</t>
  </si>
  <si>
    <t>ALBERT DAVID LIMITED</t>
  </si>
  <si>
    <t>ALEMBICLTD</t>
  </si>
  <si>
    <t>ALEMBIC LIMITED</t>
  </si>
  <si>
    <t>ALICON</t>
  </si>
  <si>
    <t>ALICON CASTALLOY LIMITED</t>
  </si>
  <si>
    <t>ALKALI</t>
  </si>
  <si>
    <t>ALKALI METALS LTD</t>
  </si>
  <si>
    <t>ALKYLAMINE</t>
  </si>
  <si>
    <t>ALKYL AMINES CHEM. LTD</t>
  </si>
  <si>
    <t>ALLCARGO</t>
  </si>
  <si>
    <t>ALLCARGO LOGISTICS LTD</t>
  </si>
  <si>
    <t>ALLSEC</t>
  </si>
  <si>
    <t>ALLSEC TECHNOLOGIES LTD</t>
  </si>
  <si>
    <t>ALMONDZ</t>
  </si>
  <si>
    <t>ALMONDZ GLOBAL SEC LTD</t>
  </si>
  <si>
    <t>ALOKINDS</t>
  </si>
  <si>
    <t>ALOK INDUSTRIES LIMITED</t>
  </si>
  <si>
    <t>ALPHAGEO</t>
  </si>
  <si>
    <t>ALPHAGEO (INDIA) LIMITED</t>
  </si>
  <si>
    <t>AMARAJABAT</t>
  </si>
  <si>
    <t>AMARA RAJA BATTERIES LTD.</t>
  </si>
  <si>
    <t>AMBER</t>
  </si>
  <si>
    <t>AMBER ENTERPRISES (I) LTD</t>
  </si>
  <si>
    <t>AMBICAAGAR</t>
  </si>
  <si>
    <t>AMBICA AGAR &amp; AROMAINDLTD</t>
  </si>
  <si>
    <t>AMBIKCO</t>
  </si>
  <si>
    <t>AMBIKA COTTON MILL LTD.</t>
  </si>
  <si>
    <t>AMDIND</t>
  </si>
  <si>
    <t>AMD INDUSTRIES LIMITED</t>
  </si>
  <si>
    <t>AMJLAND</t>
  </si>
  <si>
    <t>AMJ LAND HOLDINGS LIMITED</t>
  </si>
  <si>
    <t>AMRUTANJAN</t>
  </si>
  <si>
    <t>AMRUTAJAN HEALTH LTD</t>
  </si>
  <si>
    <t>ANDHRAPAP</t>
  </si>
  <si>
    <t>ANDHRA PAPER LIMITED</t>
  </si>
  <si>
    <t>ANDHRSUGAR</t>
  </si>
  <si>
    <t>ANDHRA SUGARS LTD</t>
  </si>
  <si>
    <t>ANGELBRKG</t>
  </si>
  <si>
    <t>ANGEL BROKING LIMITED</t>
  </si>
  <si>
    <t>ANIKINDS</t>
  </si>
  <si>
    <t>ANIK INDUSTRIES LTD</t>
  </si>
  <si>
    <t>ANMOL</t>
  </si>
  <si>
    <t>ANMOL INDIA LIMITED</t>
  </si>
  <si>
    <t>ANSALHSG</t>
  </si>
  <si>
    <t>ANSAL HOUSING LIMITED</t>
  </si>
  <si>
    <t>ANUP</t>
  </si>
  <si>
    <t>THE ANUP ENGINEERING LTD</t>
  </si>
  <si>
    <t>ANURAS</t>
  </si>
  <si>
    <t>ANUPAM RASAYAN INDIA LTD</t>
  </si>
  <si>
    <t>APARINDS</t>
  </si>
  <si>
    <t>APAR INDUSTRIES LTD.</t>
  </si>
  <si>
    <t>APCL</t>
  </si>
  <si>
    <t>ANJANI PORTLAND CEM LTD</t>
  </si>
  <si>
    <t>APCOTEXIND</t>
  </si>
  <si>
    <t>APCOTEX INDUSTRIES LIMITE</t>
  </si>
  <si>
    <t>APEX</t>
  </si>
  <si>
    <t>APEX FROZEN FOODS LIMITED</t>
  </si>
  <si>
    <t>APLAPOLLO</t>
  </si>
  <si>
    <t>APL APOLLO TUBES LTD</t>
  </si>
  <si>
    <t>APLLTD</t>
  </si>
  <si>
    <t>ALEMBIC PHARMA LTD</t>
  </si>
  <si>
    <t>APOLLO</t>
  </si>
  <si>
    <t>APOLLO MICRO SYSTEMS LTD</t>
  </si>
  <si>
    <t>APOLLOHOSP</t>
  </si>
  <si>
    <t>APOLLO HOSPITALS ENTER. L</t>
  </si>
  <si>
    <t>APOLLOPIPE</t>
  </si>
  <si>
    <t>APOLLO PIPES LIMITED</t>
  </si>
  <si>
    <t>APOLLOTYRE</t>
  </si>
  <si>
    <t>APOLLO TYRES LTD</t>
  </si>
  <si>
    <t>APOLSINHOT</t>
  </si>
  <si>
    <t>APOLLO SINDOORI HOTEL LTD</t>
  </si>
  <si>
    <t>APTECHT</t>
  </si>
  <si>
    <t>APTECH LIMITED</t>
  </si>
  <si>
    <t>ARCHIES</t>
  </si>
  <si>
    <t>ARCHIES LTD</t>
  </si>
  <si>
    <t>ARENTERP</t>
  </si>
  <si>
    <t>RAJDARSHAN INDUSTRIES LTD</t>
  </si>
  <si>
    <t>ARIES</t>
  </si>
  <si>
    <t>ARIES AGRO LTD.</t>
  </si>
  <si>
    <t>ARIHANTCAP</t>
  </si>
  <si>
    <t>ARIHANT CAPITAL MKTS LTD</t>
  </si>
  <si>
    <t>ARMANFIN</t>
  </si>
  <si>
    <t>ARMAN FIN SERV LTD</t>
  </si>
  <si>
    <t>AROGRANITE</t>
  </si>
  <si>
    <t>ARO GRANITE IND. LTD.</t>
  </si>
  <si>
    <t>ARSHIYA</t>
  </si>
  <si>
    <t>ARSHIYA LIMITED</t>
  </si>
  <si>
    <t>ARVIND</t>
  </si>
  <si>
    <t>ARVIND LIMITED</t>
  </si>
  <si>
    <t>ARVINDFASN</t>
  </si>
  <si>
    <t>ARVIND FASHIONS LIMITED</t>
  </si>
  <si>
    <t>ARVSMART</t>
  </si>
  <si>
    <t>ARVIND SMARTSPACES LTD</t>
  </si>
  <si>
    <t>ASAHIINDIA</t>
  </si>
  <si>
    <t>ASAHI INDIA GLASS LIMITED</t>
  </si>
  <si>
    <t>ASAHISONG</t>
  </si>
  <si>
    <t>ASAHI SONGWON COLOR LTD</t>
  </si>
  <si>
    <t>ASALCBR</t>
  </si>
  <si>
    <t>ASSO ALCOHOLS &amp; BREW LTD</t>
  </si>
  <si>
    <t>ASHIANA</t>
  </si>
  <si>
    <t>ASHIANA HOUSING LTD</t>
  </si>
  <si>
    <t>ASHOKA</t>
  </si>
  <si>
    <t>ASHOKA BUILDCON LTD</t>
  </si>
  <si>
    <t>ASHOKLEY</t>
  </si>
  <si>
    <t>ASHOK LEYLAND LTD</t>
  </si>
  <si>
    <t>ASIANHOTNR</t>
  </si>
  <si>
    <t>ASIAN HOTELS (NORTH) LTD</t>
  </si>
  <si>
    <t>ASIANTILES</t>
  </si>
  <si>
    <t>ASIAN GRANITO IND. LTD.</t>
  </si>
  <si>
    <t>ASLIND</t>
  </si>
  <si>
    <t>ASL INDUSTRIES LIMITED</t>
  </si>
  <si>
    <t>ASPINWALL</t>
  </si>
  <si>
    <t>ASPINWALL &amp; CO LTD</t>
  </si>
  <si>
    <t>ASTEC</t>
  </si>
  <si>
    <t>ASTEC LIFESCIENCES LTD</t>
  </si>
  <si>
    <t>ASTERDM</t>
  </si>
  <si>
    <t>ASTER DM HEALTHCARE LTD.</t>
  </si>
  <si>
    <t>ASTRAL</t>
  </si>
  <si>
    <t>ASTRAL LIMITED</t>
  </si>
  <si>
    <t>ASTRAMICRO</t>
  </si>
  <si>
    <t>ASTRA MICROWAVE LTD</t>
  </si>
  <si>
    <t>ASTRAZEN</t>
  </si>
  <si>
    <t>ASTRAZENECA PHARMA IND LT</t>
  </si>
  <si>
    <t>ASTRON</t>
  </si>
  <si>
    <t>ASTRON PAPER BORD MIL LTD</t>
  </si>
  <si>
    <t>ATALREAL</t>
  </si>
  <si>
    <t>ATAL REALTECH LIMITED</t>
  </si>
  <si>
    <t>ATFL</t>
  </si>
  <si>
    <t>AGRO TECH FOODS LIMITED</t>
  </si>
  <si>
    <t>ATUL</t>
  </si>
  <si>
    <t>ATUL LTD</t>
  </si>
  <si>
    <t>ATULAUTO</t>
  </si>
  <si>
    <t>ATUL AUTO LIMITED</t>
  </si>
  <si>
    <t>AUBANK</t>
  </si>
  <si>
    <t>AU SMALL FINANCE BANK LTD</t>
  </si>
  <si>
    <t>AURIONPRO</t>
  </si>
  <si>
    <t>AURIONPRO SOLN LTD</t>
  </si>
  <si>
    <t>AUSOMENT</t>
  </si>
  <si>
    <t>AUSOM ENTERPRISE LIMITED</t>
  </si>
  <si>
    <t>AUTOAXLES</t>
  </si>
  <si>
    <t>AUTOMOTIVE AXLES LIMITED</t>
  </si>
  <si>
    <t>AVADHSUGAR</t>
  </si>
  <si>
    <t>AVADH SUG &amp; ENERGY LTD</t>
  </si>
  <si>
    <t>AVANTIFEED</t>
  </si>
  <si>
    <t>AVANTI FEEDS LIMITED</t>
  </si>
  <si>
    <t>AVROIND</t>
  </si>
  <si>
    <t>AVRO INDIA LIMITED</t>
  </si>
  <si>
    <t>AVTNPL</t>
  </si>
  <si>
    <t>AVT NATURAL PRODUCTS LTD</t>
  </si>
  <si>
    <t>AWHCL</t>
  </si>
  <si>
    <t>ANTONY WASTE HDG CELL LTD</t>
  </si>
  <si>
    <t>AYMSYNTEX</t>
  </si>
  <si>
    <t>AYM SYNTEX LIMITED</t>
  </si>
  <si>
    <t>BAFNAPH</t>
  </si>
  <si>
    <t>BAFNA PHARMACEUTICALS LTD</t>
  </si>
  <si>
    <t>BAJAJCON</t>
  </si>
  <si>
    <t>BAJAJ CONSUMER CARE LTD</t>
  </si>
  <si>
    <t>BAJAJELEC</t>
  </si>
  <si>
    <t>BAJAJ ELECT.LTD</t>
  </si>
  <si>
    <t>BALAJITELE</t>
  </si>
  <si>
    <t>BALAJI TELEFILMS LIMITED.</t>
  </si>
  <si>
    <t>BALAMINES</t>
  </si>
  <si>
    <t>BALAJI AMINES LIMITED</t>
  </si>
  <si>
    <t>BALAXI</t>
  </si>
  <si>
    <t>BALAXI PHARMA LTD</t>
  </si>
  <si>
    <t>BALKRISHNA</t>
  </si>
  <si>
    <t>BALKRISHNA PAPER MILLS L</t>
  </si>
  <si>
    <t>BALKRISIND</t>
  </si>
  <si>
    <t>BALKRISHNA IND. LTD</t>
  </si>
  <si>
    <t>BALMLAWRIE</t>
  </si>
  <si>
    <t>BALMER LAWRIE &amp; CO LTD</t>
  </si>
  <si>
    <t>BALRAMCHIN</t>
  </si>
  <si>
    <t>BALRAMPUR CHINI MILLS LTD</t>
  </si>
  <si>
    <t>BANARBEADS</t>
  </si>
  <si>
    <t>BANARAS BEADS LTD</t>
  </si>
  <si>
    <t>XO</t>
  </si>
  <si>
    <t>BANARISUG</t>
  </si>
  <si>
    <t>BANNARI AMMAN SUGARS LTD</t>
  </si>
  <si>
    <t>BANCOINDIA</t>
  </si>
  <si>
    <t>BANCO PRODUCTS (I) LTD</t>
  </si>
  <si>
    <t>BANG</t>
  </si>
  <si>
    <t>BANG OVERSEAS LTD.</t>
  </si>
  <si>
    <t>BANKA</t>
  </si>
  <si>
    <t>BANKA BIOLOO LIMITED</t>
  </si>
  <si>
    <t>BANKINDIA</t>
  </si>
  <si>
    <t>BANK OF INDIA</t>
  </si>
  <si>
    <t>BARBEQUE</t>
  </si>
  <si>
    <t>BARBEQUE NATION HOSP. LTD</t>
  </si>
  <si>
    <t>BASF</t>
  </si>
  <si>
    <t>BASF INDIA LTD</t>
  </si>
  <si>
    <t>BATAINDIA</t>
  </si>
  <si>
    <t>BATA INDIA LTD</t>
  </si>
  <si>
    <t>BAYERCROP</t>
  </si>
  <si>
    <t>BAYER CROPSCIENCE LTD</t>
  </si>
  <si>
    <t>BBL</t>
  </si>
  <si>
    <t>BHARAT BIJLEE LTD</t>
  </si>
  <si>
    <t>BBTC</t>
  </si>
  <si>
    <t>BOMBAY BURMAH TRADING COR</t>
  </si>
  <si>
    <t>BBTCL</t>
  </si>
  <si>
    <t>B&amp;B TRIPLEWALL CONT LTD</t>
  </si>
  <si>
    <t>BCG</t>
  </si>
  <si>
    <t>BRIGHTCOM GROUP LIMITED</t>
  </si>
  <si>
    <t>BCLIND</t>
  </si>
  <si>
    <t>BCL INDUSTRIES LIMITED</t>
  </si>
  <si>
    <t>BDL</t>
  </si>
  <si>
    <t>BHARAT DYNAMICS LIMITED</t>
  </si>
  <si>
    <t>BECTORFOOD</t>
  </si>
  <si>
    <t>MRS BECTORS FOOD SPE LTD</t>
  </si>
  <si>
    <t>BEL</t>
  </si>
  <si>
    <t>BHARAT ELECTRONICS LTD</t>
  </si>
  <si>
    <t>BEML</t>
  </si>
  <si>
    <t>BEML LIMITED</t>
  </si>
  <si>
    <t>BEPL</t>
  </si>
  <si>
    <t>BHANSALI ENG. POLYMERS LT</t>
  </si>
  <si>
    <t>BESTAGRO</t>
  </si>
  <si>
    <t>BEST AGROLIFE LIMITED</t>
  </si>
  <si>
    <t>BETA</t>
  </si>
  <si>
    <t>BETA DRUGS LIMITED</t>
  </si>
  <si>
    <t>BFINVEST</t>
  </si>
  <si>
    <t>BF INVESTMENT LIMITED</t>
  </si>
  <si>
    <t>BFUTILITIE</t>
  </si>
  <si>
    <t>BF UTILITIES LIMITED</t>
  </si>
  <si>
    <t>BGRENERGY</t>
  </si>
  <si>
    <t>BGR ENERGY SYSTEMS LTD</t>
  </si>
  <si>
    <t>BHAGERIA</t>
  </si>
  <si>
    <t>BHAGERIA INDUSTRIES LTD</t>
  </si>
  <si>
    <t>BHAGYANGR</t>
  </si>
  <si>
    <t>BHAGYANAGAR INDIA LIMITED</t>
  </si>
  <si>
    <t>BHAGYAPROP</t>
  </si>
  <si>
    <t>BHAGYANAGAR PRO LTD</t>
  </si>
  <si>
    <t>BHANDARI</t>
  </si>
  <si>
    <t>BHANDARI HOSIERY EXP LTD</t>
  </si>
  <si>
    <t>BHARATFORG</t>
  </si>
  <si>
    <t>BHARAT FORGE LTD</t>
  </si>
  <si>
    <t>BHARATGEAR</t>
  </si>
  <si>
    <t>BHARAT GEARS LTD.</t>
  </si>
  <si>
    <t>BHARATRAS</t>
  </si>
  <si>
    <t>BHARAT RASAYAN LTD</t>
  </si>
  <si>
    <t>BHARATWIRE</t>
  </si>
  <si>
    <t>BHARAT WIRE ROPES LTD.</t>
  </si>
  <si>
    <t>BHEL</t>
  </si>
  <si>
    <t>BIGBLOC</t>
  </si>
  <si>
    <t>BIGBLOC CONSTRUCTION LTD</t>
  </si>
  <si>
    <t>BINDALAGRO</t>
  </si>
  <si>
    <t>OSWAL CHEM. &amp; FERT. LTD.</t>
  </si>
  <si>
    <t>BIOFILCHEM</t>
  </si>
  <si>
    <t>BIOFIL CHEM &amp; PHARMA LTD</t>
  </si>
  <si>
    <t>RR</t>
  </si>
  <si>
    <t>BIRET</t>
  </si>
  <si>
    <t>BROOKFIELD INDIA RET</t>
  </si>
  <si>
    <t>BIRLACORPN</t>
  </si>
  <si>
    <t>BIRLA CORPORATION LTD</t>
  </si>
  <si>
    <t>BIRLAMONEY</t>
  </si>
  <si>
    <t>ADITYA BIRLA MONEY LTD</t>
  </si>
  <si>
    <t>BIRLATYRE</t>
  </si>
  <si>
    <t>BIRLA TYRES LIMITED</t>
  </si>
  <si>
    <t>BLBLIMITED</t>
  </si>
  <si>
    <t>BLB LIMITED</t>
  </si>
  <si>
    <t>BLISSGVS</t>
  </si>
  <si>
    <t>BLISS GVS PHARMA LTD</t>
  </si>
  <si>
    <t>BLKASHYAP</t>
  </si>
  <si>
    <t>B.L.KASHYAP &amp; SON LTD</t>
  </si>
  <si>
    <t>BLS</t>
  </si>
  <si>
    <t>BLS INTL SERVS LTD</t>
  </si>
  <si>
    <t>BLUECOAST</t>
  </si>
  <si>
    <t>BLUE COAST HOTELS LIMITED</t>
  </si>
  <si>
    <t>BLUEDART</t>
  </si>
  <si>
    <t>BLUE DART EXPRESS LTD</t>
  </si>
  <si>
    <t>BLUESTARCO</t>
  </si>
  <si>
    <t>BLUE STAR LIMITED</t>
  </si>
  <si>
    <t>BODALCHEM</t>
  </si>
  <si>
    <t>BODAL CHEMICALS LTD</t>
  </si>
  <si>
    <t>BOHRA</t>
  </si>
  <si>
    <t>BOHRA INDUSTRIES LIMITED</t>
  </si>
  <si>
    <t>BOMDYEING</t>
  </si>
  <si>
    <t>BOMBAY DYEING &amp; MFG. CO L</t>
  </si>
  <si>
    <t>BOROLTD</t>
  </si>
  <si>
    <t>BOROSIL LIMITED</t>
  </si>
  <si>
    <t>BPL</t>
  </si>
  <si>
    <t>BPL LTD</t>
  </si>
  <si>
    <t>BRIGADE</t>
  </si>
  <si>
    <t>BRIGADE ENTER. LTD</t>
  </si>
  <si>
    <t>BRIGHT</t>
  </si>
  <si>
    <t>BRIGHT SOLAR LIMITED</t>
  </si>
  <si>
    <t>BRNL</t>
  </si>
  <si>
    <t>BHARAT ROAD NETWORK LTD</t>
  </si>
  <si>
    <t>BROOKS</t>
  </si>
  <si>
    <t>BROOKS LAB LIMITED</t>
  </si>
  <si>
    <t>BSE</t>
  </si>
  <si>
    <t>BSE LIMITED</t>
  </si>
  <si>
    <t>BSHSL</t>
  </si>
  <si>
    <t>BOMBAY SUPER HYBRID SEEDS</t>
  </si>
  <si>
    <t>BSL</t>
  </si>
  <si>
    <t>BSL LTD</t>
  </si>
  <si>
    <t>BSOFT</t>
  </si>
  <si>
    <t>BIRLASOFT LIMITED</t>
  </si>
  <si>
    <t>BURGERKING</t>
  </si>
  <si>
    <t>BURGER KING INDIA LIMITED</t>
  </si>
  <si>
    <t>CAMLINFINE</t>
  </si>
  <si>
    <t>CAMLIN FINE SCIENCES LTD</t>
  </si>
  <si>
    <t>CAMS</t>
  </si>
  <si>
    <t>COMPUTER AGE MNGT SER LTD</t>
  </si>
  <si>
    <t>CANBK</t>
  </si>
  <si>
    <t>CANARA BANK</t>
  </si>
  <si>
    <t>CANFINHOME</t>
  </si>
  <si>
    <t>CAN FIN HOMES LTD</t>
  </si>
  <si>
    <t>CANTABIL</t>
  </si>
  <si>
    <t>CANTABIL RETAIL LTD</t>
  </si>
  <si>
    <t>CAPACITE</t>
  </si>
  <si>
    <t>CAPACITE INFRAPROJECT LTD</t>
  </si>
  <si>
    <t>CAPLIPOINT</t>
  </si>
  <si>
    <t>CAPLIN POINT LAB LTD.</t>
  </si>
  <si>
    <t>CAPTRUST</t>
  </si>
  <si>
    <t>CAPITAL TRUST LIMITED</t>
  </si>
  <si>
    <t>CARBORUNIV</t>
  </si>
  <si>
    <t>CARBORUNDUM UNIVERSAL LTD</t>
  </si>
  <si>
    <t>CAREERP</t>
  </si>
  <si>
    <t>CAREER POINT LIMITED</t>
  </si>
  <si>
    <t>CARERATING</t>
  </si>
  <si>
    <t>CARE RATINGS LIMITED</t>
  </si>
  <si>
    <t>CASTROLIND</t>
  </si>
  <si>
    <t>CASTROL INDIA LIMITED</t>
  </si>
  <si>
    <t>CCL</t>
  </si>
  <si>
    <t>CCL PRODUCTS (I) LTD</t>
  </si>
  <si>
    <t>CDSL</t>
  </si>
  <si>
    <t>CENTRAL DEPO SER (I) LTD</t>
  </si>
  <si>
    <t>CEATLTD</t>
  </si>
  <si>
    <t>CEAT LIMITED</t>
  </si>
  <si>
    <t>CEBBCO</t>
  </si>
  <si>
    <t>COMMERCIAL ENG &amp; CO. LTD</t>
  </si>
  <si>
    <t>CELEBRITY</t>
  </si>
  <si>
    <t>CELEBRITY FASHIONS LTD</t>
  </si>
  <si>
    <t>CENTENKA</t>
  </si>
  <si>
    <t>CENTURY ENKA LTD</t>
  </si>
  <si>
    <t>CENTEXT</t>
  </si>
  <si>
    <t>CENTURY EXTRUSIONS LTD</t>
  </si>
  <si>
    <t>CENTRALBK</t>
  </si>
  <si>
    <t>CENTRAL BANK OF INDIA</t>
  </si>
  <si>
    <t>CENTRUM</t>
  </si>
  <si>
    <t>CENTRUM CAPITAL LIMITED</t>
  </si>
  <si>
    <t>CENTUM</t>
  </si>
  <si>
    <t>CENTUM ELECTRONICS LTD</t>
  </si>
  <si>
    <t>CENTURYPLY</t>
  </si>
  <si>
    <t>CENTURY PLYBOARDS (I) LTD</t>
  </si>
  <si>
    <t>CENTURYTEX</t>
  </si>
  <si>
    <t>CENTURY TEXTILES LTD</t>
  </si>
  <si>
    <t>CERA</t>
  </si>
  <si>
    <t>CERA SANITARYWARE LTD</t>
  </si>
  <si>
    <t>CEREBRAINT</t>
  </si>
  <si>
    <t>CEREBRA INT TECH LTD</t>
  </si>
  <si>
    <t>CESC</t>
  </si>
  <si>
    <t>CESC LTD</t>
  </si>
  <si>
    <t>CGCL</t>
  </si>
  <si>
    <t>CAPRI GLOBAL CAPITAL LTD</t>
  </si>
  <si>
    <t>CHALET</t>
  </si>
  <si>
    <t>CHALET HOTELS LIMITED</t>
  </si>
  <si>
    <t>CHAMBLFERT</t>
  </si>
  <si>
    <t>CHAMBAL FERTILIZERS LTD</t>
  </si>
  <si>
    <t>CHEMBOND</t>
  </si>
  <si>
    <t>CHEMBOND CHEMICALS LTD</t>
  </si>
  <si>
    <t>CHEMCON</t>
  </si>
  <si>
    <t>CHEMCON SPECIAL CHEM LTD</t>
  </si>
  <si>
    <t>CHEMFAB</t>
  </si>
  <si>
    <t>CHEMFAB ALKALIS LIMITED</t>
  </si>
  <si>
    <t>CHENNPETRO</t>
  </si>
  <si>
    <t>CHENNAI PETROLEUM CORP LT</t>
  </si>
  <si>
    <t>CHOLAFIN</t>
  </si>
  <si>
    <t>CHOLAMANDALAM IN &amp; FIN CO</t>
  </si>
  <si>
    <t>CHOLAHLDNG</t>
  </si>
  <si>
    <t>CHOLAMANDALAM FIN HOL LTD</t>
  </si>
  <si>
    <t>CIGNITITEC</t>
  </si>
  <si>
    <t>CIGNITI TECHNOLOGIES LTD</t>
  </si>
  <si>
    <t>CINELINE</t>
  </si>
  <si>
    <t>CINELINE INDIA LIMITED</t>
  </si>
  <si>
    <t>CLEAN</t>
  </si>
  <si>
    <t>CLEAN SCIENCE &amp; TECH LTD</t>
  </si>
  <si>
    <t>CLEDUCATE</t>
  </si>
  <si>
    <t>CL EDUCATE LIMITED</t>
  </si>
  <si>
    <t>CLNINDIA</t>
  </si>
  <si>
    <t>CLARIANT CHEMICALS (INDIA</t>
  </si>
  <si>
    <t>CLSEL</t>
  </si>
  <si>
    <t>CHAMAN LAL SETIA EXP LTD</t>
  </si>
  <si>
    <t>CMICABLES</t>
  </si>
  <si>
    <t>CMI LIMITED</t>
  </si>
  <si>
    <t>COCHINSHIP</t>
  </si>
  <si>
    <t>COCHIN SHIPYARD LIMITED</t>
  </si>
  <si>
    <t>COFFEEDAY</t>
  </si>
  <si>
    <t>COFFEE DAY ENTERPRISE LTD</t>
  </si>
  <si>
    <t>COFORGE</t>
  </si>
  <si>
    <t>COFORGE LIMITED</t>
  </si>
  <si>
    <t>COMPINFO</t>
  </si>
  <si>
    <t>COMPUAGE INFOCOM LTD</t>
  </si>
  <si>
    <t>CONFIPET</t>
  </si>
  <si>
    <t>CONFIDENCE PETRO IND LTD.</t>
  </si>
  <si>
    <t>CONSOFINVT</t>
  </si>
  <si>
    <t>CONSO. FIN. &amp; HOLD. LTD.</t>
  </si>
  <si>
    <t>CONTI</t>
  </si>
  <si>
    <t>CONTINENTAL SEED CHEM LTD</t>
  </si>
  <si>
    <t>CONTROLPR</t>
  </si>
  <si>
    <t>CONTROL PRINT LIMITED</t>
  </si>
  <si>
    <t>CORALFINAC</t>
  </si>
  <si>
    <t>CORAL INDIA FIN &amp; HOUS LT</t>
  </si>
  <si>
    <t>CORDSCABLE</t>
  </si>
  <si>
    <t>CORDS CABLE INDUS LTD.</t>
  </si>
  <si>
    <t>COROMANDEL</t>
  </si>
  <si>
    <t>COROMANDEL INTERNTL. LTD</t>
  </si>
  <si>
    <t>COSMOFILMS</t>
  </si>
  <si>
    <t>COSMO FILMS LTD</t>
  </si>
  <si>
    <t>CRAFTSMAN</t>
  </si>
  <si>
    <t>CRAFTSMAN AUTOMATION LTD</t>
  </si>
  <si>
    <t>CREATIVE</t>
  </si>
  <si>
    <t>CREATIVE PERI &amp; DIST LTD.</t>
  </si>
  <si>
    <t>G</t>
  </si>
  <si>
    <t>CREATIVEYE</t>
  </si>
  <si>
    <t>CREATIVE EYE LIMITED</t>
  </si>
  <si>
    <t>CREDITACC</t>
  </si>
  <si>
    <t>CREDITACCESS GRAMEEN LTD</t>
  </si>
  <si>
    <t>CREST</t>
  </si>
  <si>
    <t>CREST VENTURES LIMITED</t>
  </si>
  <si>
    <t>CRISIL</t>
  </si>
  <si>
    <t>CRISIL LTD</t>
  </si>
  <si>
    <t>CROMPTON</t>
  </si>
  <si>
    <t>CROMPT GREA CON ELEC LTD</t>
  </si>
  <si>
    <t>CSBBANK</t>
  </si>
  <si>
    <t>CSB BANK LIMITED</t>
  </si>
  <si>
    <t>CTE</t>
  </si>
  <si>
    <t>CAMBRIDGE TECH ENTER LTD</t>
  </si>
  <si>
    <t>CUB</t>
  </si>
  <si>
    <t>CITY UNION BANK LTD</t>
  </si>
  <si>
    <t>CUMMINSIND</t>
  </si>
  <si>
    <t>CUMMINS INDIA LTD</t>
  </si>
  <si>
    <t>CUPID</t>
  </si>
  <si>
    <t>CUPID LIMITED</t>
  </si>
  <si>
    <t>CYBERMEDIA</t>
  </si>
  <si>
    <t>CYBER MEDIA (INDIA) LTD.</t>
  </si>
  <si>
    <t>CYBERTECH</t>
  </si>
  <si>
    <t>CYBERTECH SYSTEMS &amp; SOFTW</t>
  </si>
  <si>
    <t>CYIENT</t>
  </si>
  <si>
    <t>CYIENT LIMITED</t>
  </si>
  <si>
    <t>DAAWAT</t>
  </si>
  <si>
    <t>LT FOODS LIMITED</t>
  </si>
  <si>
    <t>DALBHARAT</t>
  </si>
  <si>
    <t>DALMIA BHARAT LIMITED</t>
  </si>
  <si>
    <t>DALMIASUG</t>
  </si>
  <si>
    <t>DALMIA BHARAT SUG IN LTD</t>
  </si>
  <si>
    <t>DAMODARIND</t>
  </si>
  <si>
    <t>DAMODAR INDUSTRIES LTD</t>
  </si>
  <si>
    <t>DATAMATICS</t>
  </si>
  <si>
    <t>DATAMATICS GLOBAL SER LTD</t>
  </si>
  <si>
    <t>DBCORP</t>
  </si>
  <si>
    <t>D.B.CORP LTD</t>
  </si>
  <si>
    <t>DBL</t>
  </si>
  <si>
    <t>DILIP BUILDCON LIMITED</t>
  </si>
  <si>
    <t>DBREALTY</t>
  </si>
  <si>
    <t>D B REALTY LIMITED</t>
  </si>
  <si>
    <t>DCAL</t>
  </si>
  <si>
    <t>DISHMAN CARBO AMCIS LTD</t>
  </si>
  <si>
    <t>DCBBANK</t>
  </si>
  <si>
    <t>DCB BANK LIMITED</t>
  </si>
  <si>
    <t>DCI</t>
  </si>
  <si>
    <t>DC INFOTECH AND COMUN LTD</t>
  </si>
  <si>
    <t>DCMFINSERV</t>
  </si>
  <si>
    <t>DCM FINANCIAL SERVICES LT</t>
  </si>
  <si>
    <t>DCMNVL</t>
  </si>
  <si>
    <t>DCM NOUVELLE LIMITED</t>
  </si>
  <si>
    <t>DCMSHRIRAM</t>
  </si>
  <si>
    <t>DCM SHRIRAM LIMITED</t>
  </si>
  <si>
    <t>DCW</t>
  </si>
  <si>
    <t>DCW LTD</t>
  </si>
  <si>
    <t>DECCANCE</t>
  </si>
  <si>
    <t>DECCAN CEMENTS LIMITED</t>
  </si>
  <si>
    <t>DEEPAKNTR</t>
  </si>
  <si>
    <t>DEEPAK NITRITE LTD</t>
  </si>
  <si>
    <t>DEEPENR</t>
  </si>
  <si>
    <t>DEEP ENE RESOURCES LTD</t>
  </si>
  <si>
    <t>DEEPINDS</t>
  </si>
  <si>
    <t>DEEP INDUSTRIES LIMITED</t>
  </si>
  <si>
    <t>DELTACORP</t>
  </si>
  <si>
    <t>DELTA CORP LIMITED</t>
  </si>
  <si>
    <t>DEN</t>
  </si>
  <si>
    <t>DEN NETWORKS LTD</t>
  </si>
  <si>
    <t>DENORA</t>
  </si>
  <si>
    <t>DE NORA INDIA LIMITED</t>
  </si>
  <si>
    <t>DFMFOODS</t>
  </si>
  <si>
    <t>DFM FOODS LIMITED</t>
  </si>
  <si>
    <t>DHAMPURSUG</t>
  </si>
  <si>
    <t>DHAMPUR SUGAR MILLS LTD.</t>
  </si>
  <si>
    <t>DHANBANK</t>
  </si>
  <si>
    <t>DHANLAXMI BANK LIMITED</t>
  </si>
  <si>
    <t>DHANI</t>
  </si>
  <si>
    <t>DHANI SERVICES LIMITED</t>
  </si>
  <si>
    <t>E1</t>
  </si>
  <si>
    <t>DHANIPP</t>
  </si>
  <si>
    <t>DHANI RS.1.10 PPD UP</t>
  </si>
  <si>
    <t>DHANUKA</t>
  </si>
  <si>
    <t>DHANUKA AGRITECH LTD</t>
  </si>
  <si>
    <t>DHARSUGAR</t>
  </si>
  <si>
    <t>DHARANI SUGARS &amp; CHEMICAL</t>
  </si>
  <si>
    <t>DHUNINV</t>
  </si>
  <si>
    <t>DHUNSERI INVESTMENTS LTD</t>
  </si>
  <si>
    <t>DIAMONDYD</t>
  </si>
  <si>
    <t>PRATAAP SNACKS LIMITED</t>
  </si>
  <si>
    <t>DICIND</t>
  </si>
  <si>
    <t>DIC INDIA LIMITED</t>
  </si>
  <si>
    <t>DISHTV</t>
  </si>
  <si>
    <t>DISH TV INDIA LTD.</t>
  </si>
  <si>
    <t>DIXON</t>
  </si>
  <si>
    <t>DIXON TECHNO (INDIA) LTD</t>
  </si>
  <si>
    <t>DLINKINDIA</t>
  </si>
  <si>
    <t>D-LINK INDIA LTD</t>
  </si>
  <si>
    <t>DNAMEDIA</t>
  </si>
  <si>
    <t>DILIGENT MEDIA CORP LTD.</t>
  </si>
  <si>
    <t>DODLA</t>
  </si>
  <si>
    <t>DODLA DAIRY LIMITED</t>
  </si>
  <si>
    <t>DOLAT</t>
  </si>
  <si>
    <t>DOLAT INVESTMENTS LTD</t>
  </si>
  <si>
    <t>DOLLAR</t>
  </si>
  <si>
    <t>DOLLAR INDUSTRIES LIMITED</t>
  </si>
  <si>
    <t>DONEAR</t>
  </si>
  <si>
    <t>DONEAR IND. LIMITED</t>
  </si>
  <si>
    <t>DPABHUSHAN</t>
  </si>
  <si>
    <t>D. P. ABHUSHAN LIMITED</t>
  </si>
  <si>
    <t>DPSCLTD</t>
  </si>
  <si>
    <t>DPSC LIMITED</t>
  </si>
  <si>
    <t>DPWIRES</t>
  </si>
  <si>
    <t>D P WIRES LIMITED</t>
  </si>
  <si>
    <t>DREDGECORP</t>
  </si>
  <si>
    <t>DREDGING CORP OF INDIA</t>
  </si>
  <si>
    <t>DSML</t>
  </si>
  <si>
    <t>DEBOCK SALE MARKETING LTD</t>
  </si>
  <si>
    <t>DSSL</t>
  </si>
  <si>
    <t>DYNACONS SYS &amp; SOLN LTD</t>
  </si>
  <si>
    <t>DTIL</t>
  </si>
  <si>
    <t>DHUNSERI TEA &amp; IND. LTD.</t>
  </si>
  <si>
    <t>DVL</t>
  </si>
  <si>
    <t>DHUNSERI VENTURES LIMITED</t>
  </si>
  <si>
    <t>DWARKESH</t>
  </si>
  <si>
    <t>DWARIKESH SUGAR IND LTD</t>
  </si>
  <si>
    <t>DYNAMATECH</t>
  </si>
  <si>
    <t>DYNAMATIC TECHNOLOGIES</t>
  </si>
  <si>
    <t>DYNPRO</t>
  </si>
  <si>
    <t>DYNEMIC PRODUCTS LIMITED</t>
  </si>
  <si>
    <t>E2E</t>
  </si>
  <si>
    <t>E2E NETWORKS LIMITED</t>
  </si>
  <si>
    <t>EASEMYTRIP</t>
  </si>
  <si>
    <t>EASY TRIP PLANNERS LTD</t>
  </si>
  <si>
    <t>EBIXFOREX</t>
  </si>
  <si>
    <t>EBIXCASH WRLD MONEY IND</t>
  </si>
  <si>
    <t>EDELWEISS</t>
  </si>
  <si>
    <t>EDELWEISS FIN SERV LTD</t>
  </si>
  <si>
    <t>EIDPARRY</t>
  </si>
  <si>
    <t>EID PARRY INDIA LTD</t>
  </si>
  <si>
    <t>EIHAHOTELS</t>
  </si>
  <si>
    <t>EIH ASSOCIATED HOTELS LTD</t>
  </si>
  <si>
    <t>EIHOTEL</t>
  </si>
  <si>
    <t>EIH LIMITED</t>
  </si>
  <si>
    <t>EIMCOELECO</t>
  </si>
  <si>
    <t>EIMCO ELECON (INDIA) LTD</t>
  </si>
  <si>
    <t>ELECON</t>
  </si>
  <si>
    <t>ELECON ENG. CO. LTD</t>
  </si>
  <si>
    <t>ELECTCAST</t>
  </si>
  <si>
    <t>ELECTROSTEEL CASTINGS LTD</t>
  </si>
  <si>
    <t>ELECTHERM</t>
  </si>
  <si>
    <t>ELECTROTHERM (I) LTD.</t>
  </si>
  <si>
    <t>ELGIEQUIP</t>
  </si>
  <si>
    <t>ELGI EQUIPMENTS LTD</t>
  </si>
  <si>
    <t>ELGIRUBCO</t>
  </si>
  <si>
    <t>ELGI RUBBER CO. LTD</t>
  </si>
  <si>
    <t>EMAMILTD</t>
  </si>
  <si>
    <t>EMAMI LIMITED</t>
  </si>
  <si>
    <t>EMAMIPAP</t>
  </si>
  <si>
    <t>EMAMI PAPER MILLS LIMITED</t>
  </si>
  <si>
    <t>EMAMIREAL</t>
  </si>
  <si>
    <t>EMAMI REALTY LIMITED</t>
  </si>
  <si>
    <t>EMBASSY</t>
  </si>
  <si>
    <t>EMBASSY OFFICE PARKS REIT</t>
  </si>
  <si>
    <t>EMKAY</t>
  </si>
  <si>
    <t>EMKAY GLOBAL FIN SERV LTD</t>
  </si>
  <si>
    <t>EMKAYTOOLS</t>
  </si>
  <si>
    <t>EMKAY TAP &amp; CUT. TOOL LTD</t>
  </si>
  <si>
    <t>EMMBI</t>
  </si>
  <si>
    <t>EMMBI INDUSTRIES LIMITED</t>
  </si>
  <si>
    <t>ENDURANCE</t>
  </si>
  <si>
    <t>ENDURANCE TECHNO. LTD.</t>
  </si>
  <si>
    <t>ENERGYDEV</t>
  </si>
  <si>
    <t>ENERGY DEVE. CO.LTD</t>
  </si>
  <si>
    <t>ENGINERSIN</t>
  </si>
  <si>
    <t>ENGINEERS INDIA LTD</t>
  </si>
  <si>
    <t>ENIL</t>
  </si>
  <si>
    <t>ENTERTAIN NET. IND. LTD.</t>
  </si>
  <si>
    <t>EPL</t>
  </si>
  <si>
    <t>EPL LIMITED</t>
  </si>
  <si>
    <t>EQUITAS</t>
  </si>
  <si>
    <t>EQUITAS HOLDINGS LIMITED</t>
  </si>
  <si>
    <t>EQUITASBNK</t>
  </si>
  <si>
    <t>EQUITAS SMALL FIN BNK LTD</t>
  </si>
  <si>
    <t>ERIS</t>
  </si>
  <si>
    <t>ERIS LIFESCIENCES LIMITED</t>
  </si>
  <si>
    <t>EROSMEDIA</t>
  </si>
  <si>
    <t>EROS INTL MEDIA LTD</t>
  </si>
  <si>
    <t>ESABINDIA</t>
  </si>
  <si>
    <t>ESAB INDIA LTD</t>
  </si>
  <si>
    <t>ESCORTS</t>
  </si>
  <si>
    <t>ESCORTS INDIA LTD</t>
  </si>
  <si>
    <t>ESTER</t>
  </si>
  <si>
    <t>ESTER INDUSTRIES LTD</t>
  </si>
  <si>
    <t>EVEREADY</t>
  </si>
  <si>
    <t>EVEREADY INDS. IND.  LTD.</t>
  </si>
  <si>
    <t>EVERESTIND</t>
  </si>
  <si>
    <t>EVEREST INDUSTRIES LTD</t>
  </si>
  <si>
    <t>EXCELINDUS</t>
  </si>
  <si>
    <t>EXCEL INDUSTRIES LTD</t>
  </si>
  <si>
    <t>EXIDEIND</t>
  </si>
  <si>
    <t>EXIDE INDUSTRIES LTD</t>
  </si>
  <si>
    <t>FACT</t>
  </si>
  <si>
    <t>FACT LTD</t>
  </si>
  <si>
    <t>FAIRCHEMOR</t>
  </si>
  <si>
    <t>FAIRCHEM ORGANICS LIMITED</t>
  </si>
  <si>
    <t>FCL</t>
  </si>
  <si>
    <t>FINEOTEX CHEMICAL LIMITED</t>
  </si>
  <si>
    <t>FCONSUMER</t>
  </si>
  <si>
    <t>FUTURE CONSUMER LIMITED</t>
  </si>
  <si>
    <t>FDC</t>
  </si>
  <si>
    <t>FDC LIMITED</t>
  </si>
  <si>
    <t>FEDERALBNK</t>
  </si>
  <si>
    <t>FEDERAL BANK LTD</t>
  </si>
  <si>
    <t>FEL</t>
  </si>
  <si>
    <t>FUTURE ENTERPRISES LTD</t>
  </si>
  <si>
    <t>FELDVR</t>
  </si>
  <si>
    <t>FELIX</t>
  </si>
  <si>
    <t>FELIX INDUSTRIES LTD.</t>
  </si>
  <si>
    <t>FIEMIND</t>
  </si>
  <si>
    <t>FIEM INDUSTRIES LIMITED</t>
  </si>
  <si>
    <t>FILATEX</t>
  </si>
  <si>
    <t>FILATEX INDIA LTD</t>
  </si>
  <si>
    <t>FINCABLES</t>
  </si>
  <si>
    <t>FINOLEX CABLES LTD</t>
  </si>
  <si>
    <t>FINEORG</t>
  </si>
  <si>
    <t>FINE ORGANIC IND. LTD.</t>
  </si>
  <si>
    <t>FINPIPE</t>
  </si>
  <si>
    <t>FINOLEX INDUSTRIES LTD</t>
  </si>
  <si>
    <t>FLFL</t>
  </si>
  <si>
    <t>FUT LIFESTYLE FASH LTD</t>
  </si>
  <si>
    <t>FLUOROCHEM</t>
  </si>
  <si>
    <t>GUJARAT FLUOROCHEM LTD</t>
  </si>
  <si>
    <t>FMGOETZE</t>
  </si>
  <si>
    <t>FEDERAL-MOGUL GOETZE (IND</t>
  </si>
  <si>
    <t>FMNL</t>
  </si>
  <si>
    <t>FUTURE MKT NETWORKS LTD</t>
  </si>
  <si>
    <t>FOCUS</t>
  </si>
  <si>
    <t>FOCUS LIGHTG &amp; FIXTRS LTD</t>
  </si>
  <si>
    <t>FORCEMOT</t>
  </si>
  <si>
    <t>FORCE MOTORS LIMITED</t>
  </si>
  <si>
    <t>FORTIS</t>
  </si>
  <si>
    <t>FORTIS HEALTHCARE LTD</t>
  </si>
  <si>
    <t>FOSECOIND</t>
  </si>
  <si>
    <t>FOSECO INDIA LTD</t>
  </si>
  <si>
    <t>FRETAIL</t>
  </si>
  <si>
    <t>FUTURE RETAIL LIMITED</t>
  </si>
  <si>
    <t>FSL</t>
  </si>
  <si>
    <t>FIRSTSOURCE SOLU. LTD.</t>
  </si>
  <si>
    <t>GABRIEL</t>
  </si>
  <si>
    <t>GABRIEL INDIA LTD</t>
  </si>
  <si>
    <t>GAEL</t>
  </si>
  <si>
    <t>GUJARAT AMBUJA EXPORTS LT</t>
  </si>
  <si>
    <t>GALAXYSURF</t>
  </si>
  <si>
    <t>GALAXY SURFACTANTS LTD</t>
  </si>
  <si>
    <t>GALLANTT</t>
  </si>
  <si>
    <t>GALLANTT METAL LIMITED</t>
  </si>
  <si>
    <t>GALLISPAT</t>
  </si>
  <si>
    <t>GALLANTT ISPAT LTD</t>
  </si>
  <si>
    <t>GAMMNINFRA</t>
  </si>
  <si>
    <t>GAMMON INFRA PROJ LTD.</t>
  </si>
  <si>
    <t>GANDHITUBE</t>
  </si>
  <si>
    <t>GANDHI SPL. TUBES LTD</t>
  </si>
  <si>
    <t>GANECOS</t>
  </si>
  <si>
    <t>GANESHA ECOSPHERE LIMITED</t>
  </si>
  <si>
    <t>GANGAFORGE</t>
  </si>
  <si>
    <t>GANGA FORGING LIMITED</t>
  </si>
  <si>
    <t>GANGESSECU</t>
  </si>
  <si>
    <t>GANGES SECURITIES LIMITED</t>
  </si>
  <si>
    <t>GARFIBRES</t>
  </si>
  <si>
    <t>GARWARE TECH FIBRES LTD</t>
  </si>
  <si>
    <t>GATI</t>
  </si>
  <si>
    <t>GATI LIMITED</t>
  </si>
  <si>
    <t>GAYAPROJ</t>
  </si>
  <si>
    <t>GAYATRI PROJECTS LTD</t>
  </si>
  <si>
    <t>GEECEE</t>
  </si>
  <si>
    <t>GEECEE VENTURES LIMITED</t>
  </si>
  <si>
    <t>GEEKAYWIRE</t>
  </si>
  <si>
    <t>GEEKAY WIRES LIMITED</t>
  </si>
  <si>
    <t>GENCON</t>
  </si>
  <si>
    <t>GENERIC ENG CONS PROJ LTD</t>
  </si>
  <si>
    <t>GENESYS</t>
  </si>
  <si>
    <t>GENESYS INTL CORPN LTD</t>
  </si>
  <si>
    <t>GENUSPAPER</t>
  </si>
  <si>
    <t>GENUS P&amp;B LIMITED</t>
  </si>
  <si>
    <t>GENUSPOWER</t>
  </si>
  <si>
    <t>GENUS POWER INFRASTRU LTD</t>
  </si>
  <si>
    <t>GEOJITFSL</t>
  </si>
  <si>
    <t>GEOJIT FINANCIAL SER L</t>
  </si>
  <si>
    <t>GEPIL</t>
  </si>
  <si>
    <t>GE POWER INDIA LIMITED</t>
  </si>
  <si>
    <t>GESHIP</t>
  </si>
  <si>
    <t>THE GE SHPG.LTD</t>
  </si>
  <si>
    <t>GET&amp;D</t>
  </si>
  <si>
    <t>GE T&amp;D INDIA LIMITED</t>
  </si>
  <si>
    <t>GFLLIMITED</t>
  </si>
  <si>
    <t>GFL LIMITED</t>
  </si>
  <si>
    <t>GHCL</t>
  </si>
  <si>
    <t>GHCL LIMITED</t>
  </si>
  <si>
    <t>GICHSGFIN</t>
  </si>
  <si>
    <t>GIC HOUSING FINANCE LTD</t>
  </si>
  <si>
    <t>GILLANDERS</t>
  </si>
  <si>
    <t>GILLANDERS ARBUTHNOT LTD</t>
  </si>
  <si>
    <t>GILLETTE</t>
  </si>
  <si>
    <t>GILLETTE INDIA LTD</t>
  </si>
  <si>
    <t>GINNIFILA</t>
  </si>
  <si>
    <t>GINNI FILAMENTS LTD</t>
  </si>
  <si>
    <t>GIPCL</t>
  </si>
  <si>
    <t>GUJ IND POW CO. LTD</t>
  </si>
  <si>
    <t>GIRIRAJ</t>
  </si>
  <si>
    <t>GIRIRAJ CIVIL DEVP LTD</t>
  </si>
  <si>
    <t>GKWLIMITED</t>
  </si>
  <si>
    <t>GKW LIMITED</t>
  </si>
  <si>
    <t>GLAND</t>
  </si>
  <si>
    <t>GLAND PHARMA LIMITED</t>
  </si>
  <si>
    <t>GLAXO</t>
  </si>
  <si>
    <t>GLAXOSMITHKLINE PHARMA LT</t>
  </si>
  <si>
    <t>GLENMARK</t>
  </si>
  <si>
    <t>GLENMARK PHARMACEUTICALS</t>
  </si>
  <si>
    <t>GLFL</t>
  </si>
  <si>
    <t>GUJARAT LEASE FINANCING L</t>
  </si>
  <si>
    <t>GLOBAL</t>
  </si>
  <si>
    <t>GLOBAL EDUCATION LIMITED</t>
  </si>
  <si>
    <t>GLOBALVECT</t>
  </si>
  <si>
    <t>GLOBAL VEC HELICORP LTD</t>
  </si>
  <si>
    <t>GMBREW</t>
  </si>
  <si>
    <t>G M BREWERIES LTD</t>
  </si>
  <si>
    <t>GMDCLTD</t>
  </si>
  <si>
    <t>GUJARAT MINERAL DEV CORP</t>
  </si>
  <si>
    <t>GMMPFAUDLR</t>
  </si>
  <si>
    <t>GMM PFAUDLER LIMITED</t>
  </si>
  <si>
    <t>GMRINFRA</t>
  </si>
  <si>
    <t>GMR INFRASTRUCTURE LTD.</t>
  </si>
  <si>
    <t>GNA</t>
  </si>
  <si>
    <t>GNA AXLES LIMITED</t>
  </si>
  <si>
    <t>GNFC</t>
  </si>
  <si>
    <t>GUJ NAR VAL FER &amp; CHEM L</t>
  </si>
  <si>
    <t>GOCLCORP</t>
  </si>
  <si>
    <t>GOCL CORPORATION LIMITED</t>
  </si>
  <si>
    <t>GODFRYPHLP</t>
  </si>
  <si>
    <t>GODFREY PHILLIPS INDIA LT</t>
  </si>
  <si>
    <t>GODREJAGRO</t>
  </si>
  <si>
    <t>GODREJ AGROVET LIMITED</t>
  </si>
  <si>
    <t>GODREJIND</t>
  </si>
  <si>
    <t>GODREJ INDUSTRIES LTD</t>
  </si>
  <si>
    <t>GODREJPROP</t>
  </si>
  <si>
    <t>GODREJ PROPERTIES LTD</t>
  </si>
  <si>
    <t>GOKEX</t>
  </si>
  <si>
    <t>GOKALDAS EXPORTS LTD.</t>
  </si>
  <si>
    <t>GOKUL</t>
  </si>
  <si>
    <t>GOKUL REFOILS &amp; SOLV LTD</t>
  </si>
  <si>
    <t>GOKULAGRO</t>
  </si>
  <si>
    <t>GOKUL AGRO RESOURCES LTD</t>
  </si>
  <si>
    <t>GOLDIAM</t>
  </si>
  <si>
    <t>GOLDIAM INTERNATIONAL LTD</t>
  </si>
  <si>
    <t>GOLDTECH</t>
  </si>
  <si>
    <t>GOLDSTONE TECHNOLOGIES LT</t>
  </si>
  <si>
    <t>GOODLUCK</t>
  </si>
  <si>
    <t>GOODLUCK INDIA LIMITED</t>
  </si>
  <si>
    <t>GOODYEAR</t>
  </si>
  <si>
    <t>GOODYEAR INDIA LIMITED</t>
  </si>
  <si>
    <t>GPPL</t>
  </si>
  <si>
    <t>GUJARAT PIPAVAV PORT LTD</t>
  </si>
  <si>
    <t>GPTINFRA</t>
  </si>
  <si>
    <t>GPT INFRAPROJECTS LTD</t>
  </si>
  <si>
    <t>GRANULES</t>
  </si>
  <si>
    <t>GRANULES INDIA LIMITED</t>
  </si>
  <si>
    <t>GRAPHITE</t>
  </si>
  <si>
    <t>GRAPHITE INDIA LTD</t>
  </si>
  <si>
    <t>GRAVITA</t>
  </si>
  <si>
    <t>GRAVITA INDIA LIMITED</t>
  </si>
  <si>
    <t>GREAVESCOT</t>
  </si>
  <si>
    <t>GREAVES COTTON LTD.</t>
  </si>
  <si>
    <t>GREENLAM</t>
  </si>
  <si>
    <t>GREENLAM INDUSTRIES LTD.</t>
  </si>
  <si>
    <t>GREENPLY</t>
  </si>
  <si>
    <t>GREENPLY INDUSTRIES LTD</t>
  </si>
  <si>
    <t>GREENPOWER</t>
  </si>
  <si>
    <t>ORIENT GREEN POWER CO LTD</t>
  </si>
  <si>
    <t>GRINDWELL</t>
  </si>
  <si>
    <t>GRINDWELL NORTON LIMITED</t>
  </si>
  <si>
    <t>GRINFRA</t>
  </si>
  <si>
    <t>G R INFRAPROJECTS LIMITED</t>
  </si>
  <si>
    <t>GROBTEA</t>
  </si>
  <si>
    <t>THE GROB TEA COMPANY LTD</t>
  </si>
  <si>
    <t>GRPLTD</t>
  </si>
  <si>
    <t>GRP LIMITED</t>
  </si>
  <si>
    <t>GRSE</t>
  </si>
  <si>
    <t>GARDEN REACH SHIP&amp;ENG LTD</t>
  </si>
  <si>
    <t>GSCLCEMENT</t>
  </si>
  <si>
    <t>GUJARAT SIDHEE CEM. LTD.</t>
  </si>
  <si>
    <t>GSFC</t>
  </si>
  <si>
    <t>GUJ STATE FERT &amp; CHEM LTD</t>
  </si>
  <si>
    <t>GSPL</t>
  </si>
  <si>
    <t>GUJARAT STATE PETRO LTD</t>
  </si>
  <si>
    <t>GSS</t>
  </si>
  <si>
    <t>GSS INFOTECH LIMITED</t>
  </si>
  <si>
    <t>GTL</t>
  </si>
  <si>
    <t>GTL LTD</t>
  </si>
  <si>
    <t>GTLINFRA</t>
  </si>
  <si>
    <t>GTL INFRA.LTD</t>
  </si>
  <si>
    <t>GTNTEX</t>
  </si>
  <si>
    <t>GTN TEXTILES LIMITED</t>
  </si>
  <si>
    <t>GTPL</t>
  </si>
  <si>
    <t>GTPL HATHWAY LIMITED</t>
  </si>
  <si>
    <t>GUFICBIO</t>
  </si>
  <si>
    <t>GUFIC BIOSCIENCES LTD.</t>
  </si>
  <si>
    <t>GUJALKALI</t>
  </si>
  <si>
    <t>GUJARAT ALKALIES &amp; CHEM</t>
  </si>
  <si>
    <t>GUJAPOLLO</t>
  </si>
  <si>
    <t>GUJ. APOLLO IND. LTD.</t>
  </si>
  <si>
    <t>GUJGASLTD</t>
  </si>
  <si>
    <t>GUJARAT GAS LIMITED</t>
  </si>
  <si>
    <t>GULFOILLUB</t>
  </si>
  <si>
    <t>GULF OIL LUB. IND. LTD.</t>
  </si>
  <si>
    <t>GULFPETRO</t>
  </si>
  <si>
    <t>GP PETROLEUMS LIMITED</t>
  </si>
  <si>
    <t>HAL</t>
  </si>
  <si>
    <t>HINDUSTAN AERONAUTICS LTD</t>
  </si>
  <si>
    <t>HAPPSTMNDS</t>
  </si>
  <si>
    <t>HAPPIEST MINDS TECHNO LTD</t>
  </si>
  <si>
    <t>HARRMALAYA</t>
  </si>
  <si>
    <t>HARRISON MALAYALAM LTD</t>
  </si>
  <si>
    <t>HATHWAY</t>
  </si>
  <si>
    <t>HATHWAY CABLE &amp; DATACOM</t>
  </si>
  <si>
    <t>HATSUN</t>
  </si>
  <si>
    <t>HATSUN AGRO PRODUCT LTD.</t>
  </si>
  <si>
    <t>HBLPOWER</t>
  </si>
  <si>
    <t>HBL POWER SYSTEMS LTD.</t>
  </si>
  <si>
    <t>HBSL</t>
  </si>
  <si>
    <t>HB STOCKHOLDINGS LIMITED</t>
  </si>
  <si>
    <t>HCC</t>
  </si>
  <si>
    <t>HINDUSTAN CONSTRUCTION CO</t>
  </si>
  <si>
    <t>HCG</t>
  </si>
  <si>
    <t>HEALTHCARE GLOB. ENT. LTD</t>
  </si>
  <si>
    <t>HCL-INSYS</t>
  </si>
  <si>
    <t>HCL INFOSYSTEMS LTD</t>
  </si>
  <si>
    <t>HEG</t>
  </si>
  <si>
    <t>HEG LTD</t>
  </si>
  <si>
    <t>HEIDELBERG</t>
  </si>
  <si>
    <t>HEIDELBERGCEMENT (I) LTD</t>
  </si>
  <si>
    <t>HEMIPROP</t>
  </si>
  <si>
    <t>HEMISPHERE PROP IND LTD</t>
  </si>
  <si>
    <t>HERANBA</t>
  </si>
  <si>
    <t>HERANBA INDUSTRIES LTD</t>
  </si>
  <si>
    <t>HERCULES</t>
  </si>
  <si>
    <t>HERCULES HOI. LTD.</t>
  </si>
  <si>
    <t>HERITGFOOD</t>
  </si>
  <si>
    <t>HERITAGE FOODS LTD</t>
  </si>
  <si>
    <t>HESTERBIO</t>
  </si>
  <si>
    <t>HESTER BIOSCIENCES LTD</t>
  </si>
  <si>
    <t>HEXATRADEX</t>
  </si>
  <si>
    <t>HEXA TRADEX LIMITED</t>
  </si>
  <si>
    <t>HGINFRA</t>
  </si>
  <si>
    <t>H.G.INFRA ENGINEERING LTD</t>
  </si>
  <si>
    <t>HIKAL</t>
  </si>
  <si>
    <t>HIKAL LIMITED</t>
  </si>
  <si>
    <t>HIL</t>
  </si>
  <si>
    <t>HIL LIMITED</t>
  </si>
  <si>
    <t>HIMATSEIDE</t>
  </si>
  <si>
    <t>HIMATSINGKA SEIDE LTD</t>
  </si>
  <si>
    <t>HINDCOMPOS</t>
  </si>
  <si>
    <t>HINDUSTAN COMPOSITES LTD.</t>
  </si>
  <si>
    <t>HINDCON</t>
  </si>
  <si>
    <t>HINDCON CHEMICALS LIMITED</t>
  </si>
  <si>
    <t>HINDCOPPER</t>
  </si>
  <si>
    <t>HINDUSTAN COPPER LTD</t>
  </si>
  <si>
    <t>HINDMOTORS</t>
  </si>
  <si>
    <t>HINDUSTAN MOTORS LIMITED</t>
  </si>
  <si>
    <t>HINDOILEXP</t>
  </si>
  <si>
    <t>HINDUSTAN OIL EXPLORATION</t>
  </si>
  <si>
    <t>HIRECT</t>
  </si>
  <si>
    <t>HIND RECTIFIER LIMITED</t>
  </si>
  <si>
    <t>HISARMETAL</t>
  </si>
  <si>
    <t>HISAR METAL IND. LIMITED</t>
  </si>
  <si>
    <t>HITECH</t>
  </si>
  <si>
    <t>HI-TECH PIPES LIMITED</t>
  </si>
  <si>
    <t>HITECHCORP</t>
  </si>
  <si>
    <t>HITECH CORPORATION LTD</t>
  </si>
  <si>
    <t>HITECHGEAR</t>
  </si>
  <si>
    <t>THE HI-TECH GEARS LIMITED</t>
  </si>
  <si>
    <t>HLEGLAS</t>
  </si>
  <si>
    <t>HLE GLASCOAT LIMITED</t>
  </si>
  <si>
    <t>HLVLTD</t>
  </si>
  <si>
    <t>HLV LIMITED</t>
  </si>
  <si>
    <t>HMVL</t>
  </si>
  <si>
    <t>HINDUSTAN MEDIA VENT LTD</t>
  </si>
  <si>
    <t>HOMEFIRST</t>
  </si>
  <si>
    <t>HOME FIRST FIN CO IND LTD</t>
  </si>
  <si>
    <t>HONAUT</t>
  </si>
  <si>
    <t>HONEYWELL AUTOMATION IND</t>
  </si>
  <si>
    <t>HONDAPOWER</t>
  </si>
  <si>
    <t>HONDA I POWER PRODUCT LTD</t>
  </si>
  <si>
    <t>HOVS</t>
  </si>
  <si>
    <t>HOV SERVICES LTD</t>
  </si>
  <si>
    <t>HPL</t>
  </si>
  <si>
    <t>HPL ELECTRIC &amp; POWER LTD</t>
  </si>
  <si>
    <t>HSCL</t>
  </si>
  <si>
    <t>HIMADRI SPECIALITY CHEM L</t>
  </si>
  <si>
    <t>HSIL</t>
  </si>
  <si>
    <t>HSIL LIMITED</t>
  </si>
  <si>
    <t>HTMEDIA</t>
  </si>
  <si>
    <t>HT MEDIA LIMITED</t>
  </si>
  <si>
    <t>HUDCO</t>
  </si>
  <si>
    <t>HSG &amp; URBAN DEV CORPN LTD</t>
  </si>
  <si>
    <t>HUHTAMAKI</t>
  </si>
  <si>
    <t>HUHTAMAKI INDIA LIMITED</t>
  </si>
  <si>
    <t>IBREALEST</t>
  </si>
  <si>
    <t>INDIABULLS REAL EST. LTD</t>
  </si>
  <si>
    <t>IBULHSGFIN</t>
  </si>
  <si>
    <t>INDIABULLS HSG FIN LTD</t>
  </si>
  <si>
    <t>ICEMAKE</t>
  </si>
  <si>
    <t>ICE MAKE REFRIGERAT LTD</t>
  </si>
  <si>
    <t>ICIL</t>
  </si>
  <si>
    <t>INDO COUNT INDUSTRIES LTD</t>
  </si>
  <si>
    <t>ICRA</t>
  </si>
  <si>
    <t>ICRA LIMITED</t>
  </si>
  <si>
    <t>IDBI</t>
  </si>
  <si>
    <t>IDBI BANK LIMITED</t>
  </si>
  <si>
    <t>IDEA</t>
  </si>
  <si>
    <t>VODAFONE IDEA LIMITED</t>
  </si>
  <si>
    <t>IDFC</t>
  </si>
  <si>
    <t>IDFC LIMITED</t>
  </si>
  <si>
    <t>IDFCFIRSTB</t>
  </si>
  <si>
    <t>IDFC FIRST BANK LIMITED</t>
  </si>
  <si>
    <t>IEX</t>
  </si>
  <si>
    <t>INDIAN ENERGY EXC LTD</t>
  </si>
  <si>
    <t>IFBAGRO</t>
  </si>
  <si>
    <t>IFB AGRO INDUSTRIES LTD</t>
  </si>
  <si>
    <t>IFBIND</t>
  </si>
  <si>
    <t>IFB INDUSTRIES LTD</t>
  </si>
  <si>
    <t>IFCI</t>
  </si>
  <si>
    <t>IFCI LTD</t>
  </si>
  <si>
    <t>IFGLEXPOR</t>
  </si>
  <si>
    <t>IFGL REFRACTORIES LIMITED</t>
  </si>
  <si>
    <t>IGARASHI</t>
  </si>
  <si>
    <t>IGARASHI MOTORS INDIA LTD</t>
  </si>
  <si>
    <t>IGPL</t>
  </si>
  <si>
    <t>I G PETROCHEMICALS LTD</t>
  </si>
  <si>
    <t>IIFLSEC</t>
  </si>
  <si>
    <t>IIFL SECURITIES LIMITED</t>
  </si>
  <si>
    <t>IIFLWAM</t>
  </si>
  <si>
    <t>IIFL WEALTH MGMT LTD</t>
  </si>
  <si>
    <t>IITL</t>
  </si>
  <si>
    <t>INDUSTRIAL INV TRUST LTD</t>
  </si>
  <si>
    <t>IMFA</t>
  </si>
  <si>
    <t>INDIAN METALS &amp; FERRO</t>
  </si>
  <si>
    <t>IMPAL</t>
  </si>
  <si>
    <t>IND MOTOR PART &amp; ACC LTD</t>
  </si>
  <si>
    <t>INCREDIBLE</t>
  </si>
  <si>
    <t>INCREDIBLE INDUSTRIES LTD</t>
  </si>
  <si>
    <t>INDBANK</t>
  </si>
  <si>
    <t>INDBANK MERCH BANK</t>
  </si>
  <si>
    <t>INDHOTEL</t>
  </si>
  <si>
    <t>THE INDIAN HOTELS CO. LTD</t>
  </si>
  <si>
    <t>INDIACEM</t>
  </si>
  <si>
    <t>THE INDIA CEMENTS LIMITED</t>
  </si>
  <si>
    <t>INDIAGLYCO</t>
  </si>
  <si>
    <t>INDIA GLYCOLS LTD</t>
  </si>
  <si>
    <t>INDIAMART</t>
  </si>
  <si>
    <t>INDIAMART INTERMESH LTD</t>
  </si>
  <si>
    <t>INDIANB</t>
  </si>
  <si>
    <t>INDIAN BANK</t>
  </si>
  <si>
    <t>INDIANCARD</t>
  </si>
  <si>
    <t>INDIAN CARD CLOTHING CO.</t>
  </si>
  <si>
    <t>INDIANHUME</t>
  </si>
  <si>
    <t>INDIAN HUME PIPE CO. LTD.</t>
  </si>
  <si>
    <t>INDIGOPNTS</t>
  </si>
  <si>
    <t>INDIGO PAINTS LIMITED</t>
  </si>
  <si>
    <t>IV</t>
  </si>
  <si>
    <t>INDIGRID</t>
  </si>
  <si>
    <t>INDIA GRID TRUST</t>
  </si>
  <si>
    <t>INDLMETER</t>
  </si>
  <si>
    <t>IMP POWERS LTD</t>
  </si>
  <si>
    <t>INDNIPPON</t>
  </si>
  <si>
    <t>INDIA NIPPON ELECT  LTD</t>
  </si>
  <si>
    <t>INDOCO</t>
  </si>
  <si>
    <t>INDOCO REMEDIES LTD.</t>
  </si>
  <si>
    <t>INDOSTAR</t>
  </si>
  <si>
    <t>INDOSTAR CAPITAL FIN LTD</t>
  </si>
  <si>
    <t>INDOTECH</t>
  </si>
  <si>
    <t>INDO TECH TRANSFORM LTD.</t>
  </si>
  <si>
    <t>INDOWIND</t>
  </si>
  <si>
    <t>INDOWIND ENERGY LTD</t>
  </si>
  <si>
    <t>INDRAMEDCO</t>
  </si>
  <si>
    <t>INDRAPRASTHA MEDICAL CORP</t>
  </si>
  <si>
    <t>INDSWFTLAB</t>
  </si>
  <si>
    <t>IND SWIFT LABORATORIES LT</t>
  </si>
  <si>
    <t>INDTERRAIN</t>
  </si>
  <si>
    <t>IND TERRAIN FASHIONS LTD</t>
  </si>
  <si>
    <t>INDUSTOWER</t>
  </si>
  <si>
    <t>INDUS TOWERS LIMITED</t>
  </si>
  <si>
    <t>INEOSSTYRO</t>
  </si>
  <si>
    <t>INEOS STYROLUTION IND LTD</t>
  </si>
  <si>
    <t>INFIBEAM</t>
  </si>
  <si>
    <t>INFIBEAM AVENUES LIMITED</t>
  </si>
  <si>
    <t>INFOMEDIA</t>
  </si>
  <si>
    <t>INFOMEDIA PRESS LIMITED</t>
  </si>
  <si>
    <t>INGERRAND</t>
  </si>
  <si>
    <t>INGERSOLL-RAND INDIA LTD</t>
  </si>
  <si>
    <t>INNOVANA</t>
  </si>
  <si>
    <t>INNOVANA THINKLABS LTD.</t>
  </si>
  <si>
    <t>INNOVATIVE</t>
  </si>
  <si>
    <t>INNOVATIVE TYRES &amp; TUBES</t>
  </si>
  <si>
    <t>INOXLEISUR</t>
  </si>
  <si>
    <t>INOX LEISURE LIMITED</t>
  </si>
  <si>
    <t>INOXWIND</t>
  </si>
  <si>
    <t>INOX WIND LIMITED</t>
  </si>
  <si>
    <t>INSECTICID</t>
  </si>
  <si>
    <t>INSECTICIDES (I) LTD</t>
  </si>
  <si>
    <t>INSPIRISYS</t>
  </si>
  <si>
    <t>INSPIRISYS SOLUTIONS LTD</t>
  </si>
  <si>
    <t>INTELLECT</t>
  </si>
  <si>
    <t>INTELLECT DESIGN ARENA</t>
  </si>
  <si>
    <t>INTENTECH</t>
  </si>
  <si>
    <t>INTENSE TECHNOLOGIES LTD</t>
  </si>
  <si>
    <t>INVENTURE</t>
  </si>
  <si>
    <t>INVENTURE GRO &amp; SEC LTD</t>
  </si>
  <si>
    <t>IOB</t>
  </si>
  <si>
    <t>INDIAN OVERSEAS BANK</t>
  </si>
  <si>
    <t>IOLCP</t>
  </si>
  <si>
    <t>IOL CHEM AND PHARMA LTD</t>
  </si>
  <si>
    <t>IPCALAB</t>
  </si>
  <si>
    <t>IPCA LABORATORIES LTD</t>
  </si>
  <si>
    <t>IPL</t>
  </si>
  <si>
    <t>INDIA PESTICIDES LIMITED</t>
  </si>
  <si>
    <t>IRB</t>
  </si>
  <si>
    <t>IRB INFRA DEV LTD.</t>
  </si>
  <si>
    <t>IRBINVIT</t>
  </si>
  <si>
    <t>IRB INVIT FUND</t>
  </si>
  <si>
    <t>IRCON</t>
  </si>
  <si>
    <t>IRCON INTERNATIONAL LTD</t>
  </si>
  <si>
    <t>IRCTC</t>
  </si>
  <si>
    <t>INDIAN RAIL TOUR CORP LTD</t>
  </si>
  <si>
    <t>IRFC</t>
  </si>
  <si>
    <t>INDIAN RAILWAY FIN CORP L</t>
  </si>
  <si>
    <t>IRISDOREME</t>
  </si>
  <si>
    <t>IRIS CLOTHINGS LIMITED</t>
  </si>
  <si>
    <t>ISEC</t>
  </si>
  <si>
    <t>ICICI SECURITIES LIMITED</t>
  </si>
  <si>
    <t>ISFT</t>
  </si>
  <si>
    <t>INTRASOFT TECH. LTD</t>
  </si>
  <si>
    <t>ISGEC</t>
  </si>
  <si>
    <t>ISGEC HEAVY ENG LTD</t>
  </si>
  <si>
    <t>ITDC</t>
  </si>
  <si>
    <t>INDIA TOUR. DEV. CO. LTD.</t>
  </si>
  <si>
    <t>ITDCEM</t>
  </si>
  <si>
    <t>ITD CEMENTATION INDIA LTD</t>
  </si>
  <si>
    <t>ITI</t>
  </si>
  <si>
    <t>ITI LTD</t>
  </si>
  <si>
    <t>IVP</t>
  </si>
  <si>
    <t>IVP LTD</t>
  </si>
  <si>
    <t>IZMO</t>
  </si>
  <si>
    <t>IZMO LIMITED</t>
  </si>
  <si>
    <t>J&amp;KBANK</t>
  </si>
  <si>
    <t>J &amp; K BANK LTD.</t>
  </si>
  <si>
    <t>JAGRAN</t>
  </si>
  <si>
    <t>JAGRAN PRAKASHAN LIMITED</t>
  </si>
  <si>
    <t>JAGSNPHARM</t>
  </si>
  <si>
    <t>JAGSONPAL PHARMACEUTICALS</t>
  </si>
  <si>
    <t>JAIBALAJI</t>
  </si>
  <si>
    <t>JAI BALAJI INDUSTRIES LTD</t>
  </si>
  <si>
    <t>JAICORPLTD</t>
  </si>
  <si>
    <t>JAI CORP LIMITED</t>
  </si>
  <si>
    <t>JALAN</t>
  </si>
  <si>
    <t>JALAN TRANSOLU. INDIA LTD</t>
  </si>
  <si>
    <t>JAMNAAUTO</t>
  </si>
  <si>
    <t>JAMNA AUTO IND LTD</t>
  </si>
  <si>
    <t>JASH</t>
  </si>
  <si>
    <t>JASH ENGINEERING LIMITED</t>
  </si>
  <si>
    <t>JAYAGROGN</t>
  </si>
  <si>
    <t>JAYANT AGRO ORGANICS LTD</t>
  </si>
  <si>
    <t>JAYBARMARU</t>
  </si>
  <si>
    <t>JAY BHARAT MARUTI LTD</t>
  </si>
  <si>
    <t>JAYSREETEA</t>
  </si>
  <si>
    <t>JAYSHREE TEA &amp; INDUSTRIES</t>
  </si>
  <si>
    <t>JBCHEPHARM</t>
  </si>
  <si>
    <t>J B CHEMICALS AND PHARMA</t>
  </si>
  <si>
    <t>JBMA</t>
  </si>
  <si>
    <t>JBM AUTO LIMITED</t>
  </si>
  <si>
    <t>JCHAC</t>
  </si>
  <si>
    <t>JOHNSON CONTROLS HITACHI</t>
  </si>
  <si>
    <t>JETKNIT</t>
  </si>
  <si>
    <t>JET KNITWEARS LTD.</t>
  </si>
  <si>
    <t>JHS</t>
  </si>
  <si>
    <t>JHS SVEND. LAB. LTD</t>
  </si>
  <si>
    <t>JINDALPOLY</t>
  </si>
  <si>
    <t>JINDAL POLY FILMS LIMITED</t>
  </si>
  <si>
    <t>JINDALSAW</t>
  </si>
  <si>
    <t>JINDAL SAW LIMITED</t>
  </si>
  <si>
    <t>JINDALSTEL</t>
  </si>
  <si>
    <t>JINDAL STEEL &amp; POWER LTD</t>
  </si>
  <si>
    <t>JINDRILL</t>
  </si>
  <si>
    <t>JINDAL DRILLING IND. LTD</t>
  </si>
  <si>
    <t>JINDWORLD</t>
  </si>
  <si>
    <t>JINDAL WORLDWIDE LTD</t>
  </si>
  <si>
    <t>JISLJALEQS</t>
  </si>
  <si>
    <t>JAIN IRRIGATION SYSTEMS</t>
  </si>
  <si>
    <t>JKCEMENT</t>
  </si>
  <si>
    <t>JK CEMENT LIMITED</t>
  </si>
  <si>
    <t>JKIL</t>
  </si>
  <si>
    <t>JKUMAR INFR.LTD.</t>
  </si>
  <si>
    <t>JKLAKSHMI</t>
  </si>
  <si>
    <t>JK LAKSHMI CEMENT LTD</t>
  </si>
  <si>
    <t>JKPAPER</t>
  </si>
  <si>
    <t>JK PAPER LIMITED</t>
  </si>
  <si>
    <t>JKTYRE</t>
  </si>
  <si>
    <t>JK TYRE &amp; INDUSTRIES LTD</t>
  </si>
  <si>
    <t>JMA</t>
  </si>
  <si>
    <t>JULLUNDUR MOT AGENCY LTD</t>
  </si>
  <si>
    <t>JMCPROJECT</t>
  </si>
  <si>
    <t>JMC PROJECTS (I) LTD.</t>
  </si>
  <si>
    <t>JMFINANCIL</t>
  </si>
  <si>
    <t>JM FINANCIAL LIMITED</t>
  </si>
  <si>
    <t>JMTAUTOLTD</t>
  </si>
  <si>
    <t>JMT AUTO LIMITED</t>
  </si>
  <si>
    <t>JOCIL</t>
  </si>
  <si>
    <t>JOCIL LIMITED</t>
  </si>
  <si>
    <t>JPPOWER</t>
  </si>
  <si>
    <t>JAIPRAKASH POWER VEN. LTD</t>
  </si>
  <si>
    <t>JSL</t>
  </si>
  <si>
    <t>JINDAL STAINLESS LIMITED</t>
  </si>
  <si>
    <t>JSLHISAR</t>
  </si>
  <si>
    <t>JINDAL STAINLESS (H) LTD</t>
  </si>
  <si>
    <t>JSWENERGY</t>
  </si>
  <si>
    <t>JSW ENERGY LIMITED</t>
  </si>
  <si>
    <t>JSWHL</t>
  </si>
  <si>
    <t>JSW HOLDINGS LIMITED</t>
  </si>
  <si>
    <t>JTEKTINDIA</t>
  </si>
  <si>
    <t>JTEKT INDIA LIMITED</t>
  </si>
  <si>
    <t>JUBLFOOD</t>
  </si>
  <si>
    <t>JUBILANT FOODWORKS LTD</t>
  </si>
  <si>
    <t>JUBLINDS</t>
  </si>
  <si>
    <t>JUBILANT INDUSTRIES LTD</t>
  </si>
  <si>
    <t>JUBLINGREA</t>
  </si>
  <si>
    <t>JUBILANT INGREVIA LIMITED</t>
  </si>
  <si>
    <t>JUBLPHARMA</t>
  </si>
  <si>
    <t>JUBILANT PHARMOVA LTD</t>
  </si>
  <si>
    <t>JUMPNET</t>
  </si>
  <si>
    <t>JUMP NETWORKS LIMITED</t>
  </si>
  <si>
    <t>JUSTDIAL</t>
  </si>
  <si>
    <t>JUSTDIAL LTD.</t>
  </si>
  <si>
    <t>JYOTHYLAB</t>
  </si>
  <si>
    <t>JYOTHY LABS LIMITED</t>
  </si>
  <si>
    <t>KABRAEXTRU</t>
  </si>
  <si>
    <t>KABRA EXTRUSION TECHNIK L</t>
  </si>
  <si>
    <t>KAJARIACER</t>
  </si>
  <si>
    <t>KAJARIA CERAMICS LTD</t>
  </si>
  <si>
    <t>KAKATCEM</t>
  </si>
  <si>
    <t>KAKATIYA CEM SUGAR &amp;IND L</t>
  </si>
  <si>
    <t>KALPATPOWR</t>
  </si>
  <si>
    <t>KALPATARU POWER TRANS. LT</t>
  </si>
  <si>
    <t>KALYANKJIL</t>
  </si>
  <si>
    <t>KALYAN JEWELLERS IND LTD</t>
  </si>
  <si>
    <t>KAMDHENU</t>
  </si>
  <si>
    <t>KAMDHENU LIMITED</t>
  </si>
  <si>
    <t>KANORICHEM</t>
  </si>
  <si>
    <t>KANORIA CHEMICALS &amp; INDUS</t>
  </si>
  <si>
    <t>KANPRPLA</t>
  </si>
  <si>
    <t>KANPUR PLASTIPACK LIMITED</t>
  </si>
  <si>
    <t>KANSAINER</t>
  </si>
  <si>
    <t>KANSAI NEROLAC PAINTS LTD</t>
  </si>
  <si>
    <t>KARURVYSYA</t>
  </si>
  <si>
    <t>KARUR VYSYA BANK LTD</t>
  </si>
  <si>
    <t>KAYA</t>
  </si>
  <si>
    <t>KAYA LIMITED</t>
  </si>
  <si>
    <t>KCP</t>
  </si>
  <si>
    <t>KCP LTD</t>
  </si>
  <si>
    <t>KCPSUGIND</t>
  </si>
  <si>
    <t>KCP SUGAR IND CORP LTD.</t>
  </si>
  <si>
    <t>KEC</t>
  </si>
  <si>
    <t>KEC INTL. LIMITED</t>
  </si>
  <si>
    <t>XD</t>
  </si>
  <si>
    <t>KEERTI</t>
  </si>
  <si>
    <t>KEERTI KNOW &amp; SKILL LTD.</t>
  </si>
  <si>
    <t>KEI</t>
  </si>
  <si>
    <t>KEI INDUSTRIES LTD.</t>
  </si>
  <si>
    <t>KELLTONTEC</t>
  </si>
  <si>
    <t>KELLTON TECH SOL LTD</t>
  </si>
  <si>
    <t>KENNAMET</t>
  </si>
  <si>
    <t>KENNAMETAL INDIA LIMITED</t>
  </si>
  <si>
    <t>KESORAMIND</t>
  </si>
  <si>
    <t>KESORAM INDUSTRIES LTD</t>
  </si>
  <si>
    <t>KEYFINSERV</t>
  </si>
  <si>
    <t>KEYNOTE FIN SERV LTD.</t>
  </si>
  <si>
    <t>KHADIM</t>
  </si>
  <si>
    <t>KHADIM INDIA LIMITED</t>
  </si>
  <si>
    <t>KHAICHEM</t>
  </si>
  <si>
    <t>KHAITAN CHEM &amp; FERT LTD</t>
  </si>
  <si>
    <t>KHANDSE</t>
  </si>
  <si>
    <t>KHANDWALA SECURITIES LTD</t>
  </si>
  <si>
    <t>KICL</t>
  </si>
  <si>
    <t>KALYANI INVEST CO LTD</t>
  </si>
  <si>
    <t>KIMS</t>
  </si>
  <si>
    <t>KRISHNA INST OF MED SCI L</t>
  </si>
  <si>
    <t>KINGFA</t>
  </si>
  <si>
    <t>KINGFA SCI &amp; TEC IND LTD.</t>
  </si>
  <si>
    <t>KIOCL</t>
  </si>
  <si>
    <t>KIOCL LIMITED</t>
  </si>
  <si>
    <t>KIRIINDUS</t>
  </si>
  <si>
    <t>KIRI INDUSTRIES LIMITED</t>
  </si>
  <si>
    <t>KIRLFER</t>
  </si>
  <si>
    <t>KIRLOSKAR FERROUS IND LTD</t>
  </si>
  <si>
    <t>KIRLOSENG</t>
  </si>
  <si>
    <t>KIRLOSKAR OIL ENG LTD</t>
  </si>
  <si>
    <t>KIRLOSIND</t>
  </si>
  <si>
    <t>KIRLOSKAR INDUSTRIES LTD</t>
  </si>
  <si>
    <t>KITEX</t>
  </si>
  <si>
    <t>KITEX GARMENTS LTD</t>
  </si>
  <si>
    <t>KKCL</t>
  </si>
  <si>
    <t>KEWAL KIRAN CLOTHING LTD</t>
  </si>
  <si>
    <t>KMSUGAR</t>
  </si>
  <si>
    <t>K M SUGAR MILLS LTD</t>
  </si>
  <si>
    <t>KNRCON</t>
  </si>
  <si>
    <t>KNR CONSTRU LTD.</t>
  </si>
  <si>
    <t>KOKUYOCMLN</t>
  </si>
  <si>
    <t>KOKUYO CAMLIN LIMITED</t>
  </si>
  <si>
    <t>KOLTEPATIL</t>
  </si>
  <si>
    <t>KOLTE PATIL DEV. LTD.</t>
  </si>
  <si>
    <t>KOTARISUG</t>
  </si>
  <si>
    <t>KOTHARI SUG &amp; CHEM LTD.</t>
  </si>
  <si>
    <t>KOTHARIPET</t>
  </si>
  <si>
    <t>KOTHARI PETROCHEM LTD</t>
  </si>
  <si>
    <t>KOTHARIPRO</t>
  </si>
  <si>
    <t>KOTHARI PRODUCTS LTD</t>
  </si>
  <si>
    <t>KPITTECH</t>
  </si>
  <si>
    <t>KPIT TECHNOLOGIES LIMITED</t>
  </si>
  <si>
    <t>KPRMILL</t>
  </si>
  <si>
    <t>KPR MILL LTD.</t>
  </si>
  <si>
    <t>KRBL</t>
  </si>
  <si>
    <t>KRBL LIMITED</t>
  </si>
  <si>
    <t>KREBSBIO</t>
  </si>
  <si>
    <t>KREBS BIOCHEMICALS &amp; IND</t>
  </si>
  <si>
    <t>KRISHANA</t>
  </si>
  <si>
    <t>KRISHANA PHOSCHEM LIMITED</t>
  </si>
  <si>
    <t>KSB</t>
  </si>
  <si>
    <t>KSB LIMITED</t>
  </si>
  <si>
    <t>KSCL</t>
  </si>
  <si>
    <t>KAVERI SEED CO. LTD.</t>
  </si>
  <si>
    <t>KSL</t>
  </si>
  <si>
    <t>KALYANI STEELS LIMITED</t>
  </si>
  <si>
    <t>KSOLVES</t>
  </si>
  <si>
    <t>KSOLVES INDIA LIMITED</t>
  </si>
  <si>
    <t>KTKBANK</t>
  </si>
  <si>
    <t>KARNATAKA BANK LIMITED</t>
  </si>
  <si>
    <t>KUANTUM</t>
  </si>
  <si>
    <t>KUANTUM PAPERS LIMITED</t>
  </si>
  <si>
    <t>L&amp;TFH</t>
  </si>
  <si>
    <t>L&amp;T FINANCE HOLDINGS LTD</t>
  </si>
  <si>
    <t>LAGNAM</t>
  </si>
  <si>
    <t>LAGNAM SPINTEX LIMITED</t>
  </si>
  <si>
    <t>LALPATHLAB</t>
  </si>
  <si>
    <t>DR. LAL PATH LABS LTD.</t>
  </si>
  <si>
    <t>LAMBODHARA</t>
  </si>
  <si>
    <t>LAMBODHARA TEXTILES LTD.</t>
  </si>
  <si>
    <t>LAOPALA</t>
  </si>
  <si>
    <t>LA OPALA RG LIMITED</t>
  </si>
  <si>
    <t>LASA</t>
  </si>
  <si>
    <t>LASA SUPERGENERICS LTD</t>
  </si>
  <si>
    <t>LAURUSLABS</t>
  </si>
  <si>
    <t>LAURUS LABS LIMITED</t>
  </si>
  <si>
    <t>LAXMICOT</t>
  </si>
  <si>
    <t>LAXMI COTSPIN LIMITED</t>
  </si>
  <si>
    <t>LAXMIMACH</t>
  </si>
  <si>
    <t>LAKSHMI MACHINES LTD</t>
  </si>
  <si>
    <t>LEMONTREE</t>
  </si>
  <si>
    <t>LEMON TREE HOTELS LTD</t>
  </si>
  <si>
    <t>LEXUS</t>
  </si>
  <si>
    <t>LEXUS GRANITO (INDIA) LTD</t>
  </si>
  <si>
    <t>LFIC</t>
  </si>
  <si>
    <t>LAKSHMI FIN IND CORP LTD</t>
  </si>
  <si>
    <t>LGBBROSLTD</t>
  </si>
  <si>
    <t>LG BALAKRISHNAN &amp; BROS</t>
  </si>
  <si>
    <t>LIBAS</t>
  </si>
  <si>
    <t>LIBAS CONSU PRODUCTS LTD</t>
  </si>
  <si>
    <t>LIBERTSHOE</t>
  </si>
  <si>
    <t>LIBERTY SHOES LTD</t>
  </si>
  <si>
    <t>LICHSGFIN</t>
  </si>
  <si>
    <t>LIC HOUSING FINANCE LTD</t>
  </si>
  <si>
    <t>LIKHITHA</t>
  </si>
  <si>
    <t>LIKHITHA INFRASTRUC LTD</t>
  </si>
  <si>
    <t>LINCOLN</t>
  </si>
  <si>
    <t>LINCOLN PHARMA LTD</t>
  </si>
  <si>
    <t>LINDEINDIA</t>
  </si>
  <si>
    <t>LINDE INDIA LIMITED</t>
  </si>
  <si>
    <t>LODHA</t>
  </si>
  <si>
    <t>MACROTECH DEVELOPERS LTD</t>
  </si>
  <si>
    <t>LTTS</t>
  </si>
  <si>
    <t>L&amp;T TECHNOLOGY SER. LTD.</t>
  </si>
  <si>
    <t>LUMAXIND</t>
  </si>
  <si>
    <t>LUMAX INDUSTRIES LTD</t>
  </si>
  <si>
    <t>LUMAXTECH</t>
  </si>
  <si>
    <t>LUMAX AUTO TECH LTD</t>
  </si>
  <si>
    <t>LUXIND</t>
  </si>
  <si>
    <t>LUX INDUSTRIES LIMITED</t>
  </si>
  <si>
    <t>LXCHEM</t>
  </si>
  <si>
    <t>LAXMI ORGANIC INDUS LTD</t>
  </si>
  <si>
    <t>LYPSAGEMS</t>
  </si>
  <si>
    <t>LYPSA GEMS &amp; JEWEL LTD</t>
  </si>
  <si>
    <t>M&amp;MFIN</t>
  </si>
  <si>
    <t>M&amp;M FIN. SERVICES LTD</t>
  </si>
  <si>
    <t>MAANALU</t>
  </si>
  <si>
    <t>MAAN ALUMINIUM LIMITED</t>
  </si>
  <si>
    <t>MACPOWER</t>
  </si>
  <si>
    <t>MACPOWER CNC MACHINES LTD</t>
  </si>
  <si>
    <t>MADHAV</t>
  </si>
  <si>
    <t>MADHAV MARBLE &amp; GRANITE</t>
  </si>
  <si>
    <t>MADHUCON</t>
  </si>
  <si>
    <t>MADHUCON PROJECTS LTD.</t>
  </si>
  <si>
    <t>MADRASFERT</t>
  </si>
  <si>
    <t>MADRAS FERTILISERS LTD</t>
  </si>
  <si>
    <t>MAGADSUGAR</t>
  </si>
  <si>
    <t>MAGADH SUGAR &amp; ENERGY LTD</t>
  </si>
  <si>
    <t>MAHABANK</t>
  </si>
  <si>
    <t>BANK OF MAHARASHTRA</t>
  </si>
  <si>
    <t>MAHASTEEL</t>
  </si>
  <si>
    <t>MAHAMAYA STEEL INDS LTD</t>
  </si>
  <si>
    <t>MAHEPC</t>
  </si>
  <si>
    <t>MAHINDRA EPC IRRIG LTD</t>
  </si>
  <si>
    <t>MAHESHWARI</t>
  </si>
  <si>
    <t>MAHESHWARI LOGISTICS LTD.</t>
  </si>
  <si>
    <t>MAHICKRA</t>
  </si>
  <si>
    <t>MAHICKRA CHEMICAL LIMITED</t>
  </si>
  <si>
    <t>MAHINDCIE</t>
  </si>
  <si>
    <t>MAHINDRA CIE AUTO LTD</t>
  </si>
  <si>
    <t>MAHLIFE</t>
  </si>
  <si>
    <t>MAHINDRA LIFESPACE DEVLTD</t>
  </si>
  <si>
    <t>MAHLOG</t>
  </si>
  <si>
    <t>MAHINDRA LOGISTIC LIMITED</t>
  </si>
  <si>
    <t>MAHSCOOTER</t>
  </si>
  <si>
    <t>MAHARASHTRA SCOOTERS LTD</t>
  </si>
  <si>
    <t>MAHSEAMLES</t>
  </si>
  <si>
    <t>MAHARASHTRA SEAMLESS LTD</t>
  </si>
  <si>
    <t>MAITHANALL</t>
  </si>
  <si>
    <t>MAITHAN ALLOYS LTD</t>
  </si>
  <si>
    <t>MAJESCO</t>
  </si>
  <si>
    <t>MAJESCO LIMITED</t>
  </si>
  <si>
    <t>MALUPAPER</t>
  </si>
  <si>
    <t>MALU PAPER MILLS LIMITED</t>
  </si>
  <si>
    <t>MANAKCOAT</t>
  </si>
  <si>
    <t>MAN COAT METAL &amp; IND LTD</t>
  </si>
  <si>
    <t>MANAKSIA</t>
  </si>
  <si>
    <t>MANAKSIA LTD.</t>
  </si>
  <si>
    <t>MANAKSTEEL</t>
  </si>
  <si>
    <t>MANAKSIA STEELS LTD</t>
  </si>
  <si>
    <t>MANAPPURAM</t>
  </si>
  <si>
    <t>MANAPPURAM FINANCE LTD</t>
  </si>
  <si>
    <t>MANGALAM</t>
  </si>
  <si>
    <t>MANGALAM DRUG &amp; CHEM LTD</t>
  </si>
  <si>
    <t>MANGCHEFER</t>
  </si>
  <si>
    <t>MANG.CHEM.FERT.LTD</t>
  </si>
  <si>
    <t>MANGLMCEM</t>
  </si>
  <si>
    <t>MANGALAM CEMENT LTD</t>
  </si>
  <si>
    <t>MANINDS</t>
  </si>
  <si>
    <t>MAN INDUSTRIES (I) LTD.</t>
  </si>
  <si>
    <t>MANINFRA</t>
  </si>
  <si>
    <t>MAN INFRA LTD</t>
  </si>
  <si>
    <t>MARALOVER</t>
  </si>
  <si>
    <t>MARAL OVERSEAS LTD</t>
  </si>
  <si>
    <t>MARATHON</t>
  </si>
  <si>
    <t>MARATHON NXTGEN REALT LTD</t>
  </si>
  <si>
    <t>MARINE</t>
  </si>
  <si>
    <t>MARINE ELECTRICAL (I) LTD</t>
  </si>
  <si>
    <t>MARKSANS</t>
  </si>
  <si>
    <t>MARKSANS PHARMA LIMITED</t>
  </si>
  <si>
    <t>MARSHALL</t>
  </si>
  <si>
    <t>MARSHALL MACHINES LTD</t>
  </si>
  <si>
    <t>MASFIN</t>
  </si>
  <si>
    <t>MAS FINANCIAL SERV LTD</t>
  </si>
  <si>
    <t>MASTEK</t>
  </si>
  <si>
    <t>MASTEK LTD</t>
  </si>
  <si>
    <t>MATRIMONY</t>
  </si>
  <si>
    <t>MATRIMONY.COM LIMITED</t>
  </si>
  <si>
    <t>MAXHEALTH</t>
  </si>
  <si>
    <t>MAX HEALTHCARE INS LTD</t>
  </si>
  <si>
    <t>MAXIND</t>
  </si>
  <si>
    <t>MAX INDIA LIMITED</t>
  </si>
  <si>
    <t>MAXVIL</t>
  </si>
  <si>
    <t>MAX VENTURES AND INDS LTD</t>
  </si>
  <si>
    <t>MAYURUNIQ</t>
  </si>
  <si>
    <t>MAYUR UNIQUOTERS LTD</t>
  </si>
  <si>
    <t>MAZDA</t>
  </si>
  <si>
    <t>MAZDA LIMITED</t>
  </si>
  <si>
    <t>MAZDOCK</t>
  </si>
  <si>
    <t>MAZAGON DOCK SHIPBUIL LTD</t>
  </si>
  <si>
    <t>MBAPL</t>
  </si>
  <si>
    <t>MADHYA BHARAT AGRO P. LTD</t>
  </si>
  <si>
    <t>MBLINFRA</t>
  </si>
  <si>
    <t>MBL INFRASTRUCTURES LTD</t>
  </si>
  <si>
    <t>MCL</t>
  </si>
  <si>
    <t>MADHAV COPPER LIMITED</t>
  </si>
  <si>
    <t>MCX</t>
  </si>
  <si>
    <t>MULTI COMMODITY EXCHANGE</t>
  </si>
  <si>
    <t>MDL</t>
  </si>
  <si>
    <t>MARVEL DECOR LIMITED</t>
  </si>
  <si>
    <t>MENONBE</t>
  </si>
  <si>
    <t>MENON BEARINGS LIMITED</t>
  </si>
  <si>
    <t>MEP</t>
  </si>
  <si>
    <t>MEP INFRA. DEVELOPERS LTD</t>
  </si>
  <si>
    <t>METROPOLIS</t>
  </si>
  <si>
    <t>METROPOLIS HEALTHCARE LTD</t>
  </si>
  <si>
    <t>MFSL</t>
  </si>
  <si>
    <t>MAX FINANCIAL SERV LTD</t>
  </si>
  <si>
    <t>MGEL</t>
  </si>
  <si>
    <t>MANGALAM GLOBAL ENT LTD</t>
  </si>
  <si>
    <t>MGL</t>
  </si>
  <si>
    <t>MAHANAGAR GAS LTD.</t>
  </si>
  <si>
    <t>MHHL</t>
  </si>
  <si>
    <t>MOHINI HEALTH&amp;HYGIENE LTD</t>
  </si>
  <si>
    <t>MHRIL</t>
  </si>
  <si>
    <t>MAHINDRA HOLIDAYS LTD</t>
  </si>
  <si>
    <t>MIDHANI</t>
  </si>
  <si>
    <t>MISHRA DHATU NIGAM LTD</t>
  </si>
  <si>
    <t>MINDACORP</t>
  </si>
  <si>
    <t>MINDA CORPORATION LTD</t>
  </si>
  <si>
    <t>MINDAIND</t>
  </si>
  <si>
    <t>MINDA INDUSTRIES LTD.</t>
  </si>
  <si>
    <t>MINDSPACE</t>
  </si>
  <si>
    <t>MINDSPACE BUSINESS P REIT</t>
  </si>
  <si>
    <t>MINDTECK</t>
  </si>
  <si>
    <t>MINDTECK (INDIA) LIMITED</t>
  </si>
  <si>
    <t>MINDTREE</t>
  </si>
  <si>
    <t>MINDTREE LIMITED</t>
  </si>
  <si>
    <t>MIRCELECTR</t>
  </si>
  <si>
    <t>MIRC ELECTRONICS LTD</t>
  </si>
  <si>
    <t>MIRZAINT</t>
  </si>
  <si>
    <t>MIRZA INTERNATIONAL LIMIT</t>
  </si>
  <si>
    <t>MITCON</t>
  </si>
  <si>
    <t>MITCON CON &amp; ENG SERV LTD</t>
  </si>
  <si>
    <t>MITTAL</t>
  </si>
  <si>
    <t>MITTAL LIFE STYLE LIMITED</t>
  </si>
  <si>
    <t>MMFL</t>
  </si>
  <si>
    <t>MM FORGINGS LTD</t>
  </si>
  <si>
    <t>MMP</t>
  </si>
  <si>
    <t>MMP INDUSTRIES LIMITED</t>
  </si>
  <si>
    <t>MMTC</t>
  </si>
  <si>
    <t>MMTC LIMITED</t>
  </si>
  <si>
    <t>MODISNME</t>
  </si>
  <si>
    <t>MODISON METALS LIMITED</t>
  </si>
  <si>
    <t>MOHOTAIND</t>
  </si>
  <si>
    <t>MOHOTA INDUSTRIES LIMITED</t>
  </si>
  <si>
    <t>MOIL</t>
  </si>
  <si>
    <t>MOIL LIMITED</t>
  </si>
  <si>
    <t>MOKSH</t>
  </si>
  <si>
    <t>MOKSH ORNAMENTS LIMITED</t>
  </si>
  <si>
    <t>MOLDTECH</t>
  </si>
  <si>
    <t>MOLD-TEK TECHNOLOGIES LTD</t>
  </si>
  <si>
    <t>MOLDTEKPP</t>
  </si>
  <si>
    <t>MOLDTEK RS.1.25 PPD UP</t>
  </si>
  <si>
    <t>MOLDTKPAC</t>
  </si>
  <si>
    <t>MOLD-TEK PACKAGING LTD</t>
  </si>
  <si>
    <t>MONTECARLO</t>
  </si>
  <si>
    <t>MONTE CARLO FASHIONS LTD.</t>
  </si>
  <si>
    <t>MORARJEE</t>
  </si>
  <si>
    <t>MORARJEE TEXTILES LIMITED</t>
  </si>
  <si>
    <t>MOREPENLAB</t>
  </si>
  <si>
    <t>MOREPEN LAB. LTD</t>
  </si>
  <si>
    <t>MOTILALOFS</t>
  </si>
  <si>
    <t>MOTILAL OSWAL FIN LTD</t>
  </si>
  <si>
    <t>MOTOGENFIN</t>
  </si>
  <si>
    <t>MOTOR &amp; GENERAL FINANCE L</t>
  </si>
  <si>
    <t>MPHASIS</t>
  </si>
  <si>
    <t>MPHASIS LIMITED</t>
  </si>
  <si>
    <t>MPSLTD</t>
  </si>
  <si>
    <t>MPS LIMITED</t>
  </si>
  <si>
    <t>MPTODAY</t>
  </si>
  <si>
    <t>M P TODAY MEDIA LIMITED</t>
  </si>
  <si>
    <t>MRF</t>
  </si>
  <si>
    <t>MRF LTD</t>
  </si>
  <si>
    <t>MRO-TEK</t>
  </si>
  <si>
    <t>MRO-TEK REALTY LIMITED</t>
  </si>
  <si>
    <t>MRPL</t>
  </si>
  <si>
    <t>MSTCLTD</t>
  </si>
  <si>
    <t>MSTC LIMITED</t>
  </si>
  <si>
    <t>MTARTECH</t>
  </si>
  <si>
    <t>MTAR TECHNOLOGIES LIMITED</t>
  </si>
  <si>
    <t>MTNL</t>
  </si>
  <si>
    <t>MAHANAGAR TELEPHONE NIGAM</t>
  </si>
  <si>
    <t>MUKTAARTS</t>
  </si>
  <si>
    <t>MUKTA ARTS LIMITED</t>
  </si>
  <si>
    <t>MUNJALAU</t>
  </si>
  <si>
    <t>MUNJAL AUTO IND. LTD.</t>
  </si>
  <si>
    <t>MUNJALSHOW</t>
  </si>
  <si>
    <t>MUNJAL SHOWA LTD</t>
  </si>
  <si>
    <t>MURUDCERA</t>
  </si>
  <si>
    <t>MURUDESHWAR CERAMICS LTD</t>
  </si>
  <si>
    <t>MUTHOOTCAP</t>
  </si>
  <si>
    <t>MUTHOOT CAP SERV LTD</t>
  </si>
  <si>
    <t>NACLIND</t>
  </si>
  <si>
    <t>NACL INDUSTRIES LIMITED</t>
  </si>
  <si>
    <t>NAGREEKCAP</t>
  </si>
  <si>
    <t>NAGREEKA CAP &amp; INFR.LTD</t>
  </si>
  <si>
    <t>NAGREEKEXP</t>
  </si>
  <si>
    <t>NAGREEKA EXPORTS LTD.</t>
  </si>
  <si>
    <t>NAHARCAP</t>
  </si>
  <si>
    <t>NAHAR CAP &amp; FIN.</t>
  </si>
  <si>
    <t>NAHARINDUS</t>
  </si>
  <si>
    <t>NAHAR INDS ENT LTD</t>
  </si>
  <si>
    <t>NAHARPOLY</t>
  </si>
  <si>
    <t>NAHAR POLY FILMS LIMITED</t>
  </si>
  <si>
    <t>NAM-INDIA</t>
  </si>
  <si>
    <t>NIPPON L I A M LTD</t>
  </si>
  <si>
    <t>NATCOPHARM</t>
  </si>
  <si>
    <t>NATCO PHARMA LTD.</t>
  </si>
  <si>
    <t>NATHBIOGEN</t>
  </si>
  <si>
    <t>NATH BIO-GENES (I) LTD</t>
  </si>
  <si>
    <t>NATIONALUM</t>
  </si>
  <si>
    <t>NATIONAL ALUMINIUM CO LTD</t>
  </si>
  <si>
    <t>NAVINFLUOR</t>
  </si>
  <si>
    <t>NAVIN FLUORINE INT. LTD</t>
  </si>
  <si>
    <t>NAVKARCORP</t>
  </si>
  <si>
    <t>NAVKAR CORPORATION LTD.</t>
  </si>
  <si>
    <t>NAVNETEDUL</t>
  </si>
  <si>
    <t>NAVNEET EDUCATION LTD</t>
  </si>
  <si>
    <t>NAZARA</t>
  </si>
  <si>
    <t>NAZARA TECHNOLOGIES LTD</t>
  </si>
  <si>
    <t>NBCC</t>
  </si>
  <si>
    <t>NBCC (INDIA) LIMITED</t>
  </si>
  <si>
    <t>NBIFIN</t>
  </si>
  <si>
    <t>N.B.I. IND. FIN. CO. LTD</t>
  </si>
  <si>
    <t>NBVENTURES</t>
  </si>
  <si>
    <t>NAVA BHARAT VENTURES LIMI</t>
  </si>
  <si>
    <t>NCC</t>
  </si>
  <si>
    <t>NCC LIMITED</t>
  </si>
  <si>
    <t>NCLIND</t>
  </si>
  <si>
    <t>NCL INDUSTRIES LIMITED</t>
  </si>
  <si>
    <t>NDGL</t>
  </si>
  <si>
    <t>NAGA DHUNSERI GROUP LTD</t>
  </si>
  <si>
    <t>NDRAUTO</t>
  </si>
  <si>
    <t>NDR AUTO COMPONENTS LTD</t>
  </si>
  <si>
    <t>NDTV</t>
  </si>
  <si>
    <t>NDTV LTD</t>
  </si>
  <si>
    <t>NECCLTD</t>
  </si>
  <si>
    <t>NORTH EAST CARRY CORP LTD</t>
  </si>
  <si>
    <t>NECLIFE</t>
  </si>
  <si>
    <t>NECTAR LIFESCIENCES LTD.</t>
  </si>
  <si>
    <t>NELCAST</t>
  </si>
  <si>
    <t>NELCAST LIMITED</t>
  </si>
  <si>
    <t>NELCO</t>
  </si>
  <si>
    <t>NELCO LTD</t>
  </si>
  <si>
    <t>NEOGEN</t>
  </si>
  <si>
    <t>NEOGEN CHEMICALS LIMITED</t>
  </si>
  <si>
    <t>NESCO</t>
  </si>
  <si>
    <t>NESCO LTD.</t>
  </si>
  <si>
    <t>NETWORK18</t>
  </si>
  <si>
    <t>NETWORK18 MEDIA &amp; INV LTD</t>
  </si>
  <si>
    <t>NEXTMEDIA</t>
  </si>
  <si>
    <t>NEXT MEDIAWORKS LIMITED</t>
  </si>
  <si>
    <t>NFL</t>
  </si>
  <si>
    <t>NATIONAL FERT. LTD</t>
  </si>
  <si>
    <t>NH</t>
  </si>
  <si>
    <t>NARAYANA HRUDAYALAYA LTD.</t>
  </si>
  <si>
    <t>NHPC</t>
  </si>
  <si>
    <t>NHPC LTD</t>
  </si>
  <si>
    <t>NIACL</t>
  </si>
  <si>
    <t>THE NEW INDIA ASSU CO LTD</t>
  </si>
  <si>
    <t>NIITLTD</t>
  </si>
  <si>
    <t>NIIT LIMITED</t>
  </si>
  <si>
    <t>NILAINFRA</t>
  </si>
  <si>
    <t>NILA INFRASTRUCTURES LTD</t>
  </si>
  <si>
    <t>NILKAMAL</t>
  </si>
  <si>
    <t>NILKAMAL LIMITED</t>
  </si>
  <si>
    <t>NIPPOBATRY</t>
  </si>
  <si>
    <t>INDO-NATIONAL LIMITED</t>
  </si>
  <si>
    <t>NIRAJ</t>
  </si>
  <si>
    <t>NIRAJ CEMENT STRUC LTD</t>
  </si>
  <si>
    <t>NITCO</t>
  </si>
  <si>
    <t>NITCO LIMITED</t>
  </si>
  <si>
    <t>NITINSPIN</t>
  </si>
  <si>
    <t>NITIN SPINNERS LIMITED</t>
  </si>
  <si>
    <t>NITIRAJ</t>
  </si>
  <si>
    <t>NITIRAJ ENGINEERS LTD</t>
  </si>
  <si>
    <t>NLCINDIA</t>
  </si>
  <si>
    <t>NLC INDIA LIMITED</t>
  </si>
  <si>
    <t>NOCIL</t>
  </si>
  <si>
    <t>NOCIL LIMITED</t>
  </si>
  <si>
    <t>NOIDATOLL</t>
  </si>
  <si>
    <t>NOIDA TOLL BRIDGE CO LTD</t>
  </si>
  <si>
    <t>NORBTEAEXP</t>
  </si>
  <si>
    <t>NORBEN TEA &amp; EXPORTS LTD</t>
  </si>
  <si>
    <t>NOVARTIND</t>
  </si>
  <si>
    <t>NOVARTIS INDIA LIMITED</t>
  </si>
  <si>
    <t>NRAIL</t>
  </si>
  <si>
    <t>N R AGARWAL INDS LTD</t>
  </si>
  <si>
    <t>NRBBEARING</t>
  </si>
  <si>
    <t>NRB BEARING LIMITED</t>
  </si>
  <si>
    <t>NSIL</t>
  </si>
  <si>
    <t>NALWA SONS INVESTMENT LTD</t>
  </si>
  <si>
    <t>NUCLEUS</t>
  </si>
  <si>
    <t>NUCLEUS SOFTWARE EXPORTS</t>
  </si>
  <si>
    <t>NURECA</t>
  </si>
  <si>
    <t>NURECA LIMITED</t>
  </si>
  <si>
    <t>NXTDIGITAL</t>
  </si>
  <si>
    <t>NXTDIGITAL LIMITED</t>
  </si>
  <si>
    <t>OAL</t>
  </si>
  <si>
    <t>ORIENTAL AROMATICS LTD</t>
  </si>
  <si>
    <t>OBEROIRLTY</t>
  </si>
  <si>
    <t>OBEROI REALTY LIMITED</t>
  </si>
  <si>
    <t>OCCL</t>
  </si>
  <si>
    <t>ORIENTAL CARBN &amp; CHEM LTD</t>
  </si>
  <si>
    <t>OIL</t>
  </si>
  <si>
    <t>OIL INDIA LTD</t>
  </si>
  <si>
    <t>OMAXAUTO</t>
  </si>
  <si>
    <t>OMAX AUTOS LTD</t>
  </si>
  <si>
    <t>OMAXE</t>
  </si>
  <si>
    <t>OMAXE LIMITED</t>
  </si>
  <si>
    <t>OMINFRAL</t>
  </si>
  <si>
    <t>OM INFRA LIMITED</t>
  </si>
  <si>
    <t>OMKARCHEM</t>
  </si>
  <si>
    <t>OMKAR SPL CHEM LTD</t>
  </si>
  <si>
    <t>ONMOBILE</t>
  </si>
  <si>
    <t>ONMOBILE GLOBAL LTD.</t>
  </si>
  <si>
    <t>ORBTEXP</t>
  </si>
  <si>
    <t>ORBIT EXPORTS LIMITED</t>
  </si>
  <si>
    <t>ORICONENT</t>
  </si>
  <si>
    <t>ORICON ENTERPRISES LTD</t>
  </si>
  <si>
    <t>ORIENTABRA</t>
  </si>
  <si>
    <t>ORIENT ABRASIVE LTD</t>
  </si>
  <si>
    <t>ORIENTALTL</t>
  </si>
  <si>
    <t>ORIENTAL TRIMEX LTD</t>
  </si>
  <si>
    <t>ORIENTBELL</t>
  </si>
  <si>
    <t>ORIENT BELL LIMITED</t>
  </si>
  <si>
    <t>ORIENTCEM</t>
  </si>
  <si>
    <t>ORIENT CEMENT LTD.</t>
  </si>
  <si>
    <t>ORIENTELEC</t>
  </si>
  <si>
    <t>ORIENT ELECTRIC LIMITED</t>
  </si>
  <si>
    <t>ORIENTHOT</t>
  </si>
  <si>
    <t>ORIENT HOTELS LTD</t>
  </si>
  <si>
    <t>ORIENTLTD</t>
  </si>
  <si>
    <t>ORIENT PRESS LIMITED</t>
  </si>
  <si>
    <t>ORIENTPPR</t>
  </si>
  <si>
    <t>ORIENT PAPER AND INDS LTD</t>
  </si>
  <si>
    <t>ORIENTREF</t>
  </si>
  <si>
    <t>ORIENT REFRACTORIES LTD</t>
  </si>
  <si>
    <t>ORISSAMINE</t>
  </si>
  <si>
    <t>ORISSA MIN DEV CO LTD</t>
  </si>
  <si>
    <t>ORTINLAB</t>
  </si>
  <si>
    <t>ORTIN LABORATORIES LTD</t>
  </si>
  <si>
    <t>OSIAHYPER</t>
  </si>
  <si>
    <t>OSIA HYPER RETAIL LTD</t>
  </si>
  <si>
    <t>OSWALAGRO</t>
  </si>
  <si>
    <t>OSWAL AGRO MILLS LTD</t>
  </si>
  <si>
    <t>PAGEIND</t>
  </si>
  <si>
    <t>PAGE INDUSTRIES LTD</t>
  </si>
  <si>
    <t>PAISALO</t>
  </si>
  <si>
    <t>PAISALO DIGITAL LIMITED</t>
  </si>
  <si>
    <t>PALREDTEC</t>
  </si>
  <si>
    <t>PALRED TECHNOLOGIES LTD</t>
  </si>
  <si>
    <t>PANACEABIO</t>
  </si>
  <si>
    <t>PANACEA BIOTEC LTD</t>
  </si>
  <si>
    <t>PANACHE</t>
  </si>
  <si>
    <t>PANACHE DIGILIFE LIMITED</t>
  </si>
  <si>
    <t>PANAMAPET</t>
  </si>
  <si>
    <t>PANAMA PETROCHEM LTD</t>
  </si>
  <si>
    <t>PAR</t>
  </si>
  <si>
    <t>PAR DRUGS AND CHEM LTD</t>
  </si>
  <si>
    <t>PARACABLES</t>
  </si>
  <si>
    <t>PARAMOUNT COMM LTD</t>
  </si>
  <si>
    <t>PARAGMILK</t>
  </si>
  <si>
    <t>PARAG MILK FOODS LTD.</t>
  </si>
  <si>
    <t>PARSVNATH</t>
  </si>
  <si>
    <t>PARSVNATH DEVELOPER LTD</t>
  </si>
  <si>
    <t>PATELENG</t>
  </si>
  <si>
    <t>PATEL ENGINEERING LTD.</t>
  </si>
  <si>
    <t>PATINTLOG</t>
  </si>
  <si>
    <t>PATEL INT. LOG. LTD</t>
  </si>
  <si>
    <t>PAVNAIND</t>
  </si>
  <si>
    <t>PAVNA INDUSTRIES LIMITED</t>
  </si>
  <si>
    <t>PBAINFRA</t>
  </si>
  <si>
    <t>PBA INFRASTRUCTURE LTD.</t>
  </si>
  <si>
    <t>PCJEWELLER</t>
  </si>
  <si>
    <t>PC JEWELLER LTD</t>
  </si>
  <si>
    <t>PDMJEPAPER</t>
  </si>
  <si>
    <t>PUDUMJEE PAPER PRO. LTD</t>
  </si>
  <si>
    <t>PDSMFL</t>
  </si>
  <si>
    <t>PDS MULTINATIONAL FAS LTD</t>
  </si>
  <si>
    <t>PEARLPOLY</t>
  </si>
  <si>
    <t>PEARL POLYMERS LTD</t>
  </si>
  <si>
    <t>PENIND</t>
  </si>
  <si>
    <t>PENNAR INDUSTRIES LTD</t>
  </si>
  <si>
    <t>PENTAGOLD</t>
  </si>
  <si>
    <t>PENTA GOLD LIMITED</t>
  </si>
  <si>
    <t>PERSISTENT</t>
  </si>
  <si>
    <t>PERSISTENT SYSTEMS LTD</t>
  </si>
  <si>
    <t>PFIZER</t>
  </si>
  <si>
    <t>PFIZER LTD</t>
  </si>
  <si>
    <t>PFS</t>
  </si>
  <si>
    <t>PTC INDIA FIN SERV LTD</t>
  </si>
  <si>
    <t>PGEL</t>
  </si>
  <si>
    <t>PG ELECTROPLAST LTD</t>
  </si>
  <si>
    <t>PGHL</t>
  </si>
  <si>
    <t>PROCTER &amp; GAMBLE HEALTH L</t>
  </si>
  <si>
    <t>PGIL</t>
  </si>
  <si>
    <t>PEARL GLOBAL IND LIMITED</t>
  </si>
  <si>
    <t>PGINVIT</t>
  </si>
  <si>
    <t>POWERGRID INFRA. INVITS</t>
  </si>
  <si>
    <t>PHILIPCARB</t>
  </si>
  <si>
    <t>PHILIPS CARBON BLACK LTD</t>
  </si>
  <si>
    <t>PHOENIXLTD</t>
  </si>
  <si>
    <t>THE PHOENIX MILLS LTD</t>
  </si>
  <si>
    <t>PIIND</t>
  </si>
  <si>
    <t>PI INDUSTRIES LTD</t>
  </si>
  <si>
    <t>PILANIINVS</t>
  </si>
  <si>
    <t>PILANI INV &amp; IND COR LTD</t>
  </si>
  <si>
    <t>PILITA</t>
  </si>
  <si>
    <t>PIL ITALICA LIFESTYLE LTD</t>
  </si>
  <si>
    <t>PIONDIST</t>
  </si>
  <si>
    <t>PIONEER DIST LTD</t>
  </si>
  <si>
    <t>PIONEEREMB</t>
  </si>
  <si>
    <t>PIONEER EMBROIDERIES LTD</t>
  </si>
  <si>
    <t>PITTIENG</t>
  </si>
  <si>
    <t>PITTI ENGINEERING LIMITED</t>
  </si>
  <si>
    <t>PLASTIBLEN</t>
  </si>
  <si>
    <t>PLASTIBLENDS INDIA LTD</t>
  </si>
  <si>
    <t>PNBGILTS</t>
  </si>
  <si>
    <t>PNB GILTS LIMITED</t>
  </si>
  <si>
    <t>PNCINFRA</t>
  </si>
  <si>
    <t>PNC INFRATECH LTD.</t>
  </si>
  <si>
    <t>PODDARHOUS</t>
  </si>
  <si>
    <t>PODDAR HOUSE &amp; DVPT LTD</t>
  </si>
  <si>
    <t>PODDARMENT</t>
  </si>
  <si>
    <t>PODDAR PIGMENTS LIMITED</t>
  </si>
  <si>
    <t>POKARNA</t>
  </si>
  <si>
    <t>POKARNA LIMITED</t>
  </si>
  <si>
    <t>POLYCAB</t>
  </si>
  <si>
    <t>POLYCAB INDIA LIMITED</t>
  </si>
  <si>
    <t>POLYMED</t>
  </si>
  <si>
    <t>POLY MEDICURE LIMITED</t>
  </si>
  <si>
    <t>POLYPLEX</t>
  </si>
  <si>
    <t>POLYPLEX CORPORATION LTD</t>
  </si>
  <si>
    <t>PONNIERODE</t>
  </si>
  <si>
    <t>PONNIE SUGARS (ERODE) LTD</t>
  </si>
  <si>
    <t>POWERINDIA</t>
  </si>
  <si>
    <t>ABB POWER PRO N SYS IND L</t>
  </si>
  <si>
    <t>POWERMECH</t>
  </si>
  <si>
    <t>POWER MECH PROJECTS LTD.</t>
  </si>
  <si>
    <t>PPAP</t>
  </si>
  <si>
    <t>PPAP AUTOMOTIVE LIMITED</t>
  </si>
  <si>
    <t>PPL</t>
  </si>
  <si>
    <t>PRAKASH PIPES LIMITED</t>
  </si>
  <si>
    <t>PRAENG</t>
  </si>
  <si>
    <t>PRAJAY ENG. SYN. LTD.</t>
  </si>
  <si>
    <t>PRAKASH</t>
  </si>
  <si>
    <t>PRAKASH INDUSTRIES LTD</t>
  </si>
  <si>
    <t>PRAXIS</t>
  </si>
  <si>
    <t>PRAXIS HOME RETAIL LTD</t>
  </si>
  <si>
    <t>PRECAM</t>
  </si>
  <si>
    <t>PRECISION CAMSHAFTS LTD.</t>
  </si>
  <si>
    <t>PRECOT</t>
  </si>
  <si>
    <t>PRECOT LIMITED</t>
  </si>
  <si>
    <t>PRECWIRE</t>
  </si>
  <si>
    <t>PRECISION WIRES INDIA LTD</t>
  </si>
  <si>
    <t>PREMEXPLN</t>
  </si>
  <si>
    <t>PREMIER EXPLOSIVES LTD</t>
  </si>
  <si>
    <t>PREMIERPOL</t>
  </si>
  <si>
    <t>PREMIER POLYFILM LTD</t>
  </si>
  <si>
    <t>PRESSMN</t>
  </si>
  <si>
    <t>PRESSMAN ADVERTISING LTD</t>
  </si>
  <si>
    <t>PRESTIGE</t>
  </si>
  <si>
    <t>PRESTIGE ESTATE LTD</t>
  </si>
  <si>
    <t>PRICOLLTD</t>
  </si>
  <si>
    <t>PRICOL LIMITED</t>
  </si>
  <si>
    <t>PRIMESECU</t>
  </si>
  <si>
    <t>PRIME SECURITIES LIMITED</t>
  </si>
  <si>
    <t>PRINCEPIPE</t>
  </si>
  <si>
    <t>PRINCE PIPES FITTINGS LTD</t>
  </si>
  <si>
    <t>PRIVISCL</t>
  </si>
  <si>
    <t>PRIVI SPECIALITY CHE LTD</t>
  </si>
  <si>
    <t>PROLIFE</t>
  </si>
  <si>
    <t>PROLIFE INDUSTRIES LTD</t>
  </si>
  <si>
    <t>PRSMJOHNSN</t>
  </si>
  <si>
    <t>PRISM JOHNSON LIMITED</t>
  </si>
  <si>
    <t>PSB</t>
  </si>
  <si>
    <t>PUNJAB &amp; SIND BANK</t>
  </si>
  <si>
    <t>PSPPROJECT</t>
  </si>
  <si>
    <t>PSP PROJECTS LIMITED</t>
  </si>
  <si>
    <t>PTC</t>
  </si>
  <si>
    <t>PTC INDIA LIMITED</t>
  </si>
  <si>
    <t>PTL</t>
  </si>
  <si>
    <t>PTL ENTERPRISES LTD</t>
  </si>
  <si>
    <t>PUNJABCHEM</t>
  </si>
  <si>
    <t>PUNJAB CHEM &amp; CROP PROT L</t>
  </si>
  <si>
    <t>PURVA</t>
  </si>
  <si>
    <t>PURAVANKARA LIMITED</t>
  </si>
  <si>
    <t>PVR</t>
  </si>
  <si>
    <t>PVR LIMITED</t>
  </si>
  <si>
    <t>QUESS</t>
  </si>
  <si>
    <t>QUESS CORP LIMITED</t>
  </si>
  <si>
    <t>QUICKHEAL</t>
  </si>
  <si>
    <t>QUICK HEAL TECH LTD</t>
  </si>
  <si>
    <t>RADICO</t>
  </si>
  <si>
    <t>RADICO KHAITAN LTD</t>
  </si>
  <si>
    <t>RADIOCITY</t>
  </si>
  <si>
    <t>MUSIC BROADCAST LIMITED</t>
  </si>
  <si>
    <t>RAILTEL</t>
  </si>
  <si>
    <t>RAILTEL CORP OF IND LTD</t>
  </si>
  <si>
    <t>RAIN</t>
  </si>
  <si>
    <t>RAIN INDUSTRIES LIMITED</t>
  </si>
  <si>
    <t>RAJESHEXPO</t>
  </si>
  <si>
    <t>RAJESH EXPORTS LTD</t>
  </si>
  <si>
    <t>RAJTV</t>
  </si>
  <si>
    <t>RAJ TV NETWORK LTD</t>
  </si>
  <si>
    <t>RALLIS</t>
  </si>
  <si>
    <t>RALLIS INDIA LTD</t>
  </si>
  <si>
    <t>RAMANEWS</t>
  </si>
  <si>
    <t>SHREE RAMA NEWSPRINT LTD</t>
  </si>
  <si>
    <t>RAMASTEEL</t>
  </si>
  <si>
    <t>RAMA STEEL TUBES LIMITED</t>
  </si>
  <si>
    <t>RAMCOCEM</t>
  </si>
  <si>
    <t>THE RAMCO CEMENTS LIMITED</t>
  </si>
  <si>
    <t>RAMCOIND</t>
  </si>
  <si>
    <t>RAMCO INDUSTRIES LIMITED</t>
  </si>
  <si>
    <t>RAMCOSYS</t>
  </si>
  <si>
    <t>RAMCO SYSTEMS LTD.</t>
  </si>
  <si>
    <t>RANASUG</t>
  </si>
  <si>
    <t>RANA SUGARS LTD.</t>
  </si>
  <si>
    <t>RANEENGINE</t>
  </si>
  <si>
    <t>RANE ENG VALVE LTD</t>
  </si>
  <si>
    <t>RANEHOLDIN</t>
  </si>
  <si>
    <t>RANE HOLDINGS LIMITED</t>
  </si>
  <si>
    <t>RATNAMANI</t>
  </si>
  <si>
    <t>RATNAMANI MET &amp; TUB LTD.</t>
  </si>
  <si>
    <t>RAYMOND</t>
  </si>
  <si>
    <t>RAYMOND LTD</t>
  </si>
  <si>
    <t>RBL</t>
  </si>
  <si>
    <t>RANE BRAKE LINING LTD</t>
  </si>
  <si>
    <t>RBLBANK</t>
  </si>
  <si>
    <t>RBL BANK LIMITED</t>
  </si>
  <si>
    <t>RCF</t>
  </si>
  <si>
    <t>RASHTRIYA CHEMICALS &amp; FER</t>
  </si>
  <si>
    <t>RCOM</t>
  </si>
  <si>
    <t>RELIANCE COMMUNICATIONS L</t>
  </si>
  <si>
    <t>RECLTD</t>
  </si>
  <si>
    <t>REC LIMITED</t>
  </si>
  <si>
    <t>REDINGTON</t>
  </si>
  <si>
    <t>REDINGTON (INDIA) LTD.</t>
  </si>
  <si>
    <t>REFEX</t>
  </si>
  <si>
    <t>REFEX INDUSTRIES LIMITED</t>
  </si>
  <si>
    <t>RELAXO</t>
  </si>
  <si>
    <t>RELAXO FOOT LTD.</t>
  </si>
  <si>
    <t>RELCAPITAL</t>
  </si>
  <si>
    <t>RELIANCE CAPITAL LTD</t>
  </si>
  <si>
    <t>RELIABLE</t>
  </si>
  <si>
    <t>RELIABLE DATA SERVICE LTD</t>
  </si>
  <si>
    <t>RELIANCEP1</t>
  </si>
  <si>
    <t>RELIANCE RS.5 PPD UP</t>
  </si>
  <si>
    <t>RELIGARE</t>
  </si>
  <si>
    <t>RELIGARE ENTER. LTD.</t>
  </si>
  <si>
    <t>REMSONSIND</t>
  </si>
  <si>
    <t>REMSONS INDUSTRIES LTD</t>
  </si>
  <si>
    <t>REPCOHOME</t>
  </si>
  <si>
    <t>REPCO HOME FINANCE LTD</t>
  </si>
  <si>
    <t>REPL</t>
  </si>
  <si>
    <t>RUDRABHISHEK ENTERP LTD</t>
  </si>
  <si>
    <t>REPRO</t>
  </si>
  <si>
    <t>REPRO INDIA LIMITED</t>
  </si>
  <si>
    <t>RESPONIND</t>
  </si>
  <si>
    <t>RESPONSIVE INDUSTRIES LTD</t>
  </si>
  <si>
    <t>REVATHI</t>
  </si>
  <si>
    <t>REVATHI EQUIPMENT LTD</t>
  </si>
  <si>
    <t>RGL</t>
  </si>
  <si>
    <t>RENAISSANCE GLOBAL LTD</t>
  </si>
  <si>
    <t>RICOAUTO</t>
  </si>
  <si>
    <t>RICO AUTO INDUSTRIES LTD</t>
  </si>
  <si>
    <t>RIIL</t>
  </si>
  <si>
    <t>RELIANCE INDUSTRIAL INFRA</t>
  </si>
  <si>
    <t>RITES</t>
  </si>
  <si>
    <t>RITES LIMITED</t>
  </si>
  <si>
    <t>RKDL</t>
  </si>
  <si>
    <t>RAVI KUMAR DIST. LTD.</t>
  </si>
  <si>
    <t>RKEC</t>
  </si>
  <si>
    <t>RKEC PROJECTS LIMITED</t>
  </si>
  <si>
    <t>RKFORGE</t>
  </si>
  <si>
    <t>RAMKRISHNA FORGINGS LTD</t>
  </si>
  <si>
    <t>RMDRIP</t>
  </si>
  <si>
    <t>R M DRIP &amp; SPRINK SYS LTD</t>
  </si>
  <si>
    <t>RML</t>
  </si>
  <si>
    <t>RANE (MADRAS) LIMITED</t>
  </si>
  <si>
    <t>ROHLTD</t>
  </si>
  <si>
    <t>ROYAL ORCHID HOTELS LTD</t>
  </si>
  <si>
    <t>ROLLT</t>
  </si>
  <si>
    <t>ROLLATAINERS LIMITED</t>
  </si>
  <si>
    <t>ROLTA</t>
  </si>
  <si>
    <t>ROLTA INDIA LTD</t>
  </si>
  <si>
    <t>ROML</t>
  </si>
  <si>
    <t>RAJ OIL MILLS LIMITED</t>
  </si>
  <si>
    <t>ROSSARI</t>
  </si>
  <si>
    <t>ROSSARI BIOTECH LIMITED</t>
  </si>
  <si>
    <t>ROSSELLIND</t>
  </si>
  <si>
    <t>ROSSELL INDIA LIMITED</t>
  </si>
  <si>
    <t>ROUTE</t>
  </si>
  <si>
    <t>ROUTE MOBILE LIMITED</t>
  </si>
  <si>
    <t>RPGLIFE</t>
  </si>
  <si>
    <t>RPG LIFE SCIENCES LTD</t>
  </si>
  <si>
    <t>RPPINFRA</t>
  </si>
  <si>
    <t>R.P.P INFRA PROJECTS LTD</t>
  </si>
  <si>
    <t>RPPL</t>
  </si>
  <si>
    <t>RAJSHREE POLYPACK LTD</t>
  </si>
  <si>
    <t>RPSGVENT</t>
  </si>
  <si>
    <t>RPSG VENTURES LIMITED</t>
  </si>
  <si>
    <t>RSWM</t>
  </si>
  <si>
    <t>RSWM LIMITED</t>
  </si>
  <si>
    <t>RSYSTEMS</t>
  </si>
  <si>
    <t>R SYS INTERNATIONAL LTD</t>
  </si>
  <si>
    <t>RUBYMILLS</t>
  </si>
  <si>
    <t>THE RUBY MILLS LTD</t>
  </si>
  <si>
    <t>RUCHI</t>
  </si>
  <si>
    <t>RUCHI SOYA INDUSTRIES LTD</t>
  </si>
  <si>
    <t>RUCHIRA</t>
  </si>
  <si>
    <t>RUCHIRA PAPERS LIMITED</t>
  </si>
  <si>
    <t>RUPA</t>
  </si>
  <si>
    <t>RUPA &amp; COMPANY LTD</t>
  </si>
  <si>
    <t>RVHL</t>
  </si>
  <si>
    <t>RAVINDER HEIGHTS LIMITED</t>
  </si>
  <si>
    <t>RVNL</t>
  </si>
  <si>
    <t>RAIL VIKAS NIGAM LIMITED</t>
  </si>
  <si>
    <t>SADBHAV</t>
  </si>
  <si>
    <t>SADBHAV ENGINEERING LTD</t>
  </si>
  <si>
    <t>SADBHIN</t>
  </si>
  <si>
    <t>SADBHAV INFRA PROJ LTD.</t>
  </si>
  <si>
    <t>SAFARI</t>
  </si>
  <si>
    <t>SAFARI IND (INDIA) LTD</t>
  </si>
  <si>
    <t>SAGCEM</t>
  </si>
  <si>
    <t>SAGAR CEMENTS LIMITED</t>
  </si>
  <si>
    <t>SAIL</t>
  </si>
  <si>
    <t>STEEL AUTHORITY OF INDIA</t>
  </si>
  <si>
    <t>SAKAR</t>
  </si>
  <si>
    <t>SAKAR HEALTHCARE LIMITED</t>
  </si>
  <si>
    <t>SAKSOFT</t>
  </si>
  <si>
    <t>SAKSOFT LIMITED</t>
  </si>
  <si>
    <t>SAKUMA</t>
  </si>
  <si>
    <t>SAKUMA EXPORTS LIMITED</t>
  </si>
  <si>
    <t>SALASAR</t>
  </si>
  <si>
    <t>SALASAR TECHNO ENGG. LTD.</t>
  </si>
  <si>
    <t>SALONA</t>
  </si>
  <si>
    <t>SALONA COTSPIN LTD.</t>
  </si>
  <si>
    <t>SALZERELEC</t>
  </si>
  <si>
    <t>SALZER ELECTRONICS LTD</t>
  </si>
  <si>
    <t>SANDESH</t>
  </si>
  <si>
    <t>SANDESH LTD</t>
  </si>
  <si>
    <t>SANDHAR</t>
  </si>
  <si>
    <t>SANDHAR TECHNOLOGIES LTD</t>
  </si>
  <si>
    <t>SANGAMIND</t>
  </si>
  <si>
    <t>SANGAM (INDIA) LTD</t>
  </si>
  <si>
    <t>SANGHIIND</t>
  </si>
  <si>
    <t>SANGHI INDUSTRIES LTD</t>
  </si>
  <si>
    <t>SANGHVIMOV</t>
  </si>
  <si>
    <t>SANGHVI MOVERS LTD</t>
  </si>
  <si>
    <t>SANGINITA</t>
  </si>
  <si>
    <t>SANGINITA CHEMICALS LTD</t>
  </si>
  <si>
    <t>SANOFI</t>
  </si>
  <si>
    <t>SANOFI INDIA LIMITED</t>
  </si>
  <si>
    <t>SARLAPOLY</t>
  </si>
  <si>
    <t>SARLA PERF. FIBERS LTD</t>
  </si>
  <si>
    <t>SASKEN</t>
  </si>
  <si>
    <t>SASKEN TECHNOLOGIES LTD</t>
  </si>
  <si>
    <t>SATIA</t>
  </si>
  <si>
    <t>SATIA INDUSTRIES LIMITED</t>
  </si>
  <si>
    <t>SATIN</t>
  </si>
  <si>
    <t>SATIN CREDIT NET LTD</t>
  </si>
  <si>
    <t>SBCL</t>
  </si>
  <si>
    <t>SHIVALIK BIMETAL CON. LTD</t>
  </si>
  <si>
    <t>SCAPDVR</t>
  </si>
  <si>
    <t>STAMPEDE CAPITAL LIMITED</t>
  </si>
  <si>
    <t>SCHAEFFLER</t>
  </si>
  <si>
    <t>SCHAEFFLER INDIA LIMITED</t>
  </si>
  <si>
    <t>SCHAND</t>
  </si>
  <si>
    <t>S CHAND AND COMPANY LTD</t>
  </si>
  <si>
    <t>SCHNEIDER</t>
  </si>
  <si>
    <t>SCHNEIDER ELECTRIC INFRA</t>
  </si>
  <si>
    <t>SCI</t>
  </si>
  <si>
    <t>SHIPPING CORP OF INDIA LT</t>
  </si>
  <si>
    <t>SEAMECLTD</t>
  </si>
  <si>
    <t>SEAMEC LIMITED</t>
  </si>
  <si>
    <t>SECURCRED</t>
  </si>
  <si>
    <t>SECUR CREDENTIALS LIMITED</t>
  </si>
  <si>
    <t>SECURKLOUD</t>
  </si>
  <si>
    <t>SECUREKLOUD TECH LIMITED</t>
  </si>
  <si>
    <t>SELAN</t>
  </si>
  <si>
    <t>SELAN EXPLO. TECH LTD</t>
  </si>
  <si>
    <t>SEQUENT</t>
  </si>
  <si>
    <t>SEQUENT SCIENTIFIC LTD.</t>
  </si>
  <si>
    <t>SERVOTECH</t>
  </si>
  <si>
    <t>SERVOTECH POWER SYS LTD.</t>
  </si>
  <si>
    <t>SESHAPAPER</t>
  </si>
  <si>
    <t>SESHASAYEE PAPER &amp; BOARDS</t>
  </si>
  <si>
    <t>SETCO</t>
  </si>
  <si>
    <t>SETCO AUTOMOTIVE LTD</t>
  </si>
  <si>
    <t>SEYAIND</t>
  </si>
  <si>
    <t>SEYA INDUSTRIES LIMITED</t>
  </si>
  <si>
    <t>SFL</t>
  </si>
  <si>
    <t>SHEELA FOAM LIMITED</t>
  </si>
  <si>
    <t>SGL</t>
  </si>
  <si>
    <t>STL GLOBAL LIMITED</t>
  </si>
  <si>
    <t>SHAKTIPUMP</t>
  </si>
  <si>
    <t>SHAKTI PUMPS (I) LTD</t>
  </si>
  <si>
    <t>SHALBY</t>
  </si>
  <si>
    <t>SHALBY LIMITED</t>
  </si>
  <si>
    <t>SHALPAINTS</t>
  </si>
  <si>
    <t>SHALIM PAINTS LTD</t>
  </si>
  <si>
    <t>SHANKARA</t>
  </si>
  <si>
    <t>SHANKARA BLDG PRODUCT LTD</t>
  </si>
  <si>
    <t>SHANTIGEAR</t>
  </si>
  <si>
    <t>SHANTHI GEARS LTD</t>
  </si>
  <si>
    <t>SHARDACROP</t>
  </si>
  <si>
    <t>SHARDA CROPCHEM LTD.</t>
  </si>
  <si>
    <t>SHAREINDIA</t>
  </si>
  <si>
    <t>SHARE IND. SECURITIES LTD</t>
  </si>
  <si>
    <t>SHILPAMED</t>
  </si>
  <si>
    <t>SHILPA MEDICARE LTD</t>
  </si>
  <si>
    <t>SHIVAMILLS</t>
  </si>
  <si>
    <t>SHIVA MILLS LIMITED</t>
  </si>
  <si>
    <t>SHIVATEX</t>
  </si>
  <si>
    <t>SHIVA TEXYARN LIMITED</t>
  </si>
  <si>
    <t>SHK</t>
  </si>
  <si>
    <t>S H KELKAR AND CO. LTD.</t>
  </si>
  <si>
    <t>SHOPERSTOP</t>
  </si>
  <si>
    <t>SHOPPERS STOP LIMITED</t>
  </si>
  <si>
    <t>SHRADHA</t>
  </si>
  <si>
    <t>SHRADHA INFRAPROJECTS LTD</t>
  </si>
  <si>
    <t>SHREDIGCEM</t>
  </si>
  <si>
    <t>SHREE DIGVIJAY CEM CO LTD</t>
  </si>
  <si>
    <t>SHREEPUSHK</t>
  </si>
  <si>
    <t>SHRE PUSH CHEM &amp; FERT LTD</t>
  </si>
  <si>
    <t>SHREERAMA</t>
  </si>
  <si>
    <t>SHREE RAMA MULTI TECH LTD</t>
  </si>
  <si>
    <t>SHREYANIND</t>
  </si>
  <si>
    <t>SHREYANS INDUSTRIES LTD</t>
  </si>
  <si>
    <t>SHREYAS</t>
  </si>
  <si>
    <t>SHREYAS SHIPPING &amp; LOGIST</t>
  </si>
  <si>
    <t>SHRIRAMCIT</t>
  </si>
  <si>
    <t>SHRIRAM CITYUNI FIN.LTD.</t>
  </si>
  <si>
    <t>SHRIRAMEPC</t>
  </si>
  <si>
    <t>SHRIRAM EPC LTD.</t>
  </si>
  <si>
    <t>SHUBHLAXMI</t>
  </si>
  <si>
    <t>SHUBHLAXMI JEWEL ART LTD</t>
  </si>
  <si>
    <t>SHYAMCENT</t>
  </si>
  <si>
    <t>SHYAM CENTURY FERROUS LTD</t>
  </si>
  <si>
    <t>SHYAMMETL</t>
  </si>
  <si>
    <t>SHYAM METALICS AND ENGY L</t>
  </si>
  <si>
    <t>SICAL</t>
  </si>
  <si>
    <t>SICAL LOGISTICS LIMITED</t>
  </si>
  <si>
    <t>SIDDHIKA</t>
  </si>
  <si>
    <t>SIDDHIKA COATINGS LIMITED</t>
  </si>
  <si>
    <t>SIGIND</t>
  </si>
  <si>
    <t>SIGNET INDUSTRIES LIMITED</t>
  </si>
  <si>
    <t>SIGMA</t>
  </si>
  <si>
    <t>SIGMA SOLVE LIMITED</t>
  </si>
  <si>
    <t>SILGO</t>
  </si>
  <si>
    <t>SILGO RETAIL LIMITED</t>
  </si>
  <si>
    <t>SILINV</t>
  </si>
  <si>
    <t>SIL INVESTMENTS LIMITED</t>
  </si>
  <si>
    <t>SILVERTUC</t>
  </si>
  <si>
    <t>SILVER TOUCH TECHNO LTD</t>
  </si>
  <si>
    <t>SIMPLEXINF</t>
  </si>
  <si>
    <t>SIMPLEX INFRASTRUCTURES L</t>
  </si>
  <si>
    <t>SINTERCOM</t>
  </si>
  <si>
    <t>SINTERCOM INDIA LIMITED</t>
  </si>
  <si>
    <t>SIRCA</t>
  </si>
  <si>
    <t>SIRCA PAINT INDIA LIMITED</t>
  </si>
  <si>
    <t>SIS</t>
  </si>
  <si>
    <t>SIS LIMITED</t>
  </si>
  <si>
    <t>SIYSIL</t>
  </si>
  <si>
    <t>SIYARAM SILK MILLS LTD</t>
  </si>
  <si>
    <t>SJVN</t>
  </si>
  <si>
    <t>SJVN LTD</t>
  </si>
  <si>
    <t>SKFINDIA</t>
  </si>
  <si>
    <t>SKF INDIA LTD</t>
  </si>
  <si>
    <t>SKIPPER</t>
  </si>
  <si>
    <t>SKIPPER LIMITED</t>
  </si>
  <si>
    <t>SKMEGGPROD</t>
  </si>
  <si>
    <t>SKM EGG PROD EXPORT(I) LT</t>
  </si>
  <si>
    <t>SMARTLINK</t>
  </si>
  <si>
    <t>SMARTLINK HOLDINGS LTD</t>
  </si>
  <si>
    <t>SMCGLOBAL</t>
  </si>
  <si>
    <t>SMC GLOBAL SECURITIES LTD</t>
  </si>
  <si>
    <t>SMLISUZU</t>
  </si>
  <si>
    <t>SML ISUZU LIMITED</t>
  </si>
  <si>
    <t>SMSLIFE</t>
  </si>
  <si>
    <t>SMS LIFESCIENCES (I) LTD</t>
  </si>
  <si>
    <t>SMSPHARMA</t>
  </si>
  <si>
    <t>SMS PHARMACEUTICALS LTD.</t>
  </si>
  <si>
    <t>SNOWMAN</t>
  </si>
  <si>
    <t>SNOWMAN LOGISTICS LTD.</t>
  </si>
  <si>
    <t>SOBHA</t>
  </si>
  <si>
    <t>SOBHA LIMITED</t>
  </si>
  <si>
    <t>SOLARA</t>
  </si>
  <si>
    <t>SOLARA ACTIVE PHA SCI LTD</t>
  </si>
  <si>
    <t>SOLARINDS</t>
  </si>
  <si>
    <t>SOLAR INDUSTRIES (I) LTD</t>
  </si>
  <si>
    <t>SOLEX</t>
  </si>
  <si>
    <t>SOLEX ENERGY LIMITED</t>
  </si>
  <si>
    <t>SOMICONVEY</t>
  </si>
  <si>
    <t>SOMI CONVEYOR BELT. LTD.</t>
  </si>
  <si>
    <t>SONACOMS</t>
  </si>
  <si>
    <t>SONA BLW PRECISION FRGS L</t>
  </si>
  <si>
    <t>SONAMCLOCK</t>
  </si>
  <si>
    <t>SONAM CLOCK LIMITED</t>
  </si>
  <si>
    <t>SONATSOFTW</t>
  </si>
  <si>
    <t>SONATA SOFTWARE LTD</t>
  </si>
  <si>
    <t>SORILINFRA</t>
  </si>
  <si>
    <t>SORIL INFRA RESOURCES LTD</t>
  </si>
  <si>
    <t>SOTL</t>
  </si>
  <si>
    <t>SAVITA OIL TECHNOLO. LTD</t>
  </si>
  <si>
    <t>SOUTHBANK</t>
  </si>
  <si>
    <t>THE SOUTH INDIAN BANK LTD</t>
  </si>
  <si>
    <t>SOUTHWEST</t>
  </si>
  <si>
    <t>SOUTH WEST PINNACLE LTD</t>
  </si>
  <si>
    <t>SPAL</t>
  </si>
  <si>
    <t>S. P. APPARELS LIMITED</t>
  </si>
  <si>
    <t>SPANDANA</t>
  </si>
  <si>
    <t>SPANDANA SPHOORTY FIN LTD</t>
  </si>
  <si>
    <t>SPARC</t>
  </si>
  <si>
    <t>SUN PHARMA ADV.RES.CO.LTD</t>
  </si>
  <si>
    <t>SPECIALITY</t>
  </si>
  <si>
    <t>SPECIALITY REST LTD</t>
  </si>
  <si>
    <t>SPENCERS</t>
  </si>
  <si>
    <t>SPENCER'S RETAIL LIMITED</t>
  </si>
  <si>
    <t>SPIC</t>
  </si>
  <si>
    <t>SPIC LTD</t>
  </si>
  <si>
    <t>SPICEJET</t>
  </si>
  <si>
    <t>SPICEJET LIMITED</t>
  </si>
  <si>
    <t>SPLIL</t>
  </si>
  <si>
    <t>SPL INDUSTRIES LIMITED</t>
  </si>
  <si>
    <t>SREEL</t>
  </si>
  <si>
    <t>SREELEATHERS LIMITED</t>
  </si>
  <si>
    <t>SREINFRA</t>
  </si>
  <si>
    <t>SREI INFRASTRUCTURE FINAN</t>
  </si>
  <si>
    <t>SRF</t>
  </si>
  <si>
    <t>SRF LTD</t>
  </si>
  <si>
    <t>SRHHYPOLTD</t>
  </si>
  <si>
    <t>SREE RAYALSEEMA HHP LTD.</t>
  </si>
  <si>
    <t>SRIPIPES</t>
  </si>
  <si>
    <t>SRIKALAHASTHI PIPES LTD</t>
  </si>
  <si>
    <t>SRTRANSFIN</t>
  </si>
  <si>
    <t>SHRIRAM TRANSPORT FIN CO.</t>
  </si>
  <si>
    <t>SSINFRA</t>
  </si>
  <si>
    <t>S S INFRA DEVP CONSL LTD</t>
  </si>
  <si>
    <t>SSWL</t>
  </si>
  <si>
    <t>STEEL STRIPS WHEELS LTD.</t>
  </si>
  <si>
    <t>STAR</t>
  </si>
  <si>
    <t>STRIDES PHARMA SCI LTD</t>
  </si>
  <si>
    <t>STARCEMENT</t>
  </si>
  <si>
    <t>STAR CEMENT LIMITED</t>
  </si>
  <si>
    <t>STARPAPER</t>
  </si>
  <si>
    <t>STAR PAPER MILLS LTD</t>
  </si>
  <si>
    <t>STCINDIA</t>
  </si>
  <si>
    <t>THE STATE TRADING CORPN</t>
  </si>
  <si>
    <t>STEELCITY</t>
  </si>
  <si>
    <t>STEEL CITY SECURITIES LTD</t>
  </si>
  <si>
    <t>STEELXIND</t>
  </si>
  <si>
    <t>STEEL EXCHANGE INDIA LTD</t>
  </si>
  <si>
    <t>STEL</t>
  </si>
  <si>
    <t>STEL HOLDINGS LIMITED</t>
  </si>
  <si>
    <t>STERTOOLS</t>
  </si>
  <si>
    <t>STERLING TOOLS LIMITED</t>
  </si>
  <si>
    <t>STLTECH</t>
  </si>
  <si>
    <t>STERLITE TECHNOLOGIES LTD</t>
  </si>
  <si>
    <t>STOVEKRAFT</t>
  </si>
  <si>
    <t>STOVE KRAFT LIMITED</t>
  </si>
  <si>
    <t>SUBEXLTD</t>
  </si>
  <si>
    <t>SUBEX LTD</t>
  </si>
  <si>
    <t>SUBROS</t>
  </si>
  <si>
    <t>SUBROS LIMITED</t>
  </si>
  <si>
    <t>SUDARSCHEM</t>
  </si>
  <si>
    <t>SUDARSHAN CHEMICAL INDS L</t>
  </si>
  <si>
    <t>SUMICHEM</t>
  </si>
  <si>
    <t>SUMITOMO CHEM INDIA LTD</t>
  </si>
  <si>
    <t>SUMIT</t>
  </si>
  <si>
    <t>SUMIT WOODS LIMITED</t>
  </si>
  <si>
    <t>SUMMITSEC</t>
  </si>
  <si>
    <t>SUMMIT SECURITIES LTD</t>
  </si>
  <si>
    <t>SUNCLAYLTD</t>
  </si>
  <si>
    <t>SUNDARAM CLAYTON LIMITED</t>
  </si>
  <si>
    <t>SUNDARMFIN</t>
  </si>
  <si>
    <t>SUNDARAM FINANCE LTD</t>
  </si>
  <si>
    <t>SUNDARMHLD</t>
  </si>
  <si>
    <t>SUNDARAM FINANCE HOLD LTD</t>
  </si>
  <si>
    <t>SUNDRMBRAK</t>
  </si>
  <si>
    <t>SUNDARAM BRAK LININGS LTD</t>
  </si>
  <si>
    <t>SUNDRMFAST</t>
  </si>
  <si>
    <t>SUNDRAM FASTENERS LTD</t>
  </si>
  <si>
    <t>SUNFLAG</t>
  </si>
  <si>
    <t>SUNFLAG IRON AND STEEL CO</t>
  </si>
  <si>
    <t>SUNTECK</t>
  </si>
  <si>
    <t>SUNTECK REALTY LIMITED</t>
  </si>
  <si>
    <t>SUNTV</t>
  </si>
  <si>
    <t>SUN TV NETWORK LIMITED</t>
  </si>
  <si>
    <t>SUPERHOUSE</t>
  </si>
  <si>
    <t>SUPERHOUSE LIMITED</t>
  </si>
  <si>
    <t>SUPRAJIT</t>
  </si>
  <si>
    <t>SUPRAJIT ENGINEERING LTD</t>
  </si>
  <si>
    <t>SUPREMEIND</t>
  </si>
  <si>
    <t>SUPREME INDUSTRIES LTD</t>
  </si>
  <si>
    <t>SURANASOL</t>
  </si>
  <si>
    <t>SURANA SOLAR LIMITED</t>
  </si>
  <si>
    <t>SURANAT&amp;P</t>
  </si>
  <si>
    <t>SURANA TELECOM AND POW LT</t>
  </si>
  <si>
    <t>SURYAROSNI</t>
  </si>
  <si>
    <t>SURYA ROSHNI LTD</t>
  </si>
  <si>
    <t>SURYODAY</t>
  </si>
  <si>
    <t>SURYODAY SMALL FIN BK LTD</t>
  </si>
  <si>
    <t>SUTLEJTEX</t>
  </si>
  <si>
    <t>SUTLEJ TEXT &amp; INDUS LTD</t>
  </si>
  <si>
    <t>SUULD</t>
  </si>
  <si>
    <t>SUUMAYA INDUSTRIES LTD</t>
  </si>
  <si>
    <t>SUVEN</t>
  </si>
  <si>
    <t>SUVEN LIFE SCIENCES LTD</t>
  </si>
  <si>
    <t>SUVENPHAR</t>
  </si>
  <si>
    <t>SUVEN PHARMACEUTICALS LTD</t>
  </si>
  <si>
    <t>SUVIDHAA</t>
  </si>
  <si>
    <t>SUVIDHAA INFOSERVE LTD</t>
  </si>
  <si>
    <t>SUZLON</t>
  </si>
  <si>
    <t>SUZLON ENERGY LIMITED</t>
  </si>
  <si>
    <t>SVPGLOB</t>
  </si>
  <si>
    <t>SVP GLOBAL VENTURES LTD</t>
  </si>
  <si>
    <t>SWANENERGY</t>
  </si>
  <si>
    <t>SWAN ENERGY LIMITED</t>
  </si>
  <si>
    <t>SWARAJENG</t>
  </si>
  <si>
    <t>SWARAJ ENGINES LTD</t>
  </si>
  <si>
    <t>SWELECTES</t>
  </si>
  <si>
    <t>SWELECT ENERGY SYS LTD</t>
  </si>
  <si>
    <t>SWSOLAR</t>
  </si>
  <si>
    <t>STERLING &amp; WILSON SO LTD</t>
  </si>
  <si>
    <t>SYMPHONY</t>
  </si>
  <si>
    <t>SYMPHONY LIMITED</t>
  </si>
  <si>
    <t>SYNGENE</t>
  </si>
  <si>
    <t>SYNGENE INTERNATIONAL LTD</t>
  </si>
  <si>
    <t>TAINWALCHM</t>
  </si>
  <si>
    <t>TAINWALA CHEMICAL AND PLA</t>
  </si>
  <si>
    <t>TAJGVK</t>
  </si>
  <si>
    <t>TAJ GVK HOTELS &amp; RESORTS</t>
  </si>
  <si>
    <t>TAKE</t>
  </si>
  <si>
    <t>TAKE SOLUTIONS LTD</t>
  </si>
  <si>
    <t>TALBROAUTO</t>
  </si>
  <si>
    <t>TALBROS AUTO. COMP. LTD</t>
  </si>
  <si>
    <t>TARC</t>
  </si>
  <si>
    <t>TARC LIMITED</t>
  </si>
  <si>
    <t>TARMAT</t>
  </si>
  <si>
    <t>TARMAT LIMITED</t>
  </si>
  <si>
    <t>TASTYBITE</t>
  </si>
  <si>
    <t>TASTY BITE EATABLES LTD</t>
  </si>
  <si>
    <t>TATACHEM</t>
  </si>
  <si>
    <t>TATA CHEMICALS LTD</t>
  </si>
  <si>
    <t>TATACOFFEE</t>
  </si>
  <si>
    <t>TATA COFFEE LIMITED</t>
  </si>
  <si>
    <t>TATACOMM</t>
  </si>
  <si>
    <t>TATA COMMUNICATIONS LTD</t>
  </si>
  <si>
    <t>TATAELXSI</t>
  </si>
  <si>
    <t>TATA ELXSI LIMITED</t>
  </si>
  <si>
    <t>TATAINVEST</t>
  </si>
  <si>
    <t>TATA INVESTMENT CORP LTD</t>
  </si>
  <si>
    <t>TATAMETALI</t>
  </si>
  <si>
    <t>TATA METALIKS LTD</t>
  </si>
  <si>
    <t>TATAMTRDVR</t>
  </si>
  <si>
    <t>TATA MOTORS DVR 'A' ORD</t>
  </si>
  <si>
    <t>TATAPOWER</t>
  </si>
  <si>
    <t>TATA POWER CO LTD</t>
  </si>
  <si>
    <t>TATASTLBSL</t>
  </si>
  <si>
    <t>TATA STEEL BSL LIMITED</t>
  </si>
  <si>
    <t>TBZ</t>
  </si>
  <si>
    <t>TRIB BHIMJI ZAVERI LTD</t>
  </si>
  <si>
    <t>TCI</t>
  </si>
  <si>
    <t>TRANSPORT CORPN OF INDIA</t>
  </si>
  <si>
    <t>TCIDEVELOP</t>
  </si>
  <si>
    <t>TCI DEVELOPERS LIMITED</t>
  </si>
  <si>
    <t>TCIEXP</t>
  </si>
  <si>
    <t>TCI EXPRESS LIMITED</t>
  </si>
  <si>
    <t>TCIFINANCE</t>
  </si>
  <si>
    <t>TCI FINANCE LTD</t>
  </si>
  <si>
    <t>TCNSBRANDS</t>
  </si>
  <si>
    <t>TCNS CLOTHING CO. LIMITED</t>
  </si>
  <si>
    <t>TCPLPACK</t>
  </si>
  <si>
    <t>TCPL PACKAGING LIMITED</t>
  </si>
  <si>
    <t>TDPOWERSYS</t>
  </si>
  <si>
    <t>TD POWER SYSTEMS LTD.</t>
  </si>
  <si>
    <t>TEAMLEASE</t>
  </si>
  <si>
    <t>TEAMLEASE SERVICES LTD.</t>
  </si>
  <si>
    <t>TECHNOE</t>
  </si>
  <si>
    <t>TECHNO ELEC &amp; ENG CO. LTD</t>
  </si>
  <si>
    <t>TERASOFT</t>
  </si>
  <si>
    <t>TERA SOFTWARE LIMITED</t>
  </si>
  <si>
    <t>TEXINFRA</t>
  </si>
  <si>
    <t>TEXMACO INFRA &amp; HOLDG LTD</t>
  </si>
  <si>
    <t>TEXMOPIPES</t>
  </si>
  <si>
    <t>TEXMO PIPE &amp; PRODUCTS LTD</t>
  </si>
  <si>
    <t>TEXRAIL</t>
  </si>
  <si>
    <t>TEXMACO RAIL &amp; ENG. LTD.</t>
  </si>
  <si>
    <t>TFCILTD</t>
  </si>
  <si>
    <t>TOURISM FINANCE CORP. OF</t>
  </si>
  <si>
    <t>THANGAMAYL</t>
  </si>
  <si>
    <t>THANGAMAYIL JEWELLERY LTD</t>
  </si>
  <si>
    <t>THEINVEST</t>
  </si>
  <si>
    <t>THE INVEST TRUST OF IND L</t>
  </si>
  <si>
    <t>THEJO</t>
  </si>
  <si>
    <t>THEJO ENGINEERING LIMITED</t>
  </si>
  <si>
    <t>THEMISMED</t>
  </si>
  <si>
    <t>THEMIS MEDICARE LTD.</t>
  </si>
  <si>
    <t>THERMAX</t>
  </si>
  <si>
    <t>THERMAX LTD</t>
  </si>
  <si>
    <t>THOMASCOOK</t>
  </si>
  <si>
    <t>THOMAS COOK (INDIA) LTD</t>
  </si>
  <si>
    <t>THYROCARE</t>
  </si>
  <si>
    <t>THYROCARE TECH LTD</t>
  </si>
  <si>
    <t>TI</t>
  </si>
  <si>
    <t>TILAKNAGAR INDUSTRIES LTD</t>
  </si>
  <si>
    <t>TIIL</t>
  </si>
  <si>
    <t>TECHNOCRAFT IND LTD</t>
  </si>
  <si>
    <t>TIINDIA</t>
  </si>
  <si>
    <t>TUBE INVEST OF INDIA LTD</t>
  </si>
  <si>
    <t>TIJARIA</t>
  </si>
  <si>
    <t>TIJARIA POLYPIPES LTD</t>
  </si>
  <si>
    <t>TIMESGTY</t>
  </si>
  <si>
    <t>TIMES GUARANTY LIMITED</t>
  </si>
  <si>
    <t>TIMETECHNO</t>
  </si>
  <si>
    <t>TIME TECHNOPLAST LTD.</t>
  </si>
  <si>
    <t>TIMKEN</t>
  </si>
  <si>
    <t>TIMKEN INDIA LTD.</t>
  </si>
  <si>
    <t>TINPLATE</t>
  </si>
  <si>
    <t>THE TINPLATE CO. (I) LTD</t>
  </si>
  <si>
    <t>TIRUMALCHM</t>
  </si>
  <si>
    <t>THIRUMALAI CHEMICALS LTD</t>
  </si>
  <si>
    <t>TNPETRO</t>
  </si>
  <si>
    <t>TAMILNADU PETROPRODUCTS L</t>
  </si>
  <si>
    <t>TNPL</t>
  </si>
  <si>
    <t>TAMILNADU NEWSPRT &amp; PAPER</t>
  </si>
  <si>
    <t>TOKYOPLAST</t>
  </si>
  <si>
    <t>TOKYO PLAST INTL LTD</t>
  </si>
  <si>
    <t>TORNTPOWER</t>
  </si>
  <si>
    <t>TORRENT POWER LTD</t>
  </si>
  <si>
    <t>TOTAL</t>
  </si>
  <si>
    <t>TOTAL TRANSPORT SYS LTD</t>
  </si>
  <si>
    <t>TOUCHWOOD</t>
  </si>
  <si>
    <t>TOUCHWOOD ENTERTAIN LTD.</t>
  </si>
  <si>
    <t>TPLPLASTEH</t>
  </si>
  <si>
    <t>TPL PLASTECH LIMITED</t>
  </si>
  <si>
    <t>TRANSWIND</t>
  </si>
  <si>
    <t>TRANSWIND INFRA LIMITED</t>
  </si>
  <si>
    <t>TREJHARA</t>
  </si>
  <si>
    <t>TREJHARA SOLUTIONS LTD</t>
  </si>
  <si>
    <t>TRENT</t>
  </si>
  <si>
    <t>TRENT LTD</t>
  </si>
  <si>
    <t>TRIDENT</t>
  </si>
  <si>
    <t>TRIDENT LIMITED</t>
  </si>
  <si>
    <t>TRIGYN</t>
  </si>
  <si>
    <t>TRIGYN TECHNOLOGIES LTD</t>
  </si>
  <si>
    <t>TRIL</t>
  </si>
  <si>
    <t>TRANS &amp; RECTI. LTD</t>
  </si>
  <si>
    <t>TRITURBINE</t>
  </si>
  <si>
    <t>TRIVENI TURBINE LIMITED</t>
  </si>
  <si>
    <t>TRIVENI</t>
  </si>
  <si>
    <t>TRIVENI ENGG. &amp; INDS. LTD</t>
  </si>
  <si>
    <t>TTKHLTCARE</t>
  </si>
  <si>
    <t>TTK HEALTHCARE LIMITED</t>
  </si>
  <si>
    <t>TTKPRESTIG</t>
  </si>
  <si>
    <t>TTK PRESTIGE LTD</t>
  </si>
  <si>
    <t>TV18BRDCST</t>
  </si>
  <si>
    <t>TV18 BROADCAST LIMITED</t>
  </si>
  <si>
    <t>TVSELECT</t>
  </si>
  <si>
    <t>TVS ELECTRONICS LTD</t>
  </si>
  <si>
    <t>TVSMOTOR</t>
  </si>
  <si>
    <t>TVS MOTOR COMPANY  LTD</t>
  </si>
  <si>
    <t>TVSSRICHAK</t>
  </si>
  <si>
    <t>TVS SRICHAKRA LIMITED</t>
  </si>
  <si>
    <t>TVTODAY</t>
  </si>
  <si>
    <t>TV TODAY NETWORK LTD</t>
  </si>
  <si>
    <t>TWL</t>
  </si>
  <si>
    <t>TITAGARH WAGONS LTD.</t>
  </si>
  <si>
    <t>UCALFUEL</t>
  </si>
  <si>
    <t>UCAL FUEL SYSTEMS LTD</t>
  </si>
  <si>
    <t>UCL</t>
  </si>
  <si>
    <t>USHANTI COLOUR CHEM LTD</t>
  </si>
  <si>
    <t>UCOBANK</t>
  </si>
  <si>
    <t>UCO BANK</t>
  </si>
  <si>
    <t>UFLEX</t>
  </si>
  <si>
    <t>UFLEX LIMITED</t>
  </si>
  <si>
    <t>UFO</t>
  </si>
  <si>
    <t>UFO MOVIEZ INDIA LTD.</t>
  </si>
  <si>
    <t>UGARSUGAR</t>
  </si>
  <si>
    <t>THE UGAR SUGAR WORKS LTD</t>
  </si>
  <si>
    <t>UJJIVAN</t>
  </si>
  <si>
    <t>UJJIVAN FIN. SERVC. LTD.</t>
  </si>
  <si>
    <t>UJJIVANSFB</t>
  </si>
  <si>
    <t>UJJIVAN SMALL FINANC BANK</t>
  </si>
  <si>
    <t>UMANGDAIRY</t>
  </si>
  <si>
    <t>UMANG DAIRIES LIMITED</t>
  </si>
  <si>
    <t>UNICHEMLAB</t>
  </si>
  <si>
    <t>UNICHEM LABORATORIES LTD</t>
  </si>
  <si>
    <t>UNIDT</t>
  </si>
  <si>
    <t>UNITED DRILLING TOOLS LTD</t>
  </si>
  <si>
    <t>UNIENTER</t>
  </si>
  <si>
    <t>UNIPHOS ENTERPRISES LTD</t>
  </si>
  <si>
    <t>UNIONBANK</t>
  </si>
  <si>
    <t>UNION BANK OF INDIA</t>
  </si>
  <si>
    <t>UNITEDTEA</t>
  </si>
  <si>
    <t>UNITED NILGIRI TEA LTD</t>
  </si>
  <si>
    <t>UNIVASTU</t>
  </si>
  <si>
    <t>UNIVASTU INDIA LIMITED</t>
  </si>
  <si>
    <t>UNIVCABLES</t>
  </si>
  <si>
    <t>UNIVERSAL CABLES LTD</t>
  </si>
  <si>
    <t>UNIVPHOTO</t>
  </si>
  <si>
    <t>UNIVERSUS IMAGINGS LTD</t>
  </si>
  <si>
    <t>URJA</t>
  </si>
  <si>
    <t>URJA GLOBAL LIMITED</t>
  </si>
  <si>
    <t>USHAMART</t>
  </si>
  <si>
    <t>USHA MARTIN LTD.</t>
  </si>
  <si>
    <t>UTIAMC</t>
  </si>
  <si>
    <t>UTI ASSET MNGMT CO LTD</t>
  </si>
  <si>
    <t>UTTAMSTL</t>
  </si>
  <si>
    <t>UTTAM GALVA STEELS LTD</t>
  </si>
  <si>
    <t>V2RETAIL</t>
  </si>
  <si>
    <t>V2 RETAIL LIMITED</t>
  </si>
  <si>
    <t>VADILALIND</t>
  </si>
  <si>
    <t>VADILAL INDUSTRIES LTD</t>
  </si>
  <si>
    <t>VAIBHAVGBL</t>
  </si>
  <si>
    <t>VAIBHAV GLOBAL LIMITED</t>
  </si>
  <si>
    <t>VAISHALI</t>
  </si>
  <si>
    <t>VAISHALI PHARMA LIMITED</t>
  </si>
  <si>
    <t>VAKRANGEE</t>
  </si>
  <si>
    <t>VAKRANGEE LIMITED</t>
  </si>
  <si>
    <t>VALIANTORG</t>
  </si>
  <si>
    <t>VALIANT ORGANICS LIMITED</t>
  </si>
  <si>
    <t>VARDHACRLC</t>
  </si>
  <si>
    <t>VARDHAMAN ACRYLICS LTD</t>
  </si>
  <si>
    <t>VARDMNPOLY</t>
  </si>
  <si>
    <t>VARDHMAN POLYTEX LTD.</t>
  </si>
  <si>
    <t>VARROC</t>
  </si>
  <si>
    <t>VARROC ENGINEERING LTD.</t>
  </si>
  <si>
    <t>VASCONEQ</t>
  </si>
  <si>
    <t>VASCON ENGINEERS LTD</t>
  </si>
  <si>
    <t>VASWANI</t>
  </si>
  <si>
    <t>VASWANI IND LTD</t>
  </si>
  <si>
    <t>VBL</t>
  </si>
  <si>
    <t>VARUN BEVERAGES LIMITED</t>
  </si>
  <si>
    <t>VCL</t>
  </si>
  <si>
    <t>VAXTEX COTFAB LIMITED</t>
  </si>
  <si>
    <t>VEDL</t>
  </si>
  <si>
    <t>VEDANTA LIMITED</t>
  </si>
  <si>
    <t>VENKEYS</t>
  </si>
  <si>
    <t>VENKY'S (INDIA) LIMITED</t>
  </si>
  <si>
    <t>VENUSREM</t>
  </si>
  <si>
    <t>VENUS REMEDIES LIMITED</t>
  </si>
  <si>
    <t>VERTOZ</t>
  </si>
  <si>
    <t>VERTOZ ADVERTISING LTD</t>
  </si>
  <si>
    <t>VESUVIUS</t>
  </si>
  <si>
    <t>VESUVIUS INDIA LTD</t>
  </si>
  <si>
    <t>VETO</t>
  </si>
  <si>
    <t>VETO SWITCHGEAR CABLE LTD</t>
  </si>
  <si>
    <t>VGUARD</t>
  </si>
  <si>
    <t>V-GUARD IND LTD.</t>
  </si>
  <si>
    <t>VHL</t>
  </si>
  <si>
    <t>VARDHMAN HOLDINGS LIMITED</t>
  </si>
  <si>
    <t>VIDHIING</t>
  </si>
  <si>
    <t>VIDHI SPCLTY F INGRDNTS L</t>
  </si>
  <si>
    <t>VIKASLIFE</t>
  </si>
  <si>
    <t>VIKAS LIFECARE LIMITED</t>
  </si>
  <si>
    <t>VIKASPROP</t>
  </si>
  <si>
    <t>VIKAS PROP &amp; GRANITE LTD</t>
  </si>
  <si>
    <t>VIKASWSP</t>
  </si>
  <si>
    <t>VIKAS WSP LIMITED</t>
  </si>
  <si>
    <t>VIMTALABS</t>
  </si>
  <si>
    <t>VIMTA LABS LIMITED</t>
  </si>
  <si>
    <t>VINATIORGA</t>
  </si>
  <si>
    <t>VINATI ORGANICS LTD</t>
  </si>
  <si>
    <t>VINDHYATEL</t>
  </si>
  <si>
    <t>VINDHYA TELELINKS LTD</t>
  </si>
  <si>
    <t>VINEETLAB</t>
  </si>
  <si>
    <t>VINEET LABORATORIES LTD</t>
  </si>
  <si>
    <t>VINYLINDIA</t>
  </si>
  <si>
    <t>VINYL CHEMICALS (I) LTD.</t>
  </si>
  <si>
    <t>VIPCLOTHNG</t>
  </si>
  <si>
    <t>VIP CLOTHING LIMITED</t>
  </si>
  <si>
    <t>VIPIND</t>
  </si>
  <si>
    <t>VIP INDUSTRIES LTD</t>
  </si>
  <si>
    <t>VISAKAIND</t>
  </si>
  <si>
    <t>VISAKA INDUSTRIES LIMITED</t>
  </si>
  <si>
    <t>VISHAL</t>
  </si>
  <si>
    <t>VISHAL FABRICS LIMITED</t>
  </si>
  <si>
    <t>VISHNU</t>
  </si>
  <si>
    <t>VISHNU CHEMICALS LIMITED</t>
  </si>
  <si>
    <t>VISHWARAJ</t>
  </si>
  <si>
    <t>VISHWARAJ SUGAR IND LTD</t>
  </si>
  <si>
    <t>VLSFINANCE</t>
  </si>
  <si>
    <t>VLS FINANCE LTD</t>
  </si>
  <si>
    <t>VMARCIND</t>
  </si>
  <si>
    <t>V MARC INDIA LIMITED</t>
  </si>
  <si>
    <t>VMART</t>
  </si>
  <si>
    <t>VMART RETAIL LTD</t>
  </si>
  <si>
    <t>VOLTAMP</t>
  </si>
  <si>
    <t>VOLTAMP TRANSFORMERS LTD</t>
  </si>
  <si>
    <t>VOLTAS</t>
  </si>
  <si>
    <t>VOLTAS LTD</t>
  </si>
  <si>
    <t>VRLLOG</t>
  </si>
  <si>
    <t>VRL LOGISTICS LIMITED</t>
  </si>
  <si>
    <t>VSCL</t>
  </si>
  <si>
    <t>VADIVARHE SPCLTY CHEM LTD</t>
  </si>
  <si>
    <t>VSSL</t>
  </si>
  <si>
    <t>VARDHMAN SPC STEEL LTD</t>
  </si>
  <si>
    <t>VSTIND</t>
  </si>
  <si>
    <t>VST INDUSTRIES LTD</t>
  </si>
  <si>
    <t>VSTTILLERS</t>
  </si>
  <si>
    <t>VST TILLERS TRACTORS LTD</t>
  </si>
  <si>
    <t>VTL</t>
  </si>
  <si>
    <t>VARDHMAN TEXTILES LIMITED</t>
  </si>
  <si>
    <t>WABAG</t>
  </si>
  <si>
    <t>VA TECH WABAG LTD</t>
  </si>
  <si>
    <t>WABCOINDIA</t>
  </si>
  <si>
    <t>WABCO INDIA LIMITED</t>
  </si>
  <si>
    <t>WALCHANNAG</t>
  </si>
  <si>
    <t>WALCHANDNAGAR INDUSTRIES</t>
  </si>
  <si>
    <t>WATERBASE</t>
  </si>
  <si>
    <t>WATERBASE LIMITED</t>
  </si>
  <si>
    <t>WEBELSOLAR</t>
  </si>
  <si>
    <t>WEBSOL ENERGY SYSTEM LTD</t>
  </si>
  <si>
    <t>WEIZMANIND</t>
  </si>
  <si>
    <t>WEIZMANN LTD</t>
  </si>
  <si>
    <t>WELCORP</t>
  </si>
  <si>
    <t>WELSPUN CORP LIMITED</t>
  </si>
  <si>
    <t>WELENT</t>
  </si>
  <si>
    <t>WELSPUN ENTERPRISES LTD.</t>
  </si>
  <si>
    <t>WELINV</t>
  </si>
  <si>
    <t>WELSPUN INV &amp; COMM LTD</t>
  </si>
  <si>
    <t>WELSPUNIND</t>
  </si>
  <si>
    <t>WELSPUN INDIA LTD</t>
  </si>
  <si>
    <t>WENDT</t>
  </si>
  <si>
    <t>WENDT (INDIA) LIMITED</t>
  </si>
  <si>
    <t>WESTLIFE</t>
  </si>
  <si>
    <t>WESTLIFE DEVELOPMENT LTD</t>
  </si>
  <si>
    <t>WEWIN</t>
  </si>
  <si>
    <t>WE WIN LIMITED</t>
  </si>
  <si>
    <t>WFL</t>
  </si>
  <si>
    <t>WONDER FIBROMATS LIMITED</t>
  </si>
  <si>
    <t>WHEELS</t>
  </si>
  <si>
    <t>WHEELS INDIA LTD</t>
  </si>
  <si>
    <t>WHIRLPOOL</t>
  </si>
  <si>
    <t>WHIRLPOOL OF INDIA LTD</t>
  </si>
  <si>
    <t>WILLAMAGOR</t>
  </si>
  <si>
    <t>WILLIAMSON MAGOR</t>
  </si>
  <si>
    <t>WINDMACHIN</t>
  </si>
  <si>
    <t>WINDSOR MACHINES LIMITED</t>
  </si>
  <si>
    <t>WOCKPHARMA</t>
  </si>
  <si>
    <t>WOCKHARDT LIMITED</t>
  </si>
  <si>
    <t>WONDERLA</t>
  </si>
  <si>
    <t>WONDERLA HOLIDAYS LTD.</t>
  </si>
  <si>
    <t>WORTH</t>
  </si>
  <si>
    <t>WORTH PERIPHERALS LIMITED</t>
  </si>
  <si>
    <t>WSTCSTPAPR</t>
  </si>
  <si>
    <t>WEST COAST PAPER MILLS LT</t>
  </si>
  <si>
    <t>XCHANGING</t>
  </si>
  <si>
    <t>XCHANGING SOLUTIONS LTD</t>
  </si>
  <si>
    <t>XELPMOC</t>
  </si>
  <si>
    <t>XELPMOC DESIGN &amp; TECH LTD</t>
  </si>
  <si>
    <t>YESBANK</t>
  </si>
  <si>
    <t>YES BANK LIMITED</t>
  </si>
  <si>
    <t>ZEEL</t>
  </si>
  <si>
    <t>ZEE ENTERTAINMENT ENT LTD</t>
  </si>
  <si>
    <t>ZEELEARN</t>
  </si>
  <si>
    <t>ZEE LEARN LIMITED</t>
  </si>
  <si>
    <t>ZEEMEDIA</t>
  </si>
  <si>
    <t>ZEE MEDIA CORPORATION LTD</t>
  </si>
  <si>
    <t>ZENSARTECH</t>
  </si>
  <si>
    <t>ZENSAR TECHNOLOGIES  LTD</t>
  </si>
  <si>
    <t>ZENTEC</t>
  </si>
  <si>
    <t>ZEN TECHNOLOGIES LIMITED</t>
  </si>
  <si>
    <t>ZODIAC</t>
  </si>
  <si>
    <t>ZODIAC ENERGY LIMITED</t>
  </si>
  <si>
    <t>ZODIACLOTH</t>
  </si>
  <si>
    <t>ZODIAC CLOTHING CO. LTD.</t>
  </si>
  <si>
    <t>ZOTA</t>
  </si>
  <si>
    <t>ZOTA HEALTH CARE LIMITED</t>
  </si>
  <si>
    <t>ZUARI</t>
  </si>
  <si>
    <t>ZUARI AGRO CHEMICALS LTD</t>
  </si>
  <si>
    <t>ZUARIGLOB</t>
  </si>
  <si>
    <t>ZUARI GLOBAL LIMITED</t>
  </si>
  <si>
    <t>ZYDUSWELL</t>
  </si>
  <si>
    <t>ZYDUS WELLNESS LIMITED</t>
  </si>
  <si>
    <t>BT</t>
  </si>
  <si>
    <t>TRADE FOR TRADE STOCKS</t>
  </si>
  <si>
    <t>BE</t>
  </si>
  <si>
    <t>3IINFOTECH</t>
  </si>
  <si>
    <t>3I INFOTECH LTD.</t>
  </si>
  <si>
    <t>63MOONS</t>
  </si>
  <si>
    <t>63 MOONS TECHNOLOGIES LTD</t>
  </si>
  <si>
    <t>A2ZINFRA</t>
  </si>
  <si>
    <t>A2Z INFRA ENGINEERING LTD</t>
  </si>
  <si>
    <t>AARON</t>
  </si>
  <si>
    <t>AARON INDUSTRIES LIMITED</t>
  </si>
  <si>
    <t>AARVEEDEN</t>
  </si>
  <si>
    <t>AARVEE DEN. &amp; EXP. LTD</t>
  </si>
  <si>
    <t>ABAN</t>
  </si>
  <si>
    <t>ABAN OFFSHORE LTD.</t>
  </si>
  <si>
    <t>ADANIGREEN</t>
  </si>
  <si>
    <t>ADANI GREEN ENERGY LTD</t>
  </si>
  <si>
    <t>ADANIPOWER</t>
  </si>
  <si>
    <t>ADANI POWER LTD</t>
  </si>
  <si>
    <t>ADANITRANS</t>
  </si>
  <si>
    <t>ADANI TRANSMISSION LTD</t>
  </si>
  <si>
    <t>ADL</t>
  </si>
  <si>
    <t>ARCHIDPLY DECOR LIMITED</t>
  </si>
  <si>
    <t>ADROITINFO</t>
  </si>
  <si>
    <t>ADROIT INFOTECH LIMITED</t>
  </si>
  <si>
    <t>AFFLE</t>
  </si>
  <si>
    <t>AFFLE (INDIA) LIMITED</t>
  </si>
  <si>
    <t>AGCNET</t>
  </si>
  <si>
    <t>AGC NETWORKS LIMITED</t>
  </si>
  <si>
    <t>AIRAN</t>
  </si>
  <si>
    <t>AIRAN LIMITED</t>
  </si>
  <si>
    <t>AJOONI</t>
  </si>
  <si>
    <t>AJOONI BIOTECH LIMITED</t>
  </si>
  <si>
    <t>AKSHOPTFBR</t>
  </si>
  <si>
    <t>AKSH OPTIFIBRE  LTD</t>
  </si>
  <si>
    <t>ALPA</t>
  </si>
  <si>
    <t>ALPA LABORATORIES LTD</t>
  </si>
  <si>
    <t>ALPSINDUS</t>
  </si>
  <si>
    <t>ALPS INDUSTRIES LTD.</t>
  </si>
  <si>
    <t>ANANTRAJ</t>
  </si>
  <si>
    <t>ANANT RAJ LIMITED</t>
  </si>
  <si>
    <t>ANDHRACEMT</t>
  </si>
  <si>
    <t>ANDHRA CEMENTS LIMITED</t>
  </si>
  <si>
    <t>ANKITMETAL</t>
  </si>
  <si>
    <t>ANKIT MET &amp; POW LTD</t>
  </si>
  <si>
    <t>ANSALAPI</t>
  </si>
  <si>
    <t>ANSAL PROP &amp; INFRA LTD</t>
  </si>
  <si>
    <t>ANTGRAPHIC</t>
  </si>
  <si>
    <t>ANTARCTICA LTD</t>
  </si>
  <si>
    <t>ARCHIDPLY</t>
  </si>
  <si>
    <t>ARCHIDPLY IND. LTD</t>
  </si>
  <si>
    <t>ARIHANT</t>
  </si>
  <si>
    <t>ARIHANT FOUN &amp; HOU LTD</t>
  </si>
  <si>
    <t>ARIHANTSUP</t>
  </si>
  <si>
    <t>ARIHANT SUPERSTRUCT LTD</t>
  </si>
  <si>
    <t>ARROWGREEN</t>
  </si>
  <si>
    <t>ARROW GREENTECH LIMITED</t>
  </si>
  <si>
    <t>ARSSINFRA</t>
  </si>
  <si>
    <t>ARSS INFRA PROJ. LTD</t>
  </si>
  <si>
    <t>ARTEMISMED</t>
  </si>
  <si>
    <t>ARTEMIS MED SERVICE LTD</t>
  </si>
  <si>
    <t>ARVEE</t>
  </si>
  <si>
    <t>ARVEE LABORATORIES I LTD</t>
  </si>
  <si>
    <t>ASAL</t>
  </si>
  <si>
    <t>AUTOMOTIVE STAMPINGS &amp; AS</t>
  </si>
  <si>
    <t>ASHAPURMIN</t>
  </si>
  <si>
    <t>ASHAPURA MINECHEM LTD</t>
  </si>
  <si>
    <t>ASHIMASYN</t>
  </si>
  <si>
    <t>ASHIMA LTD</t>
  </si>
  <si>
    <t>ATGL</t>
  </si>
  <si>
    <t>ADANI TOTAL GAS LIMITED</t>
  </si>
  <si>
    <t>ATLANTA</t>
  </si>
  <si>
    <t>ATLANTA LIMITED</t>
  </si>
  <si>
    <t>AUTOIND</t>
  </si>
  <si>
    <t>AUTOLINE INDUSTRIES LTD</t>
  </si>
  <si>
    <t>AXISCADES</t>
  </si>
  <si>
    <t>AXISCADES TECH LTD</t>
  </si>
  <si>
    <t>BAGFILMS</t>
  </si>
  <si>
    <t>B.A.G FILMS AND MEDIA LTD</t>
  </si>
  <si>
    <t>BAJAJHIND</t>
  </si>
  <si>
    <t>BAJAJ HINDUSTHAN SUGAR LT</t>
  </si>
  <si>
    <t>BALPHARMA</t>
  </si>
  <si>
    <t>BAL PHARMA LTD.</t>
  </si>
  <si>
    <t>BANSWRAS</t>
  </si>
  <si>
    <t>BANSWARA SYNTEX LIMITED</t>
  </si>
  <si>
    <t>BASML</t>
  </si>
  <si>
    <t>BANNARI AM SPIN MILL LTD.</t>
  </si>
  <si>
    <t>BCP</t>
  </si>
  <si>
    <t>B.C. POWER CONTROLS LTD</t>
  </si>
  <si>
    <t>BEARDSELL</t>
  </si>
  <si>
    <t>BEARDSELL LIMITED</t>
  </si>
  <si>
    <t>BEDMUTHA</t>
  </si>
  <si>
    <t>BEDMUTHA INDUST LTD</t>
  </si>
  <si>
    <t>BGLOBAL</t>
  </si>
  <si>
    <t>BHARATIYA GLOBAL INFO LTD</t>
  </si>
  <si>
    <t>BIL</t>
  </si>
  <si>
    <t>BHARTIYA INETRNATIONAL LT</t>
  </si>
  <si>
    <t>BIRLACABLE</t>
  </si>
  <si>
    <t>BIRLA CABLE LIMITED</t>
  </si>
  <si>
    <t>BKMINDST</t>
  </si>
  <si>
    <t>BKM INDUSTRIES LIMITED</t>
  </si>
  <si>
    <t>BLUECHIP</t>
  </si>
  <si>
    <t>BLUE CHIP INDIA LIMITED</t>
  </si>
  <si>
    <t>BORORENEW</t>
  </si>
  <si>
    <t>BOROSIL RENEWABLES LTD</t>
  </si>
  <si>
    <t>BRFL</t>
  </si>
  <si>
    <t>BOMBAY RAYON FASHIONS LTD</t>
  </si>
  <si>
    <t>BURNPUR</t>
  </si>
  <si>
    <t>BURNPUR CEMENT LTD.</t>
  </si>
  <si>
    <t>BUTTERFLY</t>
  </si>
  <si>
    <t>BTRFLY GANDHI APPL LTD</t>
  </si>
  <si>
    <t>BVCL</t>
  </si>
  <si>
    <t>BARAK VALLEY CEM. LTD.</t>
  </si>
  <si>
    <t>BYKE</t>
  </si>
  <si>
    <t>THE BYKE HOSPITALITY LTD</t>
  </si>
  <si>
    <t>CALSOFT</t>
  </si>
  <si>
    <t>CALIFORNIA SOFTWARE CO LT</t>
  </si>
  <si>
    <t>CASTEXTECH</t>
  </si>
  <si>
    <t>CASTEX TECHNOLOGIES LTD.</t>
  </si>
  <si>
    <t>CCCL</t>
  </si>
  <si>
    <t>CONS. CONST. CONSORT LTD</t>
  </si>
  <si>
    <t>CCHHL</t>
  </si>
  <si>
    <t>COUNTRY CLUB HOSP HOL LTD</t>
  </si>
  <si>
    <t>CGPOWER</t>
  </si>
  <si>
    <t>CG POWER AND IND SOL LTD</t>
  </si>
  <si>
    <t>CINEVISTA</t>
  </si>
  <si>
    <t>CINEVISTA LIMITED</t>
  </si>
  <si>
    <t>COMPUSOFT</t>
  </si>
  <si>
    <t>COMPUCOM SOFTWARE LTD</t>
  </si>
  <si>
    <t>COUNCODOS</t>
  </si>
  <si>
    <t>COUNTRY CONDO'S LIMITED</t>
  </si>
  <si>
    <t>CUBEXTUB</t>
  </si>
  <si>
    <t>CUBEXTUBINGS-ROLLSETT</t>
  </si>
  <si>
    <t>DALALSTCOM</t>
  </si>
  <si>
    <t>DSJ KEEP LEARNING LTD</t>
  </si>
  <si>
    <t>DANGEE</t>
  </si>
  <si>
    <t>DANGEE DUMS LIMITED</t>
  </si>
  <si>
    <t>DBSTOCKBRO</t>
  </si>
  <si>
    <t>DB (INT) STOCK BROKERS</t>
  </si>
  <si>
    <t>DCM</t>
  </si>
  <si>
    <t>DCM LIMITED</t>
  </si>
  <si>
    <t>DEEPAKFERT</t>
  </si>
  <si>
    <t>DEEPAK FERTILIZERS DEPO</t>
  </si>
  <si>
    <t>DELTAMAGNT</t>
  </si>
  <si>
    <t>DELTA MANUFACTURING LTD</t>
  </si>
  <si>
    <t>DGCONTENT</t>
  </si>
  <si>
    <t>DIGICONTENT LIMITED</t>
  </si>
  <si>
    <t>DIGISPICE</t>
  </si>
  <si>
    <t>DIGISPICE TECHNOLOGIES LT</t>
  </si>
  <si>
    <t>DRCSYSTEMS</t>
  </si>
  <si>
    <t>DRC SYSTEMS INDIA LIMITED</t>
  </si>
  <si>
    <t>DUCON</t>
  </si>
  <si>
    <t>DUCON INFRATECHNOLOGIES L</t>
  </si>
  <si>
    <t>EASTSILK</t>
  </si>
  <si>
    <t>EASTERN SILK INDUSTRIES L</t>
  </si>
  <si>
    <t>ECLERX</t>
  </si>
  <si>
    <t>ECLERX SERVICES LTD</t>
  </si>
  <si>
    <t>EKC</t>
  </si>
  <si>
    <t>EVEREST KANTO CYLINDERLTD</t>
  </si>
  <si>
    <t>ESSARSHPNG</t>
  </si>
  <si>
    <t>ESSAR SHIPPING LTD</t>
  </si>
  <si>
    <t>EUROTEXIND</t>
  </si>
  <si>
    <t>EUROTEX IND &amp; EXPORTS LTD</t>
  </si>
  <si>
    <t>EXCEL</t>
  </si>
  <si>
    <t>EXCEL REALTY N INFRA LTD</t>
  </si>
  <si>
    <t>EXPLEOSOL</t>
  </si>
  <si>
    <t>EXPLEO SOLUTIONS LIMITED</t>
  </si>
  <si>
    <t>FCSSOFT</t>
  </si>
  <si>
    <t>FCS SOFTWARE SOLN. LTD.</t>
  </si>
  <si>
    <t>FLEXITUFF</t>
  </si>
  <si>
    <t>FLEXITUFF VENTURES INT L</t>
  </si>
  <si>
    <t>FSC</t>
  </si>
  <si>
    <t>FUTURE SUPP CHAIN SOL LTD</t>
  </si>
  <si>
    <t>GAL</t>
  </si>
  <si>
    <t>GYSCOAL ALLOYS LTD</t>
  </si>
  <si>
    <t>GANESHHOUC</t>
  </si>
  <si>
    <t>GANESH HOUSING CORP LTD</t>
  </si>
  <si>
    <t>GANGOTRI</t>
  </si>
  <si>
    <t>GANGOTRI TEXTILES LTD.</t>
  </si>
  <si>
    <t>GAYAHWS</t>
  </si>
  <si>
    <t>GAYATRI HIGHWAYS LIMITED</t>
  </si>
  <si>
    <t>GDL</t>
  </si>
  <si>
    <t>GATEWAY DISTRIPARKS LTD.</t>
  </si>
  <si>
    <t>GFSTEELS</t>
  </si>
  <si>
    <t>GRAND FOUNDRY LTD</t>
  </si>
  <si>
    <t>GLOBE</t>
  </si>
  <si>
    <t>GLOBE TEXTILES (I) LTD.</t>
  </si>
  <si>
    <t>GLOBUSSPR</t>
  </si>
  <si>
    <t>GLOBUS SPIRITS LTD</t>
  </si>
  <si>
    <t>GOACARBON</t>
  </si>
  <si>
    <t>GOA CARBON LIMITED</t>
  </si>
  <si>
    <t>GODHA</t>
  </si>
  <si>
    <t>GODHA CABCON INSULAT LTD</t>
  </si>
  <si>
    <t>GOLDENTOBC</t>
  </si>
  <si>
    <t>GOLDEN TOBACCO LIMITED</t>
  </si>
  <si>
    <t>GPIL</t>
  </si>
  <si>
    <t>GODAWARI POW &amp; ISP LTD</t>
  </si>
  <si>
    <t>GREENPANEL</t>
  </si>
  <si>
    <t>GREENPANEL INDUSTRIES LTD</t>
  </si>
  <si>
    <t>GUJRAFFIA</t>
  </si>
  <si>
    <t>GUJARAT RAFFIA INDUST LTD</t>
  </si>
  <si>
    <t>GULPOLY</t>
  </si>
  <si>
    <t>GULSHAN POLYOLS LIMITED</t>
  </si>
  <si>
    <t>HAVISHA</t>
  </si>
  <si>
    <t>SRI HAVISHA HOSP &amp; INFR L</t>
  </si>
  <si>
    <t>HFCL</t>
  </si>
  <si>
    <t>HFCL LIMITED</t>
  </si>
  <si>
    <t>HGS</t>
  </si>
  <si>
    <t>HINDUJA GLOBAL SOLS. LTD.</t>
  </si>
  <si>
    <t>HILTON</t>
  </si>
  <si>
    <t>HILTON METAL FORGING LTD</t>
  </si>
  <si>
    <t>HINDNATGLS</t>
  </si>
  <si>
    <t>HIND NATL GLASS &amp; IND LTD</t>
  </si>
  <si>
    <t>HNDFDS</t>
  </si>
  <si>
    <t>HINDUSTAN FOODS LIMITED</t>
  </si>
  <si>
    <t>HOTELRUGBY</t>
  </si>
  <si>
    <t>HOTEL RUGBY LTD</t>
  </si>
  <si>
    <t>HUBTOWN</t>
  </si>
  <si>
    <t>HUBTOWN LIMITED</t>
  </si>
  <si>
    <t>ICDSLTD</t>
  </si>
  <si>
    <t>IIFL</t>
  </si>
  <si>
    <t>IIFL FINANCE LIMITED</t>
  </si>
  <si>
    <t>IMAGICAA</t>
  </si>
  <si>
    <t>IMAGICAAWORLD ENT LTD</t>
  </si>
  <si>
    <t>IMPEXFERRO</t>
  </si>
  <si>
    <t>IMPEX FERRO TECH LIMITED</t>
  </si>
  <si>
    <t>INDORAMA</t>
  </si>
  <si>
    <t>INDO RAMA SYNTHETICS LTD</t>
  </si>
  <si>
    <t>INDOTHAI</t>
  </si>
  <si>
    <t>INDO THAI SEC LTD</t>
  </si>
  <si>
    <t>INDSWFTLTD</t>
  </si>
  <si>
    <t>IND-SWIFT LIMITED</t>
  </si>
  <si>
    <t>INFOBEAN</t>
  </si>
  <si>
    <t>INFOBEANS TECHNO. LTD.</t>
  </si>
  <si>
    <t>INTEGRA</t>
  </si>
  <si>
    <t>INTEGRA GARMENT &amp; TEX LTD</t>
  </si>
  <si>
    <t>ISMTLTD</t>
  </si>
  <si>
    <t>ISMT LIMITED</t>
  </si>
  <si>
    <t>IVC</t>
  </si>
  <si>
    <t>IL&amp;FS INVESTMENT MANAGERS</t>
  </si>
  <si>
    <t>IWEL</t>
  </si>
  <si>
    <t>INOX WIND ENERGY LIMITED</t>
  </si>
  <si>
    <t>JAYNECOIND</t>
  </si>
  <si>
    <t>JAYASWAL NECO INDUSTR LTD</t>
  </si>
  <si>
    <t>JBFIND</t>
  </si>
  <si>
    <t>JBF INDUS LTD -DEP-LS ML</t>
  </si>
  <si>
    <t>JIKIND</t>
  </si>
  <si>
    <t>JIK INDUSTRIES LTD</t>
  </si>
  <si>
    <t>JINDALPHOT</t>
  </si>
  <si>
    <t>JINDAL PHOTO LIMITED</t>
  </si>
  <si>
    <t>JINDCOT</t>
  </si>
  <si>
    <t>JINDAL COTEX LTD</t>
  </si>
  <si>
    <t>JISLDVREQS</t>
  </si>
  <si>
    <t>JAIN DVR EQUITY SHARES</t>
  </si>
  <si>
    <t>JITFINFRA</t>
  </si>
  <si>
    <t>JITF INFRALOGISTICS LTD</t>
  </si>
  <si>
    <t>JIYAECO</t>
  </si>
  <si>
    <t>JIYA ECO-PRODUCTS LTD</t>
  </si>
  <si>
    <t>JPASSOCIAT</t>
  </si>
  <si>
    <t>JAIPRAKASH ASSOCIATES LTD</t>
  </si>
  <si>
    <t>JPINFRATEC</t>
  </si>
  <si>
    <t>JAYPEE INFRATECH LTD</t>
  </si>
  <si>
    <t>JPOLYINVST</t>
  </si>
  <si>
    <t>JIND POL INV &amp; FIN CO LTD</t>
  </si>
  <si>
    <t>JSWISPL</t>
  </si>
  <si>
    <t>JSW ISPAT SPE PRO LTD</t>
  </si>
  <si>
    <t>KALYANIFRG</t>
  </si>
  <si>
    <t>KALYANI FORGE LIMITED</t>
  </si>
  <si>
    <t>KAMATHOTEL</t>
  </si>
  <si>
    <t>KAMAT HOTELS (I) LTD</t>
  </si>
  <si>
    <t>KANANIIND</t>
  </si>
  <si>
    <t>KANANI INDUSTRIES LTD</t>
  </si>
  <si>
    <t>KAPSTON</t>
  </si>
  <si>
    <t>KAPSTON FACILITIES MGMT L</t>
  </si>
  <si>
    <t>KARDA</t>
  </si>
  <si>
    <t>KARDA CONSTRUCTIONS LTD</t>
  </si>
  <si>
    <t>KARMAENG</t>
  </si>
  <si>
    <t>KARMA ENERGY LIMITED</t>
  </si>
  <si>
    <t>KAUSHALYA</t>
  </si>
  <si>
    <t>KAUSHALYA INFRA DEV LTD.</t>
  </si>
  <si>
    <t>KAVVERITEL</t>
  </si>
  <si>
    <t>KAVVERI TEL. LTD.</t>
  </si>
  <si>
    <t>KDDL</t>
  </si>
  <si>
    <t>KDDL LIMITED</t>
  </si>
  <si>
    <t>KECL</t>
  </si>
  <si>
    <t>KIRLOSKAR ELECTRIC CO LTD</t>
  </si>
  <si>
    <t>KERNEX</t>
  </si>
  <si>
    <t>KERNEX MICROSYS(I) LTD</t>
  </si>
  <si>
    <t>KHAITANLTD</t>
  </si>
  <si>
    <t>KHAITAN (INDIA)LTD.</t>
  </si>
  <si>
    <t>KILITCH</t>
  </si>
  <si>
    <t>KILITCH DRUGS INDIA LTD</t>
  </si>
  <si>
    <t>KIRLOSBROS</t>
  </si>
  <si>
    <t>KIRLOSKAR BROTHERS LTD</t>
  </si>
  <si>
    <t>KOPRAN</t>
  </si>
  <si>
    <t>KOPRAN LTD</t>
  </si>
  <si>
    <t>KRIDHANINF</t>
  </si>
  <si>
    <t>KRIDHAN INFRA LIMITED</t>
  </si>
  <si>
    <t>LCCINFOTEC</t>
  </si>
  <si>
    <t>LCC INFOTECH LTD</t>
  </si>
  <si>
    <t>LGBFORGE</t>
  </si>
  <si>
    <t>LGB FORGE LIMITED</t>
  </si>
  <si>
    <t>LINCPEN</t>
  </si>
  <si>
    <t>LINC PEN &amp; PLASTICS LTD</t>
  </si>
  <si>
    <t>LOKESHMACH</t>
  </si>
  <si>
    <t>LOKESH MACHINES LTD</t>
  </si>
  <si>
    <t>LOTUSEYE</t>
  </si>
  <si>
    <t>LOTUS EYE HOSP &amp; INST L</t>
  </si>
  <si>
    <t>LOVABLE</t>
  </si>
  <si>
    <t>LOVABLE LINGERIE LTD</t>
  </si>
  <si>
    <t>LPDC</t>
  </si>
  <si>
    <t>LANDMARK PR.DEV.CO.LTD</t>
  </si>
  <si>
    <t>LSIL</t>
  </si>
  <si>
    <t>LLOYDS STEELS IND. LTD.</t>
  </si>
  <si>
    <t>LYKALABS</t>
  </si>
  <si>
    <t>LYKA LABS LTD.</t>
  </si>
  <si>
    <t>MAGMA</t>
  </si>
  <si>
    <t>MAGMA FINCORP LIMITED</t>
  </si>
  <si>
    <t>MAHAPEXLTD</t>
  </si>
  <si>
    <t>MAHA RASHTRA APEX COPR. L</t>
  </si>
  <si>
    <t>MANAKALUCO</t>
  </si>
  <si>
    <t>MANAK ALUMINIUM CO. LTD.</t>
  </si>
  <si>
    <t>MANALIPETC</t>
  </si>
  <si>
    <t>MANALI PETROCHEMICALS LT</t>
  </si>
  <si>
    <t>MANGTIMBER</t>
  </si>
  <si>
    <t>MANGALAM TIMBER PRODUCTS</t>
  </si>
  <si>
    <t>MANUGRAPH</t>
  </si>
  <si>
    <t>MANUGRAPH INDIA LIMITED</t>
  </si>
  <si>
    <t>MASKINVEST</t>
  </si>
  <si>
    <t>MASK INVESTMENTS LIMITED</t>
  </si>
  <si>
    <t>MAWANASUG</t>
  </si>
  <si>
    <t>MAWANA SUGARS LIMITED</t>
  </si>
  <si>
    <t>MBECL</t>
  </si>
  <si>
    <t>MCNALLY BH. ENG. CO.LTD</t>
  </si>
  <si>
    <t>MCDHOLDING</t>
  </si>
  <si>
    <t>MCDOWELL HOLDINGS LTD.</t>
  </si>
  <si>
    <t>MCLEODRUSS</t>
  </si>
  <si>
    <t>MCLEOD RUSSEL INDIA LTD.</t>
  </si>
  <si>
    <t>MEGASOFT</t>
  </si>
  <si>
    <t>MEGASOFT LTD</t>
  </si>
  <si>
    <t>MERCATOR</t>
  </si>
  <si>
    <t>MERCATOR LIMITED</t>
  </si>
  <si>
    <t>MODIRUBBER</t>
  </si>
  <si>
    <t>MODI RUBBER LTD</t>
  </si>
  <si>
    <t>MOHITIND</t>
  </si>
  <si>
    <t>MOHIT INDUSTRIES LTD</t>
  </si>
  <si>
    <t>MSPL</t>
  </si>
  <si>
    <t>MSP STEEL &amp; POWER LTD.</t>
  </si>
  <si>
    <t>MTEDUCARE</t>
  </si>
  <si>
    <t>MT EDUCARE LTD</t>
  </si>
  <si>
    <t>MUKANDENGG</t>
  </si>
  <si>
    <t>MUKAND ENGINEERS LIMITED</t>
  </si>
  <si>
    <t>MUKANDLTD</t>
  </si>
  <si>
    <t>MUKAND LTD.</t>
  </si>
  <si>
    <t>NAGAFERT</t>
  </si>
  <si>
    <t>NAGARJUN FERT AND CHE LTD</t>
  </si>
  <si>
    <t>NAHARSPING</t>
  </si>
  <si>
    <t>NAHAR SPINNING MILLS LTD.</t>
  </si>
  <si>
    <t>NATNLSTEEL</t>
  </si>
  <si>
    <t>NATIONAL STEEL &amp; AGRO IND</t>
  </si>
  <si>
    <t>NDL</t>
  </si>
  <si>
    <t>NANDAN DENIM LIMITED</t>
  </si>
  <si>
    <t>NEULANDLAB</t>
  </si>
  <si>
    <t>NEULAND LAB LTD.</t>
  </si>
  <si>
    <t>NEWGEN</t>
  </si>
  <si>
    <t>NEWGEN SOFTWARE TECH LTD</t>
  </si>
  <si>
    <t>NIBL</t>
  </si>
  <si>
    <t>NRB INDUS. BEARINGS LTD.</t>
  </si>
  <si>
    <t>NILASPACES</t>
  </si>
  <si>
    <t>NILA SPACES LIMITED</t>
  </si>
  <si>
    <t>NKIND</t>
  </si>
  <si>
    <t>NKINDUSTRIES LTD</t>
  </si>
  <si>
    <t>NTL</t>
  </si>
  <si>
    <t>NEUEON TOWERS LIMITED</t>
  </si>
  <si>
    <t>OILCOUNTUB</t>
  </si>
  <si>
    <t>OIL COUNTRY TUBULAR LTD.</t>
  </si>
  <si>
    <t>OLECTRA</t>
  </si>
  <si>
    <t>OLECTRA GREENTECH LIMITED</t>
  </si>
  <si>
    <t>ONEPOINT</t>
  </si>
  <si>
    <t>ONE POINT ONE SOL LTD</t>
  </si>
  <si>
    <t>ONWARDTEC</t>
  </si>
  <si>
    <t>ONWARD TECHNOLOGIES LTD.</t>
  </si>
  <si>
    <t>OPTIEMUS</t>
  </si>
  <si>
    <t>OPTIEMUS INFRACOM LTD</t>
  </si>
  <si>
    <t>OPTOCIRCUI</t>
  </si>
  <si>
    <t>OPTO CIRCUITS (I) LTD</t>
  </si>
  <si>
    <t>ORCHPHARMA</t>
  </si>
  <si>
    <t>ORCHID PHARMA LIMITED</t>
  </si>
  <si>
    <t>PALASHSECU</t>
  </si>
  <si>
    <t>PALASH SECURITIES LTD</t>
  </si>
  <si>
    <t>PATSPINLTD</t>
  </si>
  <si>
    <t>PATSPIN INDIALTD.</t>
  </si>
  <si>
    <t>PDPL</t>
  </si>
  <si>
    <t>PARENTERAL DRUGS LTD</t>
  </si>
  <si>
    <t>PENINLAND</t>
  </si>
  <si>
    <t>PENINSULA LAND LIMITED</t>
  </si>
  <si>
    <t>PFOCUS</t>
  </si>
  <si>
    <t>PRIME FOCUS LIMITED</t>
  </si>
  <si>
    <t>PKTEA</t>
  </si>
  <si>
    <t>THE P K TEA PROD CO LTD</t>
  </si>
  <si>
    <t>PNBHOUSING</t>
  </si>
  <si>
    <t>PNB HOUSING FIN LTD.</t>
  </si>
  <si>
    <t>PNC</t>
  </si>
  <si>
    <t>PRITISH NANDY COMMUNICATI</t>
  </si>
  <si>
    <t>PRADIP</t>
  </si>
  <si>
    <t>PRADIP OVERSEAS LTD</t>
  </si>
  <si>
    <t>PRAJIND</t>
  </si>
  <si>
    <t>PRAJ INDUST. LTD</t>
  </si>
  <si>
    <t>PRAKASHSTL</t>
  </si>
  <si>
    <t>PRAKASH STEELAGE LTD</t>
  </si>
  <si>
    <t>PREMIER</t>
  </si>
  <si>
    <t>PREMIER LIMITED</t>
  </si>
  <si>
    <t>PROINDIA</t>
  </si>
  <si>
    <t>PROSEED INDIA LTD</t>
  </si>
  <si>
    <t>PROZONINTU</t>
  </si>
  <si>
    <t>PROZONE INTU PROPRTIS LTD</t>
  </si>
  <si>
    <t>QUINTEGRA</t>
  </si>
  <si>
    <t>QUINTEGRA SOLUTIONS LTD.</t>
  </si>
  <si>
    <t>RADAAN</t>
  </si>
  <si>
    <t>RADAAN MEDIAWORKS (I) LTD</t>
  </si>
  <si>
    <t>RAJMET</t>
  </si>
  <si>
    <t>RAJNANDINI METAL LIMITED</t>
  </si>
  <si>
    <t>RAJRATAN</t>
  </si>
  <si>
    <t>RAJRATAN GLOBAL WIRE LTD</t>
  </si>
  <si>
    <t>RAJSREESUG</t>
  </si>
  <si>
    <t>RAJSHREESUGARS LTD</t>
  </si>
  <si>
    <t>RAJVIR</t>
  </si>
  <si>
    <t>RAJVIR INDUSTRIES LIMITED</t>
  </si>
  <si>
    <t>RAMKY</t>
  </si>
  <si>
    <t>RAMKY INFRA LTD</t>
  </si>
  <si>
    <t>REGENCERAM</t>
  </si>
  <si>
    <t>REGENCYCERAMICS-LTD</t>
  </si>
  <si>
    <t>RELINFRA</t>
  </si>
  <si>
    <t>RELIANCE INFRASTRUCTU LTD</t>
  </si>
  <si>
    <t>RENUKA</t>
  </si>
  <si>
    <t>SHREE RENUKA SUGARS LTD</t>
  </si>
  <si>
    <t>RHFL</t>
  </si>
  <si>
    <t>RELIANCE HOME FINANCE LTD</t>
  </si>
  <si>
    <t>ROHITFERRO</t>
  </si>
  <si>
    <t>ROHIT FERRO-TECH LIMITED</t>
  </si>
  <si>
    <t>RPOWER</t>
  </si>
  <si>
    <t>RELIANCE POWER LTD.</t>
  </si>
  <si>
    <t>RSSOFTWARE</t>
  </si>
  <si>
    <t>R. S. SOFTWARE (INDIA) LI</t>
  </si>
  <si>
    <t>RTNINDIA</t>
  </si>
  <si>
    <t>RATTANINDIA ENT LIMITED</t>
  </si>
  <si>
    <t>RTNPOWER</t>
  </si>
  <si>
    <t>RATTANINDIA POWER LIMITED</t>
  </si>
  <si>
    <t>RUCHINFRA</t>
  </si>
  <si>
    <t>RUCHI INFRASTRUCTURE LTD</t>
  </si>
  <si>
    <t>RUSHIL</t>
  </si>
  <si>
    <t>RUSHIL DECOR LIMITED</t>
  </si>
  <si>
    <t>S&amp;SPOWER</t>
  </si>
  <si>
    <t>S&amp;S POWER SWITCHGEARS</t>
  </si>
  <si>
    <t>SABEVENTS</t>
  </si>
  <si>
    <t>SAB EVENTS &amp; GOVERNANCE</t>
  </si>
  <si>
    <t>SABTN</t>
  </si>
  <si>
    <t>SRI ADHIKARI BROS.</t>
  </si>
  <si>
    <t>SAGARDEEP</t>
  </si>
  <si>
    <t>SAGARDEEP ALLOYS LIMITED</t>
  </si>
  <si>
    <t>SAKHTISUG</t>
  </si>
  <si>
    <t>SAKHTISUG SUGARS LTD</t>
  </si>
  <si>
    <t>SALSTEEL</t>
  </si>
  <si>
    <t>S.A.L. STEEL LTD.</t>
  </si>
  <si>
    <t>SAMBHAAV</t>
  </si>
  <si>
    <t>SAMBHAAV MEDIA LTD</t>
  </si>
  <si>
    <t>SANCO</t>
  </si>
  <si>
    <t>SANCO INDUSTRIES LIMITED</t>
  </si>
  <si>
    <t>SARDAEN</t>
  </si>
  <si>
    <t>SARDA ENERGY &amp; MIN LTD</t>
  </si>
  <si>
    <t>SAREGAMA</t>
  </si>
  <si>
    <t>SAREGAMA INDIA LIMITED</t>
  </si>
  <si>
    <t>SASTASUNDR</t>
  </si>
  <si>
    <t>SASTASUNDAR VENTURES LTD</t>
  </si>
  <si>
    <t>SATHAISPAT</t>
  </si>
  <si>
    <t>SATHAVAHANA ISPAT LTD</t>
  </si>
  <si>
    <t>SDBL</t>
  </si>
  <si>
    <t>SOM DIST &amp; BREW LTD</t>
  </si>
  <si>
    <t>SEPOWER</t>
  </si>
  <si>
    <t>S.E. POWER LIMITED</t>
  </si>
  <si>
    <t>SETUINFRA</t>
  </si>
  <si>
    <t>SETUBANDHAN INFRA LTD</t>
  </si>
  <si>
    <t>SHAHALLOYS</t>
  </si>
  <si>
    <t>SHAH ALLOYS LIMITED</t>
  </si>
  <si>
    <t>SHARDAMOTR</t>
  </si>
  <si>
    <t>SHARDA MOTOR INDS LTD</t>
  </si>
  <si>
    <t>SHEMAROO</t>
  </si>
  <si>
    <t>SHEMAROO ENTER. LTD.</t>
  </si>
  <si>
    <t>SHIL</t>
  </si>
  <si>
    <t>SOMANY HOM INNOVATION LTD</t>
  </si>
  <si>
    <t>SHIVAMAUTO</t>
  </si>
  <si>
    <t>SHIVAM AUTO.LTD</t>
  </si>
  <si>
    <t>SHRENIK</t>
  </si>
  <si>
    <t>SHRENIK LIMITED</t>
  </si>
  <si>
    <t>SHRIPISTON</t>
  </si>
  <si>
    <t>SHRIRAM PIST. &amp; RING LTD</t>
  </si>
  <si>
    <t>SHYAMTEL</t>
  </si>
  <si>
    <t>SHYAM TELECOM LIMITED</t>
  </si>
  <si>
    <t>SICAGEN</t>
  </si>
  <si>
    <t>SICAGEN INDIA LIMITED</t>
  </si>
  <si>
    <t>SIL</t>
  </si>
  <si>
    <t>STANDARD INDUSTRIES LTD.</t>
  </si>
  <si>
    <t>SILLYMONKS</t>
  </si>
  <si>
    <t>SILLY MONKS ENTERTAIN LTD</t>
  </si>
  <si>
    <t>SIMBHALS</t>
  </si>
  <si>
    <t>SIMBHAOLI SUGARS LTD.</t>
  </si>
  <si>
    <t>SINTEX</t>
  </si>
  <si>
    <t>SINTEX INDUSTRIES LTD</t>
  </si>
  <si>
    <t>SITINET</t>
  </si>
  <si>
    <t>SITI NETWORKS LIMITED</t>
  </si>
  <si>
    <t>SKIL</t>
  </si>
  <si>
    <t>SKIL INFRASTRUCTURE LTD.</t>
  </si>
  <si>
    <t>SOMANYCERA</t>
  </si>
  <si>
    <t>SOMANY CERAMICS LIMITED</t>
  </si>
  <si>
    <t>SOMATEX</t>
  </si>
  <si>
    <t>SOMA TEXTILEI NDUSTRIES L</t>
  </si>
  <si>
    <t>SPCENET</t>
  </si>
  <si>
    <t>SPACENET ENTERS IND LTD</t>
  </si>
  <si>
    <t>SPMLINFRA</t>
  </si>
  <si>
    <t>SPML INFRA LIMITED</t>
  </si>
  <si>
    <t>SPTL</t>
  </si>
  <si>
    <t>SINTEX PLASTICS TECH LTD</t>
  </si>
  <si>
    <t>SPYL</t>
  </si>
  <si>
    <t>SHEKHAWATI POLY-YARN LTD.</t>
  </si>
  <si>
    <t>SRPL</t>
  </si>
  <si>
    <t>SHREE RAM PROTEINS LTD.</t>
  </si>
  <si>
    <t>STAMPEDE</t>
  </si>
  <si>
    <t>STAMPEDE CAPITAL LTD</t>
  </si>
  <si>
    <t>SUBCAPCITY</t>
  </si>
  <si>
    <t>INTERNATIONAL CONST LTD</t>
  </si>
  <si>
    <t>SUMEETINDS</t>
  </si>
  <si>
    <t>SUMEET IND LIMITED</t>
  </si>
  <si>
    <t>SUNDARAM</t>
  </si>
  <si>
    <t>SUNDARAM MULTI PAP LTD</t>
  </si>
  <si>
    <t>SUPERSPIN</t>
  </si>
  <si>
    <t>SUPER SPINNING MILLS LTD</t>
  </si>
  <si>
    <t>SUPPETRO</t>
  </si>
  <si>
    <t>SUPREME PETROCHEMICALS LT</t>
  </si>
  <si>
    <t>SUPREMEENG</t>
  </si>
  <si>
    <t>SUPREME ENGINEERING LTD</t>
  </si>
  <si>
    <t>SURYALAXMI</t>
  </si>
  <si>
    <t>SURYALAKSHMI COT MIL LTD</t>
  </si>
  <si>
    <t>TANLA</t>
  </si>
  <si>
    <t>TANLA PLATFORMS LIMITED</t>
  </si>
  <si>
    <t>TARAPUR</t>
  </si>
  <si>
    <t>TARAPUR TRANSFORMERS LTD</t>
  </si>
  <si>
    <t>TATASTLLP</t>
  </si>
  <si>
    <t>TATA STEEL LONG PRO LTD</t>
  </si>
  <si>
    <t>TECHIN</t>
  </si>
  <si>
    <t>TECHINDIA NIRMAN LIMITED</t>
  </si>
  <si>
    <t>TEJASNET</t>
  </si>
  <si>
    <t>TEJAS NETWORKS LIMITED</t>
  </si>
  <si>
    <t>TEMBO</t>
  </si>
  <si>
    <t>TEMBO GLOBAL IND LTD</t>
  </si>
  <si>
    <t>TFL</t>
  </si>
  <si>
    <t>TRANSWARRANTY FIN. LTD.</t>
  </si>
  <si>
    <t>TGBHOTELS</t>
  </si>
  <si>
    <t>TGB BANQUETS&amp;HOTELS LTD</t>
  </si>
  <si>
    <t>THOMASCOTT</t>
  </si>
  <si>
    <t>THOMAS SCOTT (INDIA) LTD</t>
  </si>
  <si>
    <t>TIDEWATER</t>
  </si>
  <si>
    <t>TIDE WATER OIL LTD</t>
  </si>
  <si>
    <t>TIL</t>
  </si>
  <si>
    <t>TIL LTD</t>
  </si>
  <si>
    <t>TIPSINDLTD</t>
  </si>
  <si>
    <t>TIPS INDUSTRIES LTD.</t>
  </si>
  <si>
    <t>TIRUPATIFL</t>
  </si>
  <si>
    <t>TIRUPATI FORGE LIMITED</t>
  </si>
  <si>
    <t>TMRVL</t>
  </si>
  <si>
    <t>THE MANDHANA RET VENT LTD</t>
  </si>
  <si>
    <t>TNTELE</t>
  </si>
  <si>
    <t>TAMILNADU TELECOMMUNICATI</t>
  </si>
  <si>
    <t>TREEHOUSE</t>
  </si>
  <si>
    <t>TREE HOUSE EDU LTD</t>
  </si>
  <si>
    <t>TRF</t>
  </si>
  <si>
    <t>TRF LIMITED</t>
  </si>
  <si>
    <t>TTL</t>
  </si>
  <si>
    <t>T T LIMITED</t>
  </si>
  <si>
    <t>TTML</t>
  </si>
  <si>
    <t>TATA TELESERV(MAHARASTRA)</t>
  </si>
  <si>
    <t>TVVISION</t>
  </si>
  <si>
    <t>TV VISION LIMITED</t>
  </si>
  <si>
    <t>UJAAS</t>
  </si>
  <si>
    <t>UJAAS ENERGY LIMITED</t>
  </si>
  <si>
    <t>UMESLTD</t>
  </si>
  <si>
    <t>USHA MARTIN EDU &amp; SOL LTD</t>
  </si>
  <si>
    <t>UTTAMSUGAR</t>
  </si>
  <si>
    <t>UTTAM SUGAR MILLS LTD.</t>
  </si>
  <si>
    <t>VIJIFIN</t>
  </si>
  <si>
    <t>VIJI FINANCE LIMITED</t>
  </si>
  <si>
    <t>VIKASECO</t>
  </si>
  <si>
    <t>VIKAS ECOTECH LIMITED</t>
  </si>
  <si>
    <t>VIPULLTD</t>
  </si>
  <si>
    <t>VIPUL LIMITED</t>
  </si>
  <si>
    <t>VISASTEEL</t>
  </si>
  <si>
    <t>VISA STEEL LIMITED</t>
  </si>
  <si>
    <t>VISESHINFO</t>
  </si>
  <si>
    <t>VISESH INFOTECNICS LTD</t>
  </si>
  <si>
    <t>VIVIDHA</t>
  </si>
  <si>
    <t>VISAGAR POLYTEX LTD</t>
  </si>
  <si>
    <t>VIVIMEDLAB</t>
  </si>
  <si>
    <t>VIVIMED LABS LIMITED</t>
  </si>
  <si>
    <t>WANBURY</t>
  </si>
  <si>
    <t>WANBURY LIMITED</t>
  </si>
  <si>
    <t>WEALTH</t>
  </si>
  <si>
    <t>WEALTH FRST PORT. MG. LTD</t>
  </si>
  <si>
    <t>WIPL</t>
  </si>
  <si>
    <t>THE WESTERN INDIA PLY LTD</t>
  </si>
  <si>
    <t>WSI</t>
  </si>
  <si>
    <t>W.S.INDUSTRIES (I) LTD.</t>
  </si>
  <si>
    <t>XPROINDIA</t>
  </si>
  <si>
    <t>XPRO INDIA LIMITED</t>
  </si>
  <si>
    <t>YAARII</t>
  </si>
  <si>
    <t>YAARII DIG INTEGR SER LTD</t>
  </si>
  <si>
    <t>ZENITHEXPO</t>
  </si>
  <si>
    <t>ZENITH EXPORTS LTD</t>
  </si>
  <si>
    <t>ZENITHSTL</t>
  </si>
  <si>
    <t>ZENITH STEEL PIP IND LTD</t>
  </si>
  <si>
    <t>ZODJRDMKJ</t>
  </si>
  <si>
    <t>ZODIAC JRD MKJ- LTD</t>
  </si>
  <si>
    <t>BZ</t>
  </si>
  <si>
    <t>ALCHEM</t>
  </si>
  <si>
    <t>ALCHEMIST LTD</t>
  </si>
  <si>
    <t>ARCOTECH</t>
  </si>
  <si>
    <t>ARCOTECH LIMITED</t>
  </si>
  <si>
    <t>ATLASCYCLE</t>
  </si>
  <si>
    <t>ATLAS CYCLE (HARYANA) LTD</t>
  </si>
  <si>
    <t>AUTOLITIND</t>
  </si>
  <si>
    <t>AUTOLITE (INDIA) LIMITED</t>
  </si>
  <si>
    <t>BALLARPUR</t>
  </si>
  <si>
    <t>BALLARPUR INDUSTRIES LTD</t>
  </si>
  <si>
    <t>BARTRONICS</t>
  </si>
  <si>
    <t>BARTRONICS INDIA LIMITED</t>
  </si>
  <si>
    <t>BILENERGY</t>
  </si>
  <si>
    <t>BIL ENERGY SYSTEMS LTD</t>
  </si>
  <si>
    <t>CANDC</t>
  </si>
  <si>
    <t>C&amp;C CONST. LTD</t>
  </si>
  <si>
    <t>CHROMATIC</t>
  </si>
  <si>
    <t>CHROMATIC INDIA LTD</t>
  </si>
  <si>
    <t>COX&amp;KINGS</t>
  </si>
  <si>
    <t>COX &amp; KINGS LIMITED</t>
  </si>
  <si>
    <t>DIAPOWER</t>
  </si>
  <si>
    <t>DIAMOND POWER INFRA LTD</t>
  </si>
  <si>
    <t>DQE</t>
  </si>
  <si>
    <t>DQ ENTERTAINMENT INT LTD</t>
  </si>
  <si>
    <t>EASUNREYRL</t>
  </si>
  <si>
    <t>EASUN REYROLLE LTD</t>
  </si>
  <si>
    <t>EDUCOMP</t>
  </si>
  <si>
    <t>EDUCOMP SOLUTIONS LTD</t>
  </si>
  <si>
    <t>EMCO</t>
  </si>
  <si>
    <t>EMCO LIMITED</t>
  </si>
  <si>
    <t>EUROMULTI</t>
  </si>
  <si>
    <t>EURO MULTIVISION LTD</t>
  </si>
  <si>
    <t>GOENKA</t>
  </si>
  <si>
    <t>GOENKA DIAMOND&amp;JEWELS LTD</t>
  </si>
  <si>
    <t>GVKPIL</t>
  </si>
  <si>
    <t>GVK POW. &amp; INFRA LTD.</t>
  </si>
  <si>
    <t>HDIL</t>
  </si>
  <si>
    <t>HOUSING DEV &amp; INFRA LTD</t>
  </si>
  <si>
    <t>HMT</t>
  </si>
  <si>
    <t>HMT LTD -</t>
  </si>
  <si>
    <t>IL&amp;FSENGG</t>
  </si>
  <si>
    <t>IL&amp;FS ENG AND CONS CO LTD</t>
  </si>
  <si>
    <t>IL&amp;FSTRANS</t>
  </si>
  <si>
    <t>IL&amp;FS TRANS NET LTD</t>
  </si>
  <si>
    <t>INDOSOLAR</t>
  </si>
  <si>
    <t>INDOSOLAR LIMITED</t>
  </si>
  <si>
    <t>JAINSTUDIO</t>
  </si>
  <si>
    <t>JAIN STUDIOS LIMITED</t>
  </si>
  <si>
    <t>JETAIRWAYS</t>
  </si>
  <si>
    <t>JET AIRWAYS (INDIA) LTD.</t>
  </si>
  <si>
    <t>JYOTISTRUC</t>
  </si>
  <si>
    <t>JYOTI STRUCTURES LTD</t>
  </si>
  <si>
    <t>LAKPRE</t>
  </si>
  <si>
    <t>LAKSHMI PRE SCRE LTD</t>
  </si>
  <si>
    <t>MELSTAR</t>
  </si>
  <si>
    <t>MELSTAR INFORMATION TECH</t>
  </si>
  <si>
    <t>METALFORGE</t>
  </si>
  <si>
    <t>METALYST FORGINGS LIMITED</t>
  </si>
  <si>
    <t>NITINFIRE</t>
  </si>
  <si>
    <t>NITIN FIRE PROT IND. LTD.</t>
  </si>
  <si>
    <t>OISL</t>
  </si>
  <si>
    <t>OCL IRON AND STEEL LTD</t>
  </si>
  <si>
    <t>ORTEL</t>
  </si>
  <si>
    <t>ORTEL COMMUNICATIONS LTD</t>
  </si>
  <si>
    <t>PAEL</t>
  </si>
  <si>
    <t>PAE LIMITED</t>
  </si>
  <si>
    <t>PUNJLLOYD</t>
  </si>
  <si>
    <t>PUNJ LLOYD LIMITED</t>
  </si>
  <si>
    <t>RAJRAYON</t>
  </si>
  <si>
    <t>RAJ RAYON INDUSTRIES LTD</t>
  </si>
  <si>
    <t>RAMSARUP</t>
  </si>
  <si>
    <t>RAMSARUP INDUSTRIES LTD</t>
  </si>
  <si>
    <t>RMCL</t>
  </si>
  <si>
    <t>RADHA MADHAV CO. LTD.</t>
  </si>
  <si>
    <t>RNAVAL</t>
  </si>
  <si>
    <t>RELIANCE NAVAL &amp; ENGG LTD</t>
  </si>
  <si>
    <t>SANWARIA</t>
  </si>
  <si>
    <t>SANWARIA CONSUMER LIMITED</t>
  </si>
  <si>
    <t>SHIRPUR-G</t>
  </si>
  <si>
    <t>SHIRPUR GOLD REFINERY LTD</t>
  </si>
  <si>
    <t>SPENTEX</t>
  </si>
  <si>
    <t>SPENTEX IND. LTD</t>
  </si>
  <si>
    <t>SUPREMEINF</t>
  </si>
  <si>
    <t>SUPREME INFRA. LTD</t>
  </si>
  <si>
    <t>TANTIACONS</t>
  </si>
  <si>
    <t>TANTIA CONST LTD</t>
  </si>
  <si>
    <t>TECHNOFAB</t>
  </si>
  <si>
    <t>TECHNOFAB ENG LTD</t>
  </si>
  <si>
    <t>UNITECH</t>
  </si>
  <si>
    <t>UNITECH LIMITED</t>
  </si>
  <si>
    <t>VICEROY</t>
  </si>
  <si>
    <t>VICEROY HOTELS LIMITED</t>
  </si>
  <si>
    <t>ZICOM</t>
  </si>
  <si>
    <t>ZICOM ELECT SEC SYS LTD</t>
  </si>
  <si>
    <t>ST</t>
  </si>
  <si>
    <t>WALPAR</t>
  </si>
  <si>
    <t>WALPAR NUTRITIONS LIMITED</t>
  </si>
  <si>
    <t>SZ</t>
  </si>
  <si>
    <t>POWERFUL</t>
  </si>
  <si>
    <t>POWERFUL TECHNOLOGIES LTD</t>
  </si>
  <si>
    <t>N1</t>
  </si>
  <si>
    <t>OTHER SECURITIES</t>
  </si>
  <si>
    <t>GB</t>
  </si>
  <si>
    <t>SGBAPR28I</t>
  </si>
  <si>
    <t>2.50%GOLDBONDS2028SR-I</t>
  </si>
  <si>
    <t>SGBAUG24</t>
  </si>
  <si>
    <t>2.75% GOLDBONDS2024TR-IV</t>
  </si>
  <si>
    <t>SGBAUG27</t>
  </si>
  <si>
    <t>2.50%GOLDBONDS2027SR-III</t>
  </si>
  <si>
    <t>SGBAUG28V</t>
  </si>
  <si>
    <t>2.50%GOLDBONDS2028SR-V</t>
  </si>
  <si>
    <t>SGBDC27VII</t>
  </si>
  <si>
    <t>2.50%GOLDBONDS2027SR-VII</t>
  </si>
  <si>
    <t>SGBDEC25</t>
  </si>
  <si>
    <t>2.50%GOLDBONDS 2025 SR-X</t>
  </si>
  <si>
    <t>SGBDEC2512</t>
  </si>
  <si>
    <t>2.50%GOLDBONDS2025 SR-XII</t>
  </si>
  <si>
    <t>SGBDEC26</t>
  </si>
  <si>
    <t>2.50%GOLDBONDS2026SR-IV</t>
  </si>
  <si>
    <t>SGBFEB24</t>
  </si>
  <si>
    <t>2.75%GOLDBONDS2024 TR-II</t>
  </si>
  <si>
    <t>SGBFEB27</t>
  </si>
  <si>
    <t>2.50%GOLDBONDS2027SR-VI</t>
  </si>
  <si>
    <t>SGBFEB28IX</t>
  </si>
  <si>
    <t>2.50%GOLDBONDS2028SR-IX</t>
  </si>
  <si>
    <t>SGBFEB29XI</t>
  </si>
  <si>
    <t>2.50%GOLDBONDS2029SR-XI</t>
  </si>
  <si>
    <t>SGBJAN26</t>
  </si>
  <si>
    <t>2.50%GOLDBONDS2026SR-XIV</t>
  </si>
  <si>
    <t>SGBJAN29IX</t>
  </si>
  <si>
    <t>2.50%GOLDBONDS2029SR-IX</t>
  </si>
  <si>
    <t>SGBJAN29X</t>
  </si>
  <si>
    <t>2.50%GOLDBONDS2029SR-X</t>
  </si>
  <si>
    <t>SGBJU29III</t>
  </si>
  <si>
    <t>2.5%GOLDBONDS2029SR-III</t>
  </si>
  <si>
    <t>SGBJUL25</t>
  </si>
  <si>
    <t>SGB2.50%JUL2025SR-II17-18</t>
  </si>
  <si>
    <t>SGBJUL27</t>
  </si>
  <si>
    <t>2.50%GOLDBONDS2027SR-II</t>
  </si>
  <si>
    <t>SGBJUL28IV</t>
  </si>
  <si>
    <t>2.50%GOLDBONDS2028SR-IV</t>
  </si>
  <si>
    <t>SGBJUN27</t>
  </si>
  <si>
    <t>2.50%GOLDBONDS2027SR-I</t>
  </si>
  <si>
    <t>SGBJUN28</t>
  </si>
  <si>
    <t>2.5%GOLDBONDS2028SR-III</t>
  </si>
  <si>
    <t>SGBJUN29II</t>
  </si>
  <si>
    <t>2.5%GOLDBONDS2029SR-II</t>
  </si>
  <si>
    <t>SGBMAR24</t>
  </si>
  <si>
    <t>2.75%GOLDBONDS2024 TR-III</t>
  </si>
  <si>
    <t>SGBMAR25</t>
  </si>
  <si>
    <t>2.50%GOLDBONDS 2025TR-VII</t>
  </si>
  <si>
    <t>SGBMAR28X</t>
  </si>
  <si>
    <t>2.50%GOLDBONDS2028SR-X</t>
  </si>
  <si>
    <t>SGBMAY25</t>
  </si>
  <si>
    <t>SGB2.50%MAY2025SR-I 17-18</t>
  </si>
  <si>
    <t>SGBMAY26</t>
  </si>
  <si>
    <t>2.50%GOLDBONDS2026SR-I</t>
  </si>
  <si>
    <t>SGBMAY28</t>
  </si>
  <si>
    <t>2.50%GOLDBONDS2028SR-II</t>
  </si>
  <si>
    <t>SGBMAY29I</t>
  </si>
  <si>
    <t>2.5%GOLDBONDS2029SR-I</t>
  </si>
  <si>
    <t>SGBMR29XII</t>
  </si>
  <si>
    <t>2.50%GOLDBONDS2029SR-XII</t>
  </si>
  <si>
    <t>SGBN28VIII</t>
  </si>
  <si>
    <t>2.5%GOLDBONDS2028SR-VIII</t>
  </si>
  <si>
    <t>SGBNOV23</t>
  </si>
  <si>
    <t>2.75% GOLDBONDS 2023 TR-1</t>
  </si>
  <si>
    <t>SGBNOV24</t>
  </si>
  <si>
    <t>2.50% GOLDBONDS2024 TR-VI</t>
  </si>
  <si>
    <t>SGBNOV258</t>
  </si>
  <si>
    <t>2.50%GOLDBONDS2025SR-VIII</t>
  </si>
  <si>
    <t>SGBNOV26</t>
  </si>
  <si>
    <t>2.50%GOLDBONDS2026SR-III</t>
  </si>
  <si>
    <t>SGBOC28VII</t>
  </si>
  <si>
    <t>2.50%GOLDBONDS2028SR-VII</t>
  </si>
  <si>
    <t>SGBOCT25</t>
  </si>
  <si>
    <t>2.50% GOLDBONDS2025SR-III</t>
  </si>
  <si>
    <t>SGBOCT25V</t>
  </si>
  <si>
    <t>2.50% GOLDBONDS2025SR-V</t>
  </si>
  <si>
    <t>SGBOCT27VI</t>
  </si>
  <si>
    <t>SGBSEP24</t>
  </si>
  <si>
    <t>2.75% GOLDBONDS2024TR-V</t>
  </si>
  <si>
    <t>SGBSEP27</t>
  </si>
  <si>
    <t>2.50%GOLDBONDS2027SR-IV</t>
  </si>
  <si>
    <t>SGBSEP28VI</t>
  </si>
  <si>
    <t>2.50%GOLDBONDS2028SR-VI</t>
  </si>
  <si>
    <t>GS</t>
  </si>
  <si>
    <t>622GS2035</t>
  </si>
  <si>
    <t>GOI LOAN  6.22% 2035</t>
  </si>
  <si>
    <t>664GS2035</t>
  </si>
  <si>
    <t>GOI LOAN  6.64% 2035</t>
  </si>
  <si>
    <t>667GS2050</t>
  </si>
  <si>
    <t>GOI LOAN  6.67% 2050</t>
  </si>
  <si>
    <t>676GS2061</t>
  </si>
  <si>
    <t>GOI LOAN  6.76% 2061</t>
  </si>
  <si>
    <t>726GS2029</t>
  </si>
  <si>
    <t>GOI LOAN 7.26% 2029</t>
  </si>
  <si>
    <t>737GS2023</t>
  </si>
  <si>
    <t>GOI LOAN 7.37% 2023</t>
  </si>
  <si>
    <t>772GS2055</t>
  </si>
  <si>
    <t>GOI LOAN 7.72% 2055</t>
  </si>
  <si>
    <t>MF</t>
  </si>
  <si>
    <t>ABSLRIF6RG</t>
  </si>
  <si>
    <t>BIRLASLAMC - ABSLRIF6RG</t>
  </si>
  <si>
    <t>EC2RG</t>
  </si>
  <si>
    <t>SUNDARMAMC - EC2RG</t>
  </si>
  <si>
    <t>FILDF2GP</t>
  </si>
  <si>
    <t>FRANTEMAMC - FILDF2GP</t>
  </si>
  <si>
    <t>HEOFRG1126</t>
  </si>
  <si>
    <t>HDFCAMC - HEOFRG1126</t>
  </si>
  <si>
    <t>M15RD</t>
  </si>
  <si>
    <t>SUNDARMAMC - M15RD</t>
  </si>
  <si>
    <t>M15RG</t>
  </si>
  <si>
    <t>SUNDARMAMC - M15RG</t>
  </si>
  <si>
    <t>M17RG</t>
  </si>
  <si>
    <t>SUNDARMAMC - M17RG</t>
  </si>
  <si>
    <t>BOND 8.00% PA TAX FREE S1</t>
  </si>
  <si>
    <t>SEC RED NCD 10.25% SR. I</t>
  </si>
  <si>
    <t>NABARD</t>
  </si>
  <si>
    <t>7.35% TAX FREE TRI SRIIA</t>
  </si>
  <si>
    <t>NHAI</t>
  </si>
  <si>
    <t>BOND 8.20% PA TAX FREE S1</t>
  </si>
  <si>
    <t>N2</t>
  </si>
  <si>
    <t>8.00% SEC RED NCD</t>
  </si>
  <si>
    <t>8.20 NCD05MAR27 FV 1000</t>
  </si>
  <si>
    <t>IIFCL</t>
  </si>
  <si>
    <t>8.66% TAX FREE NCD</t>
  </si>
  <si>
    <t>SEC RED NCD 9.60 % SR. I</t>
  </si>
  <si>
    <t>IREDA</t>
  </si>
  <si>
    <t>IREDA 8.55NCDTR I SR II A</t>
  </si>
  <si>
    <t>BOND 8.10% PA TAX FREE S2</t>
  </si>
  <si>
    <t>9.00% UNSECURED NCD</t>
  </si>
  <si>
    <t>7.64% TAX FREE TRI SRIIB</t>
  </si>
  <si>
    <t>BOND 8.30% PA TAX FREE S2</t>
  </si>
  <si>
    <t>8.48%S-R-NCD SERIES 2A</t>
  </si>
  <si>
    <t>TATACAPHSG</t>
  </si>
  <si>
    <t>SEC RED NCD 8.10% SR.I</t>
  </si>
  <si>
    <t>N3</t>
  </si>
  <si>
    <t>8.10 NCD 05MAR22 FV 1000</t>
  </si>
  <si>
    <t>SEC RED NCD SR. II</t>
  </si>
  <si>
    <t>7.18 NCD 19FEB23 TR1 SR1</t>
  </si>
  <si>
    <t>N4</t>
  </si>
  <si>
    <t>DHANILOANS</t>
  </si>
  <si>
    <t>DHANI LOANS &amp; SERV LTD</t>
  </si>
  <si>
    <t>DHFL</t>
  </si>
  <si>
    <t>SEC RED NCD 8.88% SR. 2B</t>
  </si>
  <si>
    <t>ERFLNCDI</t>
  </si>
  <si>
    <t>SEC RED NCD 9.00% SR. IV</t>
  </si>
  <si>
    <t>IBUCCREDIT</t>
  </si>
  <si>
    <t>SE RE NCD SR.IICIII&amp;IV</t>
  </si>
  <si>
    <t>8.91% TAX FREE NCD</t>
  </si>
  <si>
    <t>SEC RED NCD 9.75 % SR.III</t>
  </si>
  <si>
    <t>8.66%S-R-NCD SERIES 1B</t>
  </si>
  <si>
    <t>8.20% TAX FREE NCD</t>
  </si>
  <si>
    <t>SEC RED NCD 8.01% SR.II</t>
  </si>
  <si>
    <t>N5</t>
  </si>
  <si>
    <t>SEC RED NCD 8.88% SR. V</t>
  </si>
  <si>
    <t>7.51 NCD 16FEB28 TR1 SR2</t>
  </si>
  <si>
    <t>SEC RED NCD 10.20 % SR.IV</t>
  </si>
  <si>
    <t>BOND 6.88% PA TAX FREE S1</t>
  </si>
  <si>
    <t>8.79% SEC RED BOND S2B</t>
  </si>
  <si>
    <t>N6</t>
  </si>
  <si>
    <t>SEC RED NCD 8.93% SR. 3B</t>
  </si>
  <si>
    <t>EHFLNCD</t>
  </si>
  <si>
    <t>SEC RED NCD 10% SR. VI</t>
  </si>
  <si>
    <t>SEC RED NCD 9.25% SR. VI</t>
  </si>
  <si>
    <t>SERENCD8.90%SRIIICIII&amp;IV</t>
  </si>
  <si>
    <t>SEC RED NCD 8.90% SR. III</t>
  </si>
  <si>
    <t>UNSEC RED NCD 10.0% SR. V</t>
  </si>
  <si>
    <t>8.75% TAX FREE TR I S IIB</t>
  </si>
  <si>
    <t>NHBTF2014</t>
  </si>
  <si>
    <t>BOND 9.01%PA TF TR-I S 3B</t>
  </si>
  <si>
    <t>8.92% SEC RED BOND S3B</t>
  </si>
  <si>
    <t>8.91%S-R-NCD SERIES 3B</t>
  </si>
  <si>
    <t>8.43% TAX FREE NCD</t>
  </si>
  <si>
    <t>BOND 8.46% TAX FREE S2A</t>
  </si>
  <si>
    <t>N7</t>
  </si>
  <si>
    <t>UNSEC RED NCD 10.5% SR.VI</t>
  </si>
  <si>
    <t>8.49% SEC NON-CUM RED NCD</t>
  </si>
  <si>
    <t>N8</t>
  </si>
  <si>
    <t>7.64% TAX FREETRI SR2B</t>
  </si>
  <si>
    <t>SEC RED NCD 8.65% SR. V</t>
  </si>
  <si>
    <t>L&amp;TFINANCE</t>
  </si>
  <si>
    <t>SE RE NCD 9.1% SR.I OP II</t>
  </si>
  <si>
    <t>TAX FREE7.39% SR.IB</t>
  </si>
  <si>
    <t>8.92% TAX FREE NCD</t>
  </si>
  <si>
    <t>BOND 8.26% TAX FREE S1B</t>
  </si>
  <si>
    <t>SEC RED NCD 8.10% SR.IV</t>
  </si>
  <si>
    <t>N9</t>
  </si>
  <si>
    <t>7.69% TAX FREETRII SR2B</t>
  </si>
  <si>
    <t>SERENCD9.00%SRVCIII&amp;IV</t>
  </si>
  <si>
    <t>BOND 9% 2021 TR-1 SR-I</t>
  </si>
  <si>
    <t>SEC RED NCD 9.50 % SR. II</t>
  </si>
  <si>
    <t>BOND 8.48% PA TF TI-SIB</t>
  </si>
  <si>
    <t>BOND 8.71% TAX FREE S2B</t>
  </si>
  <si>
    <t>NA</t>
  </si>
  <si>
    <t>SEC RED NCD 9.25% SR. 5B</t>
  </si>
  <si>
    <t>SEC RED NCD 9.0% SR. VI</t>
  </si>
  <si>
    <t>BOND 0% 2021 TR-1 SR-II</t>
  </si>
  <si>
    <t>SEC RED NCD SR. III</t>
  </si>
  <si>
    <t>BOND 8.65% PA TF TI-SIIB</t>
  </si>
  <si>
    <t>SE RE NCD SR.II OPII</t>
  </si>
  <si>
    <t>TAX FREE7.60% SR.IIB</t>
  </si>
  <si>
    <t>BOND 8.62% TAX FREE S3B</t>
  </si>
  <si>
    <t>SEC RED NCD 8.40% SR.V</t>
  </si>
  <si>
    <t>NB</t>
  </si>
  <si>
    <t>BOND 8.70% 2022 TR-2 SR-I</t>
  </si>
  <si>
    <t>SEC RE NCD 6.75% SR. I</t>
  </si>
  <si>
    <t>UN SE RE NCD 8.55% SR.VI</t>
  </si>
  <si>
    <t>TCFSL</t>
  </si>
  <si>
    <t>SERENCD8.80%SRICIII&amp;IV</t>
  </si>
  <si>
    <t>NC</t>
  </si>
  <si>
    <t>SEC RED NCD 9.30% SR. 6B</t>
  </si>
  <si>
    <t>BOND 0% 2022 TR-2 SR-II</t>
  </si>
  <si>
    <t>TAX FREE 7.29% SR. IB</t>
  </si>
  <si>
    <t>ND</t>
  </si>
  <si>
    <t>8.76% TAX FREETRI SR2B</t>
  </si>
  <si>
    <t>SEC RE NCD 7.60% SR.II</t>
  </si>
  <si>
    <t>SERENCD8.90%SRIICIII&amp;IV</t>
  </si>
  <si>
    <t>NE</t>
  </si>
  <si>
    <t>ECLFINANCE</t>
  </si>
  <si>
    <t>SEC RED NCD SR. I</t>
  </si>
  <si>
    <t>9.01% TAX FREETRII SR3B</t>
  </si>
  <si>
    <t>UNS RED NCD 9.15% SR.IX</t>
  </si>
  <si>
    <t>BOND 0% 2022 TR-3 SR-II</t>
  </si>
  <si>
    <t>UNSE RE NCD 10% SR.I</t>
  </si>
  <si>
    <t>BOND 8.88% PA TF TII-SIIB</t>
  </si>
  <si>
    <t>SERENCD 8.89% SR.IV OPII</t>
  </si>
  <si>
    <t>TAX FREE 7.69% SR. IIB</t>
  </si>
  <si>
    <t>NF</t>
  </si>
  <si>
    <t>SEC RED NCD 9.45% SR. II</t>
  </si>
  <si>
    <t>9.90 % SRNCD SR IV</t>
  </si>
  <si>
    <t>UNSE RE NCD 9.6% SR.II</t>
  </si>
  <si>
    <t>SEC RE NCD 7.90% SR.III</t>
  </si>
  <si>
    <t>UNSERENCD9.1%SRIIICIII&amp;IV</t>
  </si>
  <si>
    <t>NG</t>
  </si>
  <si>
    <t>SEC RED NCD 9.25% SR. III</t>
  </si>
  <si>
    <t>UNSE RE NCD 0% SR.III</t>
  </si>
  <si>
    <t>SEC RED NCD SR. IV</t>
  </si>
  <si>
    <t>9.90 % SRNCD SR VI</t>
  </si>
  <si>
    <t>SERENCD8.45%SR.ICIII&amp;IV</t>
  </si>
  <si>
    <t>NI</t>
  </si>
  <si>
    <t>SEC RED NCD 9.65% SR. V</t>
  </si>
  <si>
    <t>SERENCD 8.98% SR.VI OPII</t>
  </si>
  <si>
    <t>8.12/8.32% TAX FREE NCD</t>
  </si>
  <si>
    <t>NJ</t>
  </si>
  <si>
    <t>SEC RE NCD 8.20% SR.V</t>
  </si>
  <si>
    <t>TAX FREE  7.53% SR. 103 A</t>
  </si>
  <si>
    <t>SREIBNPNCD</t>
  </si>
  <si>
    <t>9.35% SRNCD SR V B</t>
  </si>
  <si>
    <t>NK</t>
  </si>
  <si>
    <t>SEC RED NCD 9.85% SR. VII</t>
  </si>
  <si>
    <t>TAX FREE7.50% SR.104 A</t>
  </si>
  <si>
    <t>SE RE NCD 8.9% SR.I OP II</t>
  </si>
  <si>
    <t>NL</t>
  </si>
  <si>
    <t>9.40 % SRNCD TR II SR III</t>
  </si>
  <si>
    <t>SERENCD8.65%SR.IIICIII&amp;IV</t>
  </si>
  <si>
    <t>NM</t>
  </si>
  <si>
    <t>SEC RED NCD 10.20% SR. I</t>
  </si>
  <si>
    <t>NN</t>
  </si>
  <si>
    <t>SEC RED NCD 9.15% SR. 2B</t>
  </si>
  <si>
    <t>NO</t>
  </si>
  <si>
    <t>SEC RED NCD 9.95% SR. III</t>
  </si>
  <si>
    <t>TAX FREE  7.64% SR. 108A</t>
  </si>
  <si>
    <t>UNS RED NCD 9.25% SR. I</t>
  </si>
  <si>
    <t>NP</t>
  </si>
  <si>
    <t>SEC RED NCD 9.25% SR. 3B</t>
  </si>
  <si>
    <t>SEC RED NCD 10.40% SR. IV</t>
  </si>
  <si>
    <t>NQ</t>
  </si>
  <si>
    <t>SEC RED NCD SR. V</t>
  </si>
  <si>
    <t>NR</t>
  </si>
  <si>
    <t>SEC RED NCD 10.15% SR. VI</t>
  </si>
  <si>
    <t>NS</t>
  </si>
  <si>
    <t>SEC RED NCD 9.00% SR. II</t>
  </si>
  <si>
    <t>SEC RED NCD 10.6% SR. VII</t>
  </si>
  <si>
    <t>NU</t>
  </si>
  <si>
    <t>UNS RED NCD 9.50% SR. VII</t>
  </si>
  <si>
    <t>NW</t>
  </si>
  <si>
    <t>SERENCD 8.70% SR.VII OPII</t>
  </si>
  <si>
    <t>NY</t>
  </si>
  <si>
    <t>SEC RED NCD 10.00% SR. VI</t>
  </si>
  <si>
    <t>P1</t>
  </si>
  <si>
    <t>0.01% CUM. RED. PREF</t>
  </si>
  <si>
    <t>P2</t>
  </si>
  <si>
    <t>W1</t>
  </si>
  <si>
    <t>MOLD TEK PACKAGING LTD</t>
  </si>
  <si>
    <t>W3</t>
  </si>
  <si>
    <t>HOUSING DVPT FIN CORP LTD</t>
  </si>
  <si>
    <t>Y1</t>
  </si>
  <si>
    <t>SEC RED NCD 8.65% SR. VI</t>
  </si>
  <si>
    <t>SE RE NCD SR.II OPT 4</t>
  </si>
  <si>
    <t>SEC RED NCD 9.12% SR. VI</t>
  </si>
  <si>
    <t>Y2</t>
  </si>
  <si>
    <t>SEC RED NCD 9.50% SR. VII</t>
  </si>
  <si>
    <t>Y3</t>
  </si>
  <si>
    <t>SE RE NCD 8.15% SR.III O6</t>
  </si>
  <si>
    <t>Y5</t>
  </si>
  <si>
    <t>SE RE NCD 8.60% SR.IV O8</t>
  </si>
  <si>
    <t>Y9</t>
  </si>
  <si>
    <t>SE RE NCD 8.65% SR.VI O12</t>
  </si>
  <si>
    <t>YI</t>
  </si>
  <si>
    <t>SEC RED NCD 9.03% SR. II</t>
  </si>
  <si>
    <t>YK</t>
  </si>
  <si>
    <t>SEC RED NCD 9.30% SR. IV</t>
  </si>
  <si>
    <t>YL</t>
  </si>
  <si>
    <t>SEC RED NCD 9.40% SR. V</t>
  </si>
  <si>
    <t>YN</t>
  </si>
  <si>
    <t>SEC RED NCD SR. VII</t>
  </si>
  <si>
    <t>YO</t>
  </si>
  <si>
    <t>SEC RED NCD 9.12% SR. I</t>
  </si>
  <si>
    <t>YQ</t>
  </si>
  <si>
    <t>SEC RED NCD 9.40% SR. III</t>
  </si>
  <si>
    <t>YR</t>
  </si>
  <si>
    <t>SEC RED NCD 9.50% SR. IV</t>
  </si>
  <si>
    <t>YS</t>
  </si>
  <si>
    <t>SEC RED NCD 9.70% SR. V</t>
  </si>
  <si>
    <t>YT</t>
  </si>
  <si>
    <t>SEC RED NCD SR. VI</t>
  </si>
  <si>
    <t>YU</t>
  </si>
  <si>
    <t>YV</t>
  </si>
  <si>
    <t>YW</t>
  </si>
  <si>
    <t>SEC RED NCD 9.30% SR. II</t>
  </si>
  <si>
    <t>YZ</t>
  </si>
  <si>
    <t>Z1</t>
  </si>
  <si>
    <t>Z2</t>
  </si>
  <si>
    <t>Z6</t>
  </si>
  <si>
    <t>SEC RED NCD 9.3 SR.IV</t>
  </si>
  <si>
    <t>Z7</t>
  </si>
  <si>
    <t>SEC RED NCD 9.5% SR.V</t>
  </si>
  <si>
    <t>Z8</t>
  </si>
  <si>
    <t>SEC RED NCD 9.6% SR.VI</t>
  </si>
  <si>
    <t>Z9</t>
  </si>
  <si>
    <t>SEC RED NCD 9.7% SR.VII</t>
  </si>
  <si>
    <t>ZG</t>
  </si>
  <si>
    <t>SEC RED NCD 8.85% SR.IV</t>
  </si>
  <si>
    <t>LIMITED PHYSICAL MARKET</t>
  </si>
  <si>
    <t>O</t>
  </si>
  <si>
    <t>BL</t>
  </si>
  <si>
    <t>EXCHANGE TRADED FUND</t>
  </si>
  <si>
    <t>ABSLBANETF</t>
  </si>
  <si>
    <t>BIRLASLAMC - ABSLBANETF</t>
  </si>
  <si>
    <t>ABSLNN50ET</t>
  </si>
  <si>
    <t>BIRLASLAMC - ABSLNN50ET</t>
  </si>
  <si>
    <t>AXISBNKETF</t>
  </si>
  <si>
    <t>AXISAMC - AXISBNKETF</t>
  </si>
  <si>
    <t>AXISBPSETF</t>
  </si>
  <si>
    <t>AXISAMC - AXISBPSETF</t>
  </si>
  <si>
    <t>AXISGOLD</t>
  </si>
  <si>
    <t>AXIS MF - AXIS GOLD ETF</t>
  </si>
  <si>
    <t>AXISHCETF</t>
  </si>
  <si>
    <t>AXISAMC - AXISHCETF</t>
  </si>
  <si>
    <t>AXISNIFTY</t>
  </si>
  <si>
    <t>AXISAMC - AXISNIFTY</t>
  </si>
  <si>
    <t>AXISTECETF</t>
  </si>
  <si>
    <t>AXISAMC - AXISTECETF</t>
  </si>
  <si>
    <t>BANKBEES</t>
  </si>
  <si>
    <t>NIP IND ETF BANK BEES</t>
  </si>
  <si>
    <t>BSLGOLDETF</t>
  </si>
  <si>
    <t>ADITYBIRLA SL GOLD ETF-GR</t>
  </si>
  <si>
    <t>BSLNIFTY</t>
  </si>
  <si>
    <t>ADITYBIRLA SL NIF ETF-GR</t>
  </si>
  <si>
    <t>CPSEETF</t>
  </si>
  <si>
    <t>CPSE ETF</t>
  </si>
  <si>
    <t>EBBETF0423</t>
  </si>
  <si>
    <t>EDELAMC - EBBETF0423</t>
  </si>
  <si>
    <t>EBBETF0425</t>
  </si>
  <si>
    <t>EDELAMC - EBBETF0425</t>
  </si>
  <si>
    <t>EBBETF0430</t>
  </si>
  <si>
    <t>EDELAMC - EBBETF0430</t>
  </si>
  <si>
    <t>EBBETF0431</t>
  </si>
  <si>
    <t>EDELAMC - EBBETF0431</t>
  </si>
  <si>
    <t>EQ30</t>
  </si>
  <si>
    <t>EDEL ETF NIFTY 100 QUAL30</t>
  </si>
  <si>
    <t>GOLDBEES</t>
  </si>
  <si>
    <t>NIP IND ETF GOLD BEES</t>
  </si>
  <si>
    <t>GOLDSHARE</t>
  </si>
  <si>
    <t>UTI GOLD ETF</t>
  </si>
  <si>
    <t>HBANKETF</t>
  </si>
  <si>
    <t>HDFCAMC - HBANKETF</t>
  </si>
  <si>
    <t>HDFCMFGETF</t>
  </si>
  <si>
    <t>HDFC GOLD ETF</t>
  </si>
  <si>
    <t>HDFCNIFETF</t>
  </si>
  <si>
    <t>HDFCAMC - HDFCNIFETF</t>
  </si>
  <si>
    <t>HDFCSENETF</t>
  </si>
  <si>
    <t>HDFCAMC - HDFCSENETF</t>
  </si>
  <si>
    <t>HNGSNGBEES</t>
  </si>
  <si>
    <t>NIP IND ETF HANGSENG BEES</t>
  </si>
  <si>
    <t>IBMFNIFTY</t>
  </si>
  <si>
    <t>IBULLSAMC - IBMFNIFTY</t>
  </si>
  <si>
    <t>ICICI500</t>
  </si>
  <si>
    <t>ICICIPRAMC - ICICI500</t>
  </si>
  <si>
    <t>ICICIALPLV</t>
  </si>
  <si>
    <t>ICICIPRAMC - ICICIALPLV</t>
  </si>
  <si>
    <t>ICICIB22</t>
  </si>
  <si>
    <t>ICICIPRAMC - BHARATIWIN</t>
  </si>
  <si>
    <t>ICICIBANKN</t>
  </si>
  <si>
    <t>ICICIPRAMC - IPRU5008</t>
  </si>
  <si>
    <t>ICICIBANKP</t>
  </si>
  <si>
    <t>ICICIPRAMC - ICICIBANKP</t>
  </si>
  <si>
    <t>ICICIGOLD</t>
  </si>
  <si>
    <t>ICICI PRUDENTIAL GOLD ETF</t>
  </si>
  <si>
    <t>ICICILIQ</t>
  </si>
  <si>
    <t>ICICIPRAMC - ICICILIQ</t>
  </si>
  <si>
    <t>ICICILOVOL</t>
  </si>
  <si>
    <t>ICICI PR NIF LW VL 30 ETF</t>
  </si>
  <si>
    <t>ICICIM150</t>
  </si>
  <si>
    <t>ICICIPRAMC - ICICIM150</t>
  </si>
  <si>
    <t>ICICIMCAP</t>
  </si>
  <si>
    <t>ICICI PRUD MIDCAP SEL ETF</t>
  </si>
  <si>
    <t>ICICINF100</t>
  </si>
  <si>
    <t>ICICI PRUD NIFTY 100 ETF</t>
  </si>
  <si>
    <t>ICICINIFTY</t>
  </si>
  <si>
    <t>ICICI PRUD NIFTY ETF</t>
  </si>
  <si>
    <t>ICICINV20</t>
  </si>
  <si>
    <t>ICICI PRUDENTIAL NV20 ETF</t>
  </si>
  <si>
    <t>ICICINXT50</t>
  </si>
  <si>
    <t>ICICIPRAMC - ICICINXT50</t>
  </si>
  <si>
    <t>ICICIPHARM</t>
  </si>
  <si>
    <t>ICICIPRAMC - ICICIPHARM</t>
  </si>
  <si>
    <t>ICICISENSX</t>
  </si>
  <si>
    <t>ICICI PRUD SENSEX ETF</t>
  </si>
  <si>
    <t>ICICITECH</t>
  </si>
  <si>
    <t>ICICIPRAMC - ICICITECH</t>
  </si>
  <si>
    <t>IDBIGOLD</t>
  </si>
  <si>
    <t>IDBI MF - IDBI GOLD ETF</t>
  </si>
  <si>
    <t>IDFNIFTYET</t>
  </si>
  <si>
    <t>IDFCAMC - IDFNIFTYET</t>
  </si>
  <si>
    <t>INFRABEES</t>
  </si>
  <si>
    <t>NIP IND ETF INFRA BEES</t>
  </si>
  <si>
    <t>IVZINGOLD</t>
  </si>
  <si>
    <t>INVESCO INDIA GOLD ETF</t>
  </si>
  <si>
    <t>IVZINNIFTY</t>
  </si>
  <si>
    <t>INVESCO INDIA NIFTY ETF</t>
  </si>
  <si>
    <t>JUNIORBEES</t>
  </si>
  <si>
    <t>NIP IND ETF JUNIOR BEES</t>
  </si>
  <si>
    <t>KOTAKBKETF</t>
  </si>
  <si>
    <t>KOTAKMAMC-KOTAKBKETF</t>
  </si>
  <si>
    <t>KOTAKGOLD</t>
  </si>
  <si>
    <t>KOTAK GOLD ETF</t>
  </si>
  <si>
    <t>KOTAKIT</t>
  </si>
  <si>
    <t>KOTAKMAMC - KOTAKIT</t>
  </si>
  <si>
    <t>KOTAKNIFTY</t>
  </si>
  <si>
    <t>KOTAK NIFTY ETF</t>
  </si>
  <si>
    <t>KOTAKNV20</t>
  </si>
  <si>
    <t>KOTAKMAMC - KTKNV20ETF</t>
  </si>
  <si>
    <t>KOTAKPSUBK</t>
  </si>
  <si>
    <t>KOTAK PSU BANK</t>
  </si>
  <si>
    <t>LICNETFGSC</t>
  </si>
  <si>
    <t>LICNAMC - LICNMFET</t>
  </si>
  <si>
    <t>LICNETFN50</t>
  </si>
  <si>
    <t>LICNAMC - LICNFENGP</t>
  </si>
  <si>
    <t>LICNETFSEN</t>
  </si>
  <si>
    <t>LICNAMC - LICNFESGP</t>
  </si>
  <si>
    <t>LICNFNHGP</t>
  </si>
  <si>
    <t>LICNAMC - LICNFNHGP</t>
  </si>
  <si>
    <t>LIQUIDBEES</t>
  </si>
  <si>
    <t>NIP IND ETF LIQUID BEES</t>
  </si>
  <si>
    <t>LIQUIDETF</t>
  </si>
  <si>
    <t>DSP LIQUID ETF</t>
  </si>
  <si>
    <t>MAESGETF</t>
  </si>
  <si>
    <t>MIRAEAMC - MAESGETF</t>
  </si>
  <si>
    <t>MAFANG</t>
  </si>
  <si>
    <t>MIRAEAMC - MAFANG</t>
  </si>
  <si>
    <t>MAN50ETF</t>
  </si>
  <si>
    <t>MIRAEAMC - MAN50ETF</t>
  </si>
  <si>
    <t>MANXT50</t>
  </si>
  <si>
    <t>MIRAEAMC - MANXT50</t>
  </si>
  <si>
    <t>MOGSEC</t>
  </si>
  <si>
    <t>MOTILALAMC - G5</t>
  </si>
  <si>
    <t>MOM100</t>
  </si>
  <si>
    <t>MOTILAL OS MIDCAP100 ETF</t>
  </si>
  <si>
    <t>MOM50</t>
  </si>
  <si>
    <t>MOTILAL OSWAL M50 ETF</t>
  </si>
  <si>
    <t>MON100</t>
  </si>
  <si>
    <t>MOTILAL OS NASDAQ100 ETF</t>
  </si>
  <si>
    <t>NCPSESDL24</t>
  </si>
  <si>
    <t>NIPPON INDIA- NIMFXX</t>
  </si>
  <si>
    <t>NETF</t>
  </si>
  <si>
    <t>TATAAML - NETF</t>
  </si>
  <si>
    <t>NETFCONSUM</t>
  </si>
  <si>
    <t>NIP IND ETF CONSUMPTION</t>
  </si>
  <si>
    <t>NETFDIVOPP</t>
  </si>
  <si>
    <t>NIP IND ETF DIV OPP</t>
  </si>
  <si>
    <t>NETFGILT5Y</t>
  </si>
  <si>
    <t>RELCAPAMC - NETFGILT5Y</t>
  </si>
  <si>
    <t>NETFIT</t>
  </si>
  <si>
    <t>NIP IND ETF IT</t>
  </si>
  <si>
    <t>NETFLTGILT</t>
  </si>
  <si>
    <t>NIP IND ETF LONGTERM GILT</t>
  </si>
  <si>
    <t>NETFMID150</t>
  </si>
  <si>
    <t>NIP IND ETF MIDCAP 150</t>
  </si>
  <si>
    <t>NETFNIF100</t>
  </si>
  <si>
    <t>NIP IND ETF NIFTY 100</t>
  </si>
  <si>
    <t>NETFNV20</t>
  </si>
  <si>
    <t>NIP IND ETF ETF NV20</t>
  </si>
  <si>
    <t>NETFPHARMA</t>
  </si>
  <si>
    <t>NIPPONAMC - NETFPHARMA</t>
  </si>
  <si>
    <t>NETFSDL26</t>
  </si>
  <si>
    <t>RELCAPAMC-NETFSDL26</t>
  </si>
  <si>
    <t>NIFTYBEES</t>
  </si>
  <si>
    <t>NIP IND ETF NIFTY BEES</t>
  </si>
  <si>
    <t>NPBET</t>
  </si>
  <si>
    <t>TATAAML - NPBET</t>
  </si>
  <si>
    <t>PSUBNKBEES</t>
  </si>
  <si>
    <t>NIP IND ETF PSU BANK BEES</t>
  </si>
  <si>
    <t>QGOLDHALF</t>
  </si>
  <si>
    <t>QUANTUM GOLD FUND</t>
  </si>
  <si>
    <t>QNIFTY</t>
  </si>
  <si>
    <t>QUANTUM NIFTY ETF</t>
  </si>
  <si>
    <t>SBIETFIT</t>
  </si>
  <si>
    <t>SBIAMC - SBIETFIT</t>
  </si>
  <si>
    <t>SBIETFPB</t>
  </si>
  <si>
    <t>SBIAMC - SBIETFPB</t>
  </si>
  <si>
    <t>SBIETFQLTY</t>
  </si>
  <si>
    <t>SBIAMC - SBIETFQLTY</t>
  </si>
  <si>
    <t>SETF10GILT</t>
  </si>
  <si>
    <t>SBIAMC - SETF10GILT</t>
  </si>
  <si>
    <t>SETFGOLD</t>
  </si>
  <si>
    <t>SBI-ETF GOLD</t>
  </si>
  <si>
    <t>SETFNIF50</t>
  </si>
  <si>
    <t>SBI-ETF NIFTY 50</t>
  </si>
  <si>
    <t>SETFNIFBK</t>
  </si>
  <si>
    <t>SBI-ETF NIFTY BANK</t>
  </si>
  <si>
    <t>SETFNN50</t>
  </si>
  <si>
    <t>SBI-ETF NIFTY NEXT 50</t>
  </si>
  <si>
    <t>SHARIABEES</t>
  </si>
  <si>
    <t>NIP IND ETF SHARIAH BEES</t>
  </si>
  <si>
    <t>UTIBANKETF</t>
  </si>
  <si>
    <t>UTIAMC - UTIBANKETF</t>
  </si>
  <si>
    <t>UTINEXT50</t>
  </si>
  <si>
    <t>UTIAMC - UTINEXT50</t>
  </si>
  <si>
    <t>UTINIFTETF</t>
  </si>
  <si>
    <t>UTIAMC - UTINIFTETF</t>
  </si>
  <si>
    <t>UTISENSETF</t>
  </si>
  <si>
    <t>UTIAMC - UTISENSETF</t>
  </si>
  <si>
    <t>UTISXN50</t>
  </si>
  <si>
    <t>UTIAMC - UTISXN50</t>
  </si>
  <si>
    <t>ZERODHAAMC - TOP100CASE</t>
  </si>
  <si>
    <t>TOP100CASE</t>
  </si>
  <si>
    <t>TATAAML - TNIDETF</t>
  </si>
  <si>
    <t>TNIDETF</t>
  </si>
  <si>
    <t>BIRLASLAMC - TECH</t>
  </si>
  <si>
    <t>TECH</t>
  </si>
  <si>
    <t>TATAAML-TATSILV</t>
  </si>
  <si>
    <t>TATSILV</t>
  </si>
  <si>
    <t>TATAAML-TATAGOLD</t>
  </si>
  <si>
    <t>TATAGOLD</t>
  </si>
  <si>
    <t>MIRAEAMC - SMALLCAP</t>
  </si>
  <si>
    <t>SMALLCAP</t>
  </si>
  <si>
    <t>MIRAEAMC - MASILVER</t>
  </si>
  <si>
    <t>SILVRETF</t>
  </si>
  <si>
    <t>ICICIPRAMC - ICICISILVE</t>
  </si>
  <si>
    <t>SILVERIETF</t>
  </si>
  <si>
    <t>UTIAMC - SILVERETF</t>
  </si>
  <si>
    <t>SILVERETF</t>
  </si>
  <si>
    <t>NIPPONAMC - NETFSILVER</t>
  </si>
  <si>
    <t>SILVERBEES</t>
  </si>
  <si>
    <t>DSPAMC - DSPSILVETF</t>
  </si>
  <si>
    <t>SILVERADD</t>
  </si>
  <si>
    <t>KOTAKMAMC - KOTAKSILVE</t>
  </si>
  <si>
    <t>SILVER1</t>
  </si>
  <si>
    <t>BIRLASLAMC - SILVER</t>
  </si>
  <si>
    <t>SILVER</t>
  </si>
  <si>
    <t>SENSEXIETF</t>
  </si>
  <si>
    <t>MIRAEAMC - SENSEXETF</t>
  </si>
  <si>
    <t>SENSEXETF</t>
  </si>
  <si>
    <t>DSPAMC - DSPSENXETF</t>
  </si>
  <si>
    <t>SENSEXADD</t>
  </si>
  <si>
    <t>SDL26BEES</t>
  </si>
  <si>
    <t>SDL24BEES</t>
  </si>
  <si>
    <t>SBIAMC - SBISILVER</t>
  </si>
  <si>
    <t>SBISILVER</t>
  </si>
  <si>
    <t>SBIAMC - SBIETFCON</t>
  </si>
  <si>
    <t>SBIETFCON</t>
  </si>
  <si>
    <t>ICICIPRAMC - ICICIQTY30</t>
  </si>
  <si>
    <t>QUAL30IETF</t>
  </si>
  <si>
    <t>QUANTUM NIFTY 50 ETF</t>
  </si>
  <si>
    <t>DSPAMC - DSPPVBKETF</t>
  </si>
  <si>
    <t>PVTBANKADD</t>
  </si>
  <si>
    <t>PVTBANIETF</t>
  </si>
  <si>
    <t>ICICIPRAMC - PSUBANKICI</t>
  </si>
  <si>
    <t>PSUBNKIETF</t>
  </si>
  <si>
    <t>DSPAMC - DSPPSBKETF</t>
  </si>
  <si>
    <t>PSUBANKADD</t>
  </si>
  <si>
    <t>PSUBANK</t>
  </si>
  <si>
    <t>PHARMABEES</t>
  </si>
  <si>
    <t>NV20IETF</t>
  </si>
  <si>
    <t>NV20BEES</t>
  </si>
  <si>
    <t>NV20</t>
  </si>
  <si>
    <t>BIRLASLAMC - NIFTYQLITY</t>
  </si>
  <si>
    <t>NIFTYQLITY</t>
  </si>
  <si>
    <t>NIFTYIETF</t>
  </si>
  <si>
    <t>NIFTYETF</t>
  </si>
  <si>
    <t>BFAM - NIFTYBETF</t>
  </si>
  <si>
    <t>NIFTYBETF</t>
  </si>
  <si>
    <t>DSPAMC - DSPN50ETF</t>
  </si>
  <si>
    <t>NIFTY50ADD</t>
  </si>
  <si>
    <t>NIFTY1</t>
  </si>
  <si>
    <t>UTIAMC - NIFMID150</t>
  </si>
  <si>
    <t>NIFMID150</t>
  </si>
  <si>
    <t>UTIAMC - NIFITETF</t>
  </si>
  <si>
    <t>NIFITETF</t>
  </si>
  <si>
    <t>UTIAMC - NIF5GETF</t>
  </si>
  <si>
    <t>NIF5GETF</t>
  </si>
  <si>
    <t>UTIAMC - NIF10GETF</t>
  </si>
  <si>
    <t>NIF10GETF</t>
  </si>
  <si>
    <t>NIF100IETF</t>
  </si>
  <si>
    <t>NIF100BEES</t>
  </si>
  <si>
    <t>NEXT50IETF</t>
  </si>
  <si>
    <t>NEXT50</t>
  </si>
  <si>
    <t>NAVIAMC - NAVINIFTY</t>
  </si>
  <si>
    <t>NAVINIFTY</t>
  </si>
  <si>
    <t>MOTILALAMC - MOVALUE</t>
  </si>
  <si>
    <t>MOVALUE</t>
  </si>
  <si>
    <t>MOTILALAMC - MOSMALL250</t>
  </si>
  <si>
    <t>MOSMALL250</t>
  </si>
  <si>
    <t>MOTILALAMC - MOREALTY</t>
  </si>
  <si>
    <t>MOREALTY</t>
  </si>
  <si>
    <t>MOTILALAMC - MOQUALITY</t>
  </si>
  <si>
    <t>MOQUALITY</t>
  </si>
  <si>
    <t>MOTILALAMC - MONQ50</t>
  </si>
  <si>
    <t>MONQ50</t>
  </si>
  <si>
    <t>MOTILALAMC - MONIFTY500</t>
  </si>
  <si>
    <t>MONIFTY500</t>
  </si>
  <si>
    <t>MOTILALAMC - MOMOMENTUM</t>
  </si>
  <si>
    <t>MOMOMENTUM</t>
  </si>
  <si>
    <t>BIRLASLAMC - MOMENTUM</t>
  </si>
  <si>
    <t>MOMENTUM</t>
  </si>
  <si>
    <t>ICICIPRAMC - ICICIMOM30</t>
  </si>
  <si>
    <t>MOM30IETF</t>
  </si>
  <si>
    <t>MOTILALAMC - MOLOWVOL</t>
  </si>
  <si>
    <t>MOLOWVOL</t>
  </si>
  <si>
    <t>MOTILALAMC - MOHEALTH</t>
  </si>
  <si>
    <t>MOHEALTH</t>
  </si>
  <si>
    <t>KOTAKMAMC - KOTAKMNC</t>
  </si>
  <si>
    <t>MNC</t>
  </si>
  <si>
    <t>MIRAEAMC - MIDSMALL</t>
  </si>
  <si>
    <t>MIDSMALL</t>
  </si>
  <si>
    <t>MIDSELIETF</t>
  </si>
  <si>
    <t>DSPAMC - DSPQ50ETF</t>
  </si>
  <si>
    <t>MIDQ50ADD</t>
  </si>
  <si>
    <t>MIDCAPIETF</t>
  </si>
  <si>
    <t>MIRAEAMC - MAM150ETF</t>
  </si>
  <si>
    <t>MIDCAPETF</t>
  </si>
  <si>
    <t>KOTAKMAMC - KOTAKMID50</t>
  </si>
  <si>
    <t>MIDCAP</t>
  </si>
  <si>
    <t>ZERODHAAMC - MID150CASE</t>
  </si>
  <si>
    <t>MID150CASE</t>
  </si>
  <si>
    <t>MID150BEES</t>
  </si>
  <si>
    <t>MIRAEAMC - MASPTOP50</t>
  </si>
  <si>
    <t>MASPTOP50</t>
  </si>
  <si>
    <t>MIRAEAMC - MAMFGETF</t>
  </si>
  <si>
    <t>MAKEINDIA</t>
  </si>
  <si>
    <t>MIRAEAMC - MAHKTECH</t>
  </si>
  <si>
    <t>MAHKTECH</t>
  </si>
  <si>
    <t>LTGILTBEES</t>
  </si>
  <si>
    <t>LOWVOLIETF</t>
  </si>
  <si>
    <t>KOTAKMAMC - KOTAKLOVOL</t>
  </si>
  <si>
    <t>LOWVOL1</t>
  </si>
  <si>
    <t>MIRAEAMC - MANV30F</t>
  </si>
  <si>
    <t>LOWVOL</t>
  </si>
  <si>
    <t>SHRIRAM - LIQUIDSHRI</t>
  </si>
  <si>
    <t>LIQUIDSHRI</t>
  </si>
  <si>
    <t>SBIAMC - LIQUIDSBI</t>
  </si>
  <si>
    <t>LIQUIDSBI</t>
  </si>
  <si>
    <t>LIQUIDIETF</t>
  </si>
  <si>
    <t>ZERODHAAMC - LIQUIDCASE</t>
  </si>
  <si>
    <t>LIQUIDCASE</t>
  </si>
  <si>
    <t>BFAM - LIQUIDBETF</t>
  </si>
  <si>
    <t>LIQUIDBETF</t>
  </si>
  <si>
    <t>DSPAMC - LIQUIDADD</t>
  </si>
  <si>
    <t>LIQUIDADD</t>
  </si>
  <si>
    <t>KOTAKMAMC - KOTAKLIQ</t>
  </si>
  <si>
    <t>LIQUID1</t>
  </si>
  <si>
    <t>MIRAEAMC - LIQUID</t>
  </si>
  <si>
    <t>LIQUID</t>
  </si>
  <si>
    <t>LICNAMC - LICNMID100</t>
  </si>
  <si>
    <t>LICNMID100</t>
  </si>
  <si>
    <t>LIC MF - LIC GOLD ETF</t>
  </si>
  <si>
    <t>LICMFGOLD</t>
  </si>
  <si>
    <t>ITIETF</t>
  </si>
  <si>
    <t>DSPAMC - DSPITETF</t>
  </si>
  <si>
    <t>ITETFADD</t>
  </si>
  <si>
    <t>MIRAEAMC - ITETF</t>
  </si>
  <si>
    <t>ITETF</t>
  </si>
  <si>
    <t>ITBEES</t>
  </si>
  <si>
    <t>IT</t>
  </si>
  <si>
    <t>ICICIPRAMC - ICICIINFRA</t>
  </si>
  <si>
    <t>INFRAIETF</t>
  </si>
  <si>
    <t>BANDHANAMC - IDFNIFTYET</t>
  </si>
  <si>
    <t>BIRLASLAMC - HEALTHY</t>
  </si>
  <si>
    <t>HEALTHY</t>
  </si>
  <si>
    <t>HEALTHIETF</t>
  </si>
  <si>
    <t>DSPAMC - HEALTHADD</t>
  </si>
  <si>
    <t>HEALTHADD</t>
  </si>
  <si>
    <t>HDFCAMC - HDFCVALUE</t>
  </si>
  <si>
    <t>HDFCVALUE</t>
  </si>
  <si>
    <t>HDFCAMC - HDFCSML250</t>
  </si>
  <si>
    <t>HDFCSML250</t>
  </si>
  <si>
    <t>HDFCAMC - HDFCSILVER</t>
  </si>
  <si>
    <t>HDFCSILVER</t>
  </si>
  <si>
    <t>HDFCAMC - HDFCSENSEX</t>
  </si>
  <si>
    <t>HDFCSENSEX</t>
  </si>
  <si>
    <t>HDFCAMC - HDFCQUAL</t>
  </si>
  <si>
    <t>HDFCQUAL</t>
  </si>
  <si>
    <t>HDFCAMC - HDFCPVTBAN</t>
  </si>
  <si>
    <t>HDFCPVTBAN</t>
  </si>
  <si>
    <t>HDFCAMC HDFCPSUBK</t>
  </si>
  <si>
    <t>HDFCPSUBK</t>
  </si>
  <si>
    <t>HDFCAMC - HDFCNIFTY</t>
  </si>
  <si>
    <t>HDFCNIFTY</t>
  </si>
  <si>
    <t>HDFCAMC - HDFCNIFIT</t>
  </si>
  <si>
    <t>HDFCNIFIT</t>
  </si>
  <si>
    <t>HDFCAMC - HDFCNIFBAN</t>
  </si>
  <si>
    <t>HDFCNIFBAN</t>
  </si>
  <si>
    <t>HDFCAMC - HDFCNIF100</t>
  </si>
  <si>
    <t>HDFCNIF100</t>
  </si>
  <si>
    <t>HDFCAMC - HDFCNEXT50</t>
  </si>
  <si>
    <t>HDFCNEXT50</t>
  </si>
  <si>
    <t>HDFCAMC - HDFCMOMENT</t>
  </si>
  <si>
    <t>HDFCMOMENT</t>
  </si>
  <si>
    <t>HDFCAMC - HDFCMID150</t>
  </si>
  <si>
    <t>HDFCMID150</t>
  </si>
  <si>
    <t>HDFCAMC - HDFCLOWVOL</t>
  </si>
  <si>
    <t>HDFCLOWVOL</t>
  </si>
  <si>
    <t>HDFCAMC - HDFCLIQUID</t>
  </si>
  <si>
    <t>HDFCLIQUID</t>
  </si>
  <si>
    <t>HDFCAMC - HDFCGROWTH</t>
  </si>
  <si>
    <t>HDFCGROWTH</t>
  </si>
  <si>
    <t>HDFCGOLD</t>
  </si>
  <si>
    <t>HDFCAMC - HDFCBSE500</t>
  </si>
  <si>
    <t>HDFCBSE500</t>
  </si>
  <si>
    <t>ICICIPRAMC - ICICI5GSEC</t>
  </si>
  <si>
    <t>GSEC5IETF</t>
  </si>
  <si>
    <t>MIRAEAMC - MAGS813ETF</t>
  </si>
  <si>
    <t>GSEC10YEAR</t>
  </si>
  <si>
    <t>GOLDIETF</t>
  </si>
  <si>
    <t>DSPAMC - DSPGOLDETF</t>
  </si>
  <si>
    <t>GOLDETFADD</t>
  </si>
  <si>
    <t>MIRAEAMC - MAGOLDETF</t>
  </si>
  <si>
    <t>GOLDETF</t>
  </si>
  <si>
    <t>ZERODHAAMC - GOLDCASE</t>
  </si>
  <si>
    <t>GOLDCASE</t>
  </si>
  <si>
    <t>GOLD1</t>
  </si>
  <si>
    <t>GILT5YBEES</t>
  </si>
  <si>
    <t>ICICIPRAMC - ICICIFMCG</t>
  </si>
  <si>
    <t>FMCGIETF</t>
  </si>
  <si>
    <t>ICICIPRAMC-ICICIFIN</t>
  </si>
  <si>
    <t>FINIETF</t>
  </si>
  <si>
    <t>MIRAEAMC - EVINDIA</t>
  </si>
  <si>
    <t>EVINDIA</t>
  </si>
  <si>
    <t>EDELAMC - ESILVER</t>
  </si>
  <si>
    <t>ESILVER</t>
  </si>
  <si>
    <t>ESG</t>
  </si>
  <si>
    <t>DSPAMC - DSPNEWETF</t>
  </si>
  <si>
    <t>EQUAL50ADD</t>
  </si>
  <si>
    <t>EDELAMC - EGOLD</t>
  </si>
  <si>
    <t>EGOLD</t>
  </si>
  <si>
    <t>EDELAMC - EBBETF0433</t>
  </si>
  <si>
    <t>EBBETF0433</t>
  </si>
  <si>
    <t>DIVOPPBEES</t>
  </si>
  <si>
    <t>ICICIPRAMC - ICICICONSU</t>
  </si>
  <si>
    <t>CONSUMIETF</t>
  </si>
  <si>
    <t>CONSUMBEES</t>
  </si>
  <si>
    <t>KOTAKMAMC - KOTAKCONS</t>
  </si>
  <si>
    <t>CONS</t>
  </si>
  <si>
    <t>ICICIPRAMC - ICICICOMMO</t>
  </si>
  <si>
    <t>COMMOIETF</t>
  </si>
  <si>
    <t>BIRLASLAMC - BSLSENETFG</t>
  </si>
  <si>
    <t>BSLSENETFG</t>
  </si>
  <si>
    <t>BSE500IETF</t>
  </si>
  <si>
    <t>MIRAEAMC - MAFSETF</t>
  </si>
  <si>
    <t>BFSI</t>
  </si>
  <si>
    <t>BARODABNP - BBNPPGOLD</t>
  </si>
  <si>
    <t>BBNPPGOLD</t>
  </si>
  <si>
    <t>BARODABNP - BBNPNBETF</t>
  </si>
  <si>
    <t>BBNPNBETF</t>
  </si>
  <si>
    <t>EDELAMC - BBETF0432</t>
  </si>
  <si>
    <t>BBETF0432</t>
  </si>
  <si>
    <t>BANKNIFTY1</t>
  </si>
  <si>
    <t>BANKIETF</t>
  </si>
  <si>
    <t>DSPAMC - DSPBANKETF</t>
  </si>
  <si>
    <t>BANKETFADD</t>
  </si>
  <si>
    <t>MIRAEAMC - BANKETF</t>
  </si>
  <si>
    <t>BANKETF</t>
  </si>
  <si>
    <t>BFAM - BANKBETF</t>
  </si>
  <si>
    <t>BANKBETF</t>
  </si>
  <si>
    <t>AXISAMC - AXSENSEX</t>
  </si>
  <si>
    <t>AXSENSEX</t>
  </si>
  <si>
    <t>AXISAMC - AXISILVER</t>
  </si>
  <si>
    <t>AXISILVER</t>
  </si>
  <si>
    <t>AXISAMC - AXISCETF</t>
  </si>
  <si>
    <t>AXISCETF</t>
  </si>
  <si>
    <t>ICICIPRAMC - ICICIAUTO</t>
  </si>
  <si>
    <t>AUTOIETF</t>
  </si>
  <si>
    <t>NIPPONAMC - NETFAUTO</t>
  </si>
  <si>
    <t>AUTOBEES</t>
  </si>
  <si>
    <t>ALPL30IETF</t>
  </si>
  <si>
    <t>MIRAEAMC - ALPHAETF</t>
  </si>
  <si>
    <t>ALPHAETF</t>
  </si>
  <si>
    <t>KOTAKMAMC - KOTAKALPHA</t>
  </si>
  <si>
    <t>ALPHA</t>
  </si>
  <si>
    <t>BIRLASLAMC-ABSLPSE</t>
  </si>
  <si>
    <t>ABSLPSE</t>
  </si>
  <si>
    <t>BIRLASLAMC - ABSLLIQUID</t>
  </si>
  <si>
    <t>ABSLLIQUID</t>
  </si>
  <si>
    <t>BIRLASLAMC - ABGSEC</t>
  </si>
  <si>
    <t>ABGSEC</t>
  </si>
  <si>
    <t>SEC RE NCD 10.25% SR XII</t>
  </si>
  <si>
    <t>1025IHF34A</t>
  </si>
  <si>
    <t>ZT</t>
  </si>
  <si>
    <t>SEC RE NCD SR.III</t>
  </si>
  <si>
    <t>IBHF24A</t>
  </si>
  <si>
    <t>ZS</t>
  </si>
  <si>
    <t>SEC RE NCD 9.15% SR.VIII</t>
  </si>
  <si>
    <t>93IHFL24A</t>
  </si>
  <si>
    <t>ZN</t>
  </si>
  <si>
    <t>SEC RED NCD SR.VIII</t>
  </si>
  <si>
    <t>SFLZC25A</t>
  </si>
  <si>
    <t>ZK</t>
  </si>
  <si>
    <t>SEC RE NCD SR VI</t>
  </si>
  <si>
    <t>IHF310524A</t>
  </si>
  <si>
    <t>SEC RE NCD SR III</t>
  </si>
  <si>
    <t>IHF310524</t>
  </si>
  <si>
    <t>ZF</t>
  </si>
  <si>
    <t>SEC RED NCD 8.75% SR.III</t>
  </si>
  <si>
    <t>875SFL27</t>
  </si>
  <si>
    <t>SEC RED NCD 8.66% SR.II</t>
  </si>
  <si>
    <t>866SFL25</t>
  </si>
  <si>
    <t>ZE</t>
  </si>
  <si>
    <t>SEC RE NCD 9.25% SR II</t>
  </si>
  <si>
    <t>925IHFL26D</t>
  </si>
  <si>
    <t>ZD</t>
  </si>
  <si>
    <t>SEC RED NCD SR.IX</t>
  </si>
  <si>
    <t>SFLZC24A</t>
  </si>
  <si>
    <t>ZB</t>
  </si>
  <si>
    <t>SEC RE NCD 9.65% SR I</t>
  </si>
  <si>
    <t>965IHFL26A</t>
  </si>
  <si>
    <t>SEC RE NCD 9.05% SR.I</t>
  </si>
  <si>
    <t>905IH24</t>
  </si>
  <si>
    <t>96SFL24</t>
  </si>
  <si>
    <t>SEC RE NCD 8.94% SR.VI</t>
  </si>
  <si>
    <t>955IHFL27</t>
  </si>
  <si>
    <t>Z5</t>
  </si>
  <si>
    <t>SEC RED NCD 9.31% SR.III</t>
  </si>
  <si>
    <t>931SFL26</t>
  </si>
  <si>
    <t>SEC RE NCD 9.30% SR.IV</t>
  </si>
  <si>
    <t>847IHFL25</t>
  </si>
  <si>
    <t>97SFL29</t>
  </si>
  <si>
    <t>957ICCL25</t>
  </si>
  <si>
    <t>930SFL28</t>
  </si>
  <si>
    <t>YP</t>
  </si>
  <si>
    <t>835IHFL23B</t>
  </si>
  <si>
    <t>YM</t>
  </si>
  <si>
    <t>94SFL28</t>
  </si>
  <si>
    <t>903SFL28</t>
  </si>
  <si>
    <t>SEC RE NCD 8.89% SR.VIII</t>
  </si>
  <si>
    <t>889IHFL27</t>
  </si>
  <si>
    <t>YC</t>
  </si>
  <si>
    <t>SEC RE NCD 9.25% SR.VII</t>
  </si>
  <si>
    <t>925IHFL27</t>
  </si>
  <si>
    <t>YA</t>
  </si>
  <si>
    <t>SEC RE NCD SR.V</t>
  </si>
  <si>
    <t>IBHF25</t>
  </si>
  <si>
    <t>Y6</t>
  </si>
  <si>
    <t>SEC RE NCD 9% SR.IV</t>
  </si>
  <si>
    <t>9IHFL25</t>
  </si>
  <si>
    <t>SEC RE NCD 10.49% SR.VII</t>
  </si>
  <si>
    <t>1049DLS25A</t>
  </si>
  <si>
    <t>SEC RE NCD 0% SR.VII</t>
  </si>
  <si>
    <t>IIFLZC28B</t>
  </si>
  <si>
    <t>965IHFL25B</t>
  </si>
  <si>
    <t>GOI TBILL 91D-25/07/24</t>
  </si>
  <si>
    <t>91D250724</t>
  </si>
  <si>
    <t>TB</t>
  </si>
  <si>
    <t>GOI TBILL 91D-19/09/24</t>
  </si>
  <si>
    <t>91D190924</t>
  </si>
  <si>
    <t>GOI TBILL 91D-15/08/24</t>
  </si>
  <si>
    <t>91D150824</t>
  </si>
  <si>
    <t>GOI TBILL 91D-12/09/24</t>
  </si>
  <si>
    <t>91D120924</t>
  </si>
  <si>
    <t>GOI TBILL 91D-10/10/24</t>
  </si>
  <si>
    <t>91D101024</t>
  </si>
  <si>
    <t>GOI TBILL 91D-08/08/24</t>
  </si>
  <si>
    <t>91D080824</t>
  </si>
  <si>
    <t>GOI TBILL 91D-05/09/24</t>
  </si>
  <si>
    <t>91D050924</t>
  </si>
  <si>
    <t>GOI TBILL 91D-02/08/24</t>
  </si>
  <si>
    <t>91D020824</t>
  </si>
  <si>
    <t>GOI TBILL 364D-31/10/24</t>
  </si>
  <si>
    <t>364D311024</t>
  </si>
  <si>
    <t>GOI TBILL 364D-29/05/25</t>
  </si>
  <si>
    <t>364D290525</t>
  </si>
  <si>
    <t>GOI TBILL 364D-25/07/24</t>
  </si>
  <si>
    <t>364D250724</t>
  </si>
  <si>
    <t>GOI TBILL 364D-20/02/25</t>
  </si>
  <si>
    <t>364D200225</t>
  </si>
  <si>
    <t>GOI TBILL 364D-19/06/25</t>
  </si>
  <si>
    <t>364D190625</t>
  </si>
  <si>
    <t>GOI TBILL 364D-11/04/25</t>
  </si>
  <si>
    <t>364D110425</t>
  </si>
  <si>
    <t>GOI TBILL 364D-05/09/24</t>
  </si>
  <si>
    <t>364D050924</t>
  </si>
  <si>
    <t>GOI TBILL 182D-22/08/24</t>
  </si>
  <si>
    <t>182D220824</t>
  </si>
  <si>
    <t>GOI TBILL 182D-15/08/24</t>
  </si>
  <si>
    <t>182D150824</t>
  </si>
  <si>
    <t>GOI TBILL 182D-09/01/25</t>
  </si>
  <si>
    <t>182D090125</t>
  </si>
  <si>
    <t>GOI TBILL 182D-08/08/24</t>
  </si>
  <si>
    <t>182D080824</t>
  </si>
  <si>
    <t>GOI TBILL 182D-01/11/24</t>
  </si>
  <si>
    <t>182D011124</t>
  </si>
  <si>
    <t>GOI TBILL 182D-01/08/24</t>
  </si>
  <si>
    <t>182D010824</t>
  </si>
  <si>
    <t>SDL PN 7.77% 2033</t>
  </si>
  <si>
    <t>777PN33</t>
  </si>
  <si>
    <t>SG</t>
  </si>
  <si>
    <t>SDL AS 7.67% 2032</t>
  </si>
  <si>
    <t>767AS32</t>
  </si>
  <si>
    <t>SDL BR 7.62% 2031</t>
  </si>
  <si>
    <t>762BR31</t>
  </si>
  <si>
    <t>SEC RE NCD 10.03% SR.VIII</t>
  </si>
  <si>
    <t>890ICCL23A</t>
  </si>
  <si>
    <t>NZ</t>
  </si>
  <si>
    <t>SEC RE NCD 8.65% SR.V</t>
  </si>
  <si>
    <t>865IFL28</t>
  </si>
  <si>
    <t>1049DLSL25</t>
  </si>
  <si>
    <t>NX</t>
  </si>
  <si>
    <t>SEC RE NCD 9% SR.VI</t>
  </si>
  <si>
    <t>9IIFL28A</t>
  </si>
  <si>
    <t>NT</t>
  </si>
  <si>
    <t>ICCL25</t>
  </si>
  <si>
    <t>865IIFL28</t>
  </si>
  <si>
    <t>1060ECL29</t>
  </si>
  <si>
    <t>SEC RE NCD 9.57% SR.II</t>
  </si>
  <si>
    <t>888IHFL25C</t>
  </si>
  <si>
    <t>1015ECL29</t>
  </si>
  <si>
    <t>SEC RE NCD 8.75% SR.III</t>
  </si>
  <si>
    <t>875IIFL26A</t>
  </si>
  <si>
    <t>SEC RE NCD 8.66% SR.VI</t>
  </si>
  <si>
    <t>875IHFL26</t>
  </si>
  <si>
    <t>SEC RE NCD 8.5% SR.I</t>
  </si>
  <si>
    <t>85IIFL25</t>
  </si>
  <si>
    <t>764IRFC31</t>
  </si>
  <si>
    <t>SERENCD 8.65% SR.VI OP12</t>
  </si>
  <si>
    <t>865LTF26</t>
  </si>
  <si>
    <t>835PCHF23</t>
  </si>
  <si>
    <t>94IFCI25</t>
  </si>
  <si>
    <t>SEC RE NCD 8.42% SR.V</t>
  </si>
  <si>
    <t>842IIFL26</t>
  </si>
  <si>
    <t>SERENCD 8.29% SR.V OP10</t>
  </si>
  <si>
    <t>829LTF24</t>
  </si>
  <si>
    <t>985ECL28</t>
  </si>
  <si>
    <t>SEC RED NCD 9.43% SR. VI</t>
  </si>
  <si>
    <t>943ECL28</t>
  </si>
  <si>
    <t>SERENCD 8.60% SR.IV OP8</t>
  </si>
  <si>
    <t>86LTF24</t>
  </si>
  <si>
    <t>82IGT31</t>
  </si>
  <si>
    <t>753IRFC30</t>
  </si>
  <si>
    <t>812REC27</t>
  </si>
  <si>
    <t>TAX FREE  7.32% SR. 102 A</t>
  </si>
  <si>
    <t>732IRFC25</t>
  </si>
  <si>
    <t>99IFCI24</t>
  </si>
  <si>
    <t>925IHFL25A</t>
  </si>
  <si>
    <t>87LTF27</t>
  </si>
  <si>
    <t>IIFLZC28</t>
  </si>
  <si>
    <t>SEC RE NCD SR.II</t>
  </si>
  <si>
    <t>948ICCL25A</t>
  </si>
  <si>
    <t>96IIFL28A</t>
  </si>
  <si>
    <t>965IHFL25A</t>
  </si>
  <si>
    <t>SERENCD 9.05% SR.VI OPII</t>
  </si>
  <si>
    <t>905LTF27</t>
  </si>
  <si>
    <t>BOND8.88% PA TF TR II S2B</t>
  </si>
  <si>
    <t>888REC29</t>
  </si>
  <si>
    <t>901HUDCO34</t>
  </si>
  <si>
    <t>888IRFC29</t>
  </si>
  <si>
    <t>769NHAI31</t>
  </si>
  <si>
    <t>10IIFL28A</t>
  </si>
  <si>
    <t>SEC RE NCD 9.70% SR VII</t>
  </si>
  <si>
    <t>970CAGL28</t>
  </si>
  <si>
    <t>876HUDCO28</t>
  </si>
  <si>
    <t>SEC RE NCD 10.50% SR VI</t>
  </si>
  <si>
    <t>1050IIFL29</t>
  </si>
  <si>
    <t>UNSEC RED NCD 10.00% SR.V</t>
  </si>
  <si>
    <t>985IIFL22</t>
  </si>
  <si>
    <t>BOND 8.63% PA TF TII-SIIA</t>
  </si>
  <si>
    <t>863IRFC29</t>
  </si>
  <si>
    <t>SEC RE NCD 8.43% SR.VI</t>
  </si>
  <si>
    <t>843IHFL29</t>
  </si>
  <si>
    <t>TCHF30</t>
  </si>
  <si>
    <t>SERENCD8.84%SRVICIII&amp;IV</t>
  </si>
  <si>
    <t>96SFL24A</t>
  </si>
  <si>
    <t>TFB 7.36% 2025 SR. 1B</t>
  </si>
  <si>
    <t>736NTPC25D</t>
  </si>
  <si>
    <t>SEC RE NCD 10.90% SR.III</t>
  </si>
  <si>
    <t>1090NFL26</t>
  </si>
  <si>
    <t>SEC RE NCD 10.5% SR IV</t>
  </si>
  <si>
    <t>105UCL2026</t>
  </si>
  <si>
    <t>SEC RE NCD 9% SR.V</t>
  </si>
  <si>
    <t>9PCHFL31A</t>
  </si>
  <si>
    <t>910TCAP28</t>
  </si>
  <si>
    <t>865IRFC29</t>
  </si>
  <si>
    <t>862REC33</t>
  </si>
  <si>
    <t>76NHAI31</t>
  </si>
  <si>
    <t>SEC RE NCD 9.60% SR II</t>
  </si>
  <si>
    <t>960IIFLS26</t>
  </si>
  <si>
    <t>SEC RE NCD 9.25% SR III</t>
  </si>
  <si>
    <t>925CAGL26</t>
  </si>
  <si>
    <t>871REC28</t>
  </si>
  <si>
    <t>SEC RE NCD 8.20% SR.III</t>
  </si>
  <si>
    <t>820IIFL27</t>
  </si>
  <si>
    <t>SEC RE NCD 10.00% SR. I</t>
  </si>
  <si>
    <t>10NFL25</t>
  </si>
  <si>
    <t>SEC RE NCD 9.20% SR I</t>
  </si>
  <si>
    <t>920IIFLS26</t>
  </si>
  <si>
    <t>865TCAPS27</t>
  </si>
  <si>
    <t>764HUDCO31</t>
  </si>
  <si>
    <t>739NHAI26</t>
  </si>
  <si>
    <t>SEC RE NCD 10.25% SR I</t>
  </si>
  <si>
    <t>1025UCL25</t>
  </si>
  <si>
    <t>SEC RE NCD 9.90% SR IV</t>
  </si>
  <si>
    <t>990IHFL26</t>
  </si>
  <si>
    <t>SEC RE NCD 9.70% SR VIII</t>
  </si>
  <si>
    <t>97MOFSL34</t>
  </si>
  <si>
    <t>SERENCD 8.98% SR.VI OP2</t>
  </si>
  <si>
    <t>898LTF29</t>
  </si>
  <si>
    <t>849NTPC25</t>
  </si>
  <si>
    <t>SEC RE NCD 8.25% SR.I</t>
  </si>
  <si>
    <t>825IIFL25</t>
  </si>
  <si>
    <t>7.74% TAX FREE NCD</t>
  </si>
  <si>
    <t>774IREDA31</t>
  </si>
  <si>
    <t>105IIFL29</t>
  </si>
  <si>
    <t>SEC RED NCD 10.50% SR.III</t>
  </si>
  <si>
    <t>1050UCL25</t>
  </si>
  <si>
    <t>SEC RE NCD 10.50% SR.IV</t>
  </si>
  <si>
    <t>1050NFL26</t>
  </si>
  <si>
    <t>925ERFL28</t>
  </si>
  <si>
    <t>901NHB34</t>
  </si>
  <si>
    <t>NHB 8.93 NCD TR II SR 2 B</t>
  </si>
  <si>
    <t>893NHB29</t>
  </si>
  <si>
    <t>891NTPC33</t>
  </si>
  <si>
    <t>875NHAI29</t>
  </si>
  <si>
    <t>SERENCD8.50%SR.IICIII&amp;IV</t>
  </si>
  <si>
    <t>85TCAPS24</t>
  </si>
  <si>
    <t>SEC RED NCD 8.30% SR.III</t>
  </si>
  <si>
    <t>83TCHF25</t>
  </si>
  <si>
    <t>BOND 7.04% PA TAX FREE S2</t>
  </si>
  <si>
    <t>704IRFC28</t>
  </si>
  <si>
    <t>10NIDO26</t>
  </si>
  <si>
    <t>10IIFL29</t>
  </si>
  <si>
    <t>UNSEC RE NCD 9.60% SR.II</t>
  </si>
  <si>
    <t>96IIFL28</t>
  </si>
  <si>
    <t>SEC RED NCD 9.57% SR. V</t>
  </si>
  <si>
    <t>957NIDO26</t>
  </si>
  <si>
    <t>SE RE NCD 9.35% SR.V OP2</t>
  </si>
  <si>
    <t>935LTF29</t>
  </si>
  <si>
    <t>BOND 8.88%PA TF TR-I S 2B</t>
  </si>
  <si>
    <t>888NHB29</t>
  </si>
  <si>
    <t>888ERFL28</t>
  </si>
  <si>
    <t>IREDA 8.80NCDTR I SR II B</t>
  </si>
  <si>
    <t>880IREDA29</t>
  </si>
  <si>
    <t>751HUDCO28</t>
  </si>
  <si>
    <t>SEC RE NCD 10% SR. V</t>
  </si>
  <si>
    <t>10CAGL27</t>
  </si>
  <si>
    <t>SEC RE NCD 8.97% SR V</t>
  </si>
  <si>
    <t>897MOFSL29</t>
  </si>
  <si>
    <t>891IIFCL34</t>
  </si>
  <si>
    <t>888IHFL25E</t>
  </si>
  <si>
    <t>UNSEC RE NCD 10% SR.I</t>
  </si>
  <si>
    <t>10IIFL28</t>
  </si>
  <si>
    <t>SEC RE NCD 10.03% SR 5</t>
  </si>
  <si>
    <t>1003ISFL28</t>
  </si>
  <si>
    <t>SEC RE NCGB 8.25% STRPP D</t>
  </si>
  <si>
    <t>IMC1</t>
  </si>
  <si>
    <t>SEC RE NCD 7.90% STRPP C</t>
  </si>
  <si>
    <t>79NHIT47</t>
  </si>
  <si>
    <t>7.60% TAX FREE NCD</t>
  </si>
  <si>
    <t>760PFCL35</t>
  </si>
  <si>
    <t>SEC RED NCD 10.15% SR. II</t>
  </si>
  <si>
    <t>1015UCL24</t>
  </si>
  <si>
    <t>SEC RE NCD SR IV</t>
  </si>
  <si>
    <t>0MOFSL27</t>
  </si>
  <si>
    <t>SEC RE NCGB 8.25% STRPP C</t>
  </si>
  <si>
    <t>830NHAI27</t>
  </si>
  <si>
    <t>82HUDCO27</t>
  </si>
  <si>
    <t>810IRFC27</t>
  </si>
  <si>
    <t>SEC RE NCD 8.05% SR III</t>
  </si>
  <si>
    <t>805ABFL28</t>
  </si>
  <si>
    <t>SEC RE NCD 7.90% STRPP B</t>
  </si>
  <si>
    <t>79NHIT40</t>
  </si>
  <si>
    <t>764NABAR31</t>
  </si>
  <si>
    <t>SEC RE NCD 10.75% SR XI</t>
  </si>
  <si>
    <t>1075IHF33A</t>
  </si>
  <si>
    <t>SEC RE NCGB 8.25% STRPP B</t>
  </si>
  <si>
    <t>SEC RE NCD 9.05% SR II</t>
  </si>
  <si>
    <t>905PEL26</t>
  </si>
  <si>
    <t>8.72% UNSECURED NCD</t>
  </si>
  <si>
    <t>872MMFSL26</t>
  </si>
  <si>
    <t>SEC RE NCD 7.90% STRPP A</t>
  </si>
  <si>
    <t>79NHIT35</t>
  </si>
  <si>
    <t>SEC RE NCD SR II</t>
  </si>
  <si>
    <t>0MOFSL26</t>
  </si>
  <si>
    <t>SEC RE NCGB 8.25% STRPP A</t>
  </si>
  <si>
    <t>N0</t>
  </si>
  <si>
    <t>SEC RE NCD 9.00% SR I</t>
  </si>
  <si>
    <t>9PEL25</t>
  </si>
  <si>
    <t>SEC RE NCD 9.75% SR. I</t>
  </si>
  <si>
    <t>975NFL25</t>
  </si>
  <si>
    <t>SEC RE NCD 9.39% SR.VIII</t>
  </si>
  <si>
    <t>965IHFL25C</t>
  </si>
  <si>
    <t>SEC RE NCD 9.21% SR 1</t>
  </si>
  <si>
    <t>921ISFL25</t>
  </si>
  <si>
    <t>SEC RE NCD 8.85% SR I</t>
  </si>
  <si>
    <t>885MOFSL26</t>
  </si>
  <si>
    <t>GOI LOAN 9.20% 2030</t>
  </si>
  <si>
    <t>92GS2030</t>
  </si>
  <si>
    <t>GOI LOAN 8.30% 2042</t>
  </si>
  <si>
    <t>83GS2042</t>
  </si>
  <si>
    <t>GOI LOAN 8.26% 2027</t>
  </si>
  <si>
    <t>826GS2027</t>
  </si>
  <si>
    <t>GOI LOAN 7.57% 2033</t>
  </si>
  <si>
    <t>757GS2033</t>
  </si>
  <si>
    <t>GOI LOAN  7.54% 2036</t>
  </si>
  <si>
    <t>754GS2036</t>
  </si>
  <si>
    <t>GOI LOAN  7.4% 2062</t>
  </si>
  <si>
    <t>74GS2062</t>
  </si>
  <si>
    <t>GOI LOAN  7.46% 2073</t>
  </si>
  <si>
    <t>746GS2073</t>
  </si>
  <si>
    <t>GOI LOAN  7.41% 2036</t>
  </si>
  <si>
    <t>741GS2036</t>
  </si>
  <si>
    <t>GOI LOAN  7.3% 2053</t>
  </si>
  <si>
    <t>73GS2053</t>
  </si>
  <si>
    <t>GOI LOAN 7.38% 2027</t>
  </si>
  <si>
    <t>738GS2027</t>
  </si>
  <si>
    <t>GOI LOAN  7.37% 2028</t>
  </si>
  <si>
    <t>737GS2028</t>
  </si>
  <si>
    <t>GOI LOAN  7.36% 2052</t>
  </si>
  <si>
    <t>736GS2052</t>
  </si>
  <si>
    <t>GOI LOAN  7.34% 2064</t>
  </si>
  <si>
    <t>734GS2064</t>
  </si>
  <si>
    <t>GOI LOAN  7.33% 2026</t>
  </si>
  <si>
    <t>733GS2026</t>
  </si>
  <si>
    <t>GOI LOAN  7.32% 2030</t>
  </si>
  <si>
    <t>732GS2030</t>
  </si>
  <si>
    <t>GOI LOAN 7.27% 2026</t>
  </si>
  <si>
    <t>727GS2026</t>
  </si>
  <si>
    <t>GOI LOAN  7.26% 2033</t>
  </si>
  <si>
    <t>726GS2033</t>
  </si>
  <si>
    <t>GOI LOAN  7.26% 2032</t>
  </si>
  <si>
    <t>726GS2032</t>
  </si>
  <si>
    <t>GOI LOAN  7.25% 2063</t>
  </si>
  <si>
    <t>725GS2063</t>
  </si>
  <si>
    <t>GOI LOAN  7.23% 2039</t>
  </si>
  <si>
    <t>723GS2039</t>
  </si>
  <si>
    <t>GOI LOAN  7.1% 2034</t>
  </si>
  <si>
    <t>71GS2034</t>
  </si>
  <si>
    <t>GOI LOAN  7.18% 2037</t>
  </si>
  <si>
    <t>718GS2037</t>
  </si>
  <si>
    <t>GOI LOAN  7.18% 2033</t>
  </si>
  <si>
    <t>718GS2033</t>
  </si>
  <si>
    <t>GOI LOAN  7.17% 2030</t>
  </si>
  <si>
    <t>717GS2030</t>
  </si>
  <si>
    <t>GOI LOAN 7.16% 2050</t>
  </si>
  <si>
    <t>716GS2050</t>
  </si>
  <si>
    <t>GOI LOAN 7.10% 2029</t>
  </si>
  <si>
    <t>710GS2029</t>
  </si>
  <si>
    <t>GOI LOAN  7.06% 2028</t>
  </si>
  <si>
    <t>706GS2028</t>
  </si>
  <si>
    <t>GOI LOAN  7.04% 2029</t>
  </si>
  <si>
    <t>704GS2029</t>
  </si>
  <si>
    <t>GOI LOAN  7.02% 2031</t>
  </si>
  <si>
    <t>702GS2031</t>
  </si>
  <si>
    <t>GOI LOAN  7.02% 2027</t>
  </si>
  <si>
    <t>702GS2027</t>
  </si>
  <si>
    <t>GOI LOAN  6.99% 2051</t>
  </si>
  <si>
    <t>699GS2051</t>
  </si>
  <si>
    <t>GOI LOAN  6.99% 2026</t>
  </si>
  <si>
    <t>699GS2026</t>
  </si>
  <si>
    <t>GOI LOAN  6.95% 2061</t>
  </si>
  <si>
    <t>695GS2061</t>
  </si>
  <si>
    <t>GOI LOAN  6.89% 2025</t>
  </si>
  <si>
    <t>689GS2025</t>
  </si>
  <si>
    <t>GOI LOAN  6.54% 2032</t>
  </si>
  <si>
    <t>654GS2032</t>
  </si>
  <si>
    <t>GOI LOAN  6.10% 2031</t>
  </si>
  <si>
    <t>610GS2031</t>
  </si>
  <si>
    <t>GOI LOAN  5.74% 2026</t>
  </si>
  <si>
    <t>574GS2026</t>
  </si>
  <si>
    <t>GOI LOAN  5.63% 2026</t>
  </si>
  <si>
    <t>563GS2026</t>
  </si>
  <si>
    <t>GOI LOAN 5.22% 2025</t>
  </si>
  <si>
    <t>522GS2025</t>
  </si>
  <si>
    <t>GOI LOAN 10.18% 2026</t>
  </si>
  <si>
    <t>1018GS2026</t>
  </si>
  <si>
    <t>2.50%GOLDBONDS2031SR-II</t>
  </si>
  <si>
    <t>SGBSEP31II</t>
  </si>
  <si>
    <t>2.5%GOLDBONDS2029SR-VI</t>
  </si>
  <si>
    <t>SGBSEP29VI</t>
  </si>
  <si>
    <t>2.50%GOLDBONDS2027SR-V</t>
  </si>
  <si>
    <t>SGBOCT27</t>
  </si>
  <si>
    <t>2.50%GOLDBONDS2026SR-II</t>
  </si>
  <si>
    <t>SGBOCT26</t>
  </si>
  <si>
    <t>2.50% GOLDBONDS2025SR-IV</t>
  </si>
  <si>
    <t>SGBOCT25IV</t>
  </si>
  <si>
    <t>2.5%GOLDBONDS2029SR-VII</t>
  </si>
  <si>
    <t>SGBNV29VII</t>
  </si>
  <si>
    <t>2.50% GOLDBONDS2025SR-VI</t>
  </si>
  <si>
    <t>SGBNOV25VI</t>
  </si>
  <si>
    <t>2.50%GOLDBONDS2031SR-IV</t>
  </si>
  <si>
    <t>SGBMAR31IV</t>
  </si>
  <si>
    <t>2.50%GOLDBONDS2030SR-X</t>
  </si>
  <si>
    <t>SGBMAR30X</t>
  </si>
  <si>
    <t>2.50%GOLDBONDS2031SR-I</t>
  </si>
  <si>
    <t>SGBJUN31I</t>
  </si>
  <si>
    <t>2.50%GOLDBONDS2030SR-I</t>
  </si>
  <si>
    <t>SGBJUN30</t>
  </si>
  <si>
    <t>2.50%GOLDBONDS2029SR-IV</t>
  </si>
  <si>
    <t>SGBJUL29IV</t>
  </si>
  <si>
    <t>2.50%GOLDBONDS2030SR-IX</t>
  </si>
  <si>
    <t>SGBJAN30IX</t>
  </si>
  <si>
    <t>SGBJAN27</t>
  </si>
  <si>
    <t>2.50%GOLDBONDS2028SR-VIII</t>
  </si>
  <si>
    <t>SGBJ28VIII</t>
  </si>
  <si>
    <t>2.50%GOLDBONDS2032SR-IV</t>
  </si>
  <si>
    <t>SGBFEB32IV</t>
  </si>
  <si>
    <t>2.50%GOLDBONDS 2025 SR-XI</t>
  </si>
  <si>
    <t>SGBDEC25XI</t>
  </si>
  <si>
    <t>2.50%GOLDBONDS2025SR-XIII</t>
  </si>
  <si>
    <t>SGBDEC2513</t>
  </si>
  <si>
    <t>2.50%GOLDBONDS2031SR-III</t>
  </si>
  <si>
    <t>SGBDE31III</t>
  </si>
  <si>
    <t>2.50%GOLDBONDS2030SR-III</t>
  </si>
  <si>
    <t>SGBDE30III</t>
  </si>
  <si>
    <t>2.50%GOLDBONDS2029SR-VIII</t>
  </si>
  <si>
    <t>SGBD29VIII</t>
  </si>
  <si>
    <t>2.50%GOLDBONDS2030SR-II</t>
  </si>
  <si>
    <t>SGBAUG30</t>
  </si>
  <si>
    <t>2.50%GOLDBONDS2029SR-V</t>
  </si>
  <si>
    <t>SGBAUG29V</t>
  </si>
  <si>
    <t>SEC RE NCD 9.71% SR VIII</t>
  </si>
  <si>
    <t>971IHFL28I</t>
  </si>
  <si>
    <t>BC</t>
  </si>
  <si>
    <t>YUDIZ SOLUTIONS LIMITED</t>
  </si>
  <si>
    <t>YUDIZ</t>
  </si>
  <si>
    <t>WOMANCART LIMITED</t>
  </si>
  <si>
    <t>WOMANCART</t>
  </si>
  <si>
    <t>VIVIANA POWER TECH LTD</t>
  </si>
  <si>
    <t>VIVIANA</t>
  </si>
  <si>
    <t>VITAL CHEMTECH LIMITED</t>
  </si>
  <si>
    <t>VITAL</t>
  </si>
  <si>
    <t>VINYAS INNOVATIVE TECH L</t>
  </si>
  <si>
    <t>VINYAS</t>
  </si>
  <si>
    <t>VILAS TRANSCORE LIMITED</t>
  </si>
  <si>
    <t>VILAS</t>
  </si>
  <si>
    <t>VERTEXPLUS TECHNOLOGIES L</t>
  </si>
  <si>
    <t>VERTEXPLUS</t>
  </si>
  <si>
    <t>TRUST FINTECH LIMITED</t>
  </si>
  <si>
    <t>TRUST</t>
  </si>
  <si>
    <t>TEERTH GOPICON LIMITED</t>
  </si>
  <si>
    <t>TGL</t>
  </si>
  <si>
    <t>TRIDENT TECHLABS LIMITED</t>
  </si>
  <si>
    <t>TECHLABS</t>
  </si>
  <si>
    <t>TBI CORN LIMITED</t>
  </si>
  <si>
    <t>TBI</t>
  </si>
  <si>
    <t>SUPREME POWER EQUIPMENT L</t>
  </si>
  <si>
    <t>SUPREMEPWR</t>
  </si>
  <si>
    <t>SP REFRACTORIES LIMITED</t>
  </si>
  <si>
    <t>SPRL</t>
  </si>
  <si>
    <t>SOTAC PHARMACEUTICALS LTD</t>
  </si>
  <si>
    <t>SOTAC</t>
  </si>
  <si>
    <t>SONU INFRATECH LIMITED</t>
  </si>
  <si>
    <t>SONUINFRA</t>
  </si>
  <si>
    <t>SLONE INFOSYSTEMS LIMITED</t>
  </si>
  <si>
    <t>SLONE</t>
  </si>
  <si>
    <t>SHREE KARNI FABCOM LTD</t>
  </si>
  <si>
    <t>SHREEKARNI</t>
  </si>
  <si>
    <t>SAAKSHI MEDTEC N PANELS L</t>
  </si>
  <si>
    <t>SAAKSHI</t>
  </si>
  <si>
    <t>RULKA ELECTRICALS LIMITED</t>
  </si>
  <si>
    <t>RULKA</t>
  </si>
  <si>
    <t>RACHANA INFRA LTD</t>
  </si>
  <si>
    <t>RILINFRA</t>
  </si>
  <si>
    <t>REFRACTORY SHAPES LIMITED</t>
  </si>
  <si>
    <t>REFRACTORY</t>
  </si>
  <si>
    <t>ONECLICK LOGISTICS IND L</t>
  </si>
  <si>
    <t>OLIL</t>
  </si>
  <si>
    <t>NIRMAN AGRI GENTICS LTD</t>
  </si>
  <si>
    <t>NIRMAN</t>
  </si>
  <si>
    <t>NEPHRO CARE INDIA LIMITED</t>
  </si>
  <si>
    <t>NEPHROCARE</t>
  </si>
  <si>
    <t>MOXSH OVERSEAS EDUCON LTD</t>
  </si>
  <si>
    <t>MOXSH</t>
  </si>
  <si>
    <t>MEGATHERM INDUCTION LTD</t>
  </si>
  <si>
    <t>MEGATHERM</t>
  </si>
  <si>
    <t>MCON RASAYAN INDIA LTD</t>
  </si>
  <si>
    <t>MCON</t>
  </si>
  <si>
    <t>MASTER COMPONENTS LIMITED</t>
  </si>
  <si>
    <t>MASTER</t>
  </si>
  <si>
    <t>MANDEEP AUTO INDUSTRIES L</t>
  </si>
  <si>
    <t>MANDEEP</t>
  </si>
  <si>
    <t>MAKS ENERGY SOL INDIA LTD</t>
  </si>
  <si>
    <t>MAKS</t>
  </si>
  <si>
    <t>KRISHNA DEF AND ALD IND L</t>
  </si>
  <si>
    <t>KRISHNADEF</t>
  </si>
  <si>
    <t>KRISHCA STRAPPING SLTN L</t>
  </si>
  <si>
    <t>KRISHCA</t>
  </si>
  <si>
    <t>JAY JALARAM TECHNO LTD</t>
  </si>
  <si>
    <t>KORE</t>
  </si>
  <si>
    <t>KN AGRI RESOURCES LIMITED</t>
  </si>
  <si>
    <t>KNAGRI</t>
  </si>
  <si>
    <t>KORE DIGITAL LIMITED</t>
  </si>
  <si>
    <t>KDL</t>
  </si>
  <si>
    <t>KAY CEE ENERGY &amp; INFRA L</t>
  </si>
  <si>
    <t>KCEIL</t>
  </si>
  <si>
    <t>K2 INFRAGEN LIMITED</t>
  </si>
  <si>
    <t>K2INFRA</t>
  </si>
  <si>
    <t>JFL LIFE SCIENCES LIMITED</t>
  </si>
  <si>
    <t>JFLLIFE</t>
  </si>
  <si>
    <t>INFOLLION RESEARCH SER L</t>
  </si>
  <si>
    <t>INFOLLION</t>
  </si>
  <si>
    <t>GSM FOILS LIMITED</t>
  </si>
  <si>
    <t>GSMFOILS</t>
  </si>
  <si>
    <t>GRETEX INDUSTRIES LTD.</t>
  </si>
  <si>
    <t>GRETEX</t>
  </si>
  <si>
    <t>GOLDKART JEWELS LIMITED</t>
  </si>
  <si>
    <t>GOLDKART</t>
  </si>
  <si>
    <t>GANESH GREEN BHARAT LTD</t>
  </si>
  <si>
    <t>GGBL</t>
  </si>
  <si>
    <t>ESCONET TECHNOLOGIES LTD</t>
  </si>
  <si>
    <t>ESCONET</t>
  </si>
  <si>
    <t>ENFUSE SOLUTIONS LIMITED</t>
  </si>
  <si>
    <t>ENFUSE</t>
  </si>
  <si>
    <t>EFFWA INFRA &amp; RESEARCH L</t>
  </si>
  <si>
    <t>EFFWA</t>
  </si>
  <si>
    <t>DUCOL ORGS AND COLOURS LT</t>
  </si>
  <si>
    <t>DUCOL</t>
  </si>
  <si>
    <t>DRONE DESTINATION LIMITED</t>
  </si>
  <si>
    <t>DRONE</t>
  </si>
  <si>
    <t>DIGIKORE STUDIOS LIMITED</t>
  </si>
  <si>
    <t>DIGIKORE</t>
  </si>
  <si>
    <t>DCG CABLES &amp; WIRES LTD</t>
  </si>
  <si>
    <t>DCG</t>
  </si>
  <si>
    <t>CMM INFRAPROJECTS LIMITED</t>
  </si>
  <si>
    <t>CMMIPL</t>
  </si>
  <si>
    <t>VARANIUM CLOUD LIMITED</t>
  </si>
  <si>
    <t>CLOUD</t>
  </si>
  <si>
    <t>CANARYS AUTOMATIONS LTD</t>
  </si>
  <si>
    <t>CANARYS</t>
  </si>
  <si>
    <t>GRILL SPLENDOUR SER LTD</t>
  </si>
  <si>
    <t>BIRDYS</t>
  </si>
  <si>
    <t>BASILIC FLY STUDIO LTD</t>
  </si>
  <si>
    <t>BASILIC</t>
  </si>
  <si>
    <t>ATMASTCO LIMITED</t>
  </si>
  <si>
    <t>ATMASTCO</t>
  </si>
  <si>
    <t>AUSTRALIAN PREM SOLAR I L</t>
  </si>
  <si>
    <t>APS</t>
  </si>
  <si>
    <t>ANLON TECHNOLOGY SOL LTD</t>
  </si>
  <si>
    <t>ANLON</t>
  </si>
  <si>
    <t>AMBEY LABORATORIES LTD</t>
  </si>
  <si>
    <t>AMBEY</t>
  </si>
  <si>
    <t>ALUWIND ARCHITECTURAL LTD</t>
  </si>
  <si>
    <t>ALUWIND</t>
  </si>
  <si>
    <t>ALPEX SOLAR LIMITED</t>
  </si>
  <si>
    <t>ALPEXSOLAR</t>
  </si>
  <si>
    <t>AKANKSHA POWER N INFRA L</t>
  </si>
  <si>
    <t>AKANKSHA</t>
  </si>
  <si>
    <t>AIMTRON ELECTRONICS LTD</t>
  </si>
  <si>
    <t>AIMTRON</t>
  </si>
  <si>
    <t>AGARWAL FLOAT GLASS I LTD</t>
  </si>
  <si>
    <t>AGARWALFT</t>
  </si>
  <si>
    <t>ZODIAC CLOTHING CO LTD</t>
  </si>
  <si>
    <t>WOCKHARDT LIMITED-DEPO</t>
  </si>
  <si>
    <t>WINSOME YARNS LIMITED</t>
  </si>
  <si>
    <t>WINSOME</t>
  </si>
  <si>
    <t>VIBHOR STEEL TUBES LTD</t>
  </si>
  <si>
    <t>VSTL</t>
  </si>
  <si>
    <t>VERANDA LEARNING SOL LTD</t>
  </si>
  <si>
    <t>VERANDA</t>
  </si>
  <si>
    <t>UDAYSHIVAKUMAR INFRA LTD</t>
  </si>
  <si>
    <t>USK</t>
  </si>
  <si>
    <t>TEAMO PRODUCTIONS HQ LTD</t>
  </si>
  <si>
    <t>TPHQ</t>
  </si>
  <si>
    <t>TECIL CHEMICALS</t>
  </si>
  <si>
    <t>TECILCHEM</t>
  </si>
  <si>
    <t>TANTIA CONSTRUCTIONS LTD</t>
  </si>
  <si>
    <t>TCLCONS</t>
  </si>
  <si>
    <t>TCIFINANCELTD-ROLL SETT</t>
  </si>
  <si>
    <t>SURAJ ESTATE DEVELOPERS L</t>
  </si>
  <si>
    <t>SURAJEST</t>
  </si>
  <si>
    <t>STARTECK FINANCE LIMITED</t>
  </si>
  <si>
    <t>STARTECK</t>
  </si>
  <si>
    <t>SKY GOLD LIMITED</t>
  </si>
  <si>
    <t>SKYGOLD</t>
  </si>
  <si>
    <t>SIKKO INDUSTRIES LIMITED</t>
  </si>
  <si>
    <t>SIKKO</t>
  </si>
  <si>
    <t>SHANTI OVERSEAS INDIA LTD</t>
  </si>
  <si>
    <t>SHANTI</t>
  </si>
  <si>
    <t>SEMAC CONSULTANTS LIMITED</t>
  </si>
  <si>
    <t>SEMAC</t>
  </si>
  <si>
    <t>SEJAL GLASS LIMITED</t>
  </si>
  <si>
    <t>SEJALLTD</t>
  </si>
  <si>
    <t>SAMPANN UTPADAN INDIA LTD</t>
  </si>
  <si>
    <t>SAMPANN</t>
  </si>
  <si>
    <t>SRI ADHIKARI BRO TELE N L</t>
  </si>
  <si>
    <t>SABTNL</t>
  </si>
  <si>
    <t>RBZ JEWELLERS LIMITED</t>
  </si>
  <si>
    <t>RBZJEWEL</t>
  </si>
  <si>
    <t>RAYMOND - DEP SETT</t>
  </si>
  <si>
    <t>RAJRILTD</t>
  </si>
  <si>
    <t>PTC INDUSTRIES LIMITED</t>
  </si>
  <si>
    <t>PTCIL</t>
  </si>
  <si>
    <t>POWER INSTRUMENT (G) LTD</t>
  </si>
  <si>
    <t>PIGL</t>
  </si>
  <si>
    <t>PARAS PETROFILS LTD.</t>
  </si>
  <si>
    <t>PARASPETRO</t>
  </si>
  <si>
    <t>PARAS DEF AND SPCE TECH L</t>
  </si>
  <si>
    <t>PARAS</t>
  </si>
  <si>
    <t>OSIA HYPER RETAIL LIMITED</t>
  </si>
  <si>
    <t>ONELIFE CAP ADVISORS LTD</t>
  </si>
  <si>
    <t>ONELIFECAP</t>
  </si>
  <si>
    <t>NARMADA AGROBASE LIMITED</t>
  </si>
  <si>
    <t>NARMADA</t>
  </si>
  <si>
    <t>NANDANI CREATION LTD</t>
  </si>
  <si>
    <t>NANDANI-RE</t>
  </si>
  <si>
    <t>MODERN THREADS INDIA LTD</t>
  </si>
  <si>
    <t>MODTHREAD</t>
  </si>
  <si>
    <t>M K PROTEINS LIMITED</t>
  </si>
  <si>
    <t>MKPL</t>
  </si>
  <si>
    <t>MITCON CON</t>
  </si>
  <si>
    <t>MITCON-RE</t>
  </si>
  <si>
    <t>MIC ELECTRONICS LTD</t>
  </si>
  <si>
    <t>MICEL</t>
  </si>
  <si>
    <t>MEDICO REMEDIES LIMITED</t>
  </si>
  <si>
    <t>MEDICO</t>
  </si>
  <si>
    <t>MBL INFRASTRUCTURE LTD</t>
  </si>
  <si>
    <t>LORDS CHLORO ALKALI LTD</t>
  </si>
  <si>
    <t>LORDSCHLO</t>
  </si>
  <si>
    <t>LATTEYS INDUSTRIES LTD</t>
  </si>
  <si>
    <t>LATTEYS</t>
  </si>
  <si>
    <t>KSHITIJ POLYLINE LIMITED</t>
  </si>
  <si>
    <t>KSHITIJPOL</t>
  </si>
  <si>
    <t>KEEPLEARN</t>
  </si>
  <si>
    <t>KBC GLOBAL LIMITED</t>
  </si>
  <si>
    <t>KBCGLOBAL</t>
  </si>
  <si>
    <t>KAPSTON SERVICES LIMITED</t>
  </si>
  <si>
    <t>JYOTI STRUCTURES</t>
  </si>
  <si>
    <t>JNK INDIA LIMITED</t>
  </si>
  <si>
    <t>JNKINDIA</t>
  </si>
  <si>
    <t>NANDANI CREATION LIMITED</t>
  </si>
  <si>
    <t>JAIPURKURT</t>
  </si>
  <si>
    <t>IVP LIMITED</t>
  </si>
  <si>
    <t>IRIS BUSINESS SERV LTD</t>
  </si>
  <si>
    <t>IRIS</t>
  </si>
  <si>
    <t>INVENT-RE</t>
  </si>
  <si>
    <t>HEC INFRA PROJECTS LTD</t>
  </si>
  <si>
    <t>HECPROJECT</t>
  </si>
  <si>
    <t>HEADS UP VENTURES LIMITED</t>
  </si>
  <si>
    <t>HEADSUP</t>
  </si>
  <si>
    <t>G-TEC JAINX EDUCATION LTD</t>
  </si>
  <si>
    <t>GTECJAINX</t>
  </si>
  <si>
    <t>GACM TECHNOLOGIES LIMITED</t>
  </si>
  <si>
    <t>GATECHDVR</t>
  </si>
  <si>
    <t>GALLANTT ISPAT LIMITED</t>
  </si>
  <si>
    <t>EXICOM TELE SYSTEMS LTD</t>
  </si>
  <si>
    <t>EXICOM</t>
  </si>
  <si>
    <t>INTEGRA ESSENTIA LIMITED</t>
  </si>
  <si>
    <t>ESSENTIA</t>
  </si>
  <si>
    <t>EQUIPPP SOC IMP TECH LTD</t>
  </si>
  <si>
    <t>EQUIPPP</t>
  </si>
  <si>
    <t>DOLPHIN OFF ENT (IND) L</t>
  </si>
  <si>
    <t>DOLPHIN</t>
  </si>
  <si>
    <t>DJ MEDIAPRINT &amp; LOG LTD</t>
  </si>
  <si>
    <t>DJML</t>
  </si>
  <si>
    <t>DIGJAM LTD</t>
  </si>
  <si>
    <t>DIGJAMLMTD</t>
  </si>
  <si>
    <t>DIGIDRIVE DISTRIBUTORS L</t>
  </si>
  <si>
    <t>DIGIDRIVE</t>
  </si>
  <si>
    <t>DIACABS</t>
  </si>
  <si>
    <t>DHRUV CONSULTANCY SER LTD</t>
  </si>
  <si>
    <t>DHRUV</t>
  </si>
  <si>
    <t>DELPHI WORLD MONEY LTD</t>
  </si>
  <si>
    <t>DELPHIFX</t>
  </si>
  <si>
    <t>DCX SYSTEMS LIMITED</t>
  </si>
  <si>
    <t>DCXINDIA</t>
  </si>
  <si>
    <t>CROWN LIFTERS LIMITED</t>
  </si>
  <si>
    <t>CROWN</t>
  </si>
  <si>
    <t>BODHI TREE MULTIMEDIA LTD</t>
  </si>
  <si>
    <t>BTML</t>
  </si>
  <si>
    <t>BLACK BOX LIMITED</t>
  </si>
  <si>
    <t>BBOX</t>
  </si>
  <si>
    <t>AVONMORE CAP&amp;MGT SERV LTD</t>
  </si>
  <si>
    <t>AVONMORE</t>
  </si>
  <si>
    <t>ATLANTAA LIMITED</t>
  </si>
  <si>
    <t>ATLANTAA</t>
  </si>
  <si>
    <t>ABMINTLLTD</t>
  </si>
  <si>
    <t>AARTECH SOLONICS LIMITED</t>
  </si>
  <si>
    <t>AARTECH</t>
  </si>
  <si>
    <t>ZUARI INDUSTRIES LIMITED</t>
  </si>
  <si>
    <t>ZUARIIND</t>
  </si>
  <si>
    <t>Z-TECH (INDIA) LIMITED</t>
  </si>
  <si>
    <t>ZTECH</t>
  </si>
  <si>
    <t>ZIM LABORATORIES LIMITED</t>
  </si>
  <si>
    <t>ZIMLAB</t>
  </si>
  <si>
    <t>ZF COM VE CTR SYS IND LTD</t>
  </si>
  <si>
    <t>ZFCVINDIA</t>
  </si>
  <si>
    <t>ZENITH DRUGS LIMITED</t>
  </si>
  <si>
    <t>ZENITHDRUG</t>
  </si>
  <si>
    <t>ZEAL GLOBAL SERVICES LTD</t>
  </si>
  <si>
    <t>ZEAL</t>
  </si>
  <si>
    <t>ZAGGLE PREPA OCEAN SER L</t>
  </si>
  <si>
    <t>ZAGGLE</t>
  </si>
  <si>
    <t>YUKEN INDIA LIMITED</t>
  </si>
  <si>
    <t>YUKEN</t>
  </si>
  <si>
    <t>YASONS CHEMEX CARE LTD</t>
  </si>
  <si>
    <t>YCCL</t>
  </si>
  <si>
    <t>YATRA ONLINE LIMITED</t>
  </si>
  <si>
    <t>YATRA</t>
  </si>
  <si>
    <t>YATHARTH HOSP &amp; TRA C S L</t>
  </si>
  <si>
    <t>YATHARTH</t>
  </si>
  <si>
    <t>YASH OPTICS &amp; LENS LTD</t>
  </si>
  <si>
    <t>YASHOPTICS</t>
  </si>
  <si>
    <t>YASHO INDUSTRIES LIMITED</t>
  </si>
  <si>
    <t>YASHO</t>
  </si>
  <si>
    <t>YAARI DIGI INT SER LTD</t>
  </si>
  <si>
    <t>YAARI</t>
  </si>
  <si>
    <t>WISE TRAVEL INDIA LIMITED</t>
  </si>
  <si>
    <t>WTICAB</t>
  </si>
  <si>
    <t>WINSOL ENGINEERS LIMITED</t>
  </si>
  <si>
    <t>WINSOL</t>
  </si>
  <si>
    <t>WINNY IMMIGRA &amp; EDU SER L</t>
  </si>
  <si>
    <t>WINNY</t>
  </si>
  <si>
    <t>WINDLAS BIOTECH LIMITED</t>
  </si>
  <si>
    <t>WINDLAS</t>
  </si>
  <si>
    <t>WESTLIFE FOODWORLD LTD</t>
  </si>
  <si>
    <t>WELSPUN LIVING LIMITED</t>
  </si>
  <si>
    <t>WELSPUNLIV</t>
  </si>
  <si>
    <t>WONDER ELECTRICALS LTD</t>
  </si>
  <si>
    <t>WEL</t>
  </si>
  <si>
    <t>VRAJ IRON AND STEEL LTD</t>
  </si>
  <si>
    <t>VRAJ</t>
  </si>
  <si>
    <t>V R INFRASPACE LIMITED</t>
  </si>
  <si>
    <t>VR</t>
  </si>
  <si>
    <t>VISHNU PRAKASH R PUNGLI L</t>
  </si>
  <si>
    <t>VPRPL</t>
  </si>
  <si>
    <t>VL E GOV AND IT SOL LTD</t>
  </si>
  <si>
    <t>VLEGOV</t>
  </si>
  <si>
    <t>VIVO COLLAB SOLUTIONS LTD</t>
  </si>
  <si>
    <t>VIVO</t>
  </si>
  <si>
    <t>VISHWAS AGRI SEEDS LTD</t>
  </si>
  <si>
    <t>VISHWAS</t>
  </si>
  <si>
    <t>VISHNUSURYA PROJ N INFR L</t>
  </si>
  <si>
    <t>VISHNUINFR</t>
  </si>
  <si>
    <t>VISAMAN GLOBAL SALES LTD</t>
  </si>
  <si>
    <t>VISAMAN</t>
  </si>
  <si>
    <t>VIRINCHI LIMITED</t>
  </si>
  <si>
    <t>VIRINCHI</t>
  </si>
  <si>
    <t>VINSYS IT SERVICES IND LT</t>
  </si>
  <si>
    <t>VINSYS</t>
  </si>
  <si>
    <t>VINNY OVERSEAS LIMITED</t>
  </si>
  <si>
    <t>VINNY</t>
  </si>
  <si>
    <t>VILIN BIO MED LIMITED</t>
  </si>
  <si>
    <t>VILINBIO</t>
  </si>
  <si>
    <t>VIJAYA DIAGNOSTIC CEN LTD</t>
  </si>
  <si>
    <t>VIJAYA</t>
  </si>
  <si>
    <t>VIAZ TYRES LIMITED</t>
  </si>
  <si>
    <t>VIAZ</t>
  </si>
  <si>
    <t>VERITAAS ADVERTISING LTD</t>
  </si>
  <si>
    <t>VERITAAS</t>
  </si>
  <si>
    <t>VERA SYNTHETIC LIMITED</t>
  </si>
  <si>
    <t>VERA</t>
  </si>
  <si>
    <t>VENUS PIPES &amp; TUBES LTD</t>
  </si>
  <si>
    <t>VENUSPIPES</t>
  </si>
  <si>
    <t>VENKY S (INDIA) LIMITED</t>
  </si>
  <si>
    <t>VELS FILM INTERNATIONAL L</t>
  </si>
  <si>
    <t>VELS</t>
  </si>
  <si>
    <t>VEEKAYEM FASH &amp; APP LTD</t>
  </si>
  <si>
    <t>VEEKAYEM</t>
  </si>
  <si>
    <t>VALIANT LABORATORIES LTD</t>
  </si>
  <si>
    <t>VALIANTLAB</t>
  </si>
  <si>
    <t>ULTRA WIRING CONN SYS LTD</t>
  </si>
  <si>
    <t>UWCSL</t>
  </si>
  <si>
    <t>UTKARSH SMALL FIN BANK L</t>
  </si>
  <si>
    <t>UTKARSHBNK</t>
  </si>
  <si>
    <t>UPSURGE SEEDS OF AGRI LTD</t>
  </si>
  <si>
    <t>USASEEDS</t>
  </si>
  <si>
    <t>URBAN ENVIRO WASTE MGMT L</t>
  </si>
  <si>
    <t>URBAN</t>
  </si>
  <si>
    <t>URAVI T AND WEDG LAMP LTD</t>
  </si>
  <si>
    <t>URAVI</t>
  </si>
  <si>
    <t>UNO MINDA LIMITED</t>
  </si>
  <si>
    <t>UNOMINDA</t>
  </si>
  <si>
    <t>UNITED POLYFAB GUJ. LTD.</t>
  </si>
  <si>
    <t>UNITEDPOLY</t>
  </si>
  <si>
    <t>UNITDSPR</t>
  </si>
  <si>
    <t>UNIPARTS INDIA LIMITED</t>
  </si>
  <si>
    <t>UNIPARTS</t>
  </si>
  <si>
    <t>UNIINFO TELECOM SERVI LTD</t>
  </si>
  <si>
    <t>UNIINFO</t>
  </si>
  <si>
    <t>UNIHEALTH CONSULTANCY LTD</t>
  </si>
  <si>
    <t>UNIHEALTH</t>
  </si>
  <si>
    <t>UMA EXPORTS LIMITED</t>
  </si>
  <si>
    <t>UMAEXPORTS</t>
  </si>
  <si>
    <t>UMA CONVERTER LIMITED</t>
  </si>
  <si>
    <t>UMA</t>
  </si>
  <si>
    <t>UGRO CAPITAL LIMITED</t>
  </si>
  <si>
    <t>UGROCAP</t>
  </si>
  <si>
    <t>UPDATER SERVICES LIMITED</t>
  </si>
  <si>
    <t>UDS</t>
  </si>
  <si>
    <t>UDAIPUR CEMENT WORKS LTD</t>
  </si>
  <si>
    <t>UDAICEMENT</t>
  </si>
  <si>
    <t>UCAL LIMITED</t>
  </si>
  <si>
    <t>UCAL</t>
  </si>
  <si>
    <t>TVS SUPPLY CHAIN SOL L</t>
  </si>
  <si>
    <t>TVSSCS</t>
  </si>
  <si>
    <t>TVS HOLDINGS LIMITED</t>
  </si>
  <si>
    <t>TVSHLTD</t>
  </si>
  <si>
    <t>TRUCAP FINANCE LIMITED</t>
  </si>
  <si>
    <t>TRU</t>
  </si>
  <si>
    <t>TRIDHYA TECH LIMITED</t>
  </si>
  <si>
    <t>TRIDHYA</t>
  </si>
  <si>
    <t>TRANSINDIA REAL ESTATE L</t>
  </si>
  <si>
    <t>TREL</t>
  </si>
  <si>
    <t>TRANSTEEL SEATING TECH L</t>
  </si>
  <si>
    <t>TRANSTEEL</t>
  </si>
  <si>
    <t>TRACXN TECHNOLOGIES LTD</t>
  </si>
  <si>
    <t>TRACXN</t>
  </si>
  <si>
    <t>TAMILNAD MERCA BANK LTD</t>
  </si>
  <si>
    <t>TMB</t>
  </si>
  <si>
    <t>TITAGARH RAIL SYSTEMS LTD</t>
  </si>
  <si>
    <t>TITAGARH</t>
  </si>
  <si>
    <t>SHREE TIRUPATI BALAJEE</t>
  </si>
  <si>
    <t>TIRUPATI</t>
  </si>
  <si>
    <t>TIPS INDUSTRIES LIMITED</t>
  </si>
  <si>
    <t>TIPS FILMS LIMITED</t>
  </si>
  <si>
    <t>TIPSFILMS</t>
  </si>
  <si>
    <t>TIMESCAN LOGISTICS IND L</t>
  </si>
  <si>
    <t>TIMESCAN</t>
  </si>
  <si>
    <t>TEGA INDUSTRIES LIMITED</t>
  </si>
  <si>
    <t>TEGA</t>
  </si>
  <si>
    <t>THAAI CASTING LIMITED</t>
  </si>
  <si>
    <t>TCL</t>
  </si>
  <si>
    <t>TBO TEK LIMITED</t>
  </si>
  <si>
    <t>TBOTEK</t>
  </si>
  <si>
    <t>TATVA CHIN PHARM CHEM LTD</t>
  </si>
  <si>
    <t>TATVA</t>
  </si>
  <si>
    <t>TATA TECHNOLOGIES LIMITED</t>
  </si>
  <si>
    <t>TATATECH</t>
  </si>
  <si>
    <t>TATA MOTORS DVR  A  ORD</t>
  </si>
  <si>
    <t>TARSONS PRODUCTS LIMITED</t>
  </si>
  <si>
    <t>TARSONS</t>
  </si>
  <si>
    <t>TARA CHAND INFRA SOLN LTD</t>
  </si>
  <si>
    <t>TARACHAND</t>
  </si>
  <si>
    <t>TAC INFOSEC LIMITED</t>
  </si>
  <si>
    <t>TAC</t>
  </si>
  <si>
    <t>SYSTANGO TECHNOLOGIES LTD</t>
  </si>
  <si>
    <t>SYSTANGO</t>
  </si>
  <si>
    <t>SYRMA SGS TECHNOLOGY LTD</t>
  </si>
  <si>
    <t>SYRMA</t>
  </si>
  <si>
    <t>SYNOPTICS TECHNOLOGIES L</t>
  </si>
  <si>
    <t>SYNOPTICS</t>
  </si>
  <si>
    <t>SYNCOM FORMU (I) LTD</t>
  </si>
  <si>
    <t>SYNCOMF</t>
  </si>
  <si>
    <t>SYLVAN PLYBOARD (INDIA) L</t>
  </si>
  <si>
    <t>SYLVANPLY</t>
  </si>
  <si>
    <t>STRLNG &amp; WIL REN ENE LTD</t>
  </si>
  <si>
    <t>SWASTIK PIPE LIMITED</t>
  </si>
  <si>
    <t>SWASTIK</t>
  </si>
  <si>
    <t>SWARAJ SUITING LIMITED</t>
  </si>
  <si>
    <t>SWARAJ</t>
  </si>
  <si>
    <t>SVP GLOBAL TEXTILES LTD</t>
  </si>
  <si>
    <t>SHREE VASU LOGISTICS LTD</t>
  </si>
  <si>
    <t>SVLL</t>
  </si>
  <si>
    <t>SURANI STEEL TUBES LTD.</t>
  </si>
  <si>
    <t>SURANI</t>
  </si>
  <si>
    <t>SUPRIYA LIFESCIENCE LTD</t>
  </si>
  <si>
    <t>SUPRIYA</t>
  </si>
  <si>
    <t>SUNREST LIFESCIENCE LTD</t>
  </si>
  <si>
    <t>SUNREST</t>
  </si>
  <si>
    <t>SUNCLAY</t>
  </si>
  <si>
    <t>SULA VINEYARDS LIMITED</t>
  </si>
  <si>
    <t>SULA</t>
  </si>
  <si>
    <t>SUKHJIT STARCH &amp; CHEM LTD</t>
  </si>
  <si>
    <t>SUKHJITS</t>
  </si>
  <si>
    <t>STYRENIX PERFORMANCE LTD</t>
  </si>
  <si>
    <t>STYRENIX</t>
  </si>
  <si>
    <t>STYLAM INDUSTRIES LIMITED</t>
  </si>
  <si>
    <t>STYLAMIND</t>
  </si>
  <si>
    <t>STEELCAST LIMITED</t>
  </si>
  <si>
    <t>STEELCAS</t>
  </si>
  <si>
    <t>STAR HEALTH &amp; AL INS CO L</t>
  </si>
  <si>
    <t>STARHEALTH</t>
  </si>
  <si>
    <t>STANLEY LIFESTYLES LTD</t>
  </si>
  <si>
    <t>STANLEY</t>
  </si>
  <si>
    <t>SRIVARI SPICES N FOODS L</t>
  </si>
  <si>
    <t>SSFL</t>
  </si>
  <si>
    <t>SRM CONTRACTORS LIMITED</t>
  </si>
  <si>
    <t>SRM</t>
  </si>
  <si>
    <t>SRIVASAVI ADHESIVE TAPE L</t>
  </si>
  <si>
    <t>SRIVASAVI</t>
  </si>
  <si>
    <t>SRG HOUSING FINANCE L</t>
  </si>
  <si>
    <t>SRGHFL</t>
  </si>
  <si>
    <t>SPORTKING INDIA LIMITED</t>
  </si>
  <si>
    <t>SPORTKING</t>
  </si>
  <si>
    <t>SUPREME PETROCHEM LIMITED</t>
  </si>
  <si>
    <t>SPLPETRO</t>
  </si>
  <si>
    <t>SPENCER S RETAIL LIMITED</t>
  </si>
  <si>
    <t>SPECTRUM TALENT MGMT LTD</t>
  </si>
  <si>
    <t>SPECTSTM</t>
  </si>
  <si>
    <t>SPECTRUM ELECTRIC IND LTD</t>
  </si>
  <si>
    <t>SPECTRUM</t>
  </si>
  <si>
    <t>SHIVALIC POWER CONTROL L</t>
  </si>
  <si>
    <t>SPCL</t>
  </si>
  <si>
    <t>SONAM LIMITED</t>
  </si>
  <si>
    <t>SONAMLTD</t>
  </si>
  <si>
    <t>SONA MACHINERY LIMITED</t>
  </si>
  <si>
    <t>SONAMAC</t>
  </si>
  <si>
    <t>SOFTTECH ENGINEERS LTD</t>
  </si>
  <si>
    <t>SOFTTECH</t>
  </si>
  <si>
    <t>SARTHAK METALS LIMITED</t>
  </si>
  <si>
    <t>SMLT</t>
  </si>
  <si>
    <t>SKP BEARING INDUSTRI. LTD</t>
  </si>
  <si>
    <t>SKP</t>
  </si>
  <si>
    <t>SKIPPER RE.0.25 PPD UP</t>
  </si>
  <si>
    <t>SKIPPERPP</t>
  </si>
  <si>
    <t>SJS ENTERPRISES LIMITED</t>
  </si>
  <si>
    <t>SJS</t>
  </si>
  <si>
    <t>S J LOGISTICS (INDIA) LTD</t>
  </si>
  <si>
    <t>SJLOGISTIC</t>
  </si>
  <si>
    <t>SINDHU TRADE LINKS LTD</t>
  </si>
  <si>
    <t>SINDHUTRAD</t>
  </si>
  <si>
    <t>SINCLAIRS HOTELS LIMITED</t>
  </si>
  <si>
    <t>SINCLAIR</t>
  </si>
  <si>
    <t>SILKFLEX POLYMERS INDIA L</t>
  </si>
  <si>
    <t>SILKFLEX</t>
  </si>
  <si>
    <t>SIGNPOST INDIA LIMITED</t>
  </si>
  <si>
    <t>SIGNPOST</t>
  </si>
  <si>
    <t>SIGNORIA CREATION LIMITED</t>
  </si>
  <si>
    <t>SIGNORIA</t>
  </si>
  <si>
    <t>SIGNATUREGLOBAL INDIA LTD</t>
  </si>
  <si>
    <t>SIGNATURE</t>
  </si>
  <si>
    <t>SIGACHI INDUSTRIES LTD</t>
  </si>
  <si>
    <t>SIGACHI</t>
  </si>
  <si>
    <t>SHRI TECHTEX LIMITED</t>
  </si>
  <si>
    <t>SHRITECH</t>
  </si>
  <si>
    <t>SHRIRAM PROPERTIES LTD</t>
  </si>
  <si>
    <t>SHRIRAMPPS</t>
  </si>
  <si>
    <t>SHREE OSFM E-MOBILITY LTD</t>
  </si>
  <si>
    <t>SHREEOSFM</t>
  </si>
  <si>
    <t>SHIVALIK RASAYAN LIMITED</t>
  </si>
  <si>
    <t>SHIVALIK</t>
  </si>
  <si>
    <t>SHIGAN QUANTUM TECH LTD</t>
  </si>
  <si>
    <t>SHIGAN</t>
  </si>
  <si>
    <t>SHERA ENERGY LIMITED</t>
  </si>
  <si>
    <t>SHERA</t>
  </si>
  <si>
    <t>SHEETAL UNIVERSAL LIMITED</t>
  </si>
  <si>
    <t>SHEETAL</t>
  </si>
  <si>
    <t>SHAILY ENG PLASTICS LTD</t>
  </si>
  <si>
    <t>SHAILY</t>
  </si>
  <si>
    <t>SHAH METACORP LIMITED</t>
  </si>
  <si>
    <t>SHAH</t>
  </si>
  <si>
    <t>SYNERGY GREEN IND. LTD</t>
  </si>
  <si>
    <t>SGIL</t>
  </si>
  <si>
    <t>SEPC LIMITED</t>
  </si>
  <si>
    <t>SEPC</t>
  </si>
  <si>
    <t>SENCO GOLD LIMITED</t>
  </si>
  <si>
    <t>SENCO</t>
  </si>
  <si>
    <t>SEL MANUFACTURING CO LTD</t>
  </si>
  <si>
    <t>SELMC</t>
  </si>
  <si>
    <t>SUNGARNER ENERGIES LTD</t>
  </si>
  <si>
    <t>SEL</t>
  </si>
  <si>
    <t>SECMARK CONSULTANCY LTD</t>
  </si>
  <si>
    <t>SECMARK</t>
  </si>
  <si>
    <t>SHEETAL COOL PRODUCTS LTD</t>
  </si>
  <si>
    <t>SCPL</t>
  </si>
  <si>
    <t>SHARP CHUCKS N MACHINES L</t>
  </si>
  <si>
    <t>SCML</t>
  </si>
  <si>
    <t>SHIPPING CORP OF ILA LTD</t>
  </si>
  <si>
    <t>SCILAL</t>
  </si>
  <si>
    <t>SURATWWALA BUS GROUP LTD</t>
  </si>
  <si>
    <t>SBGLP</t>
  </si>
  <si>
    <t>SBFC FINANCE LIMITED</t>
  </si>
  <si>
    <t>SBFC</t>
  </si>
  <si>
    <t>SBC EXPORTS LIMITED</t>
  </si>
  <si>
    <t>SBC</t>
  </si>
  <si>
    <t>SAURASHTRA CEMENT LIMITED</t>
  </si>
  <si>
    <t>SAURASHCEM</t>
  </si>
  <si>
    <t>SAT INDUSTRIES LIMITED</t>
  </si>
  <si>
    <t>SATINDLTD</t>
  </si>
  <si>
    <t>SARVESHWAR FOODS LIMITED</t>
  </si>
  <si>
    <t>SARVESHWAR</t>
  </si>
  <si>
    <t>SAR TELEVENTURE LIMITED</t>
  </si>
  <si>
    <t>SARTELE</t>
  </si>
  <si>
    <t>SAROJA PHARMA INDUS IND L</t>
  </si>
  <si>
    <t>SAROJA</t>
  </si>
  <si>
    <t>SAPPHIRE FOODS INDIA LTD</t>
  </si>
  <si>
    <t>SAPPHIRE</t>
  </si>
  <si>
    <t>SANSERA ENGINEERING LTD</t>
  </si>
  <si>
    <t>SANSERA</t>
  </si>
  <si>
    <t>SANGANI HOSPITALS LIMITED</t>
  </si>
  <si>
    <t>SANGANI</t>
  </si>
  <si>
    <t>SANDUR MANG &amp; IRON ORES L</t>
  </si>
  <si>
    <t>SANDUMA</t>
  </si>
  <si>
    <t>SAMHI HOTELS LIMITED</t>
  </si>
  <si>
    <t>SAMHI</t>
  </si>
  <si>
    <t>SAKTHI SUGARS LTD</t>
  </si>
  <si>
    <t>SAMEERA AGRO AND INFRA L</t>
  </si>
  <si>
    <t>SAIFL</t>
  </si>
  <si>
    <t>SAHYADRI INDUSTRIES LTD</t>
  </si>
  <si>
    <t>SAHYADRI</t>
  </si>
  <si>
    <t>SAHANA SYSTEM LIMITED</t>
  </si>
  <si>
    <t>SAHANA</t>
  </si>
  <si>
    <t>SAHAJ FASHIONS LIMITED</t>
  </si>
  <si>
    <t>SAHAJ</t>
  </si>
  <si>
    <t>SAH POLYMERS LIMITED</t>
  </si>
  <si>
    <t>SAH</t>
  </si>
  <si>
    <t>SADHANA NITROCHEM LIMITED</t>
  </si>
  <si>
    <t>SADHNANIQ</t>
  </si>
  <si>
    <t>SADHAV SHIPPING LIMITED</t>
  </si>
  <si>
    <t>SADHAV</t>
  </si>
  <si>
    <t>SABAR FLEX INDIA LIMITED</t>
  </si>
  <si>
    <t>SABAR</t>
  </si>
  <si>
    <t>KEYSTONE REALTORS LIMITED</t>
  </si>
  <si>
    <t>RUSTOMJEE</t>
  </si>
  <si>
    <t>R R KABEL LIMITED</t>
  </si>
  <si>
    <t>RRKABEL</t>
  </si>
  <si>
    <t>RASHI PERIPHERALS LIMITED</t>
  </si>
  <si>
    <t>RPTECH</t>
  </si>
  <si>
    <t>ROX HI TECH LIMITED</t>
  </si>
  <si>
    <t>ROXHITECH</t>
  </si>
  <si>
    <t>ROTO PUMPS LIMITED</t>
  </si>
  <si>
    <t>ROTO</t>
  </si>
  <si>
    <t>ROLEX RINGS LIMITED</t>
  </si>
  <si>
    <t>ROLEXRINGS</t>
  </si>
  <si>
    <t>ROCKINGDEALS CIRCU ECO L</t>
  </si>
  <si>
    <t>ROCKINGDCE</t>
  </si>
  <si>
    <t>R K SWAMY LIMITED</t>
  </si>
  <si>
    <t>RKSWAMY</t>
  </si>
  <si>
    <t>RITE ZONE CHEMCON IND LTD</t>
  </si>
  <si>
    <t>RITEZONE</t>
  </si>
  <si>
    <t>RITCO LOGISTICS LIMITED</t>
  </si>
  <si>
    <t>RITCO</t>
  </si>
  <si>
    <t>RISHABH INSTRUMENTS LTD</t>
  </si>
  <si>
    <t>RISHABH</t>
  </si>
  <si>
    <t>RICHA INFO SYSTEMS LTD</t>
  </si>
  <si>
    <t>RICHA</t>
  </si>
  <si>
    <t>ROBUST HOTELS LIMITED</t>
  </si>
  <si>
    <t>RHL</t>
  </si>
  <si>
    <t>RHI MAGNESITA INDIA LTD</t>
  </si>
  <si>
    <t>RHIM</t>
  </si>
  <si>
    <t>REX PIPES AND CABLES LTD</t>
  </si>
  <si>
    <t>REXPIPES</t>
  </si>
  <si>
    <t>JHS SVENDGAARD RETAIL V L</t>
  </si>
  <si>
    <t>RETAIL</t>
  </si>
  <si>
    <t>REMUS PHARMACEUTICALS L</t>
  </si>
  <si>
    <t>REMUS</t>
  </si>
  <si>
    <t>RELIANCE CHEMOTEX IND LTD</t>
  </si>
  <si>
    <t>RELCHEMQ</t>
  </si>
  <si>
    <t>REDTAPE LIMITED</t>
  </si>
  <si>
    <t>REDTAPE</t>
  </si>
  <si>
    <t>REDINGTON LIMITED</t>
  </si>
  <si>
    <t>RAJGOR CASTOR DERIVATI L</t>
  </si>
  <si>
    <t>RCDL</t>
  </si>
  <si>
    <t>RAMDEVBABA SOLVENT LTD</t>
  </si>
  <si>
    <t>RBS</t>
  </si>
  <si>
    <t>RBM INFRACON LIMITED</t>
  </si>
  <si>
    <t>RBMINFRA</t>
  </si>
  <si>
    <t>RESTAURANT BRAND ASIA LTD</t>
  </si>
  <si>
    <t>RBA</t>
  </si>
  <si>
    <t>RATNAVEER PRECISION ENG L</t>
  </si>
  <si>
    <t>RATNAVEER</t>
  </si>
  <si>
    <t>RATEGAIN TRAVEL TECHN LTD</t>
  </si>
  <si>
    <t>RATEGAIN</t>
  </si>
  <si>
    <t>RAM RATNA WIRES LIMITED</t>
  </si>
  <si>
    <t>RAMRAT</t>
  </si>
  <si>
    <t>RAMA PHOSPHATES LIMITED</t>
  </si>
  <si>
    <t>RAMAPHO</t>
  </si>
  <si>
    <t>RAJSHREE SUGAR &amp; CHEMICAL</t>
  </si>
  <si>
    <t>RAINBOW CHILDRENS MED LTD</t>
  </si>
  <si>
    <t>RAINBOW</t>
  </si>
  <si>
    <t>RADIOWALLA NETWORK LTD</t>
  </si>
  <si>
    <t>RADIOWALLA</t>
  </si>
  <si>
    <t>RADIANT CASH MGMT SER LTD</t>
  </si>
  <si>
    <t>RADIANTCMS</t>
  </si>
  <si>
    <t>RADHIKA JEWELTECH LIMITED</t>
  </si>
  <si>
    <t>RADHIKAJWE</t>
  </si>
  <si>
    <t>RACE ECO CHAIN LIMITED</t>
  </si>
  <si>
    <t>RACE</t>
  </si>
  <si>
    <t>QUICKTOUCH TECHNOLOGIES L</t>
  </si>
  <si>
    <t>QUICKTOUCH</t>
  </si>
  <si>
    <t>QUEST LABORATORIES LTD</t>
  </si>
  <si>
    <t>QUESTLAB</t>
  </si>
  <si>
    <t>QUADPRO ITES LIMITED</t>
  </si>
  <si>
    <t>QUADPRO</t>
  </si>
  <si>
    <t>QMS MEDICAL ALLIED S LTD</t>
  </si>
  <si>
    <t>QMSMEDI</t>
  </si>
  <si>
    <t>PYRAMID TECHNOPLAST LTD</t>
  </si>
  <si>
    <t>PYRAMID</t>
  </si>
  <si>
    <t>POPULAR VEHICLES N SER L</t>
  </si>
  <si>
    <t>PVSL</t>
  </si>
  <si>
    <t>PVR INOX LIMITED</t>
  </si>
  <si>
    <t>PVRINOX</t>
  </si>
  <si>
    <t>PVP VENTURES LIMITED</t>
  </si>
  <si>
    <t>PVP</t>
  </si>
  <si>
    <t>PURV FLEXIPACK LIMITED</t>
  </si>
  <si>
    <t>PURVFLEXI</t>
  </si>
  <si>
    <t>PULZ ELECTRONICS LIMITED</t>
  </si>
  <si>
    <t>PULZ</t>
  </si>
  <si>
    <t>PRUDENTIAL SUGAR CORPORAT</t>
  </si>
  <si>
    <t>PRUDMOULI</t>
  </si>
  <si>
    <t>PRUDENT CORP ADV SER LTD</t>
  </si>
  <si>
    <t>PRUDENT</t>
  </si>
  <si>
    <t>PROZONE REALTY LIMITED</t>
  </si>
  <si>
    <t>PROZONER</t>
  </si>
  <si>
    <t>PROVENTUS AGROCOM LIMITED</t>
  </si>
  <si>
    <t>PROV</t>
  </si>
  <si>
    <t>P. E. ANALYTICS LIMITED</t>
  </si>
  <si>
    <t>PROPEQUITY</t>
  </si>
  <si>
    <t>PREMIER ROADLINES LIMITED</t>
  </si>
  <si>
    <t>PRLIND</t>
  </si>
  <si>
    <t>PRITIKA AUTO INDUS LTD</t>
  </si>
  <si>
    <t>PRITIKAUTO</t>
  </si>
  <si>
    <t>PRITIKA ENG COMPO LTD</t>
  </si>
  <si>
    <t>PRITIKA</t>
  </si>
  <si>
    <t>PRITI INTERNATIONAL LTD</t>
  </si>
  <si>
    <t>PRITI</t>
  </si>
  <si>
    <t>PRESSTONIC ENGINEERING L</t>
  </si>
  <si>
    <t>PRESSTONIC</t>
  </si>
  <si>
    <t>PRECISION METALIKS LTD</t>
  </si>
  <si>
    <t>PRECISION</t>
  </si>
  <si>
    <t>PRATHAM EPC PROJECTS LTD</t>
  </si>
  <si>
    <t>PRATHAM</t>
  </si>
  <si>
    <t>PRAMARA PROMOTIONS LTD</t>
  </si>
  <si>
    <t>PRAMARA</t>
  </si>
  <si>
    <t>PRAJ INDUSTRIES LTD</t>
  </si>
  <si>
    <t>PIRAMAL PHARMA LIMITED</t>
  </si>
  <si>
    <t>PPLPHARMA</t>
  </si>
  <si>
    <t>HITACHI ENERGY INDIA LTD</t>
  </si>
  <si>
    <t>POONAWALLA FINCORP LTD</t>
  </si>
  <si>
    <t>POONAWALLA</t>
  </si>
  <si>
    <t>POLYSIL IRRIGATION SYST L</t>
  </si>
  <si>
    <t>POLYSIL</t>
  </si>
  <si>
    <t>PB FINTECH LIMITED</t>
  </si>
  <si>
    <t>POLICYBZR</t>
  </si>
  <si>
    <t>PONDY OXIDES &amp; CHEM LTD</t>
  </si>
  <si>
    <t>POCL</t>
  </si>
  <si>
    <t>PLAZA WIRES LIMITED</t>
  </si>
  <si>
    <t>PLAZACABLE</t>
  </si>
  <si>
    <t>PLATINUM INDUSTRIES LTD</t>
  </si>
  <si>
    <t>PLATIND</t>
  </si>
  <si>
    <t>PLADA INFOTECH SERVICES L</t>
  </si>
  <si>
    <t>PLADAINFO</t>
  </si>
  <si>
    <t>PIX TRANSMISSIONS LIMITED</t>
  </si>
  <si>
    <t>PIXTRANS</t>
  </si>
  <si>
    <t>PHANTOM DIGITAL EFF LTD</t>
  </si>
  <si>
    <t>PHANTOMFX</t>
  </si>
  <si>
    <t>PERFECT INFRAENGINEER LTD</t>
  </si>
  <si>
    <t>PERFECT</t>
  </si>
  <si>
    <t>PENTAGON RUBBER LIMITED</t>
  </si>
  <si>
    <t>PENTAGON</t>
  </si>
  <si>
    <t>PDS LIMITED</t>
  </si>
  <si>
    <t>PDSL</t>
  </si>
  <si>
    <t>PETRO CARBON AND CHEMI L</t>
  </si>
  <si>
    <t>PCCL</t>
  </si>
  <si>
    <t>PCBL LIMITED</t>
  </si>
  <si>
    <t>PCBL</t>
  </si>
  <si>
    <t>ONE 97 COMMUNICATIONS LTD</t>
  </si>
  <si>
    <t>PAYTM</t>
  </si>
  <si>
    <t>PATTECH FITWELL TUB COM L</t>
  </si>
  <si>
    <t>PATTECH</t>
  </si>
  <si>
    <t>PATANJALI FOODS LIMITED</t>
  </si>
  <si>
    <t>PATANJALI</t>
  </si>
  <si>
    <t>PASUPATI ACRYLON LIMITED</t>
  </si>
  <si>
    <t>PASUPTAC</t>
  </si>
  <si>
    <t>PASHUPATI COTSPIN LIMITED</t>
  </si>
  <si>
    <t>PASHUPATI</t>
  </si>
  <si>
    <t>PARTY CRUISERS LIMITED</t>
  </si>
  <si>
    <t>PARTYCRUS</t>
  </si>
  <si>
    <t>PARKHOTELS</t>
  </si>
  <si>
    <t>PARIN FURNITURE LIMITED</t>
  </si>
  <si>
    <t>PARIN</t>
  </si>
  <si>
    <t>PARAGON FINE S.C. LTD.</t>
  </si>
  <si>
    <t>PARAGON</t>
  </si>
  <si>
    <t>PARADEEP PHOSPHATES LTD</t>
  </si>
  <si>
    <t>PARADEEP</t>
  </si>
  <si>
    <t>PANSARI DEVELOPERS LTD</t>
  </si>
  <si>
    <t>PANSARI</t>
  </si>
  <si>
    <t>PAKKA LIMITED</t>
  </si>
  <si>
    <t>PAKKA</t>
  </si>
  <si>
    <t>OWAIS METAL &amp; MINERAL</t>
  </si>
  <si>
    <t>OWAIS</t>
  </si>
  <si>
    <t>SHREEOSWAL S AND CHE LTD</t>
  </si>
  <si>
    <t>OSWALSEEDS</t>
  </si>
  <si>
    <t>OSWAL GREENTECH LIMITED</t>
  </si>
  <si>
    <t>OSWALGREEN</t>
  </si>
  <si>
    <t>ORIENT CERATECH LIMITED</t>
  </si>
  <si>
    <t>ORIENTCER</t>
  </si>
  <si>
    <t>ORIANA POWER LIMITED</t>
  </si>
  <si>
    <t>ORIANA</t>
  </si>
  <si>
    <t>ONWARD TECHNOLOGIES LTD</t>
  </si>
  <si>
    <t>ON DOOR CONCEPTS LIMITED</t>
  </si>
  <si>
    <t>ONDOOR</t>
  </si>
  <si>
    <t>OMFURN INDIA LIMITED</t>
  </si>
  <si>
    <t>OMFURN</t>
  </si>
  <si>
    <t>ORISSA BENGAL CARRIER LTD</t>
  </si>
  <si>
    <t>OBCL</t>
  </si>
  <si>
    <t>FSN E COMMERCE VENTURES</t>
  </si>
  <si>
    <t>NYKAA</t>
  </si>
  <si>
    <t>NXT-INFRA TRUST</t>
  </si>
  <si>
    <t>NXT-INFRA</t>
  </si>
  <si>
    <t>NEXUS SELECT TRUST</t>
  </si>
  <si>
    <t>NXST</t>
  </si>
  <si>
    <t>NUVOCO VISTAS CORP LTD</t>
  </si>
  <si>
    <t>NUVOCO</t>
  </si>
  <si>
    <t>NUVAMA WEALTH MANAGE LTD</t>
  </si>
  <si>
    <t>NUVAMA</t>
  </si>
  <si>
    <t>NMDC STEEL LIMITED</t>
  </si>
  <si>
    <t>NSLNISP</t>
  </si>
  <si>
    <t>NUPUR RECYCLERS LIMITED</t>
  </si>
  <si>
    <t>NRL</t>
  </si>
  <si>
    <t>NETWORK PEOPLE SRV TECH L</t>
  </si>
  <si>
    <t>NPST</t>
  </si>
  <si>
    <t>NOVA AGRITECH LIMITED</t>
  </si>
  <si>
    <t>NOVAAGRI</t>
  </si>
  <si>
    <t>NK INDUSTRIES LTD</t>
  </si>
  <si>
    <t>NINTEC SYSTEMS LIMITED</t>
  </si>
  <si>
    <t>NINSYS</t>
  </si>
  <si>
    <t>NIIT LEARNING SYSTEMS LTD</t>
  </si>
  <si>
    <t>NIITMTS</t>
  </si>
  <si>
    <t>NIDAN LABS AND HEALTH LTD</t>
  </si>
  <si>
    <t>NIDAN</t>
  </si>
  <si>
    <t>NGL FINE CHEM LIMITED</t>
  </si>
  <si>
    <t>NGLFINE</t>
  </si>
  <si>
    <t>NAKODA RE.2.50 PPD UP</t>
  </si>
  <si>
    <t>NGILPP</t>
  </si>
  <si>
    <t>NAKODA GROUP OF IND. LTD</t>
  </si>
  <si>
    <t>NGIL</t>
  </si>
  <si>
    <t>NEWJAISA TECHNOLOGIES LTD</t>
  </si>
  <si>
    <t>NEWJAISA</t>
  </si>
  <si>
    <t>NETWEB TECH INDIA LTD</t>
  </si>
  <si>
    <t>NETWEB</t>
  </si>
  <si>
    <t>NDL VENTURES LIMITED</t>
  </si>
  <si>
    <t>NDLVENTURE</t>
  </si>
  <si>
    <t>NAVA LIMITED</t>
  </si>
  <si>
    <t>NAVA</t>
  </si>
  <si>
    <t>NAMAN IN-STORE (INDIA) L</t>
  </si>
  <si>
    <t>NAMAN</t>
  </si>
  <si>
    <t>MANGALAM WORLDWIDE LTD</t>
  </si>
  <si>
    <t>MWL</t>
  </si>
  <si>
    <t>M.V.K. AGRO FOOD PROD LTD</t>
  </si>
  <si>
    <t>MVKAGRO</t>
  </si>
  <si>
    <t>MANOJ VAIBHAV GEM N JEW L</t>
  </si>
  <si>
    <t>MVGJL</t>
  </si>
  <si>
    <t>MUTHOOT MICROFIN LIMITED</t>
  </si>
  <si>
    <t>MUTHOOTMF</t>
  </si>
  <si>
    <t>MUKKA PROTEINS LIMITED</t>
  </si>
  <si>
    <t>MUKKA</t>
  </si>
  <si>
    <t>CREDO BRANDS MARKETING L</t>
  </si>
  <si>
    <t>MUFTI</t>
  </si>
  <si>
    <t>MUFIN GREEN FINANCE LTD</t>
  </si>
  <si>
    <t>MUFIN</t>
  </si>
  <si>
    <t>MOTHERSON SUMI WRNG IND L</t>
  </si>
  <si>
    <t>MSUMI</t>
  </si>
  <si>
    <t>MOTISONS JEWELLERS LTD</t>
  </si>
  <si>
    <t>MOTISONS</t>
  </si>
  <si>
    <t>MOS UTILITY LIMITED</t>
  </si>
  <si>
    <t>MOS</t>
  </si>
  <si>
    <t>MONO PHARMACARE LIMITED</t>
  </si>
  <si>
    <t>MONOPHARMA</t>
  </si>
  <si>
    <t>MONARCH NETWORTH CAP LTD</t>
  </si>
  <si>
    <t>MONARCH</t>
  </si>
  <si>
    <t>MEGHMANI ORGANICS LIMITED</t>
  </si>
  <si>
    <t>MOL</t>
  </si>
  <si>
    <t>MODISON LIMITED</t>
  </si>
  <si>
    <t>MODISONLTD</t>
  </si>
  <si>
    <t>MITCON CON &amp; ENG SER LTD</t>
  </si>
  <si>
    <t>MILTON INDUSTRIES LIMITED</t>
  </si>
  <si>
    <t>MILTON</t>
  </si>
  <si>
    <t>MICROPRO SOFTWARE SOL L</t>
  </si>
  <si>
    <t>MICROPRO</t>
  </si>
  <si>
    <t>MAHALAXMI RUBTECH LIMITED</t>
  </si>
  <si>
    <t>MHLXMIRU</t>
  </si>
  <si>
    <t>METRO BRANDS LIMITED</t>
  </si>
  <si>
    <t>METROBRAND</t>
  </si>
  <si>
    <t>MEGASTAR FOODS LIMITED</t>
  </si>
  <si>
    <t>MEGASTAR</t>
  </si>
  <si>
    <t>MEDPLUS HEALTH SERV LTD</t>
  </si>
  <si>
    <t>MEDPLUS</t>
  </si>
  <si>
    <t>MEDICAMEN ORGANICS LTD</t>
  </si>
  <si>
    <t>MEDIORG</t>
  </si>
  <si>
    <t>MEDICAMEN BIOTECH LIMITED</t>
  </si>
  <si>
    <t>MEDICAMEQ</t>
  </si>
  <si>
    <t>MEDI ASSIST HEALTH SER L</t>
  </si>
  <si>
    <t>MEDIASSIST</t>
  </si>
  <si>
    <t>GLOBAL HEALTH LIMITED</t>
  </si>
  <si>
    <t>MEDANTA</t>
  </si>
  <si>
    <t>MAXPOSURE LIMITED</t>
  </si>
  <si>
    <t>MAXPOSURE</t>
  </si>
  <si>
    <t>MAX ESTATES LIMITED</t>
  </si>
  <si>
    <t>MAXESTATES</t>
  </si>
  <si>
    <t>MASON INFRATECH LIMITED</t>
  </si>
  <si>
    <t>MASON</t>
  </si>
  <si>
    <t>MARCO CABLE &amp; CONDUCTOR L</t>
  </si>
  <si>
    <t>MARCO</t>
  </si>
  <si>
    <t>C.E. INFO SYSTEMS LIMITED</t>
  </si>
  <si>
    <t>MAPMYINDIA</t>
  </si>
  <si>
    <t>VEDANT FASHIONS LIMITED</t>
  </si>
  <si>
    <t>MANYAVAR</t>
  </si>
  <si>
    <t>MANGALAM ORGANICS LIMITED</t>
  </si>
  <si>
    <t>MANORG</t>
  </si>
  <si>
    <t>MANORAMA INDUSTRIES LTD</t>
  </si>
  <si>
    <t>MANORAMA</t>
  </si>
  <si>
    <t>MANOMAY TEX INDIA LTD</t>
  </si>
  <si>
    <t>MANOMAY</t>
  </si>
  <si>
    <t>MANKIND PHARMA LIMITED</t>
  </si>
  <si>
    <t>MANKIND</t>
  </si>
  <si>
    <t>MALLCOM (INDIA) LIMITED</t>
  </si>
  <si>
    <t>MALLCOM</t>
  </si>
  <si>
    <t>MANGALAM ALLOYS LIMITED</t>
  </si>
  <si>
    <t>MAL</t>
  </si>
  <si>
    <t>MAITREYA MEDICARE LIMITED</t>
  </si>
  <si>
    <t>MAITREYA</t>
  </si>
  <si>
    <t>MAGSON RETAIL AND DIST L</t>
  </si>
  <si>
    <t>MAGSON</t>
  </si>
  <si>
    <t>MAGNUM VENTURES LTD.</t>
  </si>
  <si>
    <t>MAGNUM</t>
  </si>
  <si>
    <t>MADHUSUDAN MASALA LIMITED</t>
  </si>
  <si>
    <t>MADHUSUDAN</t>
  </si>
  <si>
    <t>VAIDYA SANE AYUR LAB LTD</t>
  </si>
  <si>
    <t>MADHAVBAUG</t>
  </si>
  <si>
    <t>LYKA LABS LTD</t>
  </si>
  <si>
    <t>LTFOODS</t>
  </si>
  <si>
    <t>L&amp;T FINANCE LIMITED</t>
  </si>
  <si>
    <t>LTF</t>
  </si>
  <si>
    <t>LEAD REC AND RUB PROD LTD</t>
  </si>
  <si>
    <t>LRRPL</t>
  </si>
  <si>
    <t>LOYAL TEXTILE MILLS LTD</t>
  </si>
  <si>
    <t>LOYALTEX</t>
  </si>
  <si>
    <t>LLOYDS METALS N ENERGY L</t>
  </si>
  <si>
    <t>LLOYDSME</t>
  </si>
  <si>
    <t>LLOYDS ENGG WORK LIMITED</t>
  </si>
  <si>
    <t>LLOYDSENGG</t>
  </si>
  <si>
    <t>LLOYDS LUXURIES LIMITED</t>
  </si>
  <si>
    <t>LLOYDS</t>
  </si>
  <si>
    <t>LINC LIMITED</t>
  </si>
  <si>
    <t>LINC</t>
  </si>
  <si>
    <t>LAXMI GOLDORNA HOUSE LTD</t>
  </si>
  <si>
    <t>LGHL</t>
  </si>
  <si>
    <t>LE MERITE EXPORTS LIMITED</t>
  </si>
  <si>
    <t>LEMERITE</t>
  </si>
  <si>
    <t>ADDICTIVE LEARNING TECH L</t>
  </si>
  <si>
    <t>LAWSIKHO</t>
  </si>
  <si>
    <t>LATENT VIEW ANALYTICS LTD</t>
  </si>
  <si>
    <t>LATENTVIEW</t>
  </si>
  <si>
    <t>LANDMARK CARS LIMITED</t>
  </si>
  <si>
    <t>LANDMARK</t>
  </si>
  <si>
    <t>LANCOR HOLDINGS LIMITED</t>
  </si>
  <si>
    <t>LANCORHOL</t>
  </si>
  <si>
    <t>LORENZINI APPARELS LTD</t>
  </si>
  <si>
    <t>LAL</t>
  </si>
  <si>
    <t>KALAHRIDHAAN TRENDZ LTD</t>
  </si>
  <si>
    <t>KTL</t>
  </si>
  <si>
    <t>KRYSTAL INTEGRATED SER L</t>
  </si>
  <si>
    <t>KRYSTAL</t>
  </si>
  <si>
    <t>KRSNAA DIAGNOSTICS LTD</t>
  </si>
  <si>
    <t>KRSNAA</t>
  </si>
  <si>
    <t>KRONOX LAB SCIENCES LTD</t>
  </si>
  <si>
    <t>KRONOX</t>
  </si>
  <si>
    <t>KRITI NUTRIENTS LIMITED</t>
  </si>
  <si>
    <t>KRITINUT</t>
  </si>
  <si>
    <t>KRITIKA WIRES LIMITED</t>
  </si>
  <si>
    <t>KRITIKA</t>
  </si>
  <si>
    <t>KRITI INDUSTRIES IND LTD</t>
  </si>
  <si>
    <t>KRITI</t>
  </si>
  <si>
    <t>KRISHIVAL FOODS LIMITED</t>
  </si>
  <si>
    <t>KRISHIVAL</t>
  </si>
  <si>
    <t>KALPATARU PROJECT INT LTD</t>
  </si>
  <si>
    <t>KPIL</t>
  </si>
  <si>
    <t>KPI GREEN ENERGY LIMITED</t>
  </si>
  <si>
    <t>KPIGREEN</t>
  </si>
  <si>
    <t>KOTYARK INDUSTRIES LTD</t>
  </si>
  <si>
    <t>KOTYARK</t>
  </si>
  <si>
    <t>KONTOR SPACE LIMITED</t>
  </si>
  <si>
    <t>KONTOR</t>
  </si>
  <si>
    <t>KONSTELEC ENGINEERS LTD</t>
  </si>
  <si>
    <t>KONSTELEC</t>
  </si>
  <si>
    <t>KOHINOOR FOODS LIMITED</t>
  </si>
  <si>
    <t>KOHINOOR</t>
  </si>
  <si>
    <t>KODY TECHNOLAB LIMITED</t>
  </si>
  <si>
    <t>KODYTECH</t>
  </si>
  <si>
    <t>KAUSHALYA LOGISTICS LTD</t>
  </si>
  <si>
    <t>KLL</t>
  </si>
  <si>
    <t>KIRLOSKAR PNEUMATIC COM L</t>
  </si>
  <si>
    <t>KIRLPNU</t>
  </si>
  <si>
    <t>KHFM HOS FAC MANA SER LTD</t>
  </si>
  <si>
    <t>KHFM</t>
  </si>
  <si>
    <t>KFIN TECHNOLOGIES LIMITED</t>
  </si>
  <si>
    <t>KFINTECH</t>
  </si>
  <si>
    <t>KUNDAN EDIFICE LIMITED</t>
  </si>
  <si>
    <t>KEL</t>
  </si>
  <si>
    <t>KCK INDUSTRIES LTD</t>
  </si>
  <si>
    <t>KCK</t>
  </si>
  <si>
    <t>KAYNES TECHNOLOGY IND LTD</t>
  </si>
  <si>
    <t>KAYNES</t>
  </si>
  <si>
    <t>KARNIKA INDUSTRIES LTD</t>
  </si>
  <si>
    <t>KARNIKA</t>
  </si>
  <si>
    <t>KANDARP DG SMART BPO LTD</t>
  </si>
  <si>
    <t>KANDARP</t>
  </si>
  <si>
    <t>KAMDHENU VENTURES LIMITED</t>
  </si>
  <si>
    <t>KAMOPAINTS</t>
  </si>
  <si>
    <t>SAI SILKS (KALAMANDIR) L</t>
  </si>
  <si>
    <t>KALAMANDIR</t>
  </si>
  <si>
    <t>JYOTI CNC AUTOMATION LTD</t>
  </si>
  <si>
    <t>JYOTICNC</t>
  </si>
  <si>
    <t>JUPITER WAGONS LIMITED</t>
  </si>
  <si>
    <t>JWL</t>
  </si>
  <si>
    <t>JUNIPER HOTELS LIMITED</t>
  </si>
  <si>
    <t>JUNIPER</t>
  </si>
  <si>
    <t>JTL INDUSTRIES LIMITED</t>
  </si>
  <si>
    <t>JTLIND</t>
  </si>
  <si>
    <t>JSW INFRASTRUCTURE LTD</t>
  </si>
  <si>
    <t>JSWINFRA</t>
  </si>
  <si>
    <t>JEENA SIKHO LIFECARE LTD</t>
  </si>
  <si>
    <t>JSLL</t>
  </si>
  <si>
    <t>JANA SMALL FIN BANK LTD</t>
  </si>
  <si>
    <t>JSFB</t>
  </si>
  <si>
    <t>JUPITER LIFE LINE HOSP L</t>
  </si>
  <si>
    <t>JLHL</t>
  </si>
  <si>
    <t>JIWANRAM SHEODUTTRA IND L</t>
  </si>
  <si>
    <t>JIWANRAM</t>
  </si>
  <si>
    <t>J.G.CHEMICALS LIMITED</t>
  </si>
  <si>
    <t>JGCHEM</t>
  </si>
  <si>
    <t>JET FREIGHT LOGISTICS LTD</t>
  </si>
  <si>
    <t>JETFREIGHT</t>
  </si>
  <si>
    <t>JAINAM FER ALLOYS (I) LTD</t>
  </si>
  <si>
    <t>JAINAM</t>
  </si>
  <si>
    <t>LE TRAVENUES TECHNOLOGY L</t>
  </si>
  <si>
    <t>IXIGO</t>
  </si>
  <si>
    <t>ITALIAN EDIBLES LIMITED</t>
  </si>
  <si>
    <t>ITALIANE</t>
  </si>
  <si>
    <t>ISHAN INTERNATIONAL LTD</t>
  </si>
  <si>
    <t>ISHAN</t>
  </si>
  <si>
    <t>IRM ENERGY LIMITED</t>
  </si>
  <si>
    <t>IRMENERGY</t>
  </si>
  <si>
    <t>INDIAN RENEWABLE ENERGY</t>
  </si>
  <si>
    <t>ION EXCHANGE (INDIA) LTD</t>
  </si>
  <si>
    <t>IONEXCHANG</t>
  </si>
  <si>
    <t>INTL CONVEYORS LIMITED</t>
  </si>
  <si>
    <t>INTLCONV</t>
  </si>
  <si>
    <t>INSPIRE FILMS LIMITED</t>
  </si>
  <si>
    <t>INSPIRE</t>
  </si>
  <si>
    <t>INOX INDIA LIMITED</t>
  </si>
  <si>
    <t>INOXINDIA</t>
  </si>
  <si>
    <t>INOX GREEN ENERGY SER LTD</t>
  </si>
  <si>
    <t>INOXGREEN</t>
  </si>
  <si>
    <t>INNOVA CAPTAB LIMITED</t>
  </si>
  <si>
    <t>INNOVACAP</t>
  </si>
  <si>
    <t>INTERIORS &amp; MORE LIMITED</t>
  </si>
  <si>
    <t>INM</t>
  </si>
  <si>
    <t>INFINIUM PHARMACHEM LTD</t>
  </si>
  <si>
    <t>INFINIUM</t>
  </si>
  <si>
    <t>INDO BORAX &amp; CHEMICAL LTD</t>
  </si>
  <si>
    <t>INDOBORAX</t>
  </si>
  <si>
    <t>INDO AMINES LIMITED</t>
  </si>
  <si>
    <t>INDOAMIN</t>
  </si>
  <si>
    <t>INDIFRA LIMITED</t>
  </si>
  <si>
    <t>INDIFRA</t>
  </si>
  <si>
    <t>INDIA SHELTER FIN CORP L</t>
  </si>
  <si>
    <t>INDIASHLTR</t>
  </si>
  <si>
    <t>INDEGENE LIMITED</t>
  </si>
  <si>
    <t>INDGN</t>
  </si>
  <si>
    <t>IKIO LIGHTING LIMITED</t>
  </si>
  <si>
    <t>IKIO</t>
  </si>
  <si>
    <t>INDIAN EMULSIFIERS LTD</t>
  </si>
  <si>
    <t>IEML</t>
  </si>
  <si>
    <t>INDIABULLS ENT LTD</t>
  </si>
  <si>
    <t>IEL</t>
  </si>
  <si>
    <t>IDEAFORGE TECHNO LTD</t>
  </si>
  <si>
    <t>IDEAFORGE</t>
  </si>
  <si>
    <t>INDIABULL RE.0.67 PPD UP</t>
  </si>
  <si>
    <t>IBULPP</t>
  </si>
  <si>
    <t>IBL FINANCE LIMITED</t>
  </si>
  <si>
    <t>IBLFL</t>
  </si>
  <si>
    <t>HYBRID FINANCIAL SERVICE</t>
  </si>
  <si>
    <t>HYBRIDFIN</t>
  </si>
  <si>
    <t>HRH NEXT SERVICES LIMITED</t>
  </si>
  <si>
    <t>HRHNEXT</t>
  </si>
  <si>
    <t>HINDPRAKASH INDUSTRY LTD</t>
  </si>
  <si>
    <t>HPIL</t>
  </si>
  <si>
    <t>HP ADHESIVES LIMITED</t>
  </si>
  <si>
    <t>HPAL</t>
  </si>
  <si>
    <t>HONASA CONSUMER LIMITED</t>
  </si>
  <si>
    <t>HONASA</t>
  </si>
  <si>
    <t>HOMESFY REALTY LIMITED</t>
  </si>
  <si>
    <t>HOMESFY</t>
  </si>
  <si>
    <t>HOLMARC OPTO MECHATRO L</t>
  </si>
  <si>
    <t>HOLMARC</t>
  </si>
  <si>
    <t>HOAC FOODS INDIA LIMITED</t>
  </si>
  <si>
    <t>HOACFOODS</t>
  </si>
  <si>
    <t>HMA AGRO INDUSTRIES LTD</t>
  </si>
  <si>
    <t>HMAAGRO</t>
  </si>
  <si>
    <t>HINDWARE HME INOVATON LTD</t>
  </si>
  <si>
    <t>HINDWAREAP</t>
  </si>
  <si>
    <t>HI GREEN CARBON LIMITED</t>
  </si>
  <si>
    <t>HIGREEN</t>
  </si>
  <si>
    <t>HEUBACH COLORANTS IND LTD</t>
  </si>
  <si>
    <t>HEUBACHIND</t>
  </si>
  <si>
    <t>HARSHA ENGINEERS INT LTD</t>
  </si>
  <si>
    <t>HARSHA</t>
  </si>
  <si>
    <t>HARIOM PIPE INDUSTRIES L</t>
  </si>
  <si>
    <t>HARIOMPIPE</t>
  </si>
  <si>
    <t>HARDWYN INDIA LIMITED</t>
  </si>
  <si>
    <t>HARDWYN</t>
  </si>
  <si>
    <t>HAPPY FORGINGS LIMITED</t>
  </si>
  <si>
    <t>HAPPYFORGE</t>
  </si>
  <si>
    <t>GVP INFOTECH LIMITED</t>
  </si>
  <si>
    <t>GVPTECH</t>
  </si>
  <si>
    <t>GLOBESECURE TECHNO LTD</t>
  </si>
  <si>
    <t>GSTL</t>
  </si>
  <si>
    <t>GLOBAL SURFACES LIMITED</t>
  </si>
  <si>
    <t>GSLSU</t>
  </si>
  <si>
    <t>GARWARE HI-TECH FILMS LTD</t>
  </si>
  <si>
    <t>GRWRHITECH</t>
  </si>
  <si>
    <t>GRM OVERSEAS LIMITED</t>
  </si>
  <si>
    <t>GRMOVER</t>
  </si>
  <si>
    <t>GREENCHEF APPLIANCES LTD</t>
  </si>
  <si>
    <t>GREENCHEF</t>
  </si>
  <si>
    <t>GAYATRI RUBB AND CHEM LTD</t>
  </si>
  <si>
    <t>GRCL</t>
  </si>
  <si>
    <t>GRAPHISADS LIMITED</t>
  </si>
  <si>
    <t>GRAPHISAD</t>
  </si>
  <si>
    <t>GPT HEALTHCARE LIMITED</t>
  </si>
  <si>
    <t>GPTHEALTH</t>
  </si>
  <si>
    <t>GP ECO SOLUTIONS INDIA L</t>
  </si>
  <si>
    <t>GPECO</t>
  </si>
  <si>
    <t>GOYAL SALT LIMITED</t>
  </si>
  <si>
    <t>GOYALSALT</t>
  </si>
  <si>
    <t>GOYAL ALUMINIUMS LIMITED</t>
  </si>
  <si>
    <t>GOYALALUM</t>
  </si>
  <si>
    <t>GOPAL SNACKS LIMITED</t>
  </si>
  <si>
    <t>GOPAL</t>
  </si>
  <si>
    <t>AION-TECH SOLUTIONS LTD</t>
  </si>
  <si>
    <t>GOLDSTAR POWER LIMITED</t>
  </si>
  <si>
    <t>GOLDSTAR</t>
  </si>
  <si>
    <t>GO DIGIT GENERAL INS LTD</t>
  </si>
  <si>
    <t>GODIGIT</t>
  </si>
  <si>
    <t>GO FASHION INDIA LTD</t>
  </si>
  <si>
    <t>GOCOLORS</t>
  </si>
  <si>
    <t>GMR POW AND URBAN INFRA L</t>
  </si>
  <si>
    <t>GMRP&amp;UI</t>
  </si>
  <si>
    <t>GMR AIRPORTS INFRA LTD</t>
  </si>
  <si>
    <t>GLENMARK LIFE SCIENCE LTD</t>
  </si>
  <si>
    <t>GLS</t>
  </si>
  <si>
    <t>GLOSTER LIMITED</t>
  </si>
  <si>
    <t>GLOSTERLTD</t>
  </si>
  <si>
    <t>GLOBE INTL CARRIERS LTD</t>
  </si>
  <si>
    <t>GICL</t>
  </si>
  <si>
    <t>GHCL TEXTILES LIMITED</t>
  </si>
  <si>
    <t>GHCLTEXTIL</t>
  </si>
  <si>
    <t>GENSOL ENGINEERING LTD</t>
  </si>
  <si>
    <t>GENSOL</t>
  </si>
  <si>
    <t>GATEWAY DISTRIPARKS LTD</t>
  </si>
  <si>
    <t>GATEWAY</t>
  </si>
  <si>
    <t>GATECH</t>
  </si>
  <si>
    <t>GANESH BENZOPLAST LIMITED</t>
  </si>
  <si>
    <t>GANESHBE</t>
  </si>
  <si>
    <t>GANDHAR OIL REFINE IND L</t>
  </si>
  <si>
    <t>GANDHAR</t>
  </si>
  <si>
    <t>FUSION MICRO FINANCE LTD</t>
  </si>
  <si>
    <t>FUSION</t>
  </si>
  <si>
    <t>FROG CELLSAT LIMITED</t>
  </si>
  <si>
    <t>FROG</t>
  </si>
  <si>
    <t>FOODS &amp; INNS LIMITED</t>
  </si>
  <si>
    <t>FOODSIN</t>
  </si>
  <si>
    <t>FONEBOX RETAIL LIMITED</t>
  </si>
  <si>
    <t>FONEBOX</t>
  </si>
  <si>
    <t>FOCE INDIA LIMITED</t>
  </si>
  <si>
    <t>FOCE</t>
  </si>
  <si>
    <t>FLAIR WRITING INDUST LTD</t>
  </si>
  <si>
    <t>FLAIR</t>
  </si>
  <si>
    <t>FIVE-STAR BUS FIN LTD</t>
  </si>
  <si>
    <t>FIVESTAR</t>
  </si>
  <si>
    <t>FINO PAYMENTS BANK LTD</t>
  </si>
  <si>
    <t>FINOPB</t>
  </si>
  <si>
    <t>FILATEX FASHIONS LIMITED</t>
  </si>
  <si>
    <t>FILATFASH</t>
  </si>
  <si>
    <t>FIDEL SOFTECH LIMITED</t>
  </si>
  <si>
    <t>FIDEL</t>
  </si>
  <si>
    <t>FIBERWEB INDIA LIMITED</t>
  </si>
  <si>
    <t>FIBERWEB</t>
  </si>
  <si>
    <t>FEDBANK FINANCIAL SER L</t>
  </si>
  <si>
    <t>FEDFINA</t>
  </si>
  <si>
    <t>FAZE THREE LIMITED</t>
  </si>
  <si>
    <t>FAZE3Q</t>
  </si>
  <si>
    <t>FALCON TECHNOPROJ IND LTD</t>
  </si>
  <si>
    <t>FALCONTECH</t>
  </si>
  <si>
    <t>EXXARO TILES LIMITED</t>
  </si>
  <si>
    <t>EXXARO</t>
  </si>
  <si>
    <t>EUROTEX INDUSTRIES LTD</t>
  </si>
  <si>
    <t>EURO PANEL PRODUCTS LTD</t>
  </si>
  <si>
    <t>EUROBOND</t>
  </si>
  <si>
    <t>ETHOS LIMITED</t>
  </si>
  <si>
    <t>ETHOSLTD</t>
  </si>
  <si>
    <t>ESSEN SPECIALITY FILMS L</t>
  </si>
  <si>
    <t>ESFL</t>
  </si>
  <si>
    <t>ESCORTS KUBOTA LIMITED</t>
  </si>
  <si>
    <t>ESAF SMALL FINANCE BANK L</t>
  </si>
  <si>
    <t>ESAFSFB</t>
  </si>
  <si>
    <t>EPIGRAL LIMITED</t>
  </si>
  <si>
    <t>EPIGRAL</t>
  </si>
  <si>
    <t>EPACK DURABLE LIMITED</t>
  </si>
  <si>
    <t>EPACK</t>
  </si>
  <si>
    <t>ENTERO HEALTHCARE SOLU L</t>
  </si>
  <si>
    <t>ENTERO</t>
  </si>
  <si>
    <t>ENSER COMMUNICATIONS LTD</t>
  </si>
  <si>
    <t>ENSER</t>
  </si>
  <si>
    <t>EMUDHRA LIMITED</t>
  </si>
  <si>
    <t>EMUDHRA</t>
  </si>
  <si>
    <t>EMS LIMITED</t>
  </si>
  <si>
    <t>EMSLIMITED</t>
  </si>
  <si>
    <t>ENERGY MISSION MACH IND L</t>
  </si>
  <si>
    <t>EMMIL</t>
  </si>
  <si>
    <t>ELECTRONICS MART IND LTD</t>
  </si>
  <si>
    <t>EMIL</t>
  </si>
  <si>
    <t>EMCURE PHARMACEUTICALS L</t>
  </si>
  <si>
    <t>EMCURE</t>
  </si>
  <si>
    <t>EQUINOX INDIA DEV LTD</t>
  </si>
  <si>
    <t>EMBDL</t>
  </si>
  <si>
    <t>ELIN ELECTRONICS LIMITED</t>
  </si>
  <si>
    <t>ELIN</t>
  </si>
  <si>
    <t>ELDECO HSG &amp; IND LTD.</t>
  </si>
  <si>
    <t>ELDEHSG</t>
  </si>
  <si>
    <t>EURO (I) FRESH FOODS LTD</t>
  </si>
  <si>
    <t>EIFFL</t>
  </si>
  <si>
    <t>ELECTRO FORCE (INDIA) LTD</t>
  </si>
  <si>
    <t>EFORCE</t>
  </si>
  <si>
    <t>E FACTOR EXPERIENCES LTD</t>
  </si>
  <si>
    <t>EFACTOR</t>
  </si>
  <si>
    <t>DYNAMIC SRVCS &amp; SEC LTD</t>
  </si>
  <si>
    <t>DYNAMIC</t>
  </si>
  <si>
    <t>DYNAMIC CABLES LIMITED</t>
  </si>
  <si>
    <t>DYCL</t>
  </si>
  <si>
    <t>DURLAX TOP SURFACE LTD</t>
  </si>
  <si>
    <t>DURLAX</t>
  </si>
  <si>
    <t>DUDIGITAL GLOBAL LIMITED</t>
  </si>
  <si>
    <t>DUGLOBAL</t>
  </si>
  <si>
    <t>DIENSTEN TECH LIMITED</t>
  </si>
  <si>
    <t>DTL</t>
  </si>
  <si>
    <t>DRS DILIP ROADLINES LTD.</t>
  </si>
  <si>
    <t>DRSDILIP</t>
  </si>
  <si>
    <t>DREAMFOLKS SERVICES LTD</t>
  </si>
  <si>
    <t>DREAMFOLKS</t>
  </si>
  <si>
    <t>DIVINE POWER ENERGY LTD</t>
  </si>
  <si>
    <t>DPEL</t>
  </si>
  <si>
    <t>DOMS INDUSTRIES LIMITED</t>
  </si>
  <si>
    <t>DOMS</t>
  </si>
  <si>
    <t>DOLLEX AGROTECH LIMITED</t>
  </si>
  <si>
    <t>DOLLEX</t>
  </si>
  <si>
    <t>DOLAT ALGOTECH LIMITED</t>
  </si>
  <si>
    <t>DOLATALGO</t>
  </si>
  <si>
    <t>DMCC SPECIALITY CHEMICALS</t>
  </si>
  <si>
    <t>DMCC</t>
  </si>
  <si>
    <t>D K ENTERPRISES GLOBAL L</t>
  </si>
  <si>
    <t>DKEGL</t>
  </si>
  <si>
    <t>DIVGI TORQTRANSFER SYST L</t>
  </si>
  <si>
    <t>DIVGIITTS</t>
  </si>
  <si>
    <t>DEBOCK INDUSTRIES LIMITED</t>
  </si>
  <si>
    <t>DIL</t>
  </si>
  <si>
    <t>DIAMINES &amp; CHEMICALS LTD</t>
  </si>
  <si>
    <t>DIAMINESQ</t>
  </si>
  <si>
    <t>DOCMODE HEALTH TECH LTD</t>
  </si>
  <si>
    <t>DHTL</t>
  </si>
  <si>
    <t>DHARMAJ CROP GUARD LTD</t>
  </si>
  <si>
    <t>DHARMAJ</t>
  </si>
  <si>
    <t>DEVYANI INTERNATIONAL LTD</t>
  </si>
  <si>
    <t>DEVYANI</t>
  </si>
  <si>
    <t>DEV INFO TECHNOLOGY LTD</t>
  </si>
  <si>
    <t>DEVIT</t>
  </si>
  <si>
    <t>DESTINY LOGISTICS &amp; I LTD</t>
  </si>
  <si>
    <t>DESTINY</t>
  </si>
  <si>
    <t>VASA DENTICITY LIMITED</t>
  </si>
  <si>
    <t>DENTALKART</t>
  </si>
  <si>
    <t>DE NEERS TOOLS LIMITED</t>
  </si>
  <si>
    <t>DENEERS</t>
  </si>
  <si>
    <t>DELHIVERY LIMITED</t>
  </si>
  <si>
    <t>DELHIVERY</t>
  </si>
  <si>
    <t>DELAPLEX LIMITED</t>
  </si>
  <si>
    <t>DELAPLEX</t>
  </si>
  <si>
    <t>DEEPAK FERTILIZERS &amp; PETR</t>
  </si>
  <si>
    <t>DEEM ROLL TECH LIMITED</t>
  </si>
  <si>
    <t>DEEM</t>
  </si>
  <si>
    <t>DEE DEVELOPMENT ENG LTD</t>
  </si>
  <si>
    <t>DEEDEV</t>
  </si>
  <si>
    <t>DCM SHRIRAM IND LTD</t>
  </si>
  <si>
    <t>DCMSRIND</t>
  </si>
  <si>
    <t>DCM LTD</t>
  </si>
  <si>
    <t>VALOR ESTATE LIMITED</t>
  </si>
  <si>
    <t>DHAMPUR BIO ORGANICS LTD</t>
  </si>
  <si>
    <t>DBOL</t>
  </si>
  <si>
    <t>DAVANGERE SUGAR COMPANY L</t>
  </si>
  <si>
    <t>DAVANGERE</t>
  </si>
  <si>
    <t>DATA PATTERNS INDIA LTD</t>
  </si>
  <si>
    <t>DATAPATTNS</t>
  </si>
  <si>
    <t>CYIENT DLM LIMITED</t>
  </si>
  <si>
    <t>CYIENTDLM</t>
  </si>
  <si>
    <t>CSL FINANCE LIMITED</t>
  </si>
  <si>
    <t>CSLFINANCE</t>
  </si>
  <si>
    <t>CREATIVE NEWTECH LIMITED</t>
  </si>
  <si>
    <t>CRAYONS ADVERTISING LTD</t>
  </si>
  <si>
    <t>CRAYONS</t>
  </si>
  <si>
    <t>C P S SHAPERS LIMITED</t>
  </si>
  <si>
    <t>CPS</t>
  </si>
  <si>
    <t>COUNTRY CONDO S LIMITED</t>
  </si>
  <si>
    <t>COSMO FIRST LIMITED</t>
  </si>
  <si>
    <t>COSMOFIRST</t>
  </si>
  <si>
    <t>COOL CAPS INDUSTRIES LTD</t>
  </si>
  <si>
    <t>COOLCAPS</t>
  </si>
  <si>
    <t>CONCORD BIOTECH LIMITED</t>
  </si>
  <si>
    <t>CONCORDBIO</t>
  </si>
  <si>
    <t>COMMERCIAL SYN BAGS LTD</t>
  </si>
  <si>
    <t>COMSYN</t>
  </si>
  <si>
    <t>COMMITTED CARGO CARE LTD</t>
  </si>
  <si>
    <t>COMMITTED</t>
  </si>
  <si>
    <t>COASTAL CORPORATION LTD</t>
  </si>
  <si>
    <t>COASTCORP</t>
  </si>
  <si>
    <t>CMS INFO SYSTEMS LIMITED</t>
  </si>
  <si>
    <t>CMSINFO</t>
  </si>
  <si>
    <t>CYBER MEDIA RES &amp; SER LTD</t>
  </si>
  <si>
    <t>CMRSL</t>
  </si>
  <si>
    <t>CHAMAN METALLICS LIMITED</t>
  </si>
  <si>
    <t>CMNL</t>
  </si>
  <si>
    <t>CROP LIFE SCIENCE LIMITED</t>
  </si>
  <si>
    <t>CLSL</t>
  </si>
  <si>
    <t>CIE AUTOMOTIVE INDIA LTD</t>
  </si>
  <si>
    <t>CIEINDIA</t>
  </si>
  <si>
    <t>CHOICE INTERNATIONAL LTD</t>
  </si>
  <si>
    <t>CHOICEIN</t>
  </si>
  <si>
    <t>CHEVIOT COMPANY LIMITED</t>
  </si>
  <si>
    <t>CHEVIOT</t>
  </si>
  <si>
    <t>CHEMPLAST SANMAR LIMITED</t>
  </si>
  <si>
    <t>CHEMPLASTS</t>
  </si>
  <si>
    <t>CHAVDA INFRA LIMITED</t>
  </si>
  <si>
    <t>CHAVDA</t>
  </si>
  <si>
    <t>CREATIVE GRAPHICS S IND L</t>
  </si>
  <si>
    <t>CGRAPHICS</t>
  </si>
  <si>
    <t>CELL POINT (INDIA) LTD</t>
  </si>
  <si>
    <t>CELLPOINT</t>
  </si>
  <si>
    <t>CELLO WORLD LIMITED</t>
  </si>
  <si>
    <t>CELLO</t>
  </si>
  <si>
    <t>CELLECOR GADGETS LIMITED</t>
  </si>
  <si>
    <t>CELLECOR</t>
  </si>
  <si>
    <t>NET AVENUE TECHNOLOGIES L</t>
  </si>
  <si>
    <t>CBAZAAR</t>
  </si>
  <si>
    <t>CARYSIL LIMITED</t>
  </si>
  <si>
    <t>CARYSIL</t>
  </si>
  <si>
    <t>CARTRADE TECH LIMITED</t>
  </si>
  <si>
    <t>CARTRADE</t>
  </si>
  <si>
    <t>CAPITAL SMALL FIN BANK L</t>
  </si>
  <si>
    <t>CAPITALSFB</t>
  </si>
  <si>
    <t>CAMPUS ACTIVEWEAR LIMITED</t>
  </si>
  <si>
    <t>CAMPUS</t>
  </si>
  <si>
    <t>CADSYS (INDIA) LIMITED</t>
  </si>
  <si>
    <t>CADSYS</t>
  </si>
  <si>
    <t>BOROSIL SCIENTIFIC LTD</t>
  </si>
  <si>
    <t>BOROSCI</t>
  </si>
  <si>
    <t>BOMBAY METRICS S C LTD</t>
  </si>
  <si>
    <t>BMETRICS</t>
  </si>
  <si>
    <t>BLUE PEBBLE LIMITED</t>
  </si>
  <si>
    <t>BLUEPEBBLE</t>
  </si>
  <si>
    <t>BLUE JET HEALTHCARE LTD</t>
  </si>
  <si>
    <t>BLUEJET</t>
  </si>
  <si>
    <t>BLS E-SERVICES LIMITED</t>
  </si>
  <si>
    <t>BLSE</t>
  </si>
  <si>
    <t>BEML LAND ASSETS LIMITED</t>
  </si>
  <si>
    <t>BLAL</t>
  </si>
  <si>
    <t>BINANI INDUSTRIES LTD</t>
  </si>
  <si>
    <t>BINANIIND</t>
  </si>
  <si>
    <t>BIKAJI FOODS INTERN LTD</t>
  </si>
  <si>
    <t>BIKAJI</t>
  </si>
  <si>
    <t>BHARAT HIGHWAYS INVIT</t>
  </si>
  <si>
    <t>BHINVIT</t>
  </si>
  <si>
    <t>BHARTI HEXACOM LIMITED</t>
  </si>
  <si>
    <t>BHARTIHEXA</t>
  </si>
  <si>
    <t>BHAGIRADHA CHEM &amp; INDS L</t>
  </si>
  <si>
    <t>BHAGCHEM</t>
  </si>
  <si>
    <t>BEW ENGINEERING LIMITED</t>
  </si>
  <si>
    <t>BEWLTD</t>
  </si>
  <si>
    <t>BEACON TRUSTEESHIP LTD</t>
  </si>
  <si>
    <t>BEACON</t>
  </si>
  <si>
    <t>BRAND CONCEPTS LIMITED</t>
  </si>
  <si>
    <t>BCONCEPTS</t>
  </si>
  <si>
    <t>BAWEJA STUDIOS LIMITED</t>
  </si>
  <si>
    <t>BAWEJA</t>
  </si>
  <si>
    <t>BANSAL WIRE INDUSTRIES L</t>
  </si>
  <si>
    <t>BANSALWIRE</t>
  </si>
  <si>
    <t>BALU FORGE INDUSTRIES LTD</t>
  </si>
  <si>
    <t>BALUFORGE</t>
  </si>
  <si>
    <t>BAJEL PROJECTS LIMITED</t>
  </si>
  <si>
    <t>BAJEL</t>
  </si>
  <si>
    <t>BAJAJ HEALTHCARE LIMITED</t>
  </si>
  <si>
    <t>BAJAJHCARE</t>
  </si>
  <si>
    <t>BAID FINSERV LIMITED</t>
  </si>
  <si>
    <t>BAIDFIN</t>
  </si>
  <si>
    <t>BAHETI RECYCLING IND LTD</t>
  </si>
  <si>
    <t>BAHETI</t>
  </si>
  <si>
    <t>BABA FOOD PROCESSING</t>
  </si>
  <si>
    <t>BABAFP</t>
  </si>
  <si>
    <t>AZAD ENGINEERING LIMITED</t>
  </si>
  <si>
    <t>AZAD</t>
  </si>
  <si>
    <t>AXITA COTTON LIMITED</t>
  </si>
  <si>
    <t>AXITA</t>
  </si>
  <si>
    <t>ADANI WILMAR LIMITED</t>
  </si>
  <si>
    <t>AWL</t>
  </si>
  <si>
    <t>AWFIS SPACE SOLUTIONS LTD</t>
  </si>
  <si>
    <t>AWFIS</t>
  </si>
  <si>
    <t>AVP INFRACON LIMITED</t>
  </si>
  <si>
    <t>AVPINFRA</t>
  </si>
  <si>
    <t>AVG LOGISTICS LIMITED</t>
  </si>
  <si>
    <t>AVG</t>
  </si>
  <si>
    <t>AVALON TECHNOLOGIES LTD</t>
  </si>
  <si>
    <t>AVALON</t>
  </si>
  <si>
    <t>AURUM RS. 3.12 PPD UP</t>
  </si>
  <si>
    <t>AURUMPP1</t>
  </si>
  <si>
    <t>AURUM PROPTECH LIMITED</t>
  </si>
  <si>
    <t>AURUM</t>
  </si>
  <si>
    <t>AURO IMPEX &amp; CHEMICALS L</t>
  </si>
  <si>
    <t>AUROIMPEX</t>
  </si>
  <si>
    <t>AURANGABAD DISTILLERY LTD</t>
  </si>
  <si>
    <t>AURDIS</t>
  </si>
  <si>
    <t>ALLCARGO TERMINALS LTD</t>
  </si>
  <si>
    <t>ATL</t>
  </si>
  <si>
    <t>ATAM VALVES LIMITED</t>
  </si>
  <si>
    <t>ATAM</t>
  </si>
  <si>
    <t>ASPIRE &amp; INNOVATIVE ADV L</t>
  </si>
  <si>
    <t>ASPIRE</t>
  </si>
  <si>
    <t>ASMS</t>
  </si>
  <si>
    <t>ASK AUTOMOTIVE LIMITED</t>
  </si>
  <si>
    <t>ASKAUTOLTD</t>
  </si>
  <si>
    <t>ASIAN ENERGY SERVICES LTD</t>
  </si>
  <si>
    <t>ASIANENE</t>
  </si>
  <si>
    <t>ASHOKA METCAST LIMITED</t>
  </si>
  <si>
    <t>ASHOKAMET</t>
  </si>
  <si>
    <t>ART NIRMAN LIMITED</t>
  </si>
  <si>
    <t>ARTNIRMAN</t>
  </si>
  <si>
    <t>ARISTO BIO T AND LIFESC L</t>
  </si>
  <si>
    <t>ARISTO</t>
  </si>
  <si>
    <t>ARIHANT ACADEMY LIMITED</t>
  </si>
  <si>
    <t>ARIHANTACA</t>
  </si>
  <si>
    <t>ARHAM TECHNOLOGIES LTD</t>
  </si>
  <si>
    <t>ARHAM</t>
  </si>
  <si>
    <t>AMARA RAJA ENERGY MOB LTD</t>
  </si>
  <si>
    <t>ARE&amp;M</t>
  </si>
  <si>
    <t>ARABIAN PETROLEUM LIMITED</t>
  </si>
  <si>
    <t>ARABIAN</t>
  </si>
  <si>
    <t>APTUS VALUE HSG FIN I LTD</t>
  </si>
  <si>
    <t>APTUS</t>
  </si>
  <si>
    <t>ANNAPURNA SWADISHT LTD</t>
  </si>
  <si>
    <t>ANNAPURNA</t>
  </si>
  <si>
    <t>ANGEL ONE LIMITED</t>
  </si>
  <si>
    <t>ANGELONE</t>
  </si>
  <si>
    <t>ANAND RATHI WEALTH LTD</t>
  </si>
  <si>
    <t>ANANDRATHI</t>
  </si>
  <si>
    <t>AMINES &amp; PLASTICIZERS LTD</t>
  </si>
  <si>
    <t>AMNPLST</t>
  </si>
  <si>
    <t>AMI ORGANICS LIMITED</t>
  </si>
  <si>
    <t>AMIORG</t>
  </si>
  <si>
    <t>AMIABLE LOGISTICS (I) LTD</t>
  </si>
  <si>
    <t>AMIABLE</t>
  </si>
  <si>
    <t>AMEYA PRECISION ENG LTD</t>
  </si>
  <si>
    <t>AMEYA</t>
  </si>
  <si>
    <t>ALL E TECHNOLOGIES LTD</t>
  </si>
  <si>
    <t>ALLETEC</t>
  </si>
  <si>
    <t>AKSH OPTIFIBRE LIMITED</t>
  </si>
  <si>
    <t>AKSHAR SPINTEX LIMITED</t>
  </si>
  <si>
    <t>AKSHAR</t>
  </si>
  <si>
    <t>AKIKO GLOBAL SERVICES L</t>
  </si>
  <si>
    <t>AKIKO</t>
  </si>
  <si>
    <t>AKI INDIA LIMITED</t>
  </si>
  <si>
    <t>AKI</t>
  </si>
  <si>
    <t>AIRTEL RS. 1.25 PPD UP</t>
  </si>
  <si>
    <t>AIRTELPP</t>
  </si>
  <si>
    <t>AUTHUM INVEST &amp; INFRA LTD</t>
  </si>
  <si>
    <t>AIIL</t>
  </si>
  <si>
    <t>ABANS HOLDINGS LIMITED</t>
  </si>
  <si>
    <t>AHL</t>
  </si>
  <si>
    <t>A G UNIVERSAL LIMITED</t>
  </si>
  <si>
    <t>AGUL</t>
  </si>
  <si>
    <t>AGS TRANSACT TECH LTD</t>
  </si>
  <si>
    <t>AGSTRA</t>
  </si>
  <si>
    <t>AGNI GREEN POWER LTD</t>
  </si>
  <si>
    <t>AGNI</t>
  </si>
  <si>
    <t>AGI INFRA LIMITED</t>
  </si>
  <si>
    <t>AGIIL</t>
  </si>
  <si>
    <t>AGI GREENPAC LIMITED</t>
  </si>
  <si>
    <t>AGI</t>
  </si>
  <si>
    <t>AKME FINTRADE (INDIA) LTD</t>
  </si>
  <si>
    <t>AFIL</t>
  </si>
  <si>
    <t>AETHER INDUSTRIES LIMITED</t>
  </si>
  <si>
    <t>AETHER</t>
  </si>
  <si>
    <t>AEROFLEX INDUSTRIES LTD</t>
  </si>
  <si>
    <t>AEROFLEX</t>
  </si>
  <si>
    <t>AEGISLOG</t>
  </si>
  <si>
    <t>ARVIND AND COMPANY</t>
  </si>
  <si>
    <t>ACSAL</t>
  </si>
  <si>
    <t>ALLCARGO GATI LIMITED</t>
  </si>
  <si>
    <t>ACLGATI</t>
  </si>
  <si>
    <t>ACL</t>
  </si>
  <si>
    <t>ARCHEAN CHEMICAL IND LTD</t>
  </si>
  <si>
    <t>ACI</t>
  </si>
  <si>
    <t>ACE INTEGRATED SOLU. LTD.</t>
  </si>
  <si>
    <t>ACEINTEG</t>
  </si>
  <si>
    <t>ACCENT MICROCELL LIMITED</t>
  </si>
  <si>
    <t>ACCENTMIC</t>
  </si>
  <si>
    <t>ABS MARINE SERVICES LTD</t>
  </si>
  <si>
    <t>ABSMARINE</t>
  </si>
  <si>
    <t>ADIT BIRL SUN LIF AMC LTD</t>
  </si>
  <si>
    <t>ABSLAMC</t>
  </si>
  <si>
    <t>ALLIED BLEND N DISTILS L</t>
  </si>
  <si>
    <t>ABDL</t>
  </si>
  <si>
    <t>A B COTSPIN INDIA LIMITED</t>
  </si>
  <si>
    <t>ABCOTS</t>
  </si>
  <si>
    <t>AATMAJ HEALTHCARE LIMITED</t>
  </si>
  <si>
    <t>AATMAJ</t>
  </si>
  <si>
    <t>AARTI PHARMALABS LIMITED</t>
  </si>
  <si>
    <t>AARTIPHARM</t>
  </si>
  <si>
    <t>AAREY DRUGS &amp; PHARM LTD</t>
  </si>
  <si>
    <t>AAREYDRUGS</t>
  </si>
  <si>
    <t>AADHAR HOUSING FINANCE L</t>
  </si>
  <si>
    <t>AADHARHFC</t>
  </si>
  <si>
    <t>3I INFOTECH LIMITED</t>
  </si>
  <si>
    <t>3IINFOLTD</t>
  </si>
  <si>
    <t>360 ONE WAM LIMITED</t>
  </si>
  <si>
    <t>360ONE</t>
  </si>
  <si>
    <t>ZYDUS LIFESCIENCES LTD</t>
  </si>
  <si>
    <t>ZYDUSLIFE</t>
  </si>
  <si>
    <t>ZOMATO LIMITED</t>
  </si>
  <si>
    <t>ZOMATO</t>
  </si>
  <si>
    <t>SAMVRDHNA MTHRSN INTL LTD</t>
  </si>
  <si>
    <t>MOTHERSON</t>
  </si>
  <si>
    <t>LIFE INSURA CORP OF INDIA</t>
  </si>
  <si>
    <t>LICI</t>
  </si>
  <si>
    <t>JIO FIN SERVICES LTD</t>
  </si>
  <si>
    <t>JIOFIN</t>
  </si>
  <si>
    <t>ADANI ENERGY SOLUTION LTD</t>
  </si>
  <si>
    <t>ADANIENSOL</t>
  </si>
  <si>
    <t>SHRIRAM FINANCE LIMITED</t>
  </si>
  <si>
    <t>SHRIRAMFIN</t>
  </si>
  <si>
    <t>LTIMINDTREE LIMITED</t>
  </si>
  <si>
    <t>LTIM</t>
  </si>
  <si>
    <t>DR. REDDY S LABORATORIES</t>
  </si>
  <si>
    <t>DIVI S LABORATORIES LTD</t>
  </si>
  <si>
    <t>Nifty Multi Infra</t>
  </si>
  <si>
    <t>Nifty Multi Mfg</t>
  </si>
  <si>
    <t>Nifty MidSml Hlth</t>
  </si>
  <si>
    <t>Nifty Tata 25 Cap</t>
  </si>
  <si>
    <t>NIFTY IND DIGITAL</t>
  </si>
  <si>
    <t>NIFTY MICROCAP250</t>
  </si>
  <si>
    <t>NIFTY TOTAL MKT</t>
  </si>
  <si>
    <t>NIFTY MID SELECT</t>
  </si>
  <si>
    <t>NIFTY LARGEMID250</t>
  </si>
  <si>
    <t>NIFTY500 MULTICAP</t>
  </si>
  <si>
    <t>NIFTY OIL AND GAS</t>
  </si>
  <si>
    <t>NIFTY CONSR DURBL</t>
  </si>
  <si>
    <t>NIFTY HEALTHCARE</t>
  </si>
  <si>
    <t>NiftyM150Momntm50</t>
  </si>
  <si>
    <t>Nifty200 Alpha 30</t>
  </si>
  <si>
    <t>NIFTY INDIA MFG</t>
  </si>
  <si>
    <t>NIFTY M150 QLTY50</t>
  </si>
  <si>
    <t>NIFTY100 ESG</t>
  </si>
  <si>
    <t>RELIANCE ETF SHARIAH BEES</t>
  </si>
  <si>
    <t>RELIANCE ETF LONGTERMGILT</t>
  </si>
  <si>
    <t>RRSLGETF</t>
  </si>
  <si>
    <t>RELCAPAMC - RETFMID150</t>
  </si>
  <si>
    <t>RETFMID150</t>
  </si>
  <si>
    <t>RELIANCE ETF NV20</t>
  </si>
  <si>
    <t>RELNV20</t>
  </si>
  <si>
    <t>RELIANCE ETF DIVIDEND OPP</t>
  </si>
  <si>
    <t>RELDIVOPP</t>
  </si>
  <si>
    <t>RELIANCE ETF CONSUMPTION</t>
  </si>
  <si>
    <t>RELCONS</t>
  </si>
  <si>
    <t>RELIANCE ETF NIFTY 100</t>
  </si>
  <si>
    <t>RELCNX100</t>
  </si>
  <si>
    <t>RELIANCE ETF PSU BANKBEES</t>
  </si>
  <si>
    <t>RELIANCE ETF NIFTY BEES</t>
  </si>
  <si>
    <t>MOST SHARES N100 ETF</t>
  </si>
  <si>
    <t>N100</t>
  </si>
  <si>
    <t>MOST SHARES M50 ETF</t>
  </si>
  <si>
    <t>M50</t>
  </si>
  <si>
    <t>MOST SHARES M100 ETF</t>
  </si>
  <si>
    <t>M100</t>
  </si>
  <si>
    <t>RELIANCE ETF LIQUID BEES</t>
  </si>
  <si>
    <t>RELIANCE ETF JUNIOR BEES</t>
  </si>
  <si>
    <t>RELIANCE ETF INFRA BEES</t>
  </si>
  <si>
    <t>RELIANCE ETF HANGSENGBEES</t>
  </si>
  <si>
    <t>RELIANCE ETF GOLD BEES</t>
  </si>
  <si>
    <t>CAN ROBECO - GOLD ETF</t>
  </si>
  <si>
    <t>CRMFGETF</t>
  </si>
  <si>
    <t>RELIANCE ETF BANK BEES</t>
  </si>
  <si>
    <t>YX</t>
  </si>
  <si>
    <t>UNS RED NCD 9.12% SR. IX</t>
  </si>
  <si>
    <t>SEC RED NCD SVI</t>
  </si>
  <si>
    <t>SEC RED NCD 9.25% SR. IV</t>
  </si>
  <si>
    <t>SEC RED NCD 8.88% SR. III</t>
  </si>
  <si>
    <t>0.01% CUM RED PREF SHARES</t>
  </si>
  <si>
    <t>SEC RED NCD 9.60% SR. V</t>
  </si>
  <si>
    <t>SEC RED NCD 8.56% SR. V</t>
  </si>
  <si>
    <t>SEC RED NCD 9.75% SR. III</t>
  </si>
  <si>
    <t>SEC RED NCD 9.10% SR. IV</t>
  </si>
  <si>
    <t>SEC RED NCD 8.90% SR. I</t>
  </si>
  <si>
    <t>SERENCD 9.0% SR.III OPII</t>
  </si>
  <si>
    <t>TAX FREE  7.35% SR. 108</t>
  </si>
  <si>
    <t>SEC RED NCD 9.10% SR. 1B</t>
  </si>
  <si>
    <t>XI</t>
  </si>
  <si>
    <t>7.43% TAX FREE TRI SR3B</t>
  </si>
  <si>
    <t>IIFLFIN</t>
  </si>
  <si>
    <t>SEC RED NCD SR. 9B</t>
  </si>
  <si>
    <t>TAX FREE  7.28% SR. 103</t>
  </si>
  <si>
    <t>SEC RED NCD SR. 8B</t>
  </si>
  <si>
    <t>9.40 % SRNCD SR III</t>
  </si>
  <si>
    <t>SEC RED NCD SR. 7B</t>
  </si>
  <si>
    <t>TFB 7.62% 2035 SR. 3B</t>
  </si>
  <si>
    <t>SEC RED NCD 9.60% SR. I</t>
  </si>
  <si>
    <t>TFB 7.53% 2030 SR. 2B</t>
  </si>
  <si>
    <t>ECL NCD 10.15% OPT IV</t>
  </si>
  <si>
    <t>UNS RED NCD 9.40% SR. IV</t>
  </si>
  <si>
    <t>SEC RED NCD 9.20% SR. 4B</t>
  </si>
  <si>
    <t>SEC RED NCD 9.10% SR. 4A</t>
  </si>
  <si>
    <t>BOND 9.45% PA NON RET. S4</t>
  </si>
  <si>
    <t>NHBTF2023</t>
  </si>
  <si>
    <t>BOND 8.30% PA CUM. S2</t>
  </si>
  <si>
    <t>L&amp;TINFRA</t>
  </si>
  <si>
    <t>BOND 0% 2021 TR-2 SR-II</t>
  </si>
  <si>
    <t>SEC RED NCD 10.50% SR. VI</t>
  </si>
  <si>
    <t>ICFL</t>
  </si>
  <si>
    <t>ECL NCD 12% OPT II</t>
  </si>
  <si>
    <t>BOND 9.95% PA RET. S4</t>
  </si>
  <si>
    <t>8.30% TAX FREE NCD</t>
  </si>
  <si>
    <t>BOND 8.20% PA S1</t>
  </si>
  <si>
    <t>ECL NCD 12% OPT I</t>
  </si>
  <si>
    <t>SEC RED NCD 9.05% SR. II</t>
  </si>
  <si>
    <t>8.52% TAX FREE TR I S IB</t>
  </si>
  <si>
    <t>BOND 7.50% CA 2010A S4</t>
  </si>
  <si>
    <t>NCD 10.24% SEMIANN OPT IV</t>
  </si>
  <si>
    <t>BOND 0% 2020 TR-I SR-IV</t>
  </si>
  <si>
    <t>UNSECURED NCD</t>
  </si>
  <si>
    <t>BOND 7.50% PA 2010A S3</t>
  </si>
  <si>
    <t>SEC RED NCD 10.4% SR. III</t>
  </si>
  <si>
    <t>SEC RED NCD 8.70% SR. I</t>
  </si>
  <si>
    <t>BOND 9.50% PA SERIES 2</t>
  </si>
  <si>
    <t>TAXFREE SEC NCD TR1 S2</t>
  </si>
  <si>
    <t>7.36% TAX FREE NCD</t>
  </si>
  <si>
    <t>IIHFL 12.00 NCD OPT I</t>
  </si>
  <si>
    <t>IIHFL</t>
  </si>
  <si>
    <t>BOND 0% 2020 TR-I SR-II</t>
  </si>
  <si>
    <t>SE RE NCD SR.I-CIII&amp;IV</t>
  </si>
  <si>
    <t>SEC RED NCD 8.83% SR. 1B</t>
  </si>
  <si>
    <t>BOND 6.82% PA TAX FREE S1</t>
  </si>
  <si>
    <t>JNPT</t>
  </si>
  <si>
    <t>SEC RED NCD 10.75% SR. I</t>
  </si>
  <si>
    <t>UTIAMC - UTIFEFRGR4</t>
  </si>
  <si>
    <t>UTIFEFRGR4</t>
  </si>
  <si>
    <t>HDFCAMC - HEOF1126RG</t>
  </si>
  <si>
    <t>HEOF1126RG</t>
  </si>
  <si>
    <t>EDELAMC - EMOFSR1RGG</t>
  </si>
  <si>
    <t>EMOFSR1RGG</t>
  </si>
  <si>
    <t>INDINFOAMC - CES1RPG</t>
  </si>
  <si>
    <t>CES1RPG</t>
  </si>
  <si>
    <t>GOI LOAN 8.24%2027</t>
  </si>
  <si>
    <t>824GS2027</t>
  </si>
  <si>
    <t>GOI LOAN 7.72% 2049</t>
  </si>
  <si>
    <t>772GS2049</t>
  </si>
  <si>
    <t>GOI LOAN 7.62% 2039</t>
  </si>
  <si>
    <t>762GS2039</t>
  </si>
  <si>
    <t>GOI LOAN 7.06% 2046</t>
  </si>
  <si>
    <t>706GS2046</t>
  </si>
  <si>
    <t>STANDARD  CHARTERED PLC</t>
  </si>
  <si>
    <t>STAN</t>
  </si>
  <si>
    <t>DR</t>
  </si>
  <si>
    <t>VIDEOCON INDUSTRIES LIMIT</t>
  </si>
  <si>
    <t>VIDEOIND</t>
  </si>
  <si>
    <t>UNITY INFRAPROJECTS LTD</t>
  </si>
  <si>
    <t>UNITY</t>
  </si>
  <si>
    <t>THIRU AROORAN SUGARS LTD</t>
  </si>
  <si>
    <t>THIRUSUGAR</t>
  </si>
  <si>
    <t>SRS LIMITED</t>
  </si>
  <si>
    <t>SRSLTD</t>
  </si>
  <si>
    <t>ORCHIDPHAR</t>
  </si>
  <si>
    <t>METKORE ALLOYS &amp; IND LTD</t>
  </si>
  <si>
    <t>METKORE</t>
  </si>
  <si>
    <t>LEEL ELECTRICALS LIMITED</t>
  </si>
  <si>
    <t>LEEL</t>
  </si>
  <si>
    <t>JVL AGRO INDUSTRIES LTD</t>
  </si>
  <si>
    <t>JVLAGRO</t>
  </si>
  <si>
    <t>JAIHIND PROJECTS LTD</t>
  </si>
  <si>
    <t>JAIHINDPRO</t>
  </si>
  <si>
    <t>EMPEE DISTI. LTD.</t>
  </si>
  <si>
    <t>EDL</t>
  </si>
  <si>
    <t>ZENITH BIRLA (INDIA) LTD</t>
  </si>
  <si>
    <t>ZENITHBIR</t>
  </si>
  <si>
    <t>XL ENERGY LIMITED</t>
  </si>
  <si>
    <t>XLENERGY</t>
  </si>
  <si>
    <t>UNIPLY INDUSTRIES LIMITED</t>
  </si>
  <si>
    <t>UNIPLY</t>
  </si>
  <si>
    <t>TARA JEWELS LIMITED</t>
  </si>
  <si>
    <t>TARAJEWELS</t>
  </si>
  <si>
    <t>SYNCOM HEALTHCARE LTD</t>
  </si>
  <si>
    <t>SYNCOM</t>
  </si>
  <si>
    <t>SUJANA UNI. INDS. LTD.</t>
  </si>
  <si>
    <t>SUJANAUNI</t>
  </si>
  <si>
    <t>SPICE MOBILITY LIMITED</t>
  </si>
  <si>
    <t>SPICEMOBI</t>
  </si>
  <si>
    <t>SPLENDID METAL PRODUCTS L</t>
  </si>
  <si>
    <t>SMPL</t>
  </si>
  <si>
    <t>SITA SHREE FOOD PROD LTD</t>
  </si>
  <si>
    <t>SITASHREE</t>
  </si>
  <si>
    <t>SANGHVI FOR &amp; ENG LTD</t>
  </si>
  <si>
    <t>SANGHVIFOR</t>
  </si>
  <si>
    <t>PROVOGUE (INDIA) LIMITED</t>
  </si>
  <si>
    <t>PROVOGE</t>
  </si>
  <si>
    <t>PIRAMAL PHYTOCARE LIMITED</t>
  </si>
  <si>
    <t>PIRPHYTO</t>
  </si>
  <si>
    <t>PETRON ENGG CONSTRUCT LTD</t>
  </si>
  <si>
    <t>PETRONENGG</t>
  </si>
  <si>
    <t>PARABOLIC DRUGS LTD</t>
  </si>
  <si>
    <t>PARABDRUGS</t>
  </si>
  <si>
    <t>ORTINLABSS</t>
  </si>
  <si>
    <t>MANDHANA IND LTD</t>
  </si>
  <si>
    <t>MIL</t>
  </si>
  <si>
    <t>MIC ELECTRONICS LIMITED</t>
  </si>
  <si>
    <t>MIC</t>
  </si>
  <si>
    <t>KHAITAN ELECTRICALS LTD</t>
  </si>
  <si>
    <t>KHAITANELE</t>
  </si>
  <si>
    <t>KARUTURI GLOBAL LIMITED</t>
  </si>
  <si>
    <t>KGL</t>
  </si>
  <si>
    <t>KESAR ENTERPRISES LTD.</t>
  </si>
  <si>
    <t>KESARENT</t>
  </si>
  <si>
    <t>IVRCL LIMITED</t>
  </si>
  <si>
    <t>IVRCLINFRA</t>
  </si>
  <si>
    <t>ICSA (INDIA) LIMITED</t>
  </si>
  <si>
    <t>ICSA</t>
  </si>
  <si>
    <t>GREENPLYINDUS</t>
  </si>
  <si>
    <t>BIOFIL CHEM &amp; PHARMA LTD.</t>
  </si>
  <si>
    <t>BALAXI VENTURES LIMITED</t>
  </si>
  <si>
    <t>BAFNA PHARMACEUTICALS L</t>
  </si>
  <si>
    <t>BAFNAPHARM</t>
  </si>
  <si>
    <t>ATN INTERNATIONAL LTD</t>
  </si>
  <si>
    <t>ATNINTER</t>
  </si>
  <si>
    <t>ASSAM COMPANY INDIA LTD</t>
  </si>
  <si>
    <t>ASSAMCO</t>
  </si>
  <si>
    <t>ZODIAC JRD-MKJ LTD</t>
  </si>
  <si>
    <t>WEIZMANN FOREX LIMITED</t>
  </si>
  <si>
    <t>WEIZFOREX</t>
  </si>
  <si>
    <t>VIKAS MULTICORP LIMITED</t>
  </si>
  <si>
    <t>VIKASMCORP</t>
  </si>
  <si>
    <t>UTTAM VALUE STEELS LTD</t>
  </si>
  <si>
    <t>UVSL</t>
  </si>
  <si>
    <t>UNITED BANK OF INDIA</t>
  </si>
  <si>
    <t>UNITEDBNK</t>
  </si>
  <si>
    <t>UNITECH LTD</t>
  </si>
  <si>
    <t>UNIINFOTELECOMSERVILTD</t>
  </si>
  <si>
    <t>TATASTEEL RS.2.504 PPD UP</t>
  </si>
  <si>
    <t>TATA SPONGE IRON LIMITED</t>
  </si>
  <si>
    <t>TATASPONGE</t>
  </si>
  <si>
    <t>TATA GLOBAL BEVERAGES LTD</t>
  </si>
  <si>
    <t>TATAGLOBAL</t>
  </si>
  <si>
    <t>TARA CHAND LOG. SOL. LTD.</t>
  </si>
  <si>
    <t>TANLA SOLUTIONS LIMITED</t>
  </si>
  <si>
    <t>TALWALKARS HEALTHCLUB LTD</t>
  </si>
  <si>
    <t>TALWGYM</t>
  </si>
  <si>
    <t>TALWALKAR FITNESS LTD</t>
  </si>
  <si>
    <t>TALWALKARS</t>
  </si>
  <si>
    <t>SYNDICATE BANK</t>
  </si>
  <si>
    <t>SYNDIBANK</t>
  </si>
  <si>
    <t>SUPREME INFRA. LTD.</t>
  </si>
  <si>
    <t>SUBEX LIMITED</t>
  </si>
  <si>
    <t>SUBEX</t>
  </si>
  <si>
    <t>STRTECH</t>
  </si>
  <si>
    <t>SONI SOYA PRODUCTS LTD.</t>
  </si>
  <si>
    <t>SONISOYA</t>
  </si>
  <si>
    <t>SOFTTECH ENGINEER LIMITED</t>
  </si>
  <si>
    <t>SECURITY INTELL SERVICES</t>
  </si>
  <si>
    <t>SHANTI OVERSEAS (IND) LTD</t>
  </si>
  <si>
    <t>SEL MANU. CO. LTD.</t>
  </si>
  <si>
    <t>SELMCL</t>
  </si>
  <si>
    <t>RUCHISOYA</t>
  </si>
  <si>
    <t>RATTANINDIA INFRA LIMITED</t>
  </si>
  <si>
    <t>RTNINFRA</t>
  </si>
  <si>
    <t>RELIANCE NIPPON L A M LTD</t>
  </si>
  <si>
    <t>RNAM</t>
  </si>
  <si>
    <t>PUSHPA REAL AND INFRA LTD</t>
  </si>
  <si>
    <t>PUSHPREALM</t>
  </si>
  <si>
    <t>PSL LIMITED</t>
  </si>
  <si>
    <t>PSL</t>
  </si>
  <si>
    <t>PROSEED INDIA LIMITED</t>
  </si>
  <si>
    <t>PROSEED</t>
  </si>
  <si>
    <t>PRECOT MERIDIAN LIMITED</t>
  </si>
  <si>
    <t>PRAKASH CONSTROWELL LTD</t>
  </si>
  <si>
    <t>PRAKASHCON</t>
  </si>
  <si>
    <t>PRABHAT DAIRY LIMITED</t>
  </si>
  <si>
    <t>PRABHAT</t>
  </si>
  <si>
    <t>PATSPIN INDIA LTD</t>
  </si>
  <si>
    <t>HUHTAMAKI PPL LIMITED</t>
  </si>
  <si>
    <t>PAPERPROD</t>
  </si>
  <si>
    <t>ORIENTAL BANK OF COMMERCE</t>
  </si>
  <si>
    <t>ORIENTBANK</t>
  </si>
  <si>
    <t>OPTO CIRCUITS (I) LTD.</t>
  </si>
  <si>
    <t>OPAL LUXURY TIME PROD LTD</t>
  </si>
  <si>
    <t>OPAL</t>
  </si>
  <si>
    <t>OM METALS INFRAPRO LTD</t>
  </si>
  <si>
    <t>OMMETALS</t>
  </si>
  <si>
    <t>OIL COUNTRY TUBULAR LTD</t>
  </si>
  <si>
    <t>NEL HOLDINGS LIMITED</t>
  </si>
  <si>
    <t>NITESHEST</t>
  </si>
  <si>
    <t>NIIT TECHNOLOGIES LTD</t>
  </si>
  <si>
    <t>NIITTECH</t>
  </si>
  <si>
    <t>NAGARJUNA OIL REFINERY</t>
  </si>
  <si>
    <t>NAGAROIL</t>
  </si>
  <si>
    <t>MVL LIMITED</t>
  </si>
  <si>
    <t>MVL</t>
  </si>
  <si>
    <t>MONSANTO INDIA LIMITED</t>
  </si>
  <si>
    <t>MONSANTO</t>
  </si>
  <si>
    <t>MINDPOOL TECHNOLOGIES LTD</t>
  </si>
  <si>
    <t>MINDPOOL</t>
  </si>
  <si>
    <t>MEGHMANI ORGANICS LTD.</t>
  </si>
  <si>
    <t>MEGH</t>
  </si>
  <si>
    <t>MADHYA BHARAT AGRO PROD L</t>
  </si>
  <si>
    <t>MAXINDIA</t>
  </si>
  <si>
    <t>MANPASAND BEVERAGES LTD.</t>
  </si>
  <si>
    <t>MANPASAND</t>
  </si>
  <si>
    <t>LIBAS DESIGNS LIMITED</t>
  </si>
  <si>
    <t>LAKSHMI VILAS BANK LTD</t>
  </si>
  <si>
    <t>LAKSHVILAS</t>
  </si>
  <si>
    <t>KWALITY LIMITED</t>
  </si>
  <si>
    <t>KWALITY</t>
  </si>
  <si>
    <t>KESAR TER &amp; INFRA LTD</t>
  </si>
  <si>
    <t>KTIL</t>
  </si>
  <si>
    <t>KSK ENERGY VENTURES LTD</t>
  </si>
  <si>
    <t>KSK</t>
  </si>
  <si>
    <t>KSS LIMITED</t>
  </si>
  <si>
    <t>KSERASERA</t>
  </si>
  <si>
    <t>JYOTHY LABS LTD</t>
  </si>
  <si>
    <t>JUBILANT LIFE SCIENCE LTD</t>
  </si>
  <si>
    <t>JUBILANT</t>
  </si>
  <si>
    <t>JBF INDUSTRIES LTD</t>
  </si>
  <si>
    <t>INTERNATIONALPAPERAPPMLTD</t>
  </si>
  <si>
    <t>IPAPPM</t>
  </si>
  <si>
    <t>INDIABULLS VENTURES LTD</t>
  </si>
  <si>
    <t>IBVENTURES</t>
  </si>
  <si>
    <t>IBVENTURES RS.1.10 PD UP</t>
  </si>
  <si>
    <t>E3</t>
  </si>
  <si>
    <t>INDIABULLS INTEGR SER LTD</t>
  </si>
  <si>
    <t>IBULISL</t>
  </si>
  <si>
    <t>HUSYS CONSULTING LTD.</t>
  </si>
  <si>
    <t>HUSYSLTD</t>
  </si>
  <si>
    <t>HOTEL LEELA VENTURES LTD</t>
  </si>
  <si>
    <t>HOTELEELA</t>
  </si>
  <si>
    <t>HONDA SIEL POWER PROD LTD</t>
  </si>
  <si>
    <t>HINDUJA VENTURES LIMITED</t>
  </si>
  <si>
    <t>HINDUJAVEN</t>
  </si>
  <si>
    <t>HIGH GROUND ENTP LTD</t>
  </si>
  <si>
    <t>HIGHGROUND</t>
  </si>
  <si>
    <t>HIMACHAL FUT COM LTD</t>
  </si>
  <si>
    <t>HEXAWARE TECHNOLOGIES LTD</t>
  </si>
  <si>
    <t>HEXAWARE</t>
  </si>
  <si>
    <t>HATSUN RE.0.8 PPD UP</t>
  </si>
  <si>
    <t>HARITA SEATING SYS. LTD</t>
  </si>
  <si>
    <t>HARITASEAT</t>
  </si>
  <si>
    <t>GUJARAT FLUOROCHEMICALS L</t>
  </si>
  <si>
    <t>GUJFLUORO</t>
  </si>
  <si>
    <t>GTN INDUSTRIES LIMITED</t>
  </si>
  <si>
    <t>GTNIND</t>
  </si>
  <si>
    <t>GLAXOSMITHKLINE CONSUMER</t>
  </si>
  <si>
    <t>GSKCONS</t>
  </si>
  <si>
    <t>GRUH FINANCE LTD.</t>
  </si>
  <si>
    <t>GRUH</t>
  </si>
  <si>
    <t>GLOBAL OFFSHORE SERV LTD</t>
  </si>
  <si>
    <t>GLOBOFFS</t>
  </si>
  <si>
    <t>GARDEN SILK MILLS LTD</t>
  </si>
  <si>
    <t>GARDENSILK</t>
  </si>
  <si>
    <t>FAIRCHEM SPECIALITY LTD</t>
  </si>
  <si>
    <t>FAIRCHEM</t>
  </si>
  <si>
    <t>EXCEL CROP CARE LTD</t>
  </si>
  <si>
    <t>EXCELCROP</t>
  </si>
  <si>
    <t>ESSEL PROPACK LTD</t>
  </si>
  <si>
    <t>ESSELPACK</t>
  </si>
  <si>
    <t>EON ELECTRIC LIMITED</t>
  </si>
  <si>
    <t>EON</t>
  </si>
  <si>
    <t>E-LAND APPAREL LIMITED</t>
  </si>
  <si>
    <t>ELAND</t>
  </si>
  <si>
    <t>DOLPHIN OFF. ENT IND LTD.</t>
  </si>
  <si>
    <t>DOLPHINOFF</t>
  </si>
  <si>
    <t>DIGJAM LIMITED</t>
  </si>
  <si>
    <t>DIGJAMLTD</t>
  </si>
  <si>
    <t>DEWAN HOUSING FIN CORP LT</t>
  </si>
  <si>
    <t>DELTA MAGNETS LIMITED</t>
  </si>
  <si>
    <t>DEEP INDUSTRIES LTD</t>
  </si>
  <si>
    <t>DEEPIND</t>
  </si>
  <si>
    <t>CUBEX TUBINGS LTD</t>
  </si>
  <si>
    <t>CORPORATION BANK</t>
  </si>
  <si>
    <t>CORPBANK</t>
  </si>
  <si>
    <t>CIL NOVA PETROCHEM LTD</t>
  </si>
  <si>
    <t>CNOVAPETRO</t>
  </si>
  <si>
    <t>COX &amp; KINGS FIN SERV LTD</t>
  </si>
  <si>
    <t>CKFSL</t>
  </si>
  <si>
    <t>CIMMCO LIMITED</t>
  </si>
  <si>
    <t>CIMMCO</t>
  </si>
  <si>
    <t>CESC VENTURES LIMITED</t>
  </si>
  <si>
    <t>CESCVENT</t>
  </si>
  <si>
    <t>CELESTIAL BIOLABS LTD</t>
  </si>
  <si>
    <t>CELESTIAL</t>
  </si>
  <si>
    <t>BSEL INFRASTRUCTURE REALT</t>
  </si>
  <si>
    <t>BSELINFRA</t>
  </si>
  <si>
    <t>BOROSIL GLASS WORKS LTD</t>
  </si>
  <si>
    <t>BOROSIL</t>
  </si>
  <si>
    <t>BANSAL MULTIFLEX LIMITED</t>
  </si>
  <si>
    <t>BANSAL</t>
  </si>
  <si>
    <t>AXISCADES ENGG TECH LTD</t>
  </si>
  <si>
    <t>AVSL INDUSTRIES LIMITED</t>
  </si>
  <si>
    <t>AVSL</t>
  </si>
  <si>
    <t>ASTRAL POLY TECH LTD</t>
  </si>
  <si>
    <t>ARROW TEXTILES LIMITED</t>
  </si>
  <si>
    <t>ARROWTEX</t>
  </si>
  <si>
    <t>ANDHRA BANK</t>
  </si>
  <si>
    <t>ANDHRABANK</t>
  </si>
  <si>
    <t>AMBANI ORGANICS LIMITED</t>
  </si>
  <si>
    <t>AMBANIORG</t>
  </si>
  <si>
    <t>ALOK INDUSTRIES LTD</t>
  </si>
  <si>
    <t>ALOKTEXT</t>
  </si>
  <si>
    <t>ALLAHABAD BANK</t>
  </si>
  <si>
    <t>ALBK</t>
  </si>
  <si>
    <t>MONNET ISPAT &amp; ENERGY LTD</t>
  </si>
  <si>
    <t>AIONJSW</t>
  </si>
  <si>
    <t>AHIMSA INDUSTRIES LTD.</t>
  </si>
  <si>
    <t>AHIMSA</t>
  </si>
  <si>
    <t>ARTEM GLOBAL LIFE SC LTD</t>
  </si>
  <si>
    <t>AGLSL</t>
  </si>
  <si>
    <t>ADLABS ENTERTAINMENT LTD.</t>
  </si>
  <si>
    <t>ADLABS</t>
  </si>
  <si>
    <t>ADHUNIK INDUSTRIES LTD</t>
  </si>
  <si>
    <t>ADHUNIKIND</t>
  </si>
  <si>
    <t>ADHUNIK METALIKS LTD.</t>
  </si>
  <si>
    <t>ADHUNIK</t>
  </si>
  <si>
    <t>ADANI GAS LIMITED</t>
  </si>
  <si>
    <t>ADANIGAS</t>
  </si>
  <si>
    <t>8K MILES SOFT SERV LTD</t>
  </si>
  <si>
    <t>8KMILES</t>
  </si>
  <si>
    <t>BHARTI INFRATEL LTD.</t>
  </si>
  <si>
    <t>INFRATEL</t>
  </si>
  <si>
    <t>Closing 190721</t>
  </si>
  <si>
    <t>Closing 190719</t>
  </si>
  <si>
    <t>CAGR 3 Yrs</t>
  </si>
  <si>
    <t>CAGR 5 Yrs</t>
  </si>
  <si>
    <t>3 Yrs CAGR %</t>
  </si>
  <si>
    <t>5 Yrs CAGR %</t>
  </si>
  <si>
    <t>Condition: Both 3 &amp; 5 Yrs CAGE % should be &gt;= 15%</t>
  </si>
  <si>
    <t>🕷</t>
  </si>
  <si>
    <t>Reg Ex Trial</t>
  </si>
  <si>
    <t xml:space="preserve">	🕸</t>
  </si>
  <si>
    <t xml:space="preserve">	</t>
  </si>
  <si>
    <t>abcd	cxfs</t>
  </si>
  <si>
    <t>Finding</t>
  </si>
  <si>
    <t>Replacing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</si>
</sst>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14" fontId="0" fillId="33" borderId="0" xfId="0" applyNumberFormat="1" applyFill="1"/>
    <xf numFmtId="166" fontId="0" fillId="0" borderId="0" xfId="1" applyNumberFormat="1" applyFont="1"/>
    <xf numFmtId="166" fontId="16" fillId="0" borderId="0" xfId="1" applyNumberFormat="1" applyFont="1"/>
    <xf numFmtId="2" fontId="0" fillId="0" borderId="0" xfId="1" applyNumberFormat="1" applyFont="1"/>
    <xf numFmtId="0" fontId="16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08B0-D11F-4796-AFFE-A4D8E5DB1650}">
  <sheetPr codeName="Sheet1"/>
  <dimension ref="A1:W2886"/>
  <sheetViews>
    <sheetView tabSelected="1" topLeftCell="J1" workbookViewId="0">
      <selection activeCell="U5" sqref="U5"/>
    </sheetView>
  </sheetViews>
  <sheetFormatPr defaultRowHeight="15" x14ac:dyDescent="0.25"/>
  <cols>
    <col min="3" max="3" width="15" bestFit="1" customWidth="1"/>
    <col min="4" max="4" width="30" bestFit="1" customWidth="1"/>
    <col min="5" max="5" width="11.42578125" bestFit="1" customWidth="1"/>
    <col min="6" max="6" width="11.85546875" bestFit="1" customWidth="1"/>
    <col min="7" max="7" width="11.28515625" bestFit="1" customWidth="1"/>
    <col min="8" max="8" width="10.85546875" bestFit="1" customWidth="1"/>
    <col min="9" max="9" width="12.28515625" style="1" bestFit="1" customWidth="1"/>
    <col min="10" max="10" width="12" bestFit="1" customWidth="1"/>
    <col min="11" max="11" width="12.140625" bestFit="1" customWidth="1"/>
    <col min="12" max="12" width="8.28515625" bestFit="1" customWidth="1"/>
    <col min="13" max="13" width="10" bestFit="1" customWidth="1"/>
    <col min="14" max="14" width="9" bestFit="1" customWidth="1"/>
    <col min="15" max="15" width="9.42578125" bestFit="1" customWidth="1"/>
    <col min="16" max="16" width="10" bestFit="1" customWidth="1"/>
    <col min="17" max="18" width="14.140625" style="1" bestFit="1" customWidth="1"/>
    <col min="19" max="20" width="14.28515625" style="3" bestFit="1" customWidth="1"/>
    <col min="21" max="21" width="28" bestFit="1" customWidth="1"/>
    <col min="22" max="23" width="12.28515625" style="3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22" x14ac:dyDescent="0.25">
      <c r="A2" t="s">
        <v>16</v>
      </c>
      <c r="B2" t="s">
        <v>17</v>
      </c>
      <c r="D2" t="s">
        <v>18</v>
      </c>
      <c r="E2">
        <v>24613</v>
      </c>
      <c r="F2">
        <v>24543.8</v>
      </c>
      <c r="G2">
        <v>24837.75</v>
      </c>
      <c r="H2">
        <v>24504.45</v>
      </c>
      <c r="I2" s="1">
        <v>24800.85</v>
      </c>
      <c r="J2">
        <v>1477812136979.2</v>
      </c>
      <c r="K2">
        <v>5267169676</v>
      </c>
      <c r="L2" t="s">
        <v>16</v>
      </c>
      <c r="M2" t="s">
        <v>17</v>
      </c>
      <c r="N2">
        <v>48274054</v>
      </c>
      <c r="O2">
        <v>24837.75</v>
      </c>
      <c r="P2">
        <v>18837.849999999999</v>
      </c>
    </row>
    <row r="3" spans="1:22" x14ac:dyDescent="0.25">
      <c r="A3" t="s">
        <v>16</v>
      </c>
      <c r="B3" t="s">
        <v>17</v>
      </c>
      <c r="D3" t="s">
        <v>19</v>
      </c>
      <c r="E3">
        <v>31226</v>
      </c>
      <c r="F3">
        <v>31141.35</v>
      </c>
      <c r="G3">
        <v>31482.35</v>
      </c>
      <c r="H3">
        <v>31054.1</v>
      </c>
      <c r="I3" s="1">
        <v>31447.45</v>
      </c>
      <c r="J3">
        <v>0</v>
      </c>
      <c r="K3">
        <v>0</v>
      </c>
      <c r="L3" t="s">
        <v>16</v>
      </c>
      <c r="M3" t="s">
        <v>17</v>
      </c>
      <c r="N3">
        <v>0</v>
      </c>
      <c r="O3">
        <v>0</v>
      </c>
      <c r="P3">
        <v>0</v>
      </c>
    </row>
    <row r="4" spans="1:22" x14ac:dyDescent="0.25">
      <c r="A4" t="s">
        <v>16</v>
      </c>
      <c r="B4" t="s">
        <v>17</v>
      </c>
      <c r="D4" t="s">
        <v>20</v>
      </c>
      <c r="E4">
        <v>33705.65</v>
      </c>
      <c r="F4">
        <v>33648.449999999997</v>
      </c>
      <c r="G4">
        <v>33743.4</v>
      </c>
      <c r="H4">
        <v>33384.699999999997</v>
      </c>
      <c r="I4" s="1">
        <v>33724.85</v>
      </c>
      <c r="J4">
        <v>0</v>
      </c>
      <c r="K4">
        <v>0</v>
      </c>
      <c r="L4" t="s">
        <v>16</v>
      </c>
      <c r="M4" t="s">
        <v>17</v>
      </c>
      <c r="N4">
        <v>0</v>
      </c>
      <c r="O4">
        <v>0</v>
      </c>
      <c r="P4">
        <v>0</v>
      </c>
      <c r="S4" s="4" t="s">
        <v>6836</v>
      </c>
      <c r="T4" s="4" t="s">
        <v>6840</v>
      </c>
      <c r="U4" s="6" t="s">
        <v>6841</v>
      </c>
    </row>
    <row r="5" spans="1:22" x14ac:dyDescent="0.25">
      <c r="A5" t="s">
        <v>16</v>
      </c>
      <c r="B5" t="s">
        <v>17</v>
      </c>
      <c r="D5" t="s">
        <v>21</v>
      </c>
      <c r="E5">
        <v>19792.849999999999</v>
      </c>
      <c r="F5">
        <v>19718.099999999999</v>
      </c>
      <c r="G5">
        <v>19955.400000000001</v>
      </c>
      <c r="H5">
        <v>19706.55</v>
      </c>
      <c r="I5" s="1">
        <v>19944.3</v>
      </c>
      <c r="J5">
        <v>0</v>
      </c>
      <c r="K5">
        <v>0</v>
      </c>
      <c r="L5" t="s">
        <v>16</v>
      </c>
      <c r="M5" t="s">
        <v>17</v>
      </c>
      <c r="N5">
        <v>0</v>
      </c>
      <c r="O5">
        <v>0</v>
      </c>
      <c r="P5">
        <v>0</v>
      </c>
      <c r="S5" s="3" t="s">
        <v>6835</v>
      </c>
      <c r="T5" s="3" t="b" cm="1">
        <f t="array" ref="T5:T8">IF(REGEXFINDM2(S5:S8,"^\W")&lt;&gt;"",TRUE,FALSE)</f>
        <v>0</v>
      </c>
      <c r="U5" t="str" cm="1">
        <f t="array" ref="U5:U8">REGEXREPLM(S5:S8,"\W","*")</f>
        <v>*</v>
      </c>
    </row>
    <row r="6" spans="1:22" x14ac:dyDescent="0.25">
      <c r="A6" t="s">
        <v>16</v>
      </c>
      <c r="B6" t="s">
        <v>17</v>
      </c>
      <c r="D6" t="s">
        <v>22</v>
      </c>
      <c r="E6">
        <v>59564.65</v>
      </c>
      <c r="F6">
        <v>59539.55</v>
      </c>
      <c r="G6">
        <v>59554.25</v>
      </c>
      <c r="H6">
        <v>57909.1</v>
      </c>
      <c r="I6" s="1">
        <v>58161.2</v>
      </c>
      <c r="J6">
        <v>0</v>
      </c>
      <c r="K6">
        <v>0</v>
      </c>
      <c r="L6" t="s">
        <v>16</v>
      </c>
      <c r="M6" t="s">
        <v>17</v>
      </c>
      <c r="N6">
        <v>0</v>
      </c>
      <c r="O6">
        <v>0</v>
      </c>
      <c r="P6">
        <v>0</v>
      </c>
      <c r="S6" s="3" t="s">
        <v>6837</v>
      </c>
      <c r="T6" s="3" t="b">
        <v>1</v>
      </c>
      <c r="U6" t="str">
        <v>**</v>
      </c>
    </row>
    <row r="7" spans="1:22" x14ac:dyDescent="0.25">
      <c r="A7" t="s">
        <v>16</v>
      </c>
      <c r="B7" t="s">
        <v>17</v>
      </c>
      <c r="D7" t="s">
        <v>23</v>
      </c>
      <c r="E7">
        <v>21456.5</v>
      </c>
      <c r="F7">
        <v>21452.95</v>
      </c>
      <c r="G7">
        <v>21456.95</v>
      </c>
      <c r="H7">
        <v>21135.85</v>
      </c>
      <c r="I7" s="1">
        <v>21255.599999999999</v>
      </c>
      <c r="J7">
        <v>0</v>
      </c>
      <c r="K7">
        <v>0</v>
      </c>
      <c r="L7" t="s">
        <v>16</v>
      </c>
      <c r="M7" t="s">
        <v>17</v>
      </c>
      <c r="N7">
        <v>0</v>
      </c>
      <c r="O7">
        <v>21554.45</v>
      </c>
      <c r="P7">
        <v>13742.75</v>
      </c>
      <c r="S7" s="3" t="s">
        <v>6838</v>
      </c>
      <c r="T7" s="3" t="b">
        <v>1</v>
      </c>
      <c r="U7" t="str">
        <v>*</v>
      </c>
      <c r="V7" s="3" t="s">
        <v>6838</v>
      </c>
    </row>
    <row r="8" spans="1:22" x14ac:dyDescent="0.25">
      <c r="A8" t="s">
        <v>16</v>
      </c>
      <c r="B8" t="s">
        <v>17</v>
      </c>
      <c r="D8" t="s">
        <v>24</v>
      </c>
      <c r="E8">
        <v>8831.65</v>
      </c>
      <c r="F8">
        <v>8850.7000000000007</v>
      </c>
      <c r="G8">
        <v>8852.2000000000007</v>
      </c>
      <c r="H8">
        <v>8698.85</v>
      </c>
      <c r="I8" s="1">
        <v>8756.4</v>
      </c>
      <c r="J8">
        <v>0</v>
      </c>
      <c r="K8">
        <v>0</v>
      </c>
      <c r="L8" t="s">
        <v>16</v>
      </c>
      <c r="M8" t="s">
        <v>17</v>
      </c>
      <c r="N8">
        <v>0</v>
      </c>
      <c r="O8">
        <v>8882.2999999999993</v>
      </c>
      <c r="P8">
        <v>5133.3</v>
      </c>
      <c r="S8" s="3" t="s">
        <v>6839</v>
      </c>
      <c r="T8" s="3" t="b">
        <v>0</v>
      </c>
      <c r="U8" t="str">
        <v>abcd*cxfs</v>
      </c>
    </row>
    <row r="9" spans="1:22" x14ac:dyDescent="0.25">
      <c r="A9" t="s">
        <v>16</v>
      </c>
      <c r="B9" t="s">
        <v>17</v>
      </c>
      <c r="D9" t="s">
        <v>25</v>
      </c>
      <c r="E9">
        <v>17774.900000000001</v>
      </c>
      <c r="F9">
        <v>17789.75</v>
      </c>
      <c r="G9">
        <v>17812</v>
      </c>
      <c r="H9">
        <v>17488</v>
      </c>
      <c r="I9" s="1">
        <v>17577.650000000001</v>
      </c>
      <c r="J9">
        <v>0</v>
      </c>
      <c r="K9">
        <v>0</v>
      </c>
      <c r="L9" t="s">
        <v>16</v>
      </c>
      <c r="M9" t="s">
        <v>17</v>
      </c>
      <c r="N9">
        <v>0</v>
      </c>
      <c r="O9">
        <v>17885.75</v>
      </c>
      <c r="P9">
        <v>11050.45</v>
      </c>
    </row>
    <row r="10" spans="1:22" x14ac:dyDescent="0.25">
      <c r="A10" t="s">
        <v>16</v>
      </c>
      <c r="B10" t="s">
        <v>17</v>
      </c>
      <c r="D10" t="s">
        <v>26</v>
      </c>
      <c r="E10">
        <v>20176.3</v>
      </c>
      <c r="F10">
        <v>20180.2</v>
      </c>
      <c r="G10">
        <v>20188.599999999999</v>
      </c>
      <c r="H10">
        <v>19876.25</v>
      </c>
      <c r="I10" s="1">
        <v>19974.900000000001</v>
      </c>
      <c r="J10">
        <v>0</v>
      </c>
      <c r="K10">
        <v>0</v>
      </c>
      <c r="L10" t="s">
        <v>16</v>
      </c>
      <c r="M10" t="s">
        <v>17</v>
      </c>
      <c r="N10">
        <v>0</v>
      </c>
      <c r="O10">
        <v>20280.150000000001</v>
      </c>
      <c r="P10">
        <v>12788.95</v>
      </c>
      <c r="S10" s="5"/>
    </row>
    <row r="11" spans="1:22" x14ac:dyDescent="0.25">
      <c r="A11" t="s">
        <v>16</v>
      </c>
      <c r="B11" t="s">
        <v>17</v>
      </c>
      <c r="D11" t="s">
        <v>27</v>
      </c>
      <c r="E11">
        <v>21875.200000000001</v>
      </c>
      <c r="F11">
        <v>21795</v>
      </c>
      <c r="G11">
        <v>21913.9</v>
      </c>
      <c r="H11">
        <v>21682.05</v>
      </c>
      <c r="I11" s="1">
        <v>21901</v>
      </c>
      <c r="J11">
        <v>0</v>
      </c>
      <c r="K11">
        <v>0</v>
      </c>
      <c r="L11" t="s">
        <v>16</v>
      </c>
      <c r="M11" t="s">
        <v>17</v>
      </c>
      <c r="N11">
        <v>0</v>
      </c>
      <c r="O11">
        <v>0</v>
      </c>
      <c r="P11">
        <v>0</v>
      </c>
    </row>
    <row r="12" spans="1:22" x14ac:dyDescent="0.25">
      <c r="A12" t="s">
        <v>16</v>
      </c>
      <c r="B12" t="s">
        <v>17</v>
      </c>
      <c r="D12" t="s">
        <v>28</v>
      </c>
      <c r="E12">
        <v>25896.95</v>
      </c>
      <c r="F12">
        <v>25819.599999999999</v>
      </c>
      <c r="G12">
        <v>26127.35</v>
      </c>
      <c r="H12">
        <v>25765.5</v>
      </c>
      <c r="I12" s="1">
        <v>26086.2</v>
      </c>
      <c r="J12">
        <v>0</v>
      </c>
      <c r="K12">
        <v>0</v>
      </c>
      <c r="L12" t="s">
        <v>16</v>
      </c>
      <c r="M12" t="s">
        <v>17</v>
      </c>
      <c r="N12">
        <v>0</v>
      </c>
      <c r="O12">
        <v>0</v>
      </c>
      <c r="P12">
        <v>0</v>
      </c>
    </row>
    <row r="13" spans="1:22" x14ac:dyDescent="0.25">
      <c r="A13" t="s">
        <v>16</v>
      </c>
      <c r="B13" t="s">
        <v>17</v>
      </c>
      <c r="D13" t="s">
        <v>29</v>
      </c>
      <c r="E13">
        <v>29164.95</v>
      </c>
      <c r="F13">
        <v>29126</v>
      </c>
      <c r="G13">
        <v>29229.75</v>
      </c>
      <c r="H13">
        <v>28897.3</v>
      </c>
      <c r="I13" s="1">
        <v>29210.5</v>
      </c>
      <c r="J13">
        <v>0</v>
      </c>
      <c r="K13">
        <v>0</v>
      </c>
      <c r="L13" t="s">
        <v>16</v>
      </c>
      <c r="M13" t="s">
        <v>17</v>
      </c>
      <c r="N13">
        <v>0</v>
      </c>
      <c r="O13">
        <v>0</v>
      </c>
      <c r="P13">
        <v>0</v>
      </c>
    </row>
    <row r="14" spans="1:22" x14ac:dyDescent="0.25">
      <c r="A14" t="s">
        <v>16</v>
      </c>
      <c r="B14" t="s">
        <v>17</v>
      </c>
      <c r="D14" t="s">
        <v>30</v>
      </c>
      <c r="E14">
        <v>36409.449999999997</v>
      </c>
      <c r="F14">
        <v>36418.6</v>
      </c>
      <c r="G14">
        <v>36441.5</v>
      </c>
      <c r="H14">
        <v>35524.9</v>
      </c>
      <c r="I14" s="1">
        <v>35828.15</v>
      </c>
      <c r="J14">
        <v>0</v>
      </c>
      <c r="K14">
        <v>0</v>
      </c>
      <c r="L14" t="s">
        <v>16</v>
      </c>
      <c r="M14" t="s">
        <v>17</v>
      </c>
      <c r="N14">
        <v>0</v>
      </c>
      <c r="O14">
        <v>0</v>
      </c>
      <c r="P14">
        <v>0</v>
      </c>
    </row>
    <row r="15" spans="1:22" x14ac:dyDescent="0.25">
      <c r="A15" t="s">
        <v>16</v>
      </c>
      <c r="B15" t="s">
        <v>17</v>
      </c>
      <c r="D15" t="s">
        <v>31</v>
      </c>
      <c r="E15">
        <v>4090.55</v>
      </c>
      <c r="F15">
        <v>4079.75</v>
      </c>
      <c r="G15">
        <v>4118.05</v>
      </c>
      <c r="H15">
        <v>4065.25</v>
      </c>
      <c r="I15" s="1">
        <v>4112.7</v>
      </c>
      <c r="J15">
        <v>0</v>
      </c>
      <c r="K15">
        <v>0</v>
      </c>
      <c r="L15" t="s">
        <v>16</v>
      </c>
      <c r="M15" t="s">
        <v>17</v>
      </c>
      <c r="N15">
        <v>0</v>
      </c>
      <c r="O15">
        <v>0</v>
      </c>
      <c r="P15">
        <v>0</v>
      </c>
    </row>
    <row r="16" spans="1:22" x14ac:dyDescent="0.25">
      <c r="A16" t="s">
        <v>16</v>
      </c>
      <c r="B16" t="s">
        <v>17</v>
      </c>
      <c r="D16" t="s">
        <v>6448</v>
      </c>
      <c r="E16">
        <v>4904.3500000000004</v>
      </c>
      <c r="F16">
        <v>4889.3500000000004</v>
      </c>
      <c r="G16">
        <v>4937.6499999999996</v>
      </c>
      <c r="H16">
        <v>4877.2</v>
      </c>
      <c r="I16" s="1">
        <v>4933.2</v>
      </c>
      <c r="J16">
        <v>0</v>
      </c>
      <c r="K16">
        <v>0</v>
      </c>
      <c r="L16" t="s">
        <v>16</v>
      </c>
      <c r="M16" t="s">
        <v>17</v>
      </c>
      <c r="N16">
        <v>0</v>
      </c>
      <c r="O16">
        <v>0</v>
      </c>
      <c r="P16">
        <v>0</v>
      </c>
    </row>
    <row r="17" spans="1:16" x14ac:dyDescent="0.25">
      <c r="A17" t="s">
        <v>16</v>
      </c>
      <c r="B17" t="s">
        <v>17</v>
      </c>
      <c r="D17" t="s">
        <v>6447</v>
      </c>
      <c r="E17">
        <v>24985.65</v>
      </c>
      <c r="F17">
        <v>25007.8</v>
      </c>
      <c r="G17">
        <v>25067.95</v>
      </c>
      <c r="H17">
        <v>24786.25</v>
      </c>
      <c r="I17" s="1">
        <v>24866.799999999999</v>
      </c>
      <c r="J17">
        <v>0</v>
      </c>
      <c r="K17">
        <v>0</v>
      </c>
      <c r="L17" t="s">
        <v>16</v>
      </c>
      <c r="M17" t="s">
        <v>17</v>
      </c>
      <c r="N17">
        <v>0</v>
      </c>
      <c r="O17">
        <v>0</v>
      </c>
      <c r="P17">
        <v>0</v>
      </c>
    </row>
    <row r="18" spans="1:16" x14ac:dyDescent="0.25">
      <c r="A18" t="s">
        <v>16</v>
      </c>
      <c r="B18" t="s">
        <v>17</v>
      </c>
      <c r="D18" t="s">
        <v>6446</v>
      </c>
      <c r="E18">
        <v>14886.7</v>
      </c>
      <c r="F18">
        <v>14875.15</v>
      </c>
      <c r="G18">
        <v>14886.85</v>
      </c>
      <c r="H18">
        <v>14649.45</v>
      </c>
      <c r="I18" s="1">
        <v>14782.75</v>
      </c>
      <c r="J18">
        <v>0</v>
      </c>
      <c r="K18">
        <v>0</v>
      </c>
      <c r="L18" t="s">
        <v>16</v>
      </c>
      <c r="M18" t="s">
        <v>17</v>
      </c>
      <c r="N18">
        <v>0</v>
      </c>
      <c r="O18">
        <v>0</v>
      </c>
      <c r="P18">
        <v>0</v>
      </c>
    </row>
    <row r="19" spans="1:16" x14ac:dyDescent="0.25">
      <c r="A19" t="s">
        <v>16</v>
      </c>
      <c r="B19" t="s">
        <v>17</v>
      </c>
      <c r="D19" t="s">
        <v>6445</v>
      </c>
      <c r="E19">
        <v>28671.65</v>
      </c>
      <c r="F19">
        <v>28641.25</v>
      </c>
      <c r="G19">
        <v>28656.799999999999</v>
      </c>
      <c r="H19">
        <v>27929.9</v>
      </c>
      <c r="I19" s="1">
        <v>28132.3</v>
      </c>
      <c r="J19">
        <v>0</v>
      </c>
      <c r="K19">
        <v>0</v>
      </c>
      <c r="L19" t="s">
        <v>16</v>
      </c>
      <c r="M19" t="s">
        <v>17</v>
      </c>
      <c r="N19">
        <v>0</v>
      </c>
      <c r="O19">
        <v>0</v>
      </c>
      <c r="P19">
        <v>0</v>
      </c>
    </row>
    <row r="20" spans="1:16" x14ac:dyDescent="0.25">
      <c r="A20" t="s">
        <v>16</v>
      </c>
      <c r="B20" t="s">
        <v>17</v>
      </c>
      <c r="D20" t="s">
        <v>6444</v>
      </c>
      <c r="E20">
        <v>65675.649999999994</v>
      </c>
      <c r="F20">
        <v>65642.75</v>
      </c>
      <c r="G20">
        <v>65692.100000000006</v>
      </c>
      <c r="H20">
        <v>64111.75</v>
      </c>
      <c r="I20" s="1">
        <v>64449.1</v>
      </c>
      <c r="J20">
        <v>0</v>
      </c>
      <c r="K20">
        <v>0</v>
      </c>
      <c r="L20" t="s">
        <v>16</v>
      </c>
      <c r="M20" t="s">
        <v>17</v>
      </c>
      <c r="N20">
        <v>0</v>
      </c>
      <c r="O20">
        <v>0</v>
      </c>
      <c r="P20">
        <v>0</v>
      </c>
    </row>
    <row r="21" spans="1:16" x14ac:dyDescent="0.25">
      <c r="A21" t="s">
        <v>16</v>
      </c>
      <c r="B21" t="s">
        <v>17</v>
      </c>
      <c r="D21" t="s">
        <v>32</v>
      </c>
      <c r="E21">
        <v>39141.5</v>
      </c>
      <c r="F21">
        <v>39010.35</v>
      </c>
      <c r="G21">
        <v>40075.699999999997</v>
      </c>
      <c r="H21">
        <v>39010.35</v>
      </c>
      <c r="I21" s="1">
        <v>40010.400000000001</v>
      </c>
      <c r="J21">
        <v>0</v>
      </c>
      <c r="K21">
        <v>0</v>
      </c>
      <c r="L21" t="s">
        <v>16</v>
      </c>
      <c r="M21" t="s">
        <v>17</v>
      </c>
      <c r="N21">
        <v>0</v>
      </c>
      <c r="O21">
        <v>40075.699999999997</v>
      </c>
      <c r="P21">
        <v>29339.35</v>
      </c>
    </row>
    <row r="22" spans="1:16" x14ac:dyDescent="0.25">
      <c r="A22" t="s">
        <v>16</v>
      </c>
      <c r="B22" t="s">
        <v>17</v>
      </c>
      <c r="D22" t="s">
        <v>33</v>
      </c>
      <c r="E22">
        <v>73921.7</v>
      </c>
      <c r="F22">
        <v>73906.25</v>
      </c>
      <c r="G22">
        <v>73943.350000000006</v>
      </c>
      <c r="H22">
        <v>72648.05</v>
      </c>
      <c r="I22" s="1">
        <v>73112.5</v>
      </c>
      <c r="J22">
        <v>0</v>
      </c>
      <c r="K22">
        <v>0</v>
      </c>
      <c r="L22" t="s">
        <v>16</v>
      </c>
      <c r="M22" t="s">
        <v>17</v>
      </c>
      <c r="N22">
        <v>0</v>
      </c>
      <c r="O22">
        <v>74715.600000000006</v>
      </c>
      <c r="P22">
        <v>42539.15</v>
      </c>
    </row>
    <row r="23" spans="1:16" x14ac:dyDescent="0.25">
      <c r="A23" t="s">
        <v>16</v>
      </c>
      <c r="B23" t="s">
        <v>17</v>
      </c>
      <c r="D23" t="s">
        <v>34</v>
      </c>
      <c r="E23">
        <v>52396.800000000003</v>
      </c>
      <c r="F23">
        <v>52215.05</v>
      </c>
      <c r="G23">
        <v>52782.75</v>
      </c>
      <c r="H23">
        <v>52168.65</v>
      </c>
      <c r="I23" s="1">
        <v>52620.7</v>
      </c>
      <c r="J23">
        <v>0</v>
      </c>
      <c r="K23">
        <v>0</v>
      </c>
      <c r="L23" t="s">
        <v>16</v>
      </c>
      <c r="M23" t="s">
        <v>17</v>
      </c>
      <c r="N23">
        <v>0</v>
      </c>
      <c r="O23">
        <v>53357.7</v>
      </c>
      <c r="P23">
        <v>42105.4</v>
      </c>
    </row>
    <row r="24" spans="1:16" x14ac:dyDescent="0.25">
      <c r="A24" t="s">
        <v>16</v>
      </c>
      <c r="B24" t="s">
        <v>17</v>
      </c>
      <c r="D24" t="s">
        <v>35</v>
      </c>
      <c r="E24">
        <v>57664</v>
      </c>
      <c r="F24">
        <v>57618.3</v>
      </c>
      <c r="G24">
        <v>57629.75</v>
      </c>
      <c r="H24">
        <v>56693.95</v>
      </c>
      <c r="I24" s="1">
        <v>57111.1</v>
      </c>
      <c r="J24">
        <v>0</v>
      </c>
      <c r="K24">
        <v>0</v>
      </c>
      <c r="L24" t="s">
        <v>16</v>
      </c>
      <c r="M24" t="s">
        <v>17</v>
      </c>
      <c r="N24">
        <v>0</v>
      </c>
      <c r="O24">
        <v>57909.85</v>
      </c>
      <c r="P24">
        <v>36655.25</v>
      </c>
    </row>
    <row r="25" spans="1:16" x14ac:dyDescent="0.25">
      <c r="A25" t="s">
        <v>16</v>
      </c>
      <c r="B25" t="s">
        <v>17</v>
      </c>
      <c r="D25" t="s">
        <v>36</v>
      </c>
      <c r="E25">
        <v>23204.25</v>
      </c>
      <c r="F25">
        <v>23167.65</v>
      </c>
      <c r="G25">
        <v>23233.85</v>
      </c>
      <c r="H25">
        <v>22993.55</v>
      </c>
      <c r="I25" s="1">
        <v>23210.05</v>
      </c>
      <c r="J25">
        <v>0</v>
      </c>
      <c r="K25">
        <v>0</v>
      </c>
      <c r="L25" t="s">
        <v>16</v>
      </c>
      <c r="M25" t="s">
        <v>17</v>
      </c>
      <c r="N25">
        <v>0</v>
      </c>
      <c r="O25">
        <v>23288.05</v>
      </c>
      <c r="P25">
        <v>16466.25</v>
      </c>
    </row>
    <row r="26" spans="1:16" x14ac:dyDescent="0.25">
      <c r="A26" t="s">
        <v>16</v>
      </c>
      <c r="B26" t="s">
        <v>17</v>
      </c>
      <c r="D26" t="s">
        <v>37</v>
      </c>
      <c r="E26">
        <v>25679.1</v>
      </c>
      <c r="F26">
        <v>25621.45</v>
      </c>
      <c r="G26">
        <v>25812.7</v>
      </c>
      <c r="H26">
        <v>25501.599999999999</v>
      </c>
      <c r="I26" s="1">
        <v>25784.799999999999</v>
      </c>
      <c r="J26">
        <v>0</v>
      </c>
      <c r="K26">
        <v>0</v>
      </c>
      <c r="L26" t="s">
        <v>16</v>
      </c>
      <c r="M26" t="s">
        <v>17</v>
      </c>
      <c r="N26">
        <v>0</v>
      </c>
      <c r="O26">
        <v>25812.7</v>
      </c>
      <c r="P26">
        <v>18743.3</v>
      </c>
    </row>
    <row r="27" spans="1:16" x14ac:dyDescent="0.25">
      <c r="A27" t="s">
        <v>16</v>
      </c>
      <c r="B27" t="s">
        <v>17</v>
      </c>
      <c r="D27" t="s">
        <v>38</v>
      </c>
      <c r="E27">
        <v>16104.6</v>
      </c>
      <c r="F27">
        <v>16091.6</v>
      </c>
      <c r="G27">
        <v>16092.9</v>
      </c>
      <c r="H27">
        <v>15875.55</v>
      </c>
      <c r="I27" s="1">
        <v>16002.75</v>
      </c>
      <c r="J27">
        <v>0</v>
      </c>
      <c r="K27">
        <v>0</v>
      </c>
      <c r="L27" t="s">
        <v>16</v>
      </c>
      <c r="M27" t="s">
        <v>17</v>
      </c>
      <c r="N27">
        <v>0</v>
      </c>
      <c r="O27">
        <v>16177.45</v>
      </c>
      <c r="P27">
        <v>10411.950000000001</v>
      </c>
    </row>
    <row r="28" spans="1:16" x14ac:dyDescent="0.25">
      <c r="A28" t="s">
        <v>16</v>
      </c>
      <c r="B28" t="s">
        <v>17</v>
      </c>
      <c r="D28" t="s">
        <v>39</v>
      </c>
      <c r="E28">
        <v>1126.25</v>
      </c>
      <c r="F28">
        <v>1125.5999999999999</v>
      </c>
      <c r="G28">
        <v>1129.3499999999999</v>
      </c>
      <c r="H28">
        <v>1105.1500000000001</v>
      </c>
      <c r="I28" s="1">
        <v>1122.7</v>
      </c>
      <c r="J28">
        <v>0</v>
      </c>
      <c r="K28">
        <v>0</v>
      </c>
      <c r="L28" t="s">
        <v>16</v>
      </c>
      <c r="M28" t="s">
        <v>17</v>
      </c>
      <c r="N28">
        <v>0</v>
      </c>
      <c r="O28">
        <v>1157.3499999999999</v>
      </c>
      <c r="P28">
        <v>520.79999999999995</v>
      </c>
    </row>
    <row r="29" spans="1:16" x14ac:dyDescent="0.25">
      <c r="A29" t="s">
        <v>16</v>
      </c>
      <c r="B29" t="s">
        <v>17</v>
      </c>
      <c r="D29" t="s">
        <v>40</v>
      </c>
      <c r="E29">
        <v>9330.7999999999993</v>
      </c>
      <c r="F29">
        <v>9334.4</v>
      </c>
      <c r="G29">
        <v>9354</v>
      </c>
      <c r="H29">
        <v>9234.9500000000007</v>
      </c>
      <c r="I29" s="1">
        <v>9340.6</v>
      </c>
      <c r="J29">
        <v>0</v>
      </c>
      <c r="K29">
        <v>0</v>
      </c>
      <c r="L29" t="s">
        <v>16</v>
      </c>
      <c r="M29" t="s">
        <v>17</v>
      </c>
      <c r="N29">
        <v>0</v>
      </c>
      <c r="O29">
        <v>9386.65</v>
      </c>
      <c r="P29">
        <v>5916.85</v>
      </c>
    </row>
    <row r="30" spans="1:16" x14ac:dyDescent="0.25">
      <c r="A30" t="s">
        <v>16</v>
      </c>
      <c r="B30" t="s">
        <v>17</v>
      </c>
      <c r="D30" t="s">
        <v>41</v>
      </c>
      <c r="E30">
        <v>43204.3</v>
      </c>
      <c r="F30">
        <v>43328.55</v>
      </c>
      <c r="G30">
        <v>43365.45</v>
      </c>
      <c r="H30">
        <v>42734.85</v>
      </c>
      <c r="I30" s="1">
        <v>43236.65</v>
      </c>
      <c r="J30">
        <v>0</v>
      </c>
      <c r="K30">
        <v>0</v>
      </c>
      <c r="L30" t="s">
        <v>16</v>
      </c>
      <c r="M30" t="s">
        <v>17</v>
      </c>
      <c r="N30">
        <v>0</v>
      </c>
      <c r="O30">
        <v>43656.55</v>
      </c>
      <c r="P30">
        <v>25623.75</v>
      </c>
    </row>
    <row r="31" spans="1:16" x14ac:dyDescent="0.25">
      <c r="A31" t="s">
        <v>16</v>
      </c>
      <c r="B31" t="s">
        <v>17</v>
      </c>
      <c r="D31" t="s">
        <v>42</v>
      </c>
      <c r="E31">
        <v>60645.15</v>
      </c>
      <c r="F31">
        <v>60482.45</v>
      </c>
      <c r="G31">
        <v>61281.4</v>
      </c>
      <c r="H31">
        <v>60416.25</v>
      </c>
      <c r="I31" s="1">
        <v>61225.35</v>
      </c>
      <c r="J31">
        <v>0</v>
      </c>
      <c r="K31">
        <v>0</v>
      </c>
      <c r="L31" t="s">
        <v>16</v>
      </c>
      <c r="M31" t="s">
        <v>17</v>
      </c>
      <c r="N31">
        <v>0</v>
      </c>
      <c r="O31">
        <v>61281.4</v>
      </c>
      <c r="P31">
        <v>50607</v>
      </c>
    </row>
    <row r="32" spans="1:16" x14ac:dyDescent="0.25">
      <c r="A32" t="s">
        <v>16</v>
      </c>
      <c r="B32" t="s">
        <v>17</v>
      </c>
      <c r="D32" t="s">
        <v>43</v>
      </c>
      <c r="E32">
        <v>31138.9</v>
      </c>
      <c r="F32">
        <v>31137.7</v>
      </c>
      <c r="G32">
        <v>31149</v>
      </c>
      <c r="H32">
        <v>30794.9</v>
      </c>
      <c r="I32" s="1">
        <v>30980.65</v>
      </c>
      <c r="J32">
        <v>0</v>
      </c>
      <c r="K32">
        <v>0</v>
      </c>
      <c r="L32" t="s">
        <v>16</v>
      </c>
      <c r="M32" t="s">
        <v>17</v>
      </c>
      <c r="N32">
        <v>0</v>
      </c>
      <c r="O32">
        <v>31322.9</v>
      </c>
      <c r="P32">
        <v>21432.25</v>
      </c>
    </row>
    <row r="33" spans="1:16" x14ac:dyDescent="0.25">
      <c r="A33" t="s">
        <v>16</v>
      </c>
      <c r="B33" t="s">
        <v>17</v>
      </c>
      <c r="D33" t="s">
        <v>44</v>
      </c>
      <c r="E33">
        <v>20765.45</v>
      </c>
      <c r="F33">
        <v>20737</v>
      </c>
      <c r="G33">
        <v>20805.25</v>
      </c>
      <c r="H33">
        <v>20563.7</v>
      </c>
      <c r="I33" s="1">
        <v>20768.349999999999</v>
      </c>
      <c r="J33">
        <v>0</v>
      </c>
      <c r="K33">
        <v>0</v>
      </c>
      <c r="L33" t="s">
        <v>16</v>
      </c>
      <c r="M33" t="s">
        <v>17</v>
      </c>
      <c r="N33">
        <v>0</v>
      </c>
      <c r="O33">
        <v>20960.3</v>
      </c>
      <c r="P33">
        <v>14229.85</v>
      </c>
    </row>
    <row r="34" spans="1:16" x14ac:dyDescent="0.25">
      <c r="A34" t="s">
        <v>16</v>
      </c>
      <c r="B34" t="s">
        <v>17</v>
      </c>
      <c r="D34" t="s">
        <v>45</v>
      </c>
      <c r="E34">
        <v>11445.55</v>
      </c>
      <c r="F34">
        <v>11471.45</v>
      </c>
      <c r="G34">
        <v>11475.1</v>
      </c>
      <c r="H34">
        <v>11202.05</v>
      </c>
      <c r="I34" s="1">
        <v>11288.65</v>
      </c>
      <c r="J34">
        <v>0</v>
      </c>
      <c r="K34">
        <v>0</v>
      </c>
      <c r="L34" t="s">
        <v>16</v>
      </c>
      <c r="M34" t="s">
        <v>17</v>
      </c>
      <c r="N34">
        <v>0</v>
      </c>
      <c r="O34">
        <v>11592.2</v>
      </c>
      <c r="P34">
        <v>5179.1000000000004</v>
      </c>
    </row>
    <row r="35" spans="1:16" x14ac:dyDescent="0.25">
      <c r="A35" t="s">
        <v>16</v>
      </c>
      <c r="B35" t="s">
        <v>17</v>
      </c>
      <c r="D35" t="s">
        <v>46</v>
      </c>
      <c r="E35">
        <v>7405.5</v>
      </c>
      <c r="F35">
        <v>7408.4</v>
      </c>
      <c r="G35">
        <v>7493.8</v>
      </c>
      <c r="H35">
        <v>7339.7</v>
      </c>
      <c r="I35" s="1">
        <v>7407.25</v>
      </c>
      <c r="J35">
        <v>0</v>
      </c>
      <c r="K35">
        <v>0</v>
      </c>
      <c r="L35" t="s">
        <v>16</v>
      </c>
      <c r="M35" t="s">
        <v>17</v>
      </c>
      <c r="N35">
        <v>0</v>
      </c>
      <c r="O35">
        <v>8053.3</v>
      </c>
      <c r="P35">
        <v>4385.1499999999996</v>
      </c>
    </row>
    <row r="36" spans="1:16" x14ac:dyDescent="0.25">
      <c r="A36" t="s">
        <v>16</v>
      </c>
      <c r="B36" t="s">
        <v>17</v>
      </c>
      <c r="D36" t="s">
        <v>47</v>
      </c>
      <c r="E36">
        <v>31125</v>
      </c>
      <c r="F36">
        <v>31028</v>
      </c>
      <c r="G36">
        <v>31444.1</v>
      </c>
      <c r="H36">
        <v>31021.45</v>
      </c>
      <c r="I36" s="1">
        <v>31390</v>
      </c>
      <c r="J36">
        <v>0</v>
      </c>
      <c r="K36">
        <v>0</v>
      </c>
      <c r="L36" t="s">
        <v>16</v>
      </c>
      <c r="M36" t="s">
        <v>17</v>
      </c>
      <c r="N36">
        <v>0</v>
      </c>
      <c r="O36">
        <v>31444.1</v>
      </c>
      <c r="P36">
        <v>23940.65</v>
      </c>
    </row>
    <row r="37" spans="1:16" x14ac:dyDescent="0.25">
      <c r="A37" t="s">
        <v>16</v>
      </c>
      <c r="B37" t="s">
        <v>17</v>
      </c>
      <c r="D37" t="s">
        <v>48</v>
      </c>
      <c r="E37">
        <v>14.2225</v>
      </c>
      <c r="F37">
        <v>14.2225</v>
      </c>
      <c r="G37">
        <v>14.71</v>
      </c>
      <c r="H37">
        <v>13.75</v>
      </c>
      <c r="I37" s="1">
        <v>14.51</v>
      </c>
      <c r="J37">
        <v>0</v>
      </c>
      <c r="K37">
        <v>0</v>
      </c>
      <c r="L37" t="s">
        <v>16</v>
      </c>
      <c r="M37" t="s">
        <v>17</v>
      </c>
      <c r="N37">
        <v>0</v>
      </c>
      <c r="O37">
        <v>31.71</v>
      </c>
      <c r="P37">
        <v>8.3949999999999996</v>
      </c>
    </row>
    <row r="38" spans="1:16" x14ac:dyDescent="0.25">
      <c r="A38" t="s">
        <v>16</v>
      </c>
      <c r="B38" t="s">
        <v>17</v>
      </c>
      <c r="D38" t="s">
        <v>49</v>
      </c>
      <c r="E38">
        <v>25482.9</v>
      </c>
      <c r="F38">
        <v>25457.4</v>
      </c>
      <c r="G38">
        <v>25605.5</v>
      </c>
      <c r="H38">
        <v>25162.7</v>
      </c>
      <c r="I38" s="1">
        <v>25576.7</v>
      </c>
      <c r="J38">
        <v>0</v>
      </c>
      <c r="K38">
        <v>0</v>
      </c>
      <c r="L38" t="s">
        <v>16</v>
      </c>
      <c r="M38" t="s">
        <v>17</v>
      </c>
      <c r="N38">
        <v>0</v>
      </c>
      <c r="O38">
        <v>25991.45</v>
      </c>
      <c r="P38">
        <v>15122.95</v>
      </c>
    </row>
    <row r="39" spans="1:16" x14ac:dyDescent="0.25">
      <c r="A39" t="s">
        <v>16</v>
      </c>
      <c r="B39" t="s">
        <v>17</v>
      </c>
      <c r="D39" t="s">
        <v>50</v>
      </c>
      <c r="E39">
        <v>9722</v>
      </c>
      <c r="F39">
        <v>9719.9500000000007</v>
      </c>
      <c r="G39">
        <v>9724.1</v>
      </c>
      <c r="H39">
        <v>9587.7000000000007</v>
      </c>
      <c r="I39" s="1">
        <v>9636.9500000000007</v>
      </c>
      <c r="J39">
        <v>0</v>
      </c>
      <c r="K39">
        <v>0</v>
      </c>
      <c r="L39" t="s">
        <v>16</v>
      </c>
      <c r="M39" t="s">
        <v>17</v>
      </c>
      <c r="N39">
        <v>0</v>
      </c>
      <c r="O39">
        <v>10195.6</v>
      </c>
      <c r="P39">
        <v>6346.3</v>
      </c>
    </row>
    <row r="40" spans="1:16" x14ac:dyDescent="0.25">
      <c r="A40" t="s">
        <v>16</v>
      </c>
      <c r="B40" t="s">
        <v>17</v>
      </c>
      <c r="D40" t="s">
        <v>51</v>
      </c>
      <c r="E40">
        <v>2084.0500000000002</v>
      </c>
      <c r="F40">
        <v>2046.8</v>
      </c>
      <c r="G40">
        <v>2046.8</v>
      </c>
      <c r="H40">
        <v>2000.15</v>
      </c>
      <c r="I40" s="1">
        <v>2009.65</v>
      </c>
      <c r="J40">
        <v>0</v>
      </c>
      <c r="K40">
        <v>0</v>
      </c>
      <c r="L40" t="s">
        <v>16</v>
      </c>
      <c r="M40" t="s">
        <v>17</v>
      </c>
      <c r="N40">
        <v>0</v>
      </c>
      <c r="O40">
        <v>2508.6</v>
      </c>
      <c r="P40">
        <v>1717.4</v>
      </c>
    </row>
    <row r="41" spans="1:16" x14ac:dyDescent="0.25">
      <c r="A41" t="s">
        <v>16</v>
      </c>
      <c r="B41" t="s">
        <v>17</v>
      </c>
      <c r="D41" t="s">
        <v>52</v>
      </c>
      <c r="E41">
        <v>19062.400000000001</v>
      </c>
      <c r="F41">
        <v>19094</v>
      </c>
      <c r="G41">
        <v>19098.599999999999</v>
      </c>
      <c r="H41">
        <v>18720.849999999999</v>
      </c>
      <c r="I41" s="1">
        <v>18829.2</v>
      </c>
      <c r="J41">
        <v>0</v>
      </c>
      <c r="K41">
        <v>0</v>
      </c>
      <c r="L41" t="s">
        <v>16</v>
      </c>
      <c r="M41" t="s">
        <v>17</v>
      </c>
      <c r="N41">
        <v>0</v>
      </c>
      <c r="O41">
        <v>19180.099999999999</v>
      </c>
      <c r="P41">
        <v>11415.6</v>
      </c>
    </row>
    <row r="42" spans="1:16" x14ac:dyDescent="0.25">
      <c r="A42" t="s">
        <v>16</v>
      </c>
      <c r="B42" t="s">
        <v>17</v>
      </c>
      <c r="D42" t="s">
        <v>53</v>
      </c>
      <c r="E42">
        <v>13960.9</v>
      </c>
      <c r="F42">
        <v>13932.85</v>
      </c>
      <c r="G42">
        <v>13996.95</v>
      </c>
      <c r="H42">
        <v>13842.15</v>
      </c>
      <c r="I42" s="1">
        <v>13987.4</v>
      </c>
      <c r="J42">
        <v>0</v>
      </c>
      <c r="K42">
        <v>0</v>
      </c>
      <c r="L42" t="s">
        <v>16</v>
      </c>
      <c r="M42" t="s">
        <v>17</v>
      </c>
      <c r="N42">
        <v>0</v>
      </c>
      <c r="O42">
        <v>14006.25</v>
      </c>
      <c r="P42">
        <v>10017.549999999999</v>
      </c>
    </row>
    <row r="43" spans="1:16" x14ac:dyDescent="0.25">
      <c r="A43" t="s">
        <v>16</v>
      </c>
      <c r="B43" t="s">
        <v>17</v>
      </c>
      <c r="D43" t="s">
        <v>54</v>
      </c>
      <c r="E43">
        <v>6630.9</v>
      </c>
      <c r="F43">
        <v>6624.55</v>
      </c>
      <c r="G43">
        <v>6668.15</v>
      </c>
      <c r="H43">
        <v>6576.4</v>
      </c>
      <c r="I43" s="1">
        <v>6663.15</v>
      </c>
      <c r="J43">
        <v>0</v>
      </c>
      <c r="K43">
        <v>0</v>
      </c>
      <c r="L43" t="s">
        <v>16</v>
      </c>
      <c r="M43" t="s">
        <v>17</v>
      </c>
      <c r="N43">
        <v>0</v>
      </c>
      <c r="O43">
        <v>6668.15</v>
      </c>
      <c r="P43">
        <v>4349.8999999999996</v>
      </c>
    </row>
    <row r="44" spans="1:16" x14ac:dyDescent="0.25">
      <c r="A44" t="s">
        <v>16</v>
      </c>
      <c r="B44" t="s">
        <v>17</v>
      </c>
      <c r="D44" t="s">
        <v>55</v>
      </c>
      <c r="E44">
        <v>9455.4500000000007</v>
      </c>
      <c r="F44">
        <v>9470.5</v>
      </c>
      <c r="G44">
        <v>9473.9500000000007</v>
      </c>
      <c r="H44">
        <v>9358</v>
      </c>
      <c r="I44" s="1">
        <v>9433.25</v>
      </c>
      <c r="J44">
        <v>0</v>
      </c>
      <c r="K44">
        <v>0</v>
      </c>
      <c r="L44" t="s">
        <v>16</v>
      </c>
      <c r="M44" t="s">
        <v>17</v>
      </c>
      <c r="N44">
        <v>0</v>
      </c>
      <c r="O44">
        <v>9535.2999999999993</v>
      </c>
      <c r="P44">
        <v>6098.95</v>
      </c>
    </row>
    <row r="45" spans="1:16" x14ac:dyDescent="0.25">
      <c r="A45" t="s">
        <v>16</v>
      </c>
      <c r="B45" t="s">
        <v>17</v>
      </c>
      <c r="D45" t="s">
        <v>56</v>
      </c>
      <c r="E45">
        <v>11475.8</v>
      </c>
      <c r="F45">
        <v>11442.5</v>
      </c>
      <c r="G45">
        <v>11533.55</v>
      </c>
      <c r="H45">
        <v>11380.55</v>
      </c>
      <c r="I45" s="1">
        <v>11526.25</v>
      </c>
      <c r="J45">
        <v>0</v>
      </c>
      <c r="K45">
        <v>0</v>
      </c>
      <c r="L45" t="s">
        <v>16</v>
      </c>
      <c r="M45" t="s">
        <v>17</v>
      </c>
      <c r="N45">
        <v>0</v>
      </c>
      <c r="O45">
        <v>11533.55</v>
      </c>
      <c r="P45">
        <v>8141.5</v>
      </c>
    </row>
    <row r="46" spans="1:16" x14ac:dyDescent="0.25">
      <c r="A46" t="s">
        <v>16</v>
      </c>
      <c r="B46" t="s">
        <v>17</v>
      </c>
      <c r="D46" t="s">
        <v>57</v>
      </c>
      <c r="E46">
        <v>23648.35</v>
      </c>
      <c r="F46">
        <v>23559.15</v>
      </c>
      <c r="G46">
        <v>23838.5</v>
      </c>
      <c r="H46">
        <v>23523.75</v>
      </c>
      <c r="I46" s="1">
        <v>23783.5</v>
      </c>
      <c r="J46">
        <v>0</v>
      </c>
      <c r="K46">
        <v>0</v>
      </c>
      <c r="L46" t="s">
        <v>16</v>
      </c>
      <c r="M46" t="s">
        <v>17</v>
      </c>
      <c r="N46">
        <v>0</v>
      </c>
      <c r="O46">
        <v>24046.6</v>
      </c>
      <c r="P46">
        <v>18870.150000000001</v>
      </c>
    </row>
    <row r="47" spans="1:16" x14ac:dyDescent="0.25">
      <c r="A47" t="s">
        <v>16</v>
      </c>
      <c r="B47" t="s">
        <v>17</v>
      </c>
      <c r="D47" t="s">
        <v>58</v>
      </c>
      <c r="E47">
        <v>133.04</v>
      </c>
      <c r="F47">
        <v>133.04</v>
      </c>
      <c r="G47">
        <v>133.04</v>
      </c>
      <c r="H47">
        <v>133.04</v>
      </c>
      <c r="I47" s="1">
        <v>133.04</v>
      </c>
      <c r="J47">
        <v>0</v>
      </c>
      <c r="K47">
        <v>0</v>
      </c>
      <c r="L47" t="s">
        <v>16</v>
      </c>
      <c r="M47" t="s">
        <v>17</v>
      </c>
      <c r="N47">
        <v>0</v>
      </c>
      <c r="O47">
        <v>0</v>
      </c>
      <c r="P47">
        <v>0</v>
      </c>
    </row>
    <row r="48" spans="1:16" x14ac:dyDescent="0.25">
      <c r="A48" t="s">
        <v>16</v>
      </c>
      <c r="B48" t="s">
        <v>17</v>
      </c>
      <c r="D48" t="s">
        <v>59</v>
      </c>
      <c r="E48">
        <v>6978.25</v>
      </c>
      <c r="F48">
        <v>6971.75</v>
      </c>
      <c r="G48">
        <v>7027.3</v>
      </c>
      <c r="H48">
        <v>6929.65</v>
      </c>
      <c r="I48" s="1">
        <v>7019.25</v>
      </c>
      <c r="J48">
        <v>0</v>
      </c>
      <c r="K48">
        <v>0</v>
      </c>
      <c r="L48" t="s">
        <v>16</v>
      </c>
      <c r="M48" t="s">
        <v>17</v>
      </c>
      <c r="N48">
        <v>0</v>
      </c>
      <c r="O48">
        <v>7027.3</v>
      </c>
      <c r="P48">
        <v>5035.5</v>
      </c>
    </row>
    <row r="49" spans="1:16" x14ac:dyDescent="0.25">
      <c r="A49" t="s">
        <v>16</v>
      </c>
      <c r="B49" t="s">
        <v>17</v>
      </c>
      <c r="D49" t="s">
        <v>60</v>
      </c>
      <c r="E49">
        <v>7386.8</v>
      </c>
      <c r="F49">
        <v>7412.95</v>
      </c>
      <c r="G49">
        <v>7415.75</v>
      </c>
      <c r="H49">
        <v>7236.2</v>
      </c>
      <c r="I49" s="1">
        <v>7294.6</v>
      </c>
      <c r="J49">
        <v>0</v>
      </c>
      <c r="K49">
        <v>0</v>
      </c>
      <c r="L49" t="s">
        <v>16</v>
      </c>
      <c r="M49" t="s">
        <v>17</v>
      </c>
      <c r="N49">
        <v>0</v>
      </c>
      <c r="O49">
        <v>7488.15</v>
      </c>
      <c r="P49">
        <v>3280.85</v>
      </c>
    </row>
    <row r="50" spans="1:16" x14ac:dyDescent="0.25">
      <c r="A50" t="s">
        <v>16</v>
      </c>
      <c r="B50" t="s">
        <v>17</v>
      </c>
      <c r="D50" t="s">
        <v>61</v>
      </c>
      <c r="E50">
        <v>11806.95</v>
      </c>
      <c r="F50">
        <v>11763.7</v>
      </c>
      <c r="G50">
        <v>11989.95</v>
      </c>
      <c r="H50">
        <v>11763.35</v>
      </c>
      <c r="I50" s="1">
        <v>11975.65</v>
      </c>
      <c r="J50">
        <v>0</v>
      </c>
      <c r="K50">
        <v>0</v>
      </c>
      <c r="L50" t="s">
        <v>16</v>
      </c>
      <c r="M50" t="s">
        <v>17</v>
      </c>
      <c r="N50">
        <v>0</v>
      </c>
      <c r="O50">
        <v>11989.95</v>
      </c>
      <c r="P50">
        <v>9566.4</v>
      </c>
    </row>
    <row r="51" spans="1:16" x14ac:dyDescent="0.25">
      <c r="A51" t="s">
        <v>16</v>
      </c>
      <c r="B51" t="s">
        <v>17</v>
      </c>
      <c r="D51" t="s">
        <v>62</v>
      </c>
      <c r="E51">
        <v>14529.25</v>
      </c>
      <c r="F51">
        <v>14442.4</v>
      </c>
      <c r="G51">
        <v>14789.15</v>
      </c>
      <c r="H51">
        <v>14396.85</v>
      </c>
      <c r="I51" s="1">
        <v>14745.85</v>
      </c>
      <c r="J51">
        <v>0</v>
      </c>
      <c r="K51">
        <v>0</v>
      </c>
      <c r="L51" t="s">
        <v>16</v>
      </c>
      <c r="M51" t="s">
        <v>17</v>
      </c>
      <c r="N51">
        <v>0</v>
      </c>
      <c r="O51">
        <v>14789.15</v>
      </c>
      <c r="P51">
        <v>9059.1</v>
      </c>
    </row>
    <row r="52" spans="1:16" x14ac:dyDescent="0.25">
      <c r="A52" t="s">
        <v>16</v>
      </c>
      <c r="B52" t="s">
        <v>17</v>
      </c>
      <c r="D52" t="s">
        <v>63</v>
      </c>
      <c r="E52">
        <v>198.85</v>
      </c>
      <c r="F52">
        <v>199.5</v>
      </c>
      <c r="G52">
        <v>199.8</v>
      </c>
      <c r="H52">
        <v>197.15</v>
      </c>
      <c r="I52" s="1">
        <v>197.4</v>
      </c>
      <c r="J52">
        <v>0</v>
      </c>
      <c r="K52">
        <v>0</v>
      </c>
      <c r="L52" t="s">
        <v>16</v>
      </c>
      <c r="M52" t="s">
        <v>17</v>
      </c>
      <c r="N52">
        <v>0</v>
      </c>
      <c r="O52">
        <v>250.95</v>
      </c>
      <c r="P52">
        <v>197.15</v>
      </c>
    </row>
    <row r="53" spans="1:16" x14ac:dyDescent="0.25">
      <c r="A53" t="s">
        <v>16</v>
      </c>
      <c r="B53" t="s">
        <v>17</v>
      </c>
      <c r="D53" t="s">
        <v>64</v>
      </c>
      <c r="E53">
        <v>21036.75</v>
      </c>
      <c r="F53">
        <v>20911</v>
      </c>
      <c r="G53">
        <v>21413.1</v>
      </c>
      <c r="H53">
        <v>20845.099999999999</v>
      </c>
      <c r="I53" s="1">
        <v>21350.400000000001</v>
      </c>
      <c r="J53">
        <v>0</v>
      </c>
      <c r="K53">
        <v>0</v>
      </c>
      <c r="L53" t="s">
        <v>16</v>
      </c>
      <c r="M53" t="s">
        <v>17</v>
      </c>
      <c r="N53">
        <v>0</v>
      </c>
      <c r="O53">
        <v>21413.1</v>
      </c>
      <c r="P53">
        <v>12898.2</v>
      </c>
    </row>
    <row r="54" spans="1:16" x14ac:dyDescent="0.25">
      <c r="A54" t="s">
        <v>16</v>
      </c>
      <c r="B54" t="s">
        <v>17</v>
      </c>
      <c r="D54" t="s">
        <v>65</v>
      </c>
      <c r="E54">
        <v>165.45</v>
      </c>
      <c r="F54">
        <v>165.95</v>
      </c>
      <c r="G54">
        <v>166.2</v>
      </c>
      <c r="H54">
        <v>164</v>
      </c>
      <c r="I54" s="1">
        <v>164.25</v>
      </c>
      <c r="J54">
        <v>0</v>
      </c>
      <c r="K54">
        <v>0</v>
      </c>
      <c r="L54" t="s">
        <v>16</v>
      </c>
      <c r="M54" t="s">
        <v>17</v>
      </c>
      <c r="N54">
        <v>0</v>
      </c>
      <c r="O54">
        <v>210.55</v>
      </c>
      <c r="P54">
        <v>164</v>
      </c>
    </row>
    <row r="55" spans="1:16" x14ac:dyDescent="0.25">
      <c r="A55" t="s">
        <v>16</v>
      </c>
      <c r="B55" t="s">
        <v>17</v>
      </c>
      <c r="D55" t="s">
        <v>66</v>
      </c>
      <c r="E55">
        <v>13788.5</v>
      </c>
      <c r="F55">
        <v>13753.5</v>
      </c>
      <c r="G55">
        <v>13951.15</v>
      </c>
      <c r="H55">
        <v>13751.5</v>
      </c>
      <c r="I55" s="1">
        <v>13932.6</v>
      </c>
      <c r="J55">
        <v>0</v>
      </c>
      <c r="K55">
        <v>0</v>
      </c>
      <c r="L55" t="s">
        <v>16</v>
      </c>
      <c r="M55" t="s">
        <v>17</v>
      </c>
      <c r="N55">
        <v>0</v>
      </c>
      <c r="O55">
        <v>13951.15</v>
      </c>
      <c r="P55">
        <v>9925.2000000000007</v>
      </c>
    </row>
    <row r="56" spans="1:16" x14ac:dyDescent="0.25">
      <c r="A56" t="s">
        <v>16</v>
      </c>
      <c r="B56" t="s">
        <v>17</v>
      </c>
      <c r="D56" t="s">
        <v>67</v>
      </c>
      <c r="E56">
        <v>13465.75</v>
      </c>
      <c r="F56">
        <v>13443.05</v>
      </c>
      <c r="G56">
        <v>13455.9</v>
      </c>
      <c r="H56">
        <v>13312.5</v>
      </c>
      <c r="I56" s="1">
        <v>13379.35</v>
      </c>
      <c r="J56">
        <v>0</v>
      </c>
      <c r="K56">
        <v>0</v>
      </c>
      <c r="L56" t="s">
        <v>16</v>
      </c>
      <c r="M56" t="s">
        <v>17</v>
      </c>
      <c r="N56">
        <v>0</v>
      </c>
      <c r="O56">
        <v>13532.1</v>
      </c>
      <c r="P56">
        <v>8657.4500000000007</v>
      </c>
    </row>
    <row r="57" spans="1:16" x14ac:dyDescent="0.25">
      <c r="A57" t="s">
        <v>16</v>
      </c>
      <c r="B57" t="s">
        <v>17</v>
      </c>
      <c r="D57" t="s">
        <v>68</v>
      </c>
      <c r="E57">
        <v>26125.75</v>
      </c>
      <c r="F57">
        <v>26033.55</v>
      </c>
      <c r="G57">
        <v>26315.5</v>
      </c>
      <c r="H57">
        <v>26022.400000000001</v>
      </c>
      <c r="I57" s="1">
        <v>26229.8</v>
      </c>
      <c r="J57">
        <v>0</v>
      </c>
      <c r="K57">
        <v>0</v>
      </c>
      <c r="L57" t="s">
        <v>16</v>
      </c>
      <c r="M57" t="s">
        <v>17</v>
      </c>
      <c r="N57">
        <v>0</v>
      </c>
      <c r="O57">
        <v>26653.55</v>
      </c>
      <c r="P57">
        <v>21871.9</v>
      </c>
    </row>
    <row r="58" spans="1:16" x14ac:dyDescent="0.25">
      <c r="A58" t="s">
        <v>16</v>
      </c>
      <c r="B58" t="s">
        <v>17</v>
      </c>
      <c r="D58" t="s">
        <v>69</v>
      </c>
      <c r="E58">
        <v>5923.7</v>
      </c>
      <c r="F58">
        <v>5897.8</v>
      </c>
      <c r="G58">
        <v>5938.35</v>
      </c>
      <c r="H58">
        <v>5872</v>
      </c>
      <c r="I58" s="1">
        <v>5933.6</v>
      </c>
      <c r="J58">
        <v>0</v>
      </c>
      <c r="K58">
        <v>0</v>
      </c>
      <c r="L58" t="s">
        <v>16</v>
      </c>
      <c r="M58" t="s">
        <v>17</v>
      </c>
      <c r="N58">
        <v>0</v>
      </c>
      <c r="O58">
        <v>0</v>
      </c>
      <c r="P58">
        <v>0</v>
      </c>
    </row>
    <row r="59" spans="1:16" x14ac:dyDescent="0.25">
      <c r="A59" t="s">
        <v>16</v>
      </c>
      <c r="B59" t="s">
        <v>17</v>
      </c>
      <c r="D59" t="s">
        <v>70</v>
      </c>
      <c r="E59">
        <v>2649.08</v>
      </c>
      <c r="F59">
        <v>2649.59</v>
      </c>
      <c r="G59">
        <v>2651.26</v>
      </c>
      <c r="H59">
        <v>2649.56</v>
      </c>
      <c r="I59" s="1">
        <v>2650.01</v>
      </c>
      <c r="J59">
        <v>0</v>
      </c>
      <c r="K59">
        <v>0</v>
      </c>
      <c r="L59" t="s">
        <v>16</v>
      </c>
      <c r="M59" t="s">
        <v>17</v>
      </c>
      <c r="N59">
        <v>0</v>
      </c>
      <c r="O59">
        <v>0</v>
      </c>
      <c r="P59">
        <v>0</v>
      </c>
    </row>
    <row r="60" spans="1:16" x14ac:dyDescent="0.25">
      <c r="A60" t="s">
        <v>16</v>
      </c>
      <c r="B60" t="s">
        <v>17</v>
      </c>
      <c r="D60" t="s">
        <v>71</v>
      </c>
      <c r="E60">
        <v>2346.87</v>
      </c>
      <c r="F60">
        <v>2347.3200000000002</v>
      </c>
      <c r="G60">
        <v>2348.59</v>
      </c>
      <c r="H60">
        <v>2347.17</v>
      </c>
      <c r="I60" s="1">
        <v>2347.63</v>
      </c>
      <c r="J60">
        <v>0</v>
      </c>
      <c r="K60">
        <v>0</v>
      </c>
      <c r="L60" t="s">
        <v>16</v>
      </c>
      <c r="M60" t="s">
        <v>17</v>
      </c>
      <c r="N60">
        <v>0</v>
      </c>
      <c r="O60">
        <v>0</v>
      </c>
      <c r="P60">
        <v>0</v>
      </c>
    </row>
    <row r="61" spans="1:16" x14ac:dyDescent="0.25">
      <c r="A61" t="s">
        <v>16</v>
      </c>
      <c r="B61" t="s">
        <v>17</v>
      </c>
      <c r="D61" t="s">
        <v>72</v>
      </c>
      <c r="E61">
        <v>880.35</v>
      </c>
      <c r="F61">
        <v>880.35</v>
      </c>
      <c r="G61">
        <v>880.83</v>
      </c>
      <c r="H61">
        <v>880.29</v>
      </c>
      <c r="I61" s="1">
        <v>880.46</v>
      </c>
      <c r="J61">
        <v>0</v>
      </c>
      <c r="K61">
        <v>0</v>
      </c>
      <c r="L61" t="s">
        <v>16</v>
      </c>
      <c r="M61" t="s">
        <v>17</v>
      </c>
      <c r="N61">
        <v>0</v>
      </c>
      <c r="O61">
        <v>0</v>
      </c>
      <c r="P61">
        <v>0</v>
      </c>
    </row>
    <row r="62" spans="1:16" x14ac:dyDescent="0.25">
      <c r="A62" t="s">
        <v>16</v>
      </c>
      <c r="B62" t="s">
        <v>17</v>
      </c>
      <c r="D62" t="s">
        <v>73</v>
      </c>
      <c r="E62">
        <v>2872.23</v>
      </c>
      <c r="F62">
        <v>2872.79</v>
      </c>
      <c r="G62">
        <v>2874.77</v>
      </c>
      <c r="H62">
        <v>2872.79</v>
      </c>
      <c r="I62" s="1">
        <v>2874.12</v>
      </c>
      <c r="J62">
        <v>0</v>
      </c>
      <c r="K62">
        <v>0</v>
      </c>
      <c r="L62" t="s">
        <v>16</v>
      </c>
      <c r="M62" t="s">
        <v>17</v>
      </c>
      <c r="N62">
        <v>0</v>
      </c>
      <c r="O62">
        <v>0</v>
      </c>
      <c r="P62">
        <v>0</v>
      </c>
    </row>
    <row r="63" spans="1:16" x14ac:dyDescent="0.25">
      <c r="A63" t="s">
        <v>16</v>
      </c>
      <c r="B63" t="s">
        <v>17</v>
      </c>
      <c r="D63" t="s">
        <v>74</v>
      </c>
      <c r="E63">
        <v>2935.45</v>
      </c>
      <c r="F63">
        <v>2936.02</v>
      </c>
      <c r="G63">
        <v>2938.4</v>
      </c>
      <c r="H63">
        <v>2935.77</v>
      </c>
      <c r="I63" s="1">
        <v>2937.3</v>
      </c>
      <c r="J63">
        <v>0</v>
      </c>
      <c r="K63">
        <v>0</v>
      </c>
      <c r="L63" t="s">
        <v>16</v>
      </c>
      <c r="M63" t="s">
        <v>17</v>
      </c>
      <c r="N63">
        <v>0</v>
      </c>
      <c r="O63">
        <v>0</v>
      </c>
      <c r="P63">
        <v>0</v>
      </c>
    </row>
    <row r="64" spans="1:16" x14ac:dyDescent="0.25">
      <c r="A64" t="s">
        <v>16</v>
      </c>
      <c r="B64" t="s">
        <v>17</v>
      </c>
      <c r="D64" t="s">
        <v>75</v>
      </c>
      <c r="E64">
        <v>3255.29</v>
      </c>
      <c r="F64">
        <v>3255.92</v>
      </c>
      <c r="G64">
        <v>3259.12</v>
      </c>
      <c r="H64">
        <v>3255.92</v>
      </c>
      <c r="I64" s="1">
        <v>3256.46</v>
      </c>
      <c r="J64">
        <v>0</v>
      </c>
      <c r="K64">
        <v>0</v>
      </c>
      <c r="L64" t="s">
        <v>16</v>
      </c>
      <c r="M64" t="s">
        <v>17</v>
      </c>
      <c r="N64">
        <v>0</v>
      </c>
      <c r="O64">
        <v>0</v>
      </c>
      <c r="P64">
        <v>0</v>
      </c>
    </row>
    <row r="65" spans="1:22" x14ac:dyDescent="0.25">
      <c r="A65" t="s">
        <v>16</v>
      </c>
      <c r="B65" t="s">
        <v>17</v>
      </c>
      <c r="D65" t="s">
        <v>76</v>
      </c>
      <c r="E65">
        <v>2746.73</v>
      </c>
      <c r="F65">
        <v>2747.26</v>
      </c>
      <c r="G65">
        <v>2749.25</v>
      </c>
      <c r="H65">
        <v>2747.26</v>
      </c>
      <c r="I65" s="1">
        <v>2747.99</v>
      </c>
      <c r="J65">
        <v>0</v>
      </c>
      <c r="K65">
        <v>0</v>
      </c>
      <c r="L65" t="s">
        <v>16</v>
      </c>
      <c r="M65" t="s">
        <v>17</v>
      </c>
      <c r="N65">
        <v>0</v>
      </c>
      <c r="O65">
        <v>0</v>
      </c>
      <c r="P65">
        <v>0</v>
      </c>
    </row>
    <row r="66" spans="1:22" x14ac:dyDescent="0.25">
      <c r="A66" t="s">
        <v>16</v>
      </c>
      <c r="B66" t="s">
        <v>17</v>
      </c>
      <c r="D66" t="s">
        <v>6443</v>
      </c>
      <c r="E66">
        <v>13158.6</v>
      </c>
      <c r="F66">
        <v>13121.15</v>
      </c>
      <c r="G66">
        <v>13206.05</v>
      </c>
      <c r="H66">
        <v>13029.55</v>
      </c>
      <c r="I66" s="1">
        <v>13194.7</v>
      </c>
      <c r="J66">
        <v>0</v>
      </c>
      <c r="K66">
        <v>0</v>
      </c>
      <c r="L66" t="s">
        <v>16</v>
      </c>
      <c r="M66" t="s">
        <v>17</v>
      </c>
      <c r="N66">
        <v>0</v>
      </c>
      <c r="O66">
        <v>13257.15</v>
      </c>
      <c r="P66">
        <v>6482.8</v>
      </c>
    </row>
    <row r="67" spans="1:22" x14ac:dyDescent="0.25">
      <c r="A67" t="s">
        <v>16</v>
      </c>
      <c r="B67" t="s">
        <v>17</v>
      </c>
      <c r="D67" t="s">
        <v>6442</v>
      </c>
      <c r="E67">
        <v>38709.5</v>
      </c>
      <c r="F67">
        <v>38661.25</v>
      </c>
      <c r="G67">
        <v>38686.949999999997</v>
      </c>
      <c r="H67">
        <v>37865.449999999997</v>
      </c>
      <c r="I67" s="1">
        <v>38339.599999999999</v>
      </c>
      <c r="J67">
        <v>0</v>
      </c>
      <c r="K67">
        <v>0</v>
      </c>
      <c r="L67" t="s">
        <v>16</v>
      </c>
      <c r="M67" t="s">
        <v>17</v>
      </c>
      <c r="N67">
        <v>0</v>
      </c>
      <c r="O67">
        <v>38951</v>
      </c>
      <c r="P67">
        <v>14089.55</v>
      </c>
    </row>
    <row r="68" spans="1:22" x14ac:dyDescent="0.25">
      <c r="A68" t="s">
        <v>16</v>
      </c>
      <c r="B68" t="s">
        <v>17</v>
      </c>
      <c r="D68" t="s">
        <v>6441</v>
      </c>
      <c r="E68">
        <v>13090.45</v>
      </c>
      <c r="F68">
        <v>13118.95</v>
      </c>
      <c r="G68">
        <v>13152.5</v>
      </c>
      <c r="H68">
        <v>12953.65</v>
      </c>
      <c r="I68" s="1">
        <v>13094.35</v>
      </c>
      <c r="J68">
        <v>0</v>
      </c>
      <c r="K68">
        <v>0</v>
      </c>
      <c r="L68" t="s">
        <v>16</v>
      </c>
      <c r="M68" t="s">
        <v>17</v>
      </c>
      <c r="N68">
        <v>0</v>
      </c>
      <c r="O68">
        <v>13194.45</v>
      </c>
      <c r="P68">
        <v>4632.7</v>
      </c>
    </row>
    <row r="69" spans="1:22" x14ac:dyDescent="0.25">
      <c r="A69" t="s">
        <v>16</v>
      </c>
      <c r="B69" t="s">
        <v>17</v>
      </c>
      <c r="D69" t="s">
        <v>6440</v>
      </c>
      <c r="E69">
        <v>16230.35</v>
      </c>
      <c r="F69">
        <v>16214.9</v>
      </c>
      <c r="G69">
        <v>16225.25</v>
      </c>
      <c r="H69">
        <v>16054.2</v>
      </c>
      <c r="I69" s="1">
        <v>16180.65</v>
      </c>
      <c r="J69">
        <v>0</v>
      </c>
      <c r="K69">
        <v>0</v>
      </c>
      <c r="L69" t="s">
        <v>16</v>
      </c>
      <c r="M69" t="s">
        <v>17</v>
      </c>
      <c r="N69">
        <v>0</v>
      </c>
      <c r="O69">
        <v>16298.5</v>
      </c>
      <c r="P69">
        <v>5531.55</v>
      </c>
    </row>
    <row r="70" spans="1:22" x14ac:dyDescent="0.25">
      <c r="A70" t="s">
        <v>16</v>
      </c>
      <c r="B70" t="s">
        <v>17</v>
      </c>
      <c r="D70" t="s">
        <v>6439</v>
      </c>
      <c r="E70">
        <v>16204.25</v>
      </c>
      <c r="F70">
        <v>16184.7</v>
      </c>
      <c r="G70">
        <v>16190.75</v>
      </c>
      <c r="H70">
        <v>16027.55</v>
      </c>
      <c r="I70" s="1">
        <v>16161.85</v>
      </c>
      <c r="J70">
        <v>0</v>
      </c>
      <c r="K70">
        <v>0</v>
      </c>
      <c r="L70" t="s">
        <v>16</v>
      </c>
      <c r="M70" t="s">
        <v>17</v>
      </c>
      <c r="N70">
        <v>0</v>
      </c>
      <c r="O70">
        <v>16265.4</v>
      </c>
      <c r="P70">
        <v>5635.2</v>
      </c>
    </row>
    <row r="71" spans="1:22" x14ac:dyDescent="0.25">
      <c r="A71" t="s">
        <v>16</v>
      </c>
      <c r="B71" t="s">
        <v>17</v>
      </c>
      <c r="D71" t="s">
        <v>6438</v>
      </c>
      <c r="E71">
        <v>12546</v>
      </c>
      <c r="F71">
        <v>12544.1</v>
      </c>
      <c r="G71">
        <v>12551.3</v>
      </c>
      <c r="H71">
        <v>12410</v>
      </c>
      <c r="I71" s="1">
        <v>12473.6</v>
      </c>
      <c r="J71">
        <v>0</v>
      </c>
      <c r="K71">
        <v>0</v>
      </c>
      <c r="L71" t="s">
        <v>16</v>
      </c>
      <c r="M71" t="s">
        <v>17</v>
      </c>
      <c r="N71">
        <v>0</v>
      </c>
      <c r="O71">
        <v>12610.6</v>
      </c>
      <c r="P71">
        <v>5520.25</v>
      </c>
    </row>
    <row r="72" spans="1:22" x14ac:dyDescent="0.25">
      <c r="A72" t="s">
        <v>16</v>
      </c>
      <c r="B72" t="s">
        <v>17</v>
      </c>
      <c r="D72" t="s">
        <v>6437</v>
      </c>
      <c r="E72">
        <v>13063.4</v>
      </c>
      <c r="F72">
        <v>13044.3</v>
      </c>
      <c r="G72">
        <v>13075.95</v>
      </c>
      <c r="H72">
        <v>12942.55</v>
      </c>
      <c r="I72" s="1">
        <v>13061.65</v>
      </c>
      <c r="J72">
        <v>0</v>
      </c>
      <c r="K72">
        <v>0</v>
      </c>
      <c r="L72" t="s">
        <v>16</v>
      </c>
      <c r="M72" t="s">
        <v>17</v>
      </c>
      <c r="N72">
        <v>0</v>
      </c>
      <c r="O72">
        <v>13112.25</v>
      </c>
      <c r="P72">
        <v>6252.1</v>
      </c>
    </row>
    <row r="73" spans="1:22" x14ac:dyDescent="0.25">
      <c r="A73" t="s">
        <v>16</v>
      </c>
      <c r="B73" t="s">
        <v>17</v>
      </c>
      <c r="D73" t="s">
        <v>6436</v>
      </c>
      <c r="E73">
        <v>24032.15</v>
      </c>
      <c r="F73">
        <v>24070.1</v>
      </c>
      <c r="G73">
        <v>24103.599999999999</v>
      </c>
      <c r="H73">
        <v>23665.200000000001</v>
      </c>
      <c r="I73" s="1">
        <v>23783.35</v>
      </c>
      <c r="J73">
        <v>0</v>
      </c>
      <c r="K73">
        <v>0</v>
      </c>
      <c r="L73" t="s">
        <v>16</v>
      </c>
      <c r="M73" t="s">
        <v>17</v>
      </c>
      <c r="N73">
        <v>0</v>
      </c>
      <c r="O73">
        <v>24278.25</v>
      </c>
      <c r="P73">
        <v>5802.95</v>
      </c>
    </row>
    <row r="74" spans="1:22" x14ac:dyDescent="0.25">
      <c r="A74" t="s">
        <v>16</v>
      </c>
      <c r="B74" t="s">
        <v>17</v>
      </c>
      <c r="D74" t="s">
        <v>6435</v>
      </c>
      <c r="E74">
        <v>8776.4</v>
      </c>
      <c r="F74">
        <v>8754.15</v>
      </c>
      <c r="G74">
        <v>8888.7999999999993</v>
      </c>
      <c r="H74">
        <v>8703</v>
      </c>
      <c r="I74" s="1">
        <v>8872.35</v>
      </c>
      <c r="J74">
        <v>0</v>
      </c>
      <c r="K74">
        <v>0</v>
      </c>
      <c r="L74" t="s">
        <v>16</v>
      </c>
      <c r="M74" t="s">
        <v>17</v>
      </c>
      <c r="N74">
        <v>0</v>
      </c>
      <c r="O74">
        <v>8888.7999999999993</v>
      </c>
      <c r="P74">
        <v>4755.25</v>
      </c>
    </row>
    <row r="75" spans="1:22" x14ac:dyDescent="0.25">
      <c r="A75" t="s">
        <v>16</v>
      </c>
      <c r="B75" t="s">
        <v>17</v>
      </c>
      <c r="D75" t="s">
        <v>6434</v>
      </c>
      <c r="E75">
        <v>17080.55</v>
      </c>
      <c r="F75">
        <v>17079.55</v>
      </c>
      <c r="G75">
        <v>17145.900000000001</v>
      </c>
      <c r="H75">
        <v>16919.849999999999</v>
      </c>
      <c r="I75" s="1">
        <v>17126.5</v>
      </c>
      <c r="J75">
        <v>0</v>
      </c>
      <c r="K75">
        <v>0</v>
      </c>
      <c r="L75" t="s">
        <v>16</v>
      </c>
      <c r="M75" t="s">
        <v>17</v>
      </c>
      <c r="N75">
        <v>0</v>
      </c>
      <c r="O75">
        <v>17181.95</v>
      </c>
      <c r="P75">
        <v>9887.4500000000007</v>
      </c>
    </row>
    <row r="76" spans="1:22" x14ac:dyDescent="0.25">
      <c r="A76" t="s">
        <v>16</v>
      </c>
      <c r="B76" t="s">
        <v>17</v>
      </c>
      <c r="D76" t="s">
        <v>6433</v>
      </c>
      <c r="E76">
        <v>37411.1</v>
      </c>
      <c r="F76">
        <v>37400.65</v>
      </c>
      <c r="G76">
        <v>37400.65</v>
      </c>
      <c r="H76">
        <v>36969.1</v>
      </c>
      <c r="I76" s="1">
        <v>37288.65</v>
      </c>
      <c r="J76">
        <v>0</v>
      </c>
      <c r="K76">
        <v>0</v>
      </c>
      <c r="L76" t="s">
        <v>16</v>
      </c>
      <c r="M76" t="s">
        <v>17</v>
      </c>
      <c r="N76">
        <v>0</v>
      </c>
      <c r="O76">
        <v>37488.6</v>
      </c>
      <c r="P76">
        <v>20019.150000000001</v>
      </c>
    </row>
    <row r="77" spans="1:22" x14ac:dyDescent="0.25">
      <c r="A77" t="s">
        <v>16</v>
      </c>
      <c r="B77" t="s">
        <v>17</v>
      </c>
      <c r="D77" t="s">
        <v>6432</v>
      </c>
      <c r="E77">
        <v>15339.15</v>
      </c>
      <c r="F77">
        <v>15333.5</v>
      </c>
      <c r="G77">
        <v>15337.1</v>
      </c>
      <c r="H77">
        <v>15121.8</v>
      </c>
      <c r="I77" s="1">
        <v>15261.55</v>
      </c>
      <c r="J77">
        <v>0</v>
      </c>
      <c r="K77">
        <v>0</v>
      </c>
      <c r="L77" t="s">
        <v>16</v>
      </c>
      <c r="M77" t="s">
        <v>17</v>
      </c>
      <c r="N77">
        <v>0</v>
      </c>
      <c r="O77">
        <v>15489.25</v>
      </c>
      <c r="P77">
        <v>8394.35</v>
      </c>
    </row>
    <row r="78" spans="1:22" x14ac:dyDescent="0.25">
      <c r="A78" t="s">
        <v>16</v>
      </c>
      <c r="B78" t="s">
        <v>17</v>
      </c>
      <c r="D78" t="s">
        <v>6431</v>
      </c>
      <c r="E78">
        <v>14768.05</v>
      </c>
      <c r="F78">
        <v>14776.55</v>
      </c>
      <c r="G78">
        <v>14790.35</v>
      </c>
      <c r="H78">
        <v>14596.4</v>
      </c>
      <c r="I78" s="1">
        <v>14737.1</v>
      </c>
      <c r="J78">
        <v>0</v>
      </c>
      <c r="K78">
        <v>0</v>
      </c>
      <c r="L78" t="s">
        <v>16</v>
      </c>
      <c r="M78" t="s">
        <v>17</v>
      </c>
      <c r="N78">
        <v>0</v>
      </c>
      <c r="O78">
        <v>14843.8</v>
      </c>
      <c r="P78">
        <v>8010.1</v>
      </c>
    </row>
    <row r="79" spans="1:22" x14ac:dyDescent="0.25">
      <c r="A79" t="s">
        <v>17</v>
      </c>
      <c r="B79" t="s">
        <v>17</v>
      </c>
      <c r="D79" t="s">
        <v>17</v>
      </c>
      <c r="E79" t="s">
        <v>17</v>
      </c>
      <c r="F79" t="s">
        <v>17</v>
      </c>
      <c r="G79" t="s">
        <v>17</v>
      </c>
      <c r="H79" t="s">
        <v>17</v>
      </c>
      <c r="I79" s="1" t="s">
        <v>17</v>
      </c>
      <c r="J79" t="s">
        <v>17</v>
      </c>
      <c r="K79" t="s">
        <v>17</v>
      </c>
      <c r="L79" t="s">
        <v>16</v>
      </c>
      <c r="M79" t="s">
        <v>17</v>
      </c>
      <c r="N79" t="s">
        <v>17</v>
      </c>
      <c r="O79" t="s">
        <v>17</v>
      </c>
      <c r="P79" t="s">
        <v>17</v>
      </c>
    </row>
    <row r="80" spans="1:22" x14ac:dyDescent="0.25">
      <c r="A80" t="s">
        <v>17</v>
      </c>
      <c r="B80" t="s">
        <v>17</v>
      </c>
      <c r="D80" t="s">
        <v>17</v>
      </c>
      <c r="E80" t="s">
        <v>17</v>
      </c>
      <c r="F80" t="s">
        <v>17</v>
      </c>
      <c r="G80" t="s">
        <v>17</v>
      </c>
      <c r="H80" t="s">
        <v>17</v>
      </c>
      <c r="I80" s="1" t="s">
        <v>17</v>
      </c>
      <c r="J80" t="s">
        <v>17</v>
      </c>
      <c r="K80" t="s">
        <v>17</v>
      </c>
      <c r="L80" t="s">
        <v>16</v>
      </c>
      <c r="M80" t="s">
        <v>17</v>
      </c>
      <c r="N80" t="s">
        <v>17</v>
      </c>
      <c r="O80" t="s">
        <v>17</v>
      </c>
      <c r="P80" t="s">
        <v>17</v>
      </c>
      <c r="Q80" s="2">
        <v>44396</v>
      </c>
      <c r="R80" s="2">
        <v>43665</v>
      </c>
      <c r="V80" s="4" t="s">
        <v>6834</v>
      </c>
    </row>
    <row r="81" spans="1:23" x14ac:dyDescent="0.25">
      <c r="A81" t="s">
        <v>17</v>
      </c>
      <c r="B81" t="s">
        <v>17</v>
      </c>
      <c r="D81" t="s">
        <v>77</v>
      </c>
      <c r="E81" t="s">
        <v>17</v>
      </c>
      <c r="F81" t="s">
        <v>17</v>
      </c>
      <c r="G81" t="s">
        <v>17</v>
      </c>
      <c r="H81" t="s">
        <v>17</v>
      </c>
      <c r="I81" s="1" t="s">
        <v>17</v>
      </c>
      <c r="J81" t="s">
        <v>17</v>
      </c>
      <c r="K81" t="s">
        <v>17</v>
      </c>
      <c r="L81" t="s">
        <v>16</v>
      </c>
      <c r="M81" t="s">
        <v>17</v>
      </c>
      <c r="N81" t="s">
        <v>17</v>
      </c>
      <c r="O81" t="s">
        <v>17</v>
      </c>
      <c r="P81" t="s">
        <v>17</v>
      </c>
      <c r="Q81" s="1" t="s">
        <v>6828</v>
      </c>
      <c r="R81" s="1" t="s">
        <v>6829</v>
      </c>
      <c r="S81" s="3" t="s">
        <v>6830</v>
      </c>
      <c r="T81" s="3" t="s">
        <v>6831</v>
      </c>
      <c r="V81" s="3" t="s">
        <v>6832</v>
      </c>
      <c r="W81" s="3" t="s">
        <v>6833</v>
      </c>
    </row>
    <row r="82" spans="1:23" x14ac:dyDescent="0.25">
      <c r="A82" t="s">
        <v>78</v>
      </c>
      <c r="B82" t="s">
        <v>79</v>
      </c>
      <c r="C82" t="s">
        <v>320</v>
      </c>
      <c r="D82" t="s">
        <v>321</v>
      </c>
      <c r="E82">
        <v>3109.3</v>
      </c>
      <c r="F82">
        <v>3106</v>
      </c>
      <c r="G82">
        <v>3111</v>
      </c>
      <c r="H82">
        <v>3057.15</v>
      </c>
      <c r="I82" s="1">
        <v>3092.2</v>
      </c>
      <c r="J82">
        <v>3150450900.4000001</v>
      </c>
      <c r="K82">
        <v>1021653</v>
      </c>
      <c r="L82" t="s">
        <v>16</v>
      </c>
      <c r="M82" t="s">
        <v>17</v>
      </c>
      <c r="N82">
        <v>80772</v>
      </c>
      <c r="O82">
        <v>3743.9</v>
      </c>
      <c r="P82">
        <v>2142</v>
      </c>
      <c r="Q82" s="1" cm="1">
        <f t="array" ref="Q82:Q2886">_xlfn.XLOOKUP(C82:C2886,'Pd190721'!D:D,'Pd190721'!I:I,"",0)</f>
        <v>1332.75</v>
      </c>
      <c r="R82" s="1" cm="1">
        <f t="array" ref="R82:R2886">_xlfn.XLOOKUP(C82:C2886,'Pd190719'!D:D,'Pd190719'!I:I,"",0)</f>
        <v>130.30000000000001</v>
      </c>
      <c r="S82" s="3" cm="1">
        <f t="array" ref="S82:S2886">IFERROR(((I82:I2886/_xlfn.ANCHORARRAY(Q82))^(1/(((DATEVALUE("18-07-2024")-Q80)/365)*4)))-1,0)</f>
        <v>7.2654618554900852E-2</v>
      </c>
      <c r="T82" s="3" cm="1">
        <f t="array" ref="T82:T2886">IFERROR(((I82:I2886/_xlfn.ANCHORARRAY(R82))^(1/(((DATEVALUE("18-07-2024")-R80)/365)*4)))-1,0)</f>
        <v>0.17146279055284253</v>
      </c>
      <c r="U82" t="str" cm="1">
        <f t="array" ref="U82:U119">_xlfn._xlws.SORT(INDEX(C1:V2886,_xlfn._xlws.FILTER(IF((_xlfn.ANCHORARRAY(S82)&gt;=0.15)*(_xlfn.ANCHORARRAY(T82)&gt;=0.15)=1=FALSE,"",ROW(_xlfn.ANCHORARRAY(S82))),IF((_xlfn.ANCHORARRAY(S82)&gt;=0.15)*(_xlfn.ANCHORARRAY(T82)&gt;=0.15)=1=FALSE,"",ROW(_xlfn.ANCHORARRAY(S82)))&lt;&gt;""),2),1,1,FALSE)</f>
        <v>ACTION CONST EQUIP LTD</v>
      </c>
      <c r="V82" s="3" cm="1">
        <f t="array" ref="V82:V119">_xlfn.XLOOKUP(_xlfn.ANCHORARRAY(U82),D:D,S:S,0,0)</f>
        <v>0.16385338614039102</v>
      </c>
      <c r="W82" s="3" cm="1">
        <f t="array" ref="W82:W119">_xlfn.XLOOKUP(_xlfn.ANCHORARRAY(U82),D:D,T:T,0,0)</f>
        <v>0.15459775803338616</v>
      </c>
    </row>
    <row r="83" spans="1:23" x14ac:dyDescent="0.25">
      <c r="A83" t="s">
        <v>78</v>
      </c>
      <c r="B83" t="s">
        <v>79</v>
      </c>
      <c r="C83" t="s">
        <v>80</v>
      </c>
      <c r="D83" t="s">
        <v>81</v>
      </c>
      <c r="E83">
        <v>1499.05</v>
      </c>
      <c r="F83">
        <v>1490</v>
      </c>
      <c r="G83">
        <v>1504.25</v>
      </c>
      <c r="H83">
        <v>1472.2</v>
      </c>
      <c r="I83" s="1">
        <v>1493.9</v>
      </c>
      <c r="J83">
        <v>4859707863.25</v>
      </c>
      <c r="K83">
        <v>3263419</v>
      </c>
      <c r="L83" t="s">
        <v>16</v>
      </c>
      <c r="M83" t="s">
        <v>17</v>
      </c>
      <c r="N83">
        <v>105528</v>
      </c>
      <c r="O83">
        <v>1621.4</v>
      </c>
      <c r="P83">
        <v>725.6</v>
      </c>
      <c r="Q83" s="1">
        <v>661.4</v>
      </c>
      <c r="R83" s="1">
        <v>401.75</v>
      </c>
      <c r="S83" s="3">
        <v>7.0257084720411145E-2</v>
      </c>
      <c r="T83" s="3">
        <v>6.7831343164177937E-2</v>
      </c>
      <c r="U83" t="str">
        <v>ANANT RAJ LIMITED</v>
      </c>
      <c r="V83" s="3">
        <v>0.17717967120230793</v>
      </c>
      <c r="W83" s="3">
        <v>0.15004975625494388</v>
      </c>
    </row>
    <row r="84" spans="1:23" x14ac:dyDescent="0.25">
      <c r="A84" t="s">
        <v>78</v>
      </c>
      <c r="B84" t="s">
        <v>79</v>
      </c>
      <c r="C84" t="s">
        <v>434</v>
      </c>
      <c r="D84" t="s">
        <v>435</v>
      </c>
      <c r="E84">
        <v>6453.7</v>
      </c>
      <c r="F84">
        <v>6432</v>
      </c>
      <c r="G84">
        <v>6539.7</v>
      </c>
      <c r="H84">
        <v>6430</v>
      </c>
      <c r="I84" s="1">
        <v>6520.85</v>
      </c>
      <c r="J84">
        <v>3792588984.3499999</v>
      </c>
      <c r="K84">
        <v>583444</v>
      </c>
      <c r="L84" t="s">
        <v>16</v>
      </c>
      <c r="M84" t="s">
        <v>17</v>
      </c>
      <c r="N84">
        <v>64348</v>
      </c>
      <c r="O84">
        <v>6874.45</v>
      </c>
      <c r="P84">
        <v>4726</v>
      </c>
      <c r="Q84" s="1">
        <v>3765</v>
      </c>
      <c r="R84" s="1">
        <v>1367.05</v>
      </c>
      <c r="S84" s="3">
        <v>4.68350835840734E-2</v>
      </c>
      <c r="T84" s="3">
        <v>8.120342094784494E-2</v>
      </c>
      <c r="U84" t="str">
        <v>APAR INDUSTRIES LTD.</v>
      </c>
      <c r="V84" s="3">
        <v>0.25560196246846889</v>
      </c>
      <c r="W84" s="3">
        <v>0.15047984248319635</v>
      </c>
    </row>
    <row r="85" spans="1:23" x14ac:dyDescent="0.25">
      <c r="A85" t="s">
        <v>78</v>
      </c>
      <c r="B85" t="s">
        <v>79</v>
      </c>
      <c r="C85" t="s">
        <v>82</v>
      </c>
      <c r="D85" t="s">
        <v>83</v>
      </c>
      <c r="E85">
        <v>2974.45</v>
      </c>
      <c r="F85">
        <v>2875</v>
      </c>
      <c r="G85">
        <v>2957.9</v>
      </c>
      <c r="H85">
        <v>2842</v>
      </c>
      <c r="I85" s="1">
        <v>2931.55</v>
      </c>
      <c r="J85">
        <v>15679125504.85</v>
      </c>
      <c r="K85">
        <v>5384611</v>
      </c>
      <c r="L85" t="s">
        <v>16</v>
      </c>
      <c r="M85" t="s">
        <v>17</v>
      </c>
      <c r="N85">
        <v>248518</v>
      </c>
      <c r="O85">
        <v>3568</v>
      </c>
      <c r="P85">
        <v>2670.1</v>
      </c>
      <c r="Q85" s="1">
        <v>2965</v>
      </c>
      <c r="R85" s="1">
        <v>1365</v>
      </c>
      <c r="S85" s="3">
        <v>-9.4503143113267019E-4</v>
      </c>
      <c r="T85" s="3">
        <v>3.8936831507266012E-2</v>
      </c>
      <c r="U85" t="str">
        <v>AUTOMOTIVE STAMPINGS &amp; AS</v>
      </c>
      <c r="V85" s="3">
        <v>0.24868259831467876</v>
      </c>
      <c r="W85" s="3">
        <v>0.17364646042286336</v>
      </c>
    </row>
    <row r="86" spans="1:23" x14ac:dyDescent="0.25">
      <c r="A86" t="s">
        <v>78</v>
      </c>
      <c r="B86" t="s">
        <v>79</v>
      </c>
      <c r="C86" t="s">
        <v>84</v>
      </c>
      <c r="D86" t="s">
        <v>85</v>
      </c>
      <c r="E86">
        <v>1304</v>
      </c>
      <c r="F86">
        <v>1300</v>
      </c>
      <c r="G86">
        <v>1318.6</v>
      </c>
      <c r="H86">
        <v>1294.5</v>
      </c>
      <c r="I86" s="1">
        <v>1309.4000000000001</v>
      </c>
      <c r="J86">
        <v>8875765736.2000008</v>
      </c>
      <c r="K86">
        <v>6787511</v>
      </c>
      <c r="L86" t="s">
        <v>16</v>
      </c>
      <c r="M86" t="s">
        <v>17</v>
      </c>
      <c r="N86">
        <v>199758</v>
      </c>
      <c r="O86">
        <v>1339.65</v>
      </c>
      <c r="P86">
        <v>927.15</v>
      </c>
      <c r="Q86" s="1">
        <v>749.6</v>
      </c>
      <c r="R86" s="1">
        <v>723.3</v>
      </c>
      <c r="S86" s="3">
        <v>4.7579271803569689E-2</v>
      </c>
      <c r="T86" s="3">
        <v>3.0102961361367031E-2</v>
      </c>
      <c r="U86" t="str">
        <v>CG POWER AND IND SOL LTD</v>
      </c>
      <c r="V86" s="3">
        <v>0.20424773794406748</v>
      </c>
      <c r="W86" s="3">
        <v>0.18893070918677801</v>
      </c>
    </row>
    <row r="87" spans="1:23" x14ac:dyDescent="0.25">
      <c r="A87" t="s">
        <v>78</v>
      </c>
      <c r="B87" t="s">
        <v>79</v>
      </c>
      <c r="C87" t="s">
        <v>86</v>
      </c>
      <c r="D87" t="s">
        <v>87</v>
      </c>
      <c r="E87">
        <v>9718.35</v>
      </c>
      <c r="F87">
        <v>9745</v>
      </c>
      <c r="G87">
        <v>9745</v>
      </c>
      <c r="H87">
        <v>9291.5</v>
      </c>
      <c r="I87" s="1">
        <v>9626.2000000000007</v>
      </c>
      <c r="J87">
        <v>10012080811.5</v>
      </c>
      <c r="K87">
        <v>1055384</v>
      </c>
      <c r="L87" t="s">
        <v>16</v>
      </c>
      <c r="M87" t="s">
        <v>17</v>
      </c>
      <c r="N87">
        <v>145602</v>
      </c>
      <c r="O87">
        <v>10038.799999999999</v>
      </c>
      <c r="P87">
        <v>4541</v>
      </c>
      <c r="Q87" s="1">
        <v>3875</v>
      </c>
      <c r="R87" s="1">
        <v>2550</v>
      </c>
      <c r="S87" s="3">
        <v>7.877762749509265E-2</v>
      </c>
      <c r="T87" s="3">
        <v>6.8636337750425325E-2</v>
      </c>
      <c r="U87" t="str">
        <v>DYNACONS SYS &amp; SOLN LTD</v>
      </c>
      <c r="V87" s="3">
        <v>0.19669639531140004</v>
      </c>
      <c r="W87" s="3">
        <v>0.21392040068010076</v>
      </c>
    </row>
    <row r="88" spans="1:23" x14ac:dyDescent="0.25">
      <c r="A88" t="s">
        <v>78</v>
      </c>
      <c r="B88" t="s">
        <v>79</v>
      </c>
      <c r="C88" t="s">
        <v>88</v>
      </c>
      <c r="D88" t="s">
        <v>89</v>
      </c>
      <c r="E88">
        <v>1609.55</v>
      </c>
      <c r="F88">
        <v>1606</v>
      </c>
      <c r="G88">
        <v>1654</v>
      </c>
      <c r="H88">
        <v>1593.05</v>
      </c>
      <c r="I88" s="1">
        <v>1651.25</v>
      </c>
      <c r="J88">
        <v>4905018387.3999996</v>
      </c>
      <c r="K88">
        <v>2999670</v>
      </c>
      <c r="L88" t="s">
        <v>16</v>
      </c>
      <c r="M88" t="s">
        <v>17</v>
      </c>
      <c r="N88">
        <v>131559</v>
      </c>
      <c r="O88">
        <v>1741</v>
      </c>
      <c r="P88">
        <v>1419.05</v>
      </c>
      <c r="Q88" s="1">
        <v>2528.6400000000003</v>
      </c>
      <c r="R88" s="1">
        <v>1501.2</v>
      </c>
      <c r="S88" s="3">
        <v>-3.4889251872205707E-2</v>
      </c>
      <c r="T88" s="3">
        <v>4.7721313039066349E-3</v>
      </c>
      <c r="U88" t="str">
        <v>E2E NETWORKS LIMITED</v>
      </c>
      <c r="V88" s="3">
        <v>0.36070734136087035</v>
      </c>
      <c r="W88" s="3">
        <v>0.20579580368680994</v>
      </c>
    </row>
    <row r="89" spans="1:23" x14ac:dyDescent="0.25">
      <c r="A89" t="s">
        <v>78</v>
      </c>
      <c r="B89" t="s">
        <v>79</v>
      </c>
      <c r="C89" t="s">
        <v>90</v>
      </c>
      <c r="D89" t="s">
        <v>91</v>
      </c>
      <c r="E89">
        <v>7059.1</v>
      </c>
      <c r="F89">
        <v>7047.1</v>
      </c>
      <c r="G89">
        <v>7117.9</v>
      </c>
      <c r="H89">
        <v>6971.15</v>
      </c>
      <c r="I89" s="1">
        <v>7110</v>
      </c>
      <c r="J89">
        <v>6103833864.1999998</v>
      </c>
      <c r="K89">
        <v>864605</v>
      </c>
      <c r="L89" t="s">
        <v>16</v>
      </c>
      <c r="M89" t="s">
        <v>17</v>
      </c>
      <c r="N89">
        <v>103410</v>
      </c>
      <c r="O89">
        <v>8192</v>
      </c>
      <c r="P89">
        <v>6187.8</v>
      </c>
      <c r="Q89" s="1">
        <v>5935</v>
      </c>
      <c r="R89" s="1">
        <v>3263.1</v>
      </c>
      <c r="S89" s="3">
        <v>1.5166800688810378E-2</v>
      </c>
      <c r="T89" s="3">
        <v>3.9687204517265817E-2</v>
      </c>
      <c r="U89" t="str">
        <v>ELECON ENG. CO. LTD</v>
      </c>
      <c r="V89" s="3">
        <v>0.20474159068803854</v>
      </c>
      <c r="W89" s="3">
        <v>0.19140017230276962</v>
      </c>
    </row>
    <row r="90" spans="1:23" x14ac:dyDescent="0.25">
      <c r="A90" t="s">
        <v>78</v>
      </c>
      <c r="B90" t="s">
        <v>79</v>
      </c>
      <c r="C90" t="s">
        <v>92</v>
      </c>
      <c r="D90" t="s">
        <v>93</v>
      </c>
      <c r="E90">
        <v>1466.5</v>
      </c>
      <c r="F90">
        <v>1466</v>
      </c>
      <c r="G90">
        <v>1485.95</v>
      </c>
      <c r="H90">
        <v>1459.05</v>
      </c>
      <c r="I90" s="1">
        <v>1483.65</v>
      </c>
      <c r="J90">
        <v>9545297101.8999996</v>
      </c>
      <c r="K90">
        <v>6470342</v>
      </c>
      <c r="L90" t="s">
        <v>16</v>
      </c>
      <c r="M90" t="s">
        <v>17</v>
      </c>
      <c r="N90">
        <v>268043</v>
      </c>
      <c r="O90">
        <v>1536.25</v>
      </c>
      <c r="P90">
        <v>847.05</v>
      </c>
      <c r="Q90" s="1">
        <v>529.29999999999995</v>
      </c>
      <c r="R90" s="1">
        <v>336.1</v>
      </c>
      <c r="S90" s="3">
        <v>8.968874163931928E-2</v>
      </c>
      <c r="T90" s="3">
        <v>7.7024269218051611E-2</v>
      </c>
      <c r="U90" t="str">
        <v>FACT LTD</v>
      </c>
      <c r="V90" s="3">
        <v>0.18724005007993427</v>
      </c>
      <c r="W90" s="3">
        <v>0.18404076542578784</v>
      </c>
    </row>
    <row r="91" spans="1:23" x14ac:dyDescent="0.25">
      <c r="A91" t="s">
        <v>78</v>
      </c>
      <c r="B91" t="s">
        <v>79</v>
      </c>
      <c r="C91" t="s">
        <v>94</v>
      </c>
      <c r="D91" t="s">
        <v>95</v>
      </c>
      <c r="E91">
        <v>315.95</v>
      </c>
      <c r="F91">
        <v>318.5</v>
      </c>
      <c r="G91">
        <v>319</v>
      </c>
      <c r="H91">
        <v>312.7</v>
      </c>
      <c r="I91" s="1">
        <v>318.14999999999998</v>
      </c>
      <c r="J91">
        <v>6197685208.0500002</v>
      </c>
      <c r="K91">
        <v>19588548</v>
      </c>
      <c r="L91" t="s">
        <v>16</v>
      </c>
      <c r="M91" t="s">
        <v>17</v>
      </c>
      <c r="N91">
        <v>150426</v>
      </c>
      <c r="O91">
        <v>687.95</v>
      </c>
      <c r="P91">
        <v>293.39999999999998</v>
      </c>
      <c r="Q91" s="1">
        <v>445.2</v>
      </c>
      <c r="R91" s="1">
        <v>346.7</v>
      </c>
      <c r="S91" s="3">
        <v>-2.7611685847308887E-2</v>
      </c>
      <c r="T91" s="3">
        <v>-4.2852828644985852E-3</v>
      </c>
      <c r="U91" t="str">
        <v>GANESH HOUSING CORP LTD</v>
      </c>
      <c r="V91" s="3">
        <v>0.18242875602663999</v>
      </c>
      <c r="W91" s="3">
        <v>0.17719129328951566</v>
      </c>
    </row>
    <row r="92" spans="1:23" x14ac:dyDescent="0.25">
      <c r="A92" t="s">
        <v>78</v>
      </c>
      <c r="B92" t="s">
        <v>79</v>
      </c>
      <c r="C92" t="s">
        <v>96</v>
      </c>
      <c r="D92" t="s">
        <v>97</v>
      </c>
      <c r="E92">
        <v>5862.35</v>
      </c>
      <c r="F92">
        <v>5846.55</v>
      </c>
      <c r="G92">
        <v>5920</v>
      </c>
      <c r="H92">
        <v>5820</v>
      </c>
      <c r="I92" s="1">
        <v>5871.5</v>
      </c>
      <c r="J92">
        <v>3071911945.5999999</v>
      </c>
      <c r="K92">
        <v>523157</v>
      </c>
      <c r="L92" t="s">
        <v>16</v>
      </c>
      <c r="M92" t="s">
        <v>17</v>
      </c>
      <c r="N92">
        <v>59605</v>
      </c>
      <c r="O92">
        <v>5920</v>
      </c>
      <c r="P92">
        <v>4347.7</v>
      </c>
      <c r="Q92" s="1">
        <v>3426.1</v>
      </c>
      <c r="R92" s="1">
        <v>2712.1</v>
      </c>
      <c r="S92" s="3">
        <v>4.5913461207648609E-2</v>
      </c>
      <c r="T92" s="3">
        <v>3.9352782663924613E-2</v>
      </c>
      <c r="U92" t="str">
        <v>GARDEN REACH SHIP&amp;ENG LTD</v>
      </c>
      <c r="V92" s="3">
        <v>0.23689019920030296</v>
      </c>
      <c r="W92" s="3">
        <v>0.15952003806165793</v>
      </c>
    </row>
    <row r="93" spans="1:23" x14ac:dyDescent="0.25">
      <c r="A93" t="s">
        <v>78</v>
      </c>
      <c r="B93" t="s">
        <v>79</v>
      </c>
      <c r="C93" t="s">
        <v>98</v>
      </c>
      <c r="D93" t="s">
        <v>99</v>
      </c>
      <c r="E93">
        <v>1510.4</v>
      </c>
      <c r="F93">
        <v>1497</v>
      </c>
      <c r="G93">
        <v>1513</v>
      </c>
      <c r="H93">
        <v>1485.6</v>
      </c>
      <c r="I93" s="1">
        <v>1506.65</v>
      </c>
      <c r="J93">
        <v>3262295217.3499999</v>
      </c>
      <c r="K93">
        <v>2169744</v>
      </c>
      <c r="L93" t="s">
        <v>16</v>
      </c>
      <c r="M93" t="s">
        <v>17</v>
      </c>
      <c r="N93">
        <v>88452</v>
      </c>
      <c r="O93">
        <v>1582</v>
      </c>
      <c r="P93">
        <v>1019.5</v>
      </c>
      <c r="Q93" s="1">
        <v>971.25</v>
      </c>
      <c r="R93" s="1">
        <v>535.5</v>
      </c>
      <c r="S93" s="3">
        <v>3.7265926897059876E-2</v>
      </c>
      <c r="T93" s="3">
        <v>5.3053275857807058E-2</v>
      </c>
      <c r="U93" t="str">
        <v>GRAVITA INDIA LIMITED</v>
      </c>
      <c r="V93" s="3">
        <v>0.1909954580075961</v>
      </c>
      <c r="W93" s="3">
        <v>0.1870606513030959</v>
      </c>
    </row>
    <row r="94" spans="1:23" x14ac:dyDescent="0.25">
      <c r="A94" t="s">
        <v>78</v>
      </c>
      <c r="B94" t="s">
        <v>79</v>
      </c>
      <c r="C94" t="s">
        <v>100</v>
      </c>
      <c r="D94" t="s">
        <v>101</v>
      </c>
      <c r="E94">
        <v>512.45000000000005</v>
      </c>
      <c r="F94">
        <v>515.35</v>
      </c>
      <c r="G94">
        <v>515.79999999999995</v>
      </c>
      <c r="H94">
        <v>501.25</v>
      </c>
      <c r="I94" s="1">
        <v>505.25</v>
      </c>
      <c r="J94">
        <v>6333993548.3000002</v>
      </c>
      <c r="K94">
        <v>12540956</v>
      </c>
      <c r="L94" t="s">
        <v>16</v>
      </c>
      <c r="M94" t="s">
        <v>17</v>
      </c>
      <c r="N94">
        <v>176635</v>
      </c>
      <c r="O94">
        <v>527.4</v>
      </c>
      <c r="P94">
        <v>226.85</v>
      </c>
      <c r="Q94" s="1">
        <v>144</v>
      </c>
      <c r="R94" s="1">
        <v>217.4</v>
      </c>
      <c r="S94" s="3">
        <v>0.11027012109752499</v>
      </c>
      <c r="T94" s="3">
        <v>4.3043234508772565E-2</v>
      </c>
      <c r="U94" t="str">
        <v>GRP LIMITED</v>
      </c>
      <c r="V94" s="3">
        <v>0.25529244405373053</v>
      </c>
      <c r="W94" s="3">
        <v>0.15038756334265213</v>
      </c>
    </row>
    <row r="95" spans="1:23" x14ac:dyDescent="0.25">
      <c r="A95" t="s">
        <v>78</v>
      </c>
      <c r="B95" t="s">
        <v>79</v>
      </c>
      <c r="C95" t="s">
        <v>102</v>
      </c>
      <c r="D95" t="s">
        <v>6430</v>
      </c>
      <c r="E95">
        <v>4570.8</v>
      </c>
      <c r="F95">
        <v>4550</v>
      </c>
      <c r="G95">
        <v>4603.1000000000004</v>
      </c>
      <c r="H95">
        <v>4515.75</v>
      </c>
      <c r="I95" s="1">
        <v>4584.8</v>
      </c>
      <c r="J95">
        <v>1977137749.3</v>
      </c>
      <c r="K95">
        <v>432503</v>
      </c>
      <c r="L95" t="s">
        <v>16</v>
      </c>
      <c r="M95" t="s">
        <v>17</v>
      </c>
      <c r="N95">
        <v>71627</v>
      </c>
      <c r="O95">
        <v>4670</v>
      </c>
      <c r="P95">
        <v>3295.3</v>
      </c>
      <c r="Q95" s="1">
        <v>4735.55</v>
      </c>
      <c r="R95" s="1">
        <v>1620.05</v>
      </c>
      <c r="S95" s="3">
        <v>-2.692318518840775E-3</v>
      </c>
      <c r="T95" s="3">
        <v>5.3360982812320046E-2</v>
      </c>
      <c r="U95" t="str">
        <v>HBL POWER SYSTEMS LTD.</v>
      </c>
      <c r="V95" s="3">
        <v>0.22796051721639143</v>
      </c>
      <c r="W95" s="3">
        <v>0.18285092166883743</v>
      </c>
    </row>
    <row r="96" spans="1:23" x14ac:dyDescent="0.25">
      <c r="A96" t="s">
        <v>78</v>
      </c>
      <c r="B96" t="s">
        <v>79</v>
      </c>
      <c r="C96" t="s">
        <v>104</v>
      </c>
      <c r="D96" t="s">
        <v>6429</v>
      </c>
      <c r="E96">
        <v>6646.05</v>
      </c>
      <c r="F96">
        <v>6646</v>
      </c>
      <c r="G96">
        <v>6708.85</v>
      </c>
      <c r="H96">
        <v>6590.4</v>
      </c>
      <c r="I96" s="1">
        <v>6667.5</v>
      </c>
      <c r="J96">
        <v>2564721443.4000001</v>
      </c>
      <c r="K96">
        <v>385707</v>
      </c>
      <c r="L96" t="s">
        <v>16</v>
      </c>
      <c r="M96" t="s">
        <v>17</v>
      </c>
      <c r="N96">
        <v>57358</v>
      </c>
      <c r="O96">
        <v>6884.95</v>
      </c>
      <c r="P96">
        <v>5093</v>
      </c>
      <c r="Q96" s="1">
        <v>5382.1</v>
      </c>
      <c r="R96" s="1">
        <v>2604.0500000000002</v>
      </c>
      <c r="S96" s="3">
        <v>1.8007408263095215E-2</v>
      </c>
      <c r="T96" s="3">
        <v>4.8104304787347951E-2</v>
      </c>
      <c r="U96" t="str">
        <v>INDO TECH TRANSFORM LTD.</v>
      </c>
      <c r="V96" s="3">
        <v>0.19570446009003084</v>
      </c>
      <c r="W96" s="3">
        <v>0.16957780169624548</v>
      </c>
    </row>
    <row r="97" spans="1:23" x14ac:dyDescent="0.25">
      <c r="A97" t="s">
        <v>78</v>
      </c>
      <c r="B97" t="s">
        <v>79</v>
      </c>
      <c r="C97" t="s">
        <v>106</v>
      </c>
      <c r="D97" t="s">
        <v>107</v>
      </c>
      <c r="E97">
        <v>4916.1000000000004</v>
      </c>
      <c r="F97">
        <v>4818</v>
      </c>
      <c r="G97">
        <v>4965</v>
      </c>
      <c r="H97">
        <v>4784.95</v>
      </c>
      <c r="I97" s="1">
        <v>4941.1000000000004</v>
      </c>
      <c r="J97">
        <v>3774980887.3499999</v>
      </c>
      <c r="K97">
        <v>773064</v>
      </c>
      <c r="L97" t="s">
        <v>16</v>
      </c>
      <c r="M97" t="s">
        <v>17</v>
      </c>
      <c r="N97">
        <v>70225</v>
      </c>
      <c r="O97">
        <v>4976</v>
      </c>
      <c r="P97">
        <v>3274.9</v>
      </c>
      <c r="Q97" s="1">
        <v>2571</v>
      </c>
      <c r="R97" s="1">
        <v>17500</v>
      </c>
      <c r="S97" s="3">
        <v>5.5950265928207177E-2</v>
      </c>
      <c r="T97" s="3">
        <v>-6.124055731430067E-2</v>
      </c>
      <c r="U97" t="str">
        <v>ISMT LIMITED</v>
      </c>
      <c r="V97" s="3">
        <v>0.16981551233358583</v>
      </c>
      <c r="W97" s="3">
        <v>0.1894565287925114</v>
      </c>
    </row>
    <row r="98" spans="1:23" x14ac:dyDescent="0.25">
      <c r="A98" t="s">
        <v>78</v>
      </c>
      <c r="B98" t="s">
        <v>79</v>
      </c>
      <c r="C98" t="s">
        <v>110</v>
      </c>
      <c r="D98" t="s">
        <v>111</v>
      </c>
      <c r="E98">
        <v>2827.35</v>
      </c>
      <c r="F98">
        <v>2810</v>
      </c>
      <c r="G98">
        <v>2845.8</v>
      </c>
      <c r="H98">
        <v>2777</v>
      </c>
      <c r="I98" s="1">
        <v>2791.8</v>
      </c>
      <c r="J98">
        <v>3307842697.4499998</v>
      </c>
      <c r="K98">
        <v>1181529</v>
      </c>
      <c r="L98" t="s">
        <v>16</v>
      </c>
      <c r="M98" t="s">
        <v>17</v>
      </c>
      <c r="N98">
        <v>94035</v>
      </c>
      <c r="O98">
        <v>2852.95</v>
      </c>
      <c r="P98">
        <v>1748.6</v>
      </c>
      <c r="Q98" s="1">
        <v>1544.85</v>
      </c>
      <c r="R98" s="1">
        <v>875</v>
      </c>
      <c r="S98" s="3">
        <v>5.0549447778860168E-2</v>
      </c>
      <c r="T98" s="3">
        <v>5.9692877252885745E-2</v>
      </c>
      <c r="U98" t="str">
        <v>JAI BALAJI INDUSTRIES LTD</v>
      </c>
      <c r="V98" s="3">
        <v>0.24302259030853701</v>
      </c>
      <c r="W98" s="3">
        <v>0.19743982653103553</v>
      </c>
    </row>
    <row r="99" spans="1:23" x14ac:dyDescent="0.25">
      <c r="A99" t="s">
        <v>78</v>
      </c>
      <c r="B99" t="s">
        <v>79</v>
      </c>
      <c r="C99" t="s">
        <v>112</v>
      </c>
      <c r="D99" t="s">
        <v>113</v>
      </c>
      <c r="E99">
        <v>1569.55</v>
      </c>
      <c r="F99">
        <v>1558.05</v>
      </c>
      <c r="G99">
        <v>1599.25</v>
      </c>
      <c r="H99">
        <v>1557</v>
      </c>
      <c r="I99" s="1">
        <v>1594.55</v>
      </c>
      <c r="J99">
        <v>6966536295.5</v>
      </c>
      <c r="K99">
        <v>4399468</v>
      </c>
      <c r="L99" t="s">
        <v>16</v>
      </c>
      <c r="M99" t="s">
        <v>17</v>
      </c>
      <c r="N99">
        <v>205545</v>
      </c>
      <c r="O99">
        <v>1697.35</v>
      </c>
      <c r="P99">
        <v>1095</v>
      </c>
      <c r="Q99" s="1">
        <v>992.5</v>
      </c>
      <c r="R99" s="1">
        <v>1009.2</v>
      </c>
      <c r="S99" s="3">
        <v>4.0300887207488145E-2</v>
      </c>
      <c r="T99" s="3">
        <v>2.312242852293056E-2</v>
      </c>
      <c r="U99" t="str">
        <v>JIND POL INV &amp; FIN CO LTD</v>
      </c>
      <c r="V99" s="3">
        <v>0.30021530297024679</v>
      </c>
      <c r="W99" s="3">
        <v>0.21293028391428837</v>
      </c>
    </row>
    <row r="100" spans="1:23" x14ac:dyDescent="0.25">
      <c r="A100" t="s">
        <v>78</v>
      </c>
      <c r="B100" t="s">
        <v>79</v>
      </c>
      <c r="C100" t="s">
        <v>116</v>
      </c>
      <c r="D100" t="s">
        <v>117</v>
      </c>
      <c r="E100">
        <v>1619.75</v>
      </c>
      <c r="F100">
        <v>1608</v>
      </c>
      <c r="G100">
        <v>1623.95</v>
      </c>
      <c r="H100">
        <v>1599.15</v>
      </c>
      <c r="I100" s="1">
        <v>1614.8</v>
      </c>
      <c r="J100">
        <v>27197655556.650002</v>
      </c>
      <c r="K100">
        <v>16858532</v>
      </c>
      <c r="L100" t="s">
        <v>16</v>
      </c>
      <c r="M100" t="s">
        <v>17</v>
      </c>
      <c r="N100">
        <v>332318</v>
      </c>
      <c r="O100">
        <v>1794</v>
      </c>
      <c r="P100">
        <v>1363.55</v>
      </c>
      <c r="Q100" s="1">
        <v>1466</v>
      </c>
      <c r="R100" s="1">
        <v>2367</v>
      </c>
      <c r="S100" s="3">
        <v>8.0886634415127112E-3</v>
      </c>
      <c r="T100" s="3">
        <v>-1.8928698623791429E-2</v>
      </c>
      <c r="U100" t="str">
        <v>JINDAL PHOTO LIMITED</v>
      </c>
      <c r="V100" s="3">
        <v>0.23228049673157214</v>
      </c>
      <c r="W100" s="3">
        <v>0.21845475547615645</v>
      </c>
    </row>
    <row r="101" spans="1:23" x14ac:dyDescent="0.25">
      <c r="A101" t="s">
        <v>78</v>
      </c>
      <c r="B101" t="s">
        <v>79</v>
      </c>
      <c r="C101" t="s">
        <v>118</v>
      </c>
      <c r="D101" t="s">
        <v>119</v>
      </c>
      <c r="E101">
        <v>646.75</v>
      </c>
      <c r="F101">
        <v>646.75</v>
      </c>
      <c r="G101">
        <v>651.4</v>
      </c>
      <c r="H101">
        <v>641.1</v>
      </c>
      <c r="I101" s="1">
        <v>648.9</v>
      </c>
      <c r="J101">
        <v>2571462189.1999998</v>
      </c>
      <c r="K101">
        <v>3975243</v>
      </c>
      <c r="L101" t="s">
        <v>16</v>
      </c>
      <c r="M101" t="s">
        <v>17</v>
      </c>
      <c r="N101">
        <v>95629</v>
      </c>
      <c r="O101">
        <v>710.6</v>
      </c>
      <c r="P101">
        <v>511.4</v>
      </c>
      <c r="Q101" s="1">
        <v>677</v>
      </c>
      <c r="R101" s="1">
        <v>485</v>
      </c>
      <c r="S101" s="3">
        <v>-3.5264882234513628E-3</v>
      </c>
      <c r="T101" s="3">
        <v>1.4654859479690696E-2</v>
      </c>
      <c r="U101" t="str">
        <v>JINDAL STAINLESS LIMITED</v>
      </c>
      <c r="V101" s="3">
        <v>0.16866616890743424</v>
      </c>
      <c r="W101" s="3">
        <v>0.17853958023232064</v>
      </c>
    </row>
    <row r="102" spans="1:23" x14ac:dyDescent="0.25">
      <c r="A102" t="s">
        <v>78</v>
      </c>
      <c r="B102" t="s">
        <v>79</v>
      </c>
      <c r="C102" t="s">
        <v>120</v>
      </c>
      <c r="D102" t="s">
        <v>121</v>
      </c>
      <c r="E102">
        <v>5578.1</v>
      </c>
      <c r="F102">
        <v>5545.5</v>
      </c>
      <c r="G102">
        <v>5578</v>
      </c>
      <c r="H102">
        <v>5417.1</v>
      </c>
      <c r="I102" s="1">
        <v>5502.2</v>
      </c>
      <c r="J102">
        <v>4618407191.6999998</v>
      </c>
      <c r="K102">
        <v>841644</v>
      </c>
      <c r="L102" t="s">
        <v>16</v>
      </c>
      <c r="M102" t="s">
        <v>17</v>
      </c>
      <c r="N102">
        <v>66949</v>
      </c>
      <c r="O102">
        <v>5894.55</v>
      </c>
      <c r="P102">
        <v>2890</v>
      </c>
      <c r="Q102" s="1">
        <v>2870.1</v>
      </c>
      <c r="R102" s="1">
        <v>2378.9499999999998</v>
      </c>
      <c r="S102" s="3">
        <v>5.573101091518784E-2</v>
      </c>
      <c r="T102" s="3">
        <v>4.279173806108405E-2</v>
      </c>
      <c r="U102" t="str">
        <v>JITF INFRALOGISTICS LTD</v>
      </c>
      <c r="V102" s="3">
        <v>0.37025827040210113</v>
      </c>
      <c r="W102" s="3">
        <v>0.25871055497852913</v>
      </c>
    </row>
    <row r="103" spans="1:23" x14ac:dyDescent="0.25">
      <c r="A103" t="s">
        <v>78</v>
      </c>
      <c r="B103" t="s">
        <v>79</v>
      </c>
      <c r="C103" t="s">
        <v>122</v>
      </c>
      <c r="D103" t="s">
        <v>123</v>
      </c>
      <c r="E103">
        <v>690.8</v>
      </c>
      <c r="F103">
        <v>686</v>
      </c>
      <c r="G103">
        <v>695.85</v>
      </c>
      <c r="H103">
        <v>684.1</v>
      </c>
      <c r="I103" s="1">
        <v>689.95</v>
      </c>
      <c r="J103">
        <v>5416627303.8999996</v>
      </c>
      <c r="K103">
        <v>7841505</v>
      </c>
      <c r="L103" t="s">
        <v>16</v>
      </c>
      <c r="M103" t="s">
        <v>17</v>
      </c>
      <c r="N103">
        <v>152276</v>
      </c>
      <c r="O103">
        <v>715.25</v>
      </c>
      <c r="P103">
        <v>431.5</v>
      </c>
      <c r="Q103" s="1">
        <v>396.2</v>
      </c>
      <c r="R103" s="1">
        <v>195</v>
      </c>
      <c r="S103" s="3">
        <v>4.7310028937796345E-2</v>
      </c>
      <c r="T103" s="3">
        <v>6.5182747009096209E-2</v>
      </c>
      <c r="U103" t="str">
        <v>KERNEX MICROSYS(I) LTD</v>
      </c>
      <c r="V103" s="3">
        <v>0.17969827888535739</v>
      </c>
      <c r="W103" s="3">
        <v>0.16444458617458735</v>
      </c>
    </row>
    <row r="104" spans="1:23" x14ac:dyDescent="0.25">
      <c r="A104" t="s">
        <v>78</v>
      </c>
      <c r="B104" t="s">
        <v>79</v>
      </c>
      <c r="C104" t="s">
        <v>124</v>
      </c>
      <c r="D104" t="s">
        <v>125</v>
      </c>
      <c r="E104">
        <v>2688.45</v>
      </c>
      <c r="F104">
        <v>2700</v>
      </c>
      <c r="G104">
        <v>2751.2</v>
      </c>
      <c r="H104">
        <v>2655</v>
      </c>
      <c r="I104" s="1">
        <v>2738.4</v>
      </c>
      <c r="J104">
        <v>15149949456.15</v>
      </c>
      <c r="K104">
        <v>5569762</v>
      </c>
      <c r="L104" t="s">
        <v>16</v>
      </c>
      <c r="M104" t="s">
        <v>17</v>
      </c>
      <c r="N104">
        <v>213269</v>
      </c>
      <c r="O104">
        <v>2751.2</v>
      </c>
      <c r="P104">
        <v>2172.0500000000002</v>
      </c>
      <c r="Q104" s="1">
        <v>2398.5</v>
      </c>
      <c r="R104" s="1">
        <v>1709.15</v>
      </c>
      <c r="S104" s="3">
        <v>1.1105401048688401E-2</v>
      </c>
      <c r="T104" s="3">
        <v>2.383560781158911E-2</v>
      </c>
      <c r="U104" t="str">
        <v>KIRLOSKAR ELECTRIC CO LTD</v>
      </c>
      <c r="V104" s="3">
        <v>0.22774498172728985</v>
      </c>
      <c r="W104" s="3">
        <v>0.16547921421895184</v>
      </c>
    </row>
    <row r="105" spans="1:23" x14ac:dyDescent="0.25">
      <c r="A105" t="s">
        <v>78</v>
      </c>
      <c r="B105" t="s">
        <v>79</v>
      </c>
      <c r="C105" t="s">
        <v>126</v>
      </c>
      <c r="D105" t="s">
        <v>127</v>
      </c>
      <c r="E105">
        <v>1239.9000000000001</v>
      </c>
      <c r="F105">
        <v>1234.9000000000001</v>
      </c>
      <c r="G105">
        <v>1256.45</v>
      </c>
      <c r="H105">
        <v>1231.7</v>
      </c>
      <c r="I105" s="1">
        <v>1250.3</v>
      </c>
      <c r="J105">
        <v>13707637498.200001</v>
      </c>
      <c r="K105">
        <v>10999632</v>
      </c>
      <c r="L105" t="s">
        <v>16</v>
      </c>
      <c r="M105" t="s">
        <v>17</v>
      </c>
      <c r="N105">
        <v>260080</v>
      </c>
      <c r="O105">
        <v>1257.8</v>
      </c>
      <c r="P105">
        <v>899</v>
      </c>
      <c r="Q105" s="1">
        <v>645.54999999999995</v>
      </c>
      <c r="R105" s="1">
        <v>408.5</v>
      </c>
      <c r="S105" s="3">
        <v>5.6631845162669725E-2</v>
      </c>
      <c r="T105" s="3">
        <v>5.7493741041892532E-2</v>
      </c>
      <c r="U105" t="str">
        <v>KPIT TECHNOLOGIES LIMITED</v>
      </c>
      <c r="V105" s="3">
        <v>0.17609226741367157</v>
      </c>
      <c r="W105" s="3">
        <v>0.1684121245703476</v>
      </c>
    </row>
    <row r="106" spans="1:23" x14ac:dyDescent="0.25">
      <c r="A106" t="s">
        <v>78</v>
      </c>
      <c r="B106" t="s">
        <v>79</v>
      </c>
      <c r="C106" t="s">
        <v>128</v>
      </c>
      <c r="D106" t="s">
        <v>129</v>
      </c>
      <c r="E106">
        <v>1445.9</v>
      </c>
      <c r="F106">
        <v>1440.7</v>
      </c>
      <c r="G106">
        <v>1460.85</v>
      </c>
      <c r="H106">
        <v>1438</v>
      </c>
      <c r="I106" s="1">
        <v>1456.9</v>
      </c>
      <c r="J106">
        <v>5276259150.1499996</v>
      </c>
      <c r="K106">
        <v>3634938</v>
      </c>
      <c r="L106" t="s">
        <v>16</v>
      </c>
      <c r="M106" t="s">
        <v>17</v>
      </c>
      <c r="N106">
        <v>142148</v>
      </c>
      <c r="O106">
        <v>1694.5</v>
      </c>
      <c r="P106">
        <v>1354.05</v>
      </c>
      <c r="Q106" s="1">
        <v>1005.55</v>
      </c>
      <c r="R106" s="1">
        <v>1407.2</v>
      </c>
      <c r="S106" s="3">
        <v>3.138031794400975E-2</v>
      </c>
      <c r="T106" s="3">
        <v>1.7360035141789076E-3</v>
      </c>
      <c r="U106" t="str">
        <v>PITTI ENGINEERING LIMITED</v>
      </c>
      <c r="V106" s="3">
        <v>0.18522331580425755</v>
      </c>
      <c r="W106" s="3">
        <v>0.17573834337286298</v>
      </c>
    </row>
    <row r="107" spans="1:23" x14ac:dyDescent="0.25">
      <c r="A107" t="s">
        <v>78</v>
      </c>
      <c r="B107" t="s">
        <v>79</v>
      </c>
      <c r="C107" t="s">
        <v>130</v>
      </c>
      <c r="D107" t="s">
        <v>131</v>
      </c>
      <c r="E107">
        <v>1726.05</v>
      </c>
      <c r="F107">
        <v>1719</v>
      </c>
      <c r="G107">
        <v>1765.4</v>
      </c>
      <c r="H107">
        <v>1719</v>
      </c>
      <c r="I107" s="1">
        <v>1758.05</v>
      </c>
      <c r="J107">
        <v>19658277359.25</v>
      </c>
      <c r="K107">
        <v>11248896</v>
      </c>
      <c r="L107" t="s">
        <v>16</v>
      </c>
      <c r="M107" t="s">
        <v>17</v>
      </c>
      <c r="N107">
        <v>341763</v>
      </c>
      <c r="O107">
        <v>1765.4</v>
      </c>
      <c r="P107">
        <v>1305</v>
      </c>
      <c r="Q107" s="1">
        <v>1537.55</v>
      </c>
      <c r="R107" s="1">
        <v>781.25</v>
      </c>
      <c r="S107" s="3">
        <v>1.1230510626742962E-2</v>
      </c>
      <c r="T107" s="3">
        <v>4.1363650947447095E-2</v>
      </c>
      <c r="U107" t="str">
        <v>PRAKASH STEELAGE LTD</v>
      </c>
      <c r="V107" s="3">
        <v>0.1700758059132299</v>
      </c>
      <c r="W107" s="3">
        <v>0.19537899105867118</v>
      </c>
    </row>
    <row r="108" spans="1:23" x14ac:dyDescent="0.25">
      <c r="A108" t="s">
        <v>78</v>
      </c>
      <c r="B108" t="s">
        <v>79</v>
      </c>
      <c r="C108" t="s">
        <v>134</v>
      </c>
      <c r="D108" t="s">
        <v>135</v>
      </c>
      <c r="E108">
        <v>465.55</v>
      </c>
      <c r="F108">
        <v>463</v>
      </c>
      <c r="G108">
        <v>470.9</v>
      </c>
      <c r="H108">
        <v>462.65</v>
      </c>
      <c r="I108" s="1">
        <v>470.25</v>
      </c>
      <c r="J108">
        <v>9870374413.5</v>
      </c>
      <c r="K108">
        <v>21094737</v>
      </c>
      <c r="L108" t="s">
        <v>16</v>
      </c>
      <c r="M108" t="s">
        <v>17</v>
      </c>
      <c r="N108">
        <v>196712</v>
      </c>
      <c r="O108">
        <v>499.7</v>
      </c>
      <c r="P108">
        <v>399.35</v>
      </c>
      <c r="Q108" s="1">
        <v>206.35</v>
      </c>
      <c r="R108" s="1">
        <v>268</v>
      </c>
      <c r="S108" s="3">
        <v>7.1051517623792249E-2</v>
      </c>
      <c r="T108" s="3">
        <v>2.8496963714464529E-2</v>
      </c>
      <c r="U108" t="str">
        <v>RAIL VIKAS NIGAM LIMITED</v>
      </c>
      <c r="V108" s="3">
        <v>0.27757750485696886</v>
      </c>
      <c r="W108" s="3">
        <v>0.17302348764152398</v>
      </c>
    </row>
    <row r="109" spans="1:23" x14ac:dyDescent="0.25">
      <c r="A109" t="s">
        <v>78</v>
      </c>
      <c r="B109" t="s">
        <v>79</v>
      </c>
      <c r="C109" t="s">
        <v>136</v>
      </c>
      <c r="D109" t="s">
        <v>137</v>
      </c>
      <c r="E109">
        <v>934.35</v>
      </c>
      <c r="F109">
        <v>934.35</v>
      </c>
      <c r="G109">
        <v>935.35</v>
      </c>
      <c r="H109">
        <v>921.35</v>
      </c>
      <c r="I109" s="1">
        <v>931.45</v>
      </c>
      <c r="J109">
        <v>1684933466.8</v>
      </c>
      <c r="K109">
        <v>1812254</v>
      </c>
      <c r="L109" t="s">
        <v>16</v>
      </c>
      <c r="M109" t="s">
        <v>17</v>
      </c>
      <c r="N109">
        <v>78323</v>
      </c>
      <c r="O109">
        <v>959.4</v>
      </c>
      <c r="P109">
        <v>723</v>
      </c>
      <c r="Q109" s="1">
        <v>694</v>
      </c>
      <c r="R109" s="1">
        <v>258.2</v>
      </c>
      <c r="S109" s="3">
        <v>2.4825696501032057E-2</v>
      </c>
      <c r="T109" s="3">
        <v>6.6215294327369723E-2</v>
      </c>
      <c r="U109" t="str">
        <v>REGENCYCERAMICS-LTD</v>
      </c>
      <c r="V109" s="3">
        <v>0.34715625204707123</v>
      </c>
      <c r="W109" s="3">
        <v>0.16388616803974543</v>
      </c>
    </row>
    <row r="110" spans="1:23" x14ac:dyDescent="0.25">
      <c r="A110" t="s">
        <v>78</v>
      </c>
      <c r="B110" t="s">
        <v>79</v>
      </c>
      <c r="C110" t="s">
        <v>138</v>
      </c>
      <c r="D110" t="s">
        <v>139</v>
      </c>
      <c r="E110">
        <v>1805.3</v>
      </c>
      <c r="F110">
        <v>1805</v>
      </c>
      <c r="G110">
        <v>1831.2</v>
      </c>
      <c r="H110">
        <v>1793.15</v>
      </c>
      <c r="I110" s="1">
        <v>1826.75</v>
      </c>
      <c r="J110">
        <v>13734130255.700001</v>
      </c>
      <c r="K110">
        <v>7590838</v>
      </c>
      <c r="L110" t="s">
        <v>16</v>
      </c>
      <c r="M110" t="s">
        <v>17</v>
      </c>
      <c r="N110">
        <v>219186</v>
      </c>
      <c r="O110">
        <v>1987.75</v>
      </c>
      <c r="P110">
        <v>1543.85</v>
      </c>
      <c r="Q110" s="1">
        <v>1712</v>
      </c>
      <c r="R110" s="1">
        <v>1490</v>
      </c>
      <c r="S110" s="3">
        <v>5.4209868258305871E-3</v>
      </c>
      <c r="T110" s="3">
        <v>1.0234554545541119E-2</v>
      </c>
      <c r="U110" t="str">
        <v>SHEKHAWATI POLY-YARN LTD.</v>
      </c>
      <c r="V110" s="3">
        <v>0.18760257315729412</v>
      </c>
      <c r="W110" s="3">
        <v>0.18022999104244541</v>
      </c>
    </row>
    <row r="111" spans="1:23" x14ac:dyDescent="0.25">
      <c r="A111" t="s">
        <v>78</v>
      </c>
      <c r="B111" t="s">
        <v>79</v>
      </c>
      <c r="C111" t="s">
        <v>140</v>
      </c>
      <c r="D111" t="s">
        <v>141</v>
      </c>
      <c r="E111">
        <v>3636.55</v>
      </c>
      <c r="F111">
        <v>3640</v>
      </c>
      <c r="G111">
        <v>3679.25</v>
      </c>
      <c r="H111">
        <v>3598.65</v>
      </c>
      <c r="I111" s="1">
        <v>3656.2</v>
      </c>
      <c r="J111">
        <v>11826560025.200001</v>
      </c>
      <c r="K111">
        <v>3240772</v>
      </c>
      <c r="L111" t="s">
        <v>16</v>
      </c>
      <c r="M111" t="s">
        <v>17</v>
      </c>
      <c r="N111">
        <v>167559</v>
      </c>
      <c r="O111">
        <v>3919.9</v>
      </c>
      <c r="P111">
        <v>2465</v>
      </c>
      <c r="Q111" s="1">
        <v>1597.6</v>
      </c>
      <c r="R111" s="1">
        <v>1402.1</v>
      </c>
      <c r="S111" s="3">
        <v>7.1429231761628742E-2</v>
      </c>
      <c r="T111" s="3">
        <v>4.9061985322408352E-2</v>
      </c>
      <c r="U111" t="str">
        <v>SOLEX ENERGY LIMITED</v>
      </c>
      <c r="V111" s="3">
        <v>0.31810754966516175</v>
      </c>
      <c r="W111" s="3">
        <v>0.22798875439360344</v>
      </c>
    </row>
    <row r="112" spans="1:23" x14ac:dyDescent="0.25">
      <c r="A112" t="s">
        <v>78</v>
      </c>
      <c r="B112" t="s">
        <v>79</v>
      </c>
      <c r="C112" t="s">
        <v>6428</v>
      </c>
      <c r="D112" t="s">
        <v>6427</v>
      </c>
      <c r="E112">
        <v>5562.35</v>
      </c>
      <c r="F112">
        <v>5605</v>
      </c>
      <c r="G112">
        <v>5778</v>
      </c>
      <c r="H112">
        <v>5605</v>
      </c>
      <c r="I112" s="1">
        <v>5756.9</v>
      </c>
      <c r="J112">
        <v>14817733999.5</v>
      </c>
      <c r="K112">
        <v>2592299</v>
      </c>
      <c r="L112" t="s">
        <v>16</v>
      </c>
      <c r="M112" t="s">
        <v>17</v>
      </c>
      <c r="N112">
        <v>180044</v>
      </c>
      <c r="O112">
        <v>6442</v>
      </c>
      <c r="P112">
        <v>4513.55</v>
      </c>
      <c r="Q112" s="1" t="str">
        <v/>
      </c>
      <c r="R112" s="1" t="str">
        <v/>
      </c>
      <c r="S112" s="3">
        <v>0</v>
      </c>
      <c r="T112" s="3">
        <v>0</v>
      </c>
      <c r="U112" t="str">
        <v>SPACENET ENTERS IND LTD</v>
      </c>
      <c r="V112" s="3">
        <v>0.25812346892649685</v>
      </c>
      <c r="W112" s="3">
        <v>0.18961981374895709</v>
      </c>
    </row>
    <row r="113" spans="1:23" x14ac:dyDescent="0.25">
      <c r="A113" t="s">
        <v>78</v>
      </c>
      <c r="B113" t="s">
        <v>79</v>
      </c>
      <c r="C113" t="s">
        <v>142</v>
      </c>
      <c r="D113" t="s">
        <v>143</v>
      </c>
      <c r="E113">
        <v>2756.75</v>
      </c>
      <c r="F113">
        <v>2756</v>
      </c>
      <c r="G113">
        <v>2825.95</v>
      </c>
      <c r="H113">
        <v>2736.5</v>
      </c>
      <c r="I113" s="1">
        <v>2819.45</v>
      </c>
      <c r="J113">
        <v>11499761577.25</v>
      </c>
      <c r="K113">
        <v>4122844</v>
      </c>
      <c r="L113" t="s">
        <v>16</v>
      </c>
      <c r="M113" t="s">
        <v>17</v>
      </c>
      <c r="N113">
        <v>208380</v>
      </c>
      <c r="O113">
        <v>3013.5</v>
      </c>
      <c r="P113">
        <v>1415.75</v>
      </c>
      <c r="Q113" s="1">
        <v>770</v>
      </c>
      <c r="R113" s="1">
        <v>570</v>
      </c>
      <c r="S113" s="3">
        <v>0.114224762566697</v>
      </c>
      <c r="T113" s="3">
        <v>8.3167113807192994E-2</v>
      </c>
      <c r="U113" t="str">
        <v>TILAKNAGAR INDUSTRIES LTD</v>
      </c>
      <c r="V113" s="3">
        <v>0.1578465926466821</v>
      </c>
      <c r="W113" s="3">
        <v>0.16027942661447248</v>
      </c>
    </row>
    <row r="114" spans="1:23" x14ac:dyDescent="0.25">
      <c r="A114" t="s">
        <v>78</v>
      </c>
      <c r="B114" t="s">
        <v>79</v>
      </c>
      <c r="C114" t="s">
        <v>144</v>
      </c>
      <c r="D114" t="s">
        <v>145</v>
      </c>
      <c r="E114">
        <v>12639.55</v>
      </c>
      <c r="F114">
        <v>12633</v>
      </c>
      <c r="G114">
        <v>12680</v>
      </c>
      <c r="H114">
        <v>12463</v>
      </c>
      <c r="I114" s="1">
        <v>12644.05</v>
      </c>
      <c r="J114">
        <v>4926876858.5</v>
      </c>
      <c r="K114">
        <v>391216</v>
      </c>
      <c r="L114" t="s">
        <v>16</v>
      </c>
      <c r="M114" t="s">
        <v>17</v>
      </c>
      <c r="N114">
        <v>80921</v>
      </c>
      <c r="O114">
        <v>13300</v>
      </c>
      <c r="P114">
        <v>9254.15</v>
      </c>
      <c r="Q114" s="1">
        <v>7151.1</v>
      </c>
      <c r="R114" s="1">
        <v>5710.1</v>
      </c>
      <c r="S114" s="3">
        <v>4.8639258910988525E-2</v>
      </c>
      <c r="T114" s="3">
        <v>4.0525363771291012E-2</v>
      </c>
      <c r="U114" t="str">
        <v>TRANS &amp; RECTI. LTD</v>
      </c>
      <c r="V114" s="3">
        <v>0.2984828132154016</v>
      </c>
      <c r="W114" s="3">
        <v>0.24124092223229709</v>
      </c>
    </row>
    <row r="115" spans="1:23" x14ac:dyDescent="0.25">
      <c r="A115" t="s">
        <v>78</v>
      </c>
      <c r="B115" t="s">
        <v>79</v>
      </c>
      <c r="C115" t="s">
        <v>146</v>
      </c>
      <c r="D115" t="s">
        <v>147</v>
      </c>
      <c r="E115">
        <v>2607.3000000000002</v>
      </c>
      <c r="F115">
        <v>2575</v>
      </c>
      <c r="G115">
        <v>2634.9</v>
      </c>
      <c r="H115">
        <v>2575</v>
      </c>
      <c r="I115" s="1">
        <v>2627.05</v>
      </c>
      <c r="J115">
        <v>2265876408.3000002</v>
      </c>
      <c r="K115">
        <v>866797</v>
      </c>
      <c r="L115" t="s">
        <v>16</v>
      </c>
      <c r="M115" t="s">
        <v>17</v>
      </c>
      <c r="N115">
        <v>99155</v>
      </c>
      <c r="O115">
        <v>27693</v>
      </c>
      <c r="P115">
        <v>2327.4499999999998</v>
      </c>
      <c r="Q115" s="1">
        <v>1755</v>
      </c>
      <c r="R115" s="1">
        <v>1151.23</v>
      </c>
      <c r="S115" s="3">
        <v>3.4187461690503573E-2</v>
      </c>
      <c r="T115" s="3">
        <v>4.2090653619416996E-2</v>
      </c>
      <c r="U115" t="str">
        <v>VALOR ESTATE LIMITED</v>
      </c>
      <c r="V115" s="3">
        <v>0.17816391769323414</v>
      </c>
      <c r="W115" s="3">
        <v>0.16468444932741333</v>
      </c>
    </row>
    <row r="116" spans="1:23" x14ac:dyDescent="0.25">
      <c r="A116" t="s">
        <v>78</v>
      </c>
      <c r="B116" t="s">
        <v>79</v>
      </c>
      <c r="C116" t="s">
        <v>148</v>
      </c>
      <c r="D116" t="s">
        <v>149</v>
      </c>
      <c r="E116">
        <v>380.45</v>
      </c>
      <c r="F116">
        <v>382.9</v>
      </c>
      <c r="G116">
        <v>382.9</v>
      </c>
      <c r="H116">
        <v>374.2</v>
      </c>
      <c r="I116" s="1">
        <v>377.75</v>
      </c>
      <c r="J116">
        <v>5930775206.25</v>
      </c>
      <c r="K116">
        <v>15709153</v>
      </c>
      <c r="L116" t="s">
        <v>16</v>
      </c>
      <c r="M116" t="s">
        <v>17</v>
      </c>
      <c r="N116">
        <v>206857</v>
      </c>
      <c r="O116">
        <v>393.2</v>
      </c>
      <c r="P116">
        <v>185.8</v>
      </c>
      <c r="Q116" s="1">
        <v>118.5</v>
      </c>
      <c r="R116" s="1">
        <v>126.05</v>
      </c>
      <c r="S116" s="3">
        <v>0.10143069887098721</v>
      </c>
      <c r="T116" s="3">
        <v>5.6379656500640918E-2</v>
      </c>
      <c r="U116" t="str">
        <v>W.S.INDUSTRIES (I) LTD.</v>
      </c>
      <c r="V116" s="3">
        <v>0.32479906150162807</v>
      </c>
      <c r="W116" s="3">
        <v>0.31938676928545218</v>
      </c>
    </row>
    <row r="117" spans="1:23" x14ac:dyDescent="0.25">
      <c r="A117" t="s">
        <v>78</v>
      </c>
      <c r="B117" t="s">
        <v>79</v>
      </c>
      <c r="C117" t="s">
        <v>150</v>
      </c>
      <c r="D117" t="s">
        <v>151</v>
      </c>
      <c r="E117">
        <v>322.64999999999998</v>
      </c>
      <c r="F117">
        <v>325.10000000000002</v>
      </c>
      <c r="G117">
        <v>333.3</v>
      </c>
      <c r="H117">
        <v>321.64999999999998</v>
      </c>
      <c r="I117" s="1">
        <v>331.7</v>
      </c>
      <c r="J117">
        <v>15849414266.450001</v>
      </c>
      <c r="K117">
        <v>48189915</v>
      </c>
      <c r="L117" t="s">
        <v>16</v>
      </c>
      <c r="M117" t="s">
        <v>17</v>
      </c>
      <c r="N117">
        <v>363443</v>
      </c>
      <c r="O117">
        <v>333.3</v>
      </c>
      <c r="P117">
        <v>166</v>
      </c>
      <c r="Q117" s="1">
        <v>114.2</v>
      </c>
      <c r="R117" s="1">
        <v>140.4</v>
      </c>
      <c r="S117" s="3">
        <v>9.2923960667570471E-2</v>
      </c>
      <c r="T117" s="3">
        <v>4.3899511235057975E-2</v>
      </c>
      <c r="U117" t="str">
        <v>WEBSOL ENERGY SYSTEM LTD</v>
      </c>
      <c r="V117" s="3">
        <v>0.18885646327914651</v>
      </c>
      <c r="W117" s="3">
        <v>0.17333291020158037</v>
      </c>
    </row>
    <row r="118" spans="1:23" x14ac:dyDescent="0.25">
      <c r="A118" t="s">
        <v>78</v>
      </c>
      <c r="B118" t="s">
        <v>79</v>
      </c>
      <c r="C118" t="s">
        <v>152</v>
      </c>
      <c r="D118" t="s">
        <v>153</v>
      </c>
      <c r="E118">
        <v>342.45</v>
      </c>
      <c r="F118">
        <v>342</v>
      </c>
      <c r="G118">
        <v>344.7</v>
      </c>
      <c r="H118">
        <v>336.95</v>
      </c>
      <c r="I118" s="1">
        <v>341.25</v>
      </c>
      <c r="J118">
        <v>4740043866.5500002</v>
      </c>
      <c r="K118">
        <v>13908161</v>
      </c>
      <c r="L118" t="s">
        <v>16</v>
      </c>
      <c r="M118" t="s">
        <v>17</v>
      </c>
      <c r="N118">
        <v>210347</v>
      </c>
      <c r="O118">
        <v>348.75</v>
      </c>
      <c r="P118">
        <v>190.65</v>
      </c>
      <c r="Q118" s="1">
        <v>231.5</v>
      </c>
      <c r="R118" s="1">
        <v>202.8</v>
      </c>
      <c r="S118" s="3">
        <v>3.2864788402884093E-2</v>
      </c>
      <c r="T118" s="3">
        <v>2.6346597621255574E-2</v>
      </c>
      <c r="U118" t="str">
        <v>ZEN TECHNOLOGIES LIMITED</v>
      </c>
      <c r="V118" s="3">
        <v>0.25214491126854943</v>
      </c>
      <c r="W118" s="3">
        <v>0.17596059887790827</v>
      </c>
    </row>
    <row r="119" spans="1:23" x14ac:dyDescent="0.25">
      <c r="A119" t="s">
        <v>78</v>
      </c>
      <c r="B119" t="s">
        <v>79</v>
      </c>
      <c r="C119" t="s">
        <v>154</v>
      </c>
      <c r="D119" t="s">
        <v>155</v>
      </c>
      <c r="E119">
        <v>3152.5</v>
      </c>
      <c r="F119">
        <v>3152</v>
      </c>
      <c r="G119">
        <v>3187.8</v>
      </c>
      <c r="H119">
        <v>3115.65</v>
      </c>
      <c r="I119" s="1">
        <v>3173.35</v>
      </c>
      <c r="J119">
        <v>19403909511.400002</v>
      </c>
      <c r="K119">
        <v>6149187</v>
      </c>
      <c r="L119" t="s">
        <v>16</v>
      </c>
      <c r="M119" t="s">
        <v>17</v>
      </c>
      <c r="N119">
        <v>212178</v>
      </c>
      <c r="O119">
        <v>3217.6</v>
      </c>
      <c r="P119">
        <v>2220.3000000000002</v>
      </c>
      <c r="Q119" s="1">
        <v>2092.25</v>
      </c>
      <c r="R119" s="1">
        <v>1242.7</v>
      </c>
      <c r="S119" s="3">
        <v>3.5321818557278339E-2</v>
      </c>
      <c r="T119" s="3">
        <v>4.7964171816587742E-2</v>
      </c>
      <c r="U119" t="str">
        <v>ZODIAC ENERGY LIMITED</v>
      </c>
      <c r="V119" s="3">
        <v>0.36120837403281669</v>
      </c>
      <c r="W119" s="3">
        <v>0.18162998279897313</v>
      </c>
    </row>
    <row r="120" spans="1:23" x14ac:dyDescent="0.25">
      <c r="A120" t="s">
        <v>78</v>
      </c>
      <c r="B120" t="s">
        <v>79</v>
      </c>
      <c r="C120" t="s">
        <v>156</v>
      </c>
      <c r="D120" t="s">
        <v>157</v>
      </c>
      <c r="E120">
        <v>1621.35</v>
      </c>
      <c r="F120">
        <v>1620</v>
      </c>
      <c r="G120">
        <v>1664.95</v>
      </c>
      <c r="H120">
        <v>1615.05</v>
      </c>
      <c r="I120" s="1">
        <v>1659.8</v>
      </c>
      <c r="J120">
        <v>3463323719.6999998</v>
      </c>
      <c r="K120">
        <v>2104021</v>
      </c>
      <c r="L120" t="s">
        <v>16</v>
      </c>
      <c r="M120" t="s">
        <v>17</v>
      </c>
      <c r="N120">
        <v>100298</v>
      </c>
      <c r="O120">
        <v>1664.95</v>
      </c>
      <c r="P120">
        <v>1251.6500000000001</v>
      </c>
      <c r="Q120" s="1">
        <v>1027.3</v>
      </c>
      <c r="R120" s="1">
        <v>731.85</v>
      </c>
      <c r="S120" s="3">
        <v>4.0790228091610148E-2</v>
      </c>
      <c r="T120" s="3">
        <v>4.1770238113826075E-2</v>
      </c>
    </row>
    <row r="121" spans="1:23" x14ac:dyDescent="0.25">
      <c r="A121" t="s">
        <v>78</v>
      </c>
      <c r="B121" t="s">
        <v>79</v>
      </c>
      <c r="C121" t="s">
        <v>158</v>
      </c>
      <c r="D121" t="s">
        <v>159</v>
      </c>
      <c r="E121">
        <v>880.7</v>
      </c>
      <c r="F121">
        <v>880.65</v>
      </c>
      <c r="G121">
        <v>894.9</v>
      </c>
      <c r="H121">
        <v>877.5</v>
      </c>
      <c r="I121" s="1">
        <v>893.55</v>
      </c>
      <c r="J121">
        <v>17288990051</v>
      </c>
      <c r="K121">
        <v>19435183</v>
      </c>
      <c r="L121" t="s">
        <v>16</v>
      </c>
      <c r="M121" t="s">
        <v>17</v>
      </c>
      <c r="N121">
        <v>380546</v>
      </c>
      <c r="O121">
        <v>912</v>
      </c>
      <c r="P121">
        <v>543.20000000000005</v>
      </c>
      <c r="Q121" s="1">
        <v>418.85</v>
      </c>
      <c r="R121" s="1">
        <v>355.15</v>
      </c>
      <c r="S121" s="3">
        <v>6.5176790667868634E-2</v>
      </c>
      <c r="T121" s="3">
        <v>4.718733176570522E-2</v>
      </c>
    </row>
    <row r="122" spans="1:23" x14ac:dyDescent="0.25">
      <c r="A122" t="s">
        <v>78</v>
      </c>
      <c r="B122" t="s">
        <v>79</v>
      </c>
      <c r="C122" t="s">
        <v>6426</v>
      </c>
      <c r="D122" t="s">
        <v>6425</v>
      </c>
      <c r="E122">
        <v>2813.5</v>
      </c>
      <c r="F122">
        <v>2777</v>
      </c>
      <c r="G122">
        <v>2873.95</v>
      </c>
      <c r="H122">
        <v>2777</v>
      </c>
      <c r="I122" s="1">
        <v>2867.3</v>
      </c>
      <c r="J122">
        <v>2337730372.75</v>
      </c>
      <c r="K122">
        <v>823804</v>
      </c>
      <c r="L122" t="s">
        <v>16</v>
      </c>
      <c r="M122" t="s">
        <v>17</v>
      </c>
      <c r="N122">
        <v>74373</v>
      </c>
      <c r="O122">
        <v>3059.45</v>
      </c>
      <c r="P122">
        <v>1755.2</v>
      </c>
      <c r="Q122" s="1" t="str">
        <v/>
      </c>
      <c r="R122" s="1" t="str">
        <v/>
      </c>
      <c r="S122" s="3">
        <v>0</v>
      </c>
      <c r="T122" s="3">
        <v>0</v>
      </c>
    </row>
    <row r="123" spans="1:23" x14ac:dyDescent="0.25">
      <c r="A123" t="s">
        <v>78</v>
      </c>
      <c r="B123" t="s">
        <v>79</v>
      </c>
      <c r="C123" t="s">
        <v>162</v>
      </c>
      <c r="D123" t="s">
        <v>163</v>
      </c>
      <c r="E123">
        <v>1579.3</v>
      </c>
      <c r="F123">
        <v>1575</v>
      </c>
      <c r="G123">
        <v>1596.6</v>
      </c>
      <c r="H123">
        <v>1570.25</v>
      </c>
      <c r="I123" s="1">
        <v>1594.25</v>
      </c>
      <c r="J123">
        <v>2642621459.0500002</v>
      </c>
      <c r="K123">
        <v>1665636</v>
      </c>
      <c r="L123" t="s">
        <v>16</v>
      </c>
      <c r="M123" t="s">
        <v>17</v>
      </c>
      <c r="N123">
        <v>123097</v>
      </c>
      <c r="O123">
        <v>1638.85</v>
      </c>
      <c r="P123">
        <v>1063.8499999999999</v>
      </c>
      <c r="Q123" s="1">
        <v>678.05</v>
      </c>
      <c r="R123" s="1">
        <v>416.05</v>
      </c>
      <c r="S123" s="3">
        <v>7.3844075525347996E-2</v>
      </c>
      <c r="T123" s="3">
        <v>6.9435434532845397E-2</v>
      </c>
    </row>
    <row r="124" spans="1:23" x14ac:dyDescent="0.25">
      <c r="A124" t="s">
        <v>78</v>
      </c>
      <c r="B124" t="s">
        <v>79</v>
      </c>
      <c r="C124" t="s">
        <v>270</v>
      </c>
      <c r="D124" t="s">
        <v>271</v>
      </c>
      <c r="E124">
        <v>1176.25</v>
      </c>
      <c r="F124">
        <v>1175</v>
      </c>
      <c r="G124">
        <v>1194.5999999999999</v>
      </c>
      <c r="H124">
        <v>1170</v>
      </c>
      <c r="I124" s="1">
        <v>1193.4000000000001</v>
      </c>
      <c r="J124">
        <v>3033037286.3499999</v>
      </c>
      <c r="K124">
        <v>2559563</v>
      </c>
      <c r="L124" t="s">
        <v>16</v>
      </c>
      <c r="M124" t="s">
        <v>17</v>
      </c>
      <c r="N124">
        <v>117654</v>
      </c>
      <c r="O124">
        <v>1269</v>
      </c>
      <c r="P124">
        <v>828.25</v>
      </c>
      <c r="Q124" s="1">
        <v>758.55</v>
      </c>
      <c r="R124" s="1" t="str">
        <v/>
      </c>
      <c r="S124" s="3">
        <v>3.8484817836861973E-2</v>
      </c>
      <c r="T124" s="3">
        <v>0</v>
      </c>
    </row>
    <row r="125" spans="1:23" x14ac:dyDescent="0.25">
      <c r="A125" t="s">
        <v>78</v>
      </c>
      <c r="B125" t="s">
        <v>79</v>
      </c>
      <c r="C125" t="s">
        <v>164</v>
      </c>
      <c r="D125" t="s">
        <v>165</v>
      </c>
      <c r="E125">
        <v>1021.15</v>
      </c>
      <c r="F125">
        <v>1022.95</v>
      </c>
      <c r="G125">
        <v>1027</v>
      </c>
      <c r="H125">
        <v>1008</v>
      </c>
      <c r="I125" s="1">
        <v>1024.55</v>
      </c>
      <c r="J125">
        <v>8162846376.75</v>
      </c>
      <c r="K125">
        <v>8010324</v>
      </c>
      <c r="L125" t="s">
        <v>16</v>
      </c>
      <c r="M125" t="s">
        <v>17</v>
      </c>
      <c r="N125">
        <v>227199</v>
      </c>
      <c r="O125">
        <v>1065.5999999999999</v>
      </c>
      <c r="P125">
        <v>593.29999999999995</v>
      </c>
      <c r="Q125" s="1">
        <v>306</v>
      </c>
      <c r="R125" s="1">
        <v>153.85</v>
      </c>
      <c r="S125" s="3">
        <v>0.10594698991886453</v>
      </c>
      <c r="T125" s="3">
        <v>9.9383552448835566E-2</v>
      </c>
    </row>
    <row r="126" spans="1:23" x14ac:dyDescent="0.25">
      <c r="A126" t="s">
        <v>78</v>
      </c>
      <c r="B126" t="s">
        <v>79</v>
      </c>
      <c r="C126" t="s">
        <v>166</v>
      </c>
      <c r="D126" t="s">
        <v>167</v>
      </c>
      <c r="E126">
        <v>167.07</v>
      </c>
      <c r="F126">
        <v>167.61</v>
      </c>
      <c r="G126">
        <v>167.61</v>
      </c>
      <c r="H126">
        <v>164.44</v>
      </c>
      <c r="I126" s="1">
        <v>166.36</v>
      </c>
      <c r="J126">
        <v>6055894401.5100002</v>
      </c>
      <c r="K126">
        <v>36568852</v>
      </c>
      <c r="L126" t="s">
        <v>16</v>
      </c>
      <c r="M126" t="s">
        <v>17</v>
      </c>
      <c r="N126">
        <v>344341</v>
      </c>
      <c r="O126">
        <v>184.6</v>
      </c>
      <c r="P126">
        <v>114.35</v>
      </c>
      <c r="Q126" s="1">
        <v>125.37</v>
      </c>
      <c r="R126" s="1">
        <v>453.25</v>
      </c>
      <c r="S126" s="3">
        <v>2.385378582868225E-2</v>
      </c>
      <c r="T126" s="3">
        <v>-4.8853368601735392E-2</v>
      </c>
    </row>
    <row r="127" spans="1:23" x14ac:dyDescent="0.25">
      <c r="A127" t="s">
        <v>78</v>
      </c>
      <c r="B127" t="s">
        <v>79</v>
      </c>
      <c r="C127" t="s">
        <v>168</v>
      </c>
      <c r="D127" t="s">
        <v>169</v>
      </c>
      <c r="E127">
        <v>4178.45</v>
      </c>
      <c r="F127">
        <v>4160</v>
      </c>
      <c r="G127">
        <v>4325</v>
      </c>
      <c r="H127">
        <v>4160</v>
      </c>
      <c r="I127" s="1">
        <v>4315.55</v>
      </c>
      <c r="J127">
        <v>23978361639.450001</v>
      </c>
      <c r="K127">
        <v>5613364</v>
      </c>
      <c r="L127" t="s">
        <v>16</v>
      </c>
      <c r="M127" t="s">
        <v>17</v>
      </c>
      <c r="N127">
        <v>361931</v>
      </c>
      <c r="O127">
        <v>4325</v>
      </c>
      <c r="P127">
        <v>3311</v>
      </c>
      <c r="Q127" s="1">
        <v>3176</v>
      </c>
      <c r="R127" s="1">
        <v>2062.5</v>
      </c>
      <c r="S127" s="3">
        <v>2.5879390049589279E-2</v>
      </c>
      <c r="T127" s="3">
        <v>3.7584152310216501E-2</v>
      </c>
    </row>
    <row r="128" spans="1:23" x14ac:dyDescent="0.25">
      <c r="A128" t="s">
        <v>78</v>
      </c>
      <c r="B128" t="s">
        <v>79</v>
      </c>
      <c r="C128" t="s">
        <v>170</v>
      </c>
      <c r="D128" t="s">
        <v>171</v>
      </c>
      <c r="E128">
        <v>1516.2</v>
      </c>
      <c r="F128">
        <v>1507</v>
      </c>
      <c r="G128">
        <v>1545.7</v>
      </c>
      <c r="H128">
        <v>1505</v>
      </c>
      <c r="I128" s="1">
        <v>1539.35</v>
      </c>
      <c r="J128">
        <v>4210874081.3000002</v>
      </c>
      <c r="K128">
        <v>2752497</v>
      </c>
      <c r="L128" t="s">
        <v>16</v>
      </c>
      <c r="M128" t="s">
        <v>17</v>
      </c>
      <c r="N128">
        <v>131942</v>
      </c>
      <c r="O128">
        <v>1545.7</v>
      </c>
      <c r="P128">
        <v>1082.3</v>
      </c>
      <c r="Q128" s="1">
        <v>1086.0999999999999</v>
      </c>
      <c r="R128" s="1">
        <v>664.4</v>
      </c>
      <c r="S128" s="3">
        <v>2.9490389771410497E-2</v>
      </c>
      <c r="T128" s="3">
        <v>4.2882537789567188E-2</v>
      </c>
    </row>
    <row r="129" spans="1:20" x14ac:dyDescent="0.25">
      <c r="A129" t="s">
        <v>78</v>
      </c>
      <c r="B129" t="s">
        <v>79</v>
      </c>
      <c r="C129" t="s">
        <v>172</v>
      </c>
      <c r="D129" t="s">
        <v>173</v>
      </c>
      <c r="E129">
        <v>3234.05</v>
      </c>
      <c r="F129">
        <v>3232.95</v>
      </c>
      <c r="G129">
        <v>3269.1</v>
      </c>
      <c r="H129">
        <v>3206</v>
      </c>
      <c r="I129" s="1">
        <v>3262.1</v>
      </c>
      <c r="J129">
        <v>3524727824.5</v>
      </c>
      <c r="K129">
        <v>1086374</v>
      </c>
      <c r="L129" t="s">
        <v>16</v>
      </c>
      <c r="M129" t="s">
        <v>17</v>
      </c>
      <c r="N129">
        <v>93351</v>
      </c>
      <c r="O129">
        <v>3886.95</v>
      </c>
      <c r="P129">
        <v>2882.45</v>
      </c>
      <c r="Q129" s="1">
        <v>1674.9</v>
      </c>
      <c r="R129" s="1">
        <v>1077.95</v>
      </c>
      <c r="S129" s="3">
        <v>5.7123430903734729E-2</v>
      </c>
      <c r="T129" s="3">
        <v>5.6894808357185633E-2</v>
      </c>
    </row>
    <row r="130" spans="1:20" x14ac:dyDescent="0.25">
      <c r="A130" t="s">
        <v>78</v>
      </c>
      <c r="B130" t="s">
        <v>79</v>
      </c>
      <c r="C130" t="s">
        <v>174</v>
      </c>
      <c r="D130" t="s">
        <v>175</v>
      </c>
      <c r="E130">
        <v>11658.7</v>
      </c>
      <c r="F130">
        <v>11650</v>
      </c>
      <c r="G130">
        <v>11683.85</v>
      </c>
      <c r="H130">
        <v>11475</v>
      </c>
      <c r="I130" s="1">
        <v>11647.25</v>
      </c>
      <c r="J130">
        <v>8449280565.3500004</v>
      </c>
      <c r="K130">
        <v>731274</v>
      </c>
      <c r="L130" t="s">
        <v>16</v>
      </c>
      <c r="M130" t="s">
        <v>17</v>
      </c>
      <c r="N130">
        <v>90966</v>
      </c>
      <c r="O130">
        <v>12078</v>
      </c>
      <c r="P130">
        <v>7987.65</v>
      </c>
      <c r="Q130" s="1">
        <v>7245</v>
      </c>
      <c r="R130" s="1">
        <v>4490.1499999999996</v>
      </c>
      <c r="S130" s="3">
        <v>4.0356258148096069E-2</v>
      </c>
      <c r="T130" s="3">
        <v>4.8785784449395297E-2</v>
      </c>
    </row>
    <row r="131" spans="1:20" x14ac:dyDescent="0.25">
      <c r="A131" t="s">
        <v>78</v>
      </c>
      <c r="B131" t="s">
        <v>79</v>
      </c>
      <c r="C131" t="s">
        <v>178</v>
      </c>
      <c r="D131" t="s">
        <v>179</v>
      </c>
      <c r="E131">
        <v>559.70000000000005</v>
      </c>
      <c r="F131">
        <v>556.54999999999995</v>
      </c>
      <c r="G131">
        <v>574.4</v>
      </c>
      <c r="H131">
        <v>556.35</v>
      </c>
      <c r="I131" s="1">
        <v>573.20000000000005</v>
      </c>
      <c r="J131">
        <v>7096365104</v>
      </c>
      <c r="K131">
        <v>12509893</v>
      </c>
      <c r="L131" t="s">
        <v>16</v>
      </c>
      <c r="M131" t="s">
        <v>17</v>
      </c>
      <c r="N131">
        <v>250266</v>
      </c>
      <c r="O131">
        <v>574.4</v>
      </c>
      <c r="P131">
        <v>375.05</v>
      </c>
      <c r="Q131" s="1">
        <v>570</v>
      </c>
      <c r="R131" s="1">
        <v>263.5</v>
      </c>
      <c r="S131" s="3">
        <v>4.6663676819691524E-4</v>
      </c>
      <c r="T131" s="3">
        <v>3.96018313974833E-2</v>
      </c>
    </row>
    <row r="132" spans="1:20" x14ac:dyDescent="0.25">
      <c r="A132" t="s">
        <v>17</v>
      </c>
      <c r="B132" t="s">
        <v>17</v>
      </c>
      <c r="D132" t="s">
        <v>17</v>
      </c>
      <c r="E132" t="s">
        <v>17</v>
      </c>
      <c r="F132" t="s">
        <v>17</v>
      </c>
      <c r="G132" t="s">
        <v>17</v>
      </c>
      <c r="H132" t="s">
        <v>17</v>
      </c>
      <c r="I132" s="1" t="s">
        <v>17</v>
      </c>
      <c r="J132" t="s">
        <v>17</v>
      </c>
      <c r="K132" t="s">
        <v>17</v>
      </c>
      <c r="L132" t="s">
        <v>78</v>
      </c>
      <c r="M132" t="s">
        <v>17</v>
      </c>
      <c r="N132" t="s">
        <v>17</v>
      </c>
      <c r="O132" t="s">
        <v>17</v>
      </c>
      <c r="P132" t="s">
        <v>17</v>
      </c>
      <c r="Q132" s="1" t="str">
        <v/>
      </c>
      <c r="R132" s="1" t="str">
        <v/>
      </c>
      <c r="S132" s="3">
        <v>0</v>
      </c>
      <c r="T132" s="3">
        <v>0</v>
      </c>
    </row>
    <row r="133" spans="1:20" x14ac:dyDescent="0.25">
      <c r="A133" t="s">
        <v>17</v>
      </c>
      <c r="B133" t="s">
        <v>17</v>
      </c>
      <c r="D133" t="s">
        <v>180</v>
      </c>
      <c r="E133" t="s">
        <v>17</v>
      </c>
      <c r="F133" t="s">
        <v>17</v>
      </c>
      <c r="G133" t="s">
        <v>17</v>
      </c>
      <c r="H133" t="s">
        <v>17</v>
      </c>
      <c r="I133" s="1" t="s">
        <v>17</v>
      </c>
      <c r="J133" t="s">
        <v>17</v>
      </c>
      <c r="K133" t="s">
        <v>17</v>
      </c>
      <c r="L133" t="s">
        <v>78</v>
      </c>
      <c r="M133" t="s">
        <v>17</v>
      </c>
      <c r="N133" t="s">
        <v>17</v>
      </c>
      <c r="O133" t="s">
        <v>17</v>
      </c>
      <c r="P133" t="s">
        <v>17</v>
      </c>
      <c r="Q133" s="1" t="str">
        <v/>
      </c>
      <c r="R133" s="1" t="str">
        <v/>
      </c>
      <c r="S133" s="3">
        <v>0</v>
      </c>
      <c r="T133" s="3">
        <v>0</v>
      </c>
    </row>
    <row r="134" spans="1:20" x14ac:dyDescent="0.25">
      <c r="A134" t="s">
        <v>78</v>
      </c>
      <c r="B134" t="s">
        <v>79</v>
      </c>
      <c r="C134" t="s">
        <v>302</v>
      </c>
      <c r="D134" t="s">
        <v>303</v>
      </c>
      <c r="E134">
        <v>8232.2999999999993</v>
      </c>
      <c r="F134">
        <v>8234.7000000000007</v>
      </c>
      <c r="G134">
        <v>8249.9</v>
      </c>
      <c r="H134">
        <v>7713.35</v>
      </c>
      <c r="I134" s="1">
        <v>7893.15</v>
      </c>
      <c r="J134">
        <v>5633279055.5500002</v>
      </c>
      <c r="K134">
        <v>715249</v>
      </c>
      <c r="L134" t="s">
        <v>78</v>
      </c>
      <c r="M134" t="s">
        <v>17</v>
      </c>
      <c r="N134">
        <v>123727</v>
      </c>
      <c r="O134">
        <v>9149.9500000000007</v>
      </c>
      <c r="P134">
        <v>3850</v>
      </c>
      <c r="Q134" s="1">
        <v>1731.15</v>
      </c>
      <c r="R134" s="1">
        <v>1411.05</v>
      </c>
      <c r="S134" s="3">
        <v>0.13477468287015859</v>
      </c>
      <c r="T134" s="3">
        <v>8.98454708880283E-2</v>
      </c>
    </row>
    <row r="135" spans="1:20" x14ac:dyDescent="0.25">
      <c r="A135" t="s">
        <v>78</v>
      </c>
      <c r="B135" t="s">
        <v>79</v>
      </c>
      <c r="C135" t="s">
        <v>6424</v>
      </c>
      <c r="D135" t="s">
        <v>6423</v>
      </c>
      <c r="E135">
        <v>1022.25</v>
      </c>
      <c r="F135">
        <v>1021.95</v>
      </c>
      <c r="G135">
        <v>1025</v>
      </c>
      <c r="H135">
        <v>1007.3</v>
      </c>
      <c r="I135" s="1">
        <v>1010.45</v>
      </c>
      <c r="J135">
        <v>632908376.14999998</v>
      </c>
      <c r="K135">
        <v>625350</v>
      </c>
      <c r="L135" t="s">
        <v>78</v>
      </c>
      <c r="M135" t="s">
        <v>17</v>
      </c>
      <c r="N135">
        <v>15981</v>
      </c>
      <c r="O135">
        <v>1250</v>
      </c>
      <c r="P135">
        <v>686</v>
      </c>
      <c r="Q135" s="1" t="str">
        <v/>
      </c>
      <c r="R135" s="1" t="str">
        <v/>
      </c>
      <c r="S135" s="3">
        <v>0</v>
      </c>
      <c r="T135" s="3">
        <v>0</v>
      </c>
    </row>
    <row r="136" spans="1:20" x14ac:dyDescent="0.25">
      <c r="A136" t="s">
        <v>78</v>
      </c>
      <c r="B136" t="s">
        <v>79</v>
      </c>
      <c r="C136" t="s">
        <v>2974</v>
      </c>
      <c r="D136" t="s">
        <v>2975</v>
      </c>
      <c r="E136">
        <v>1759.95</v>
      </c>
      <c r="F136">
        <v>1770</v>
      </c>
      <c r="G136">
        <v>1780.95</v>
      </c>
      <c r="H136">
        <v>1725</v>
      </c>
      <c r="I136" s="1">
        <v>1747.55</v>
      </c>
      <c r="J136">
        <v>1372486463.25</v>
      </c>
      <c r="K136">
        <v>784726</v>
      </c>
      <c r="L136" t="s">
        <v>78</v>
      </c>
      <c r="M136" t="s">
        <v>17</v>
      </c>
      <c r="N136">
        <v>43760</v>
      </c>
      <c r="O136">
        <v>2174.1</v>
      </c>
      <c r="P136">
        <v>815.55</v>
      </c>
      <c r="Q136" s="1">
        <v>970</v>
      </c>
      <c r="R136" s="1">
        <v>45.2</v>
      </c>
      <c r="S136" s="3">
        <v>5.0279341042469561E-2</v>
      </c>
      <c r="T136" s="3">
        <v>0.20038647961671963</v>
      </c>
    </row>
    <row r="137" spans="1:20" x14ac:dyDescent="0.25">
      <c r="A137" t="s">
        <v>78</v>
      </c>
      <c r="B137" t="s">
        <v>79</v>
      </c>
      <c r="C137" t="s">
        <v>2976</v>
      </c>
      <c r="D137" t="s">
        <v>2977</v>
      </c>
      <c r="E137">
        <v>712.45</v>
      </c>
      <c r="F137">
        <v>712.45</v>
      </c>
      <c r="G137">
        <v>712.45</v>
      </c>
      <c r="H137">
        <v>696.4</v>
      </c>
      <c r="I137" s="1">
        <v>699.5</v>
      </c>
      <c r="J137">
        <v>2213799628.1999998</v>
      </c>
      <c r="K137">
        <v>3156405</v>
      </c>
      <c r="L137" t="s">
        <v>78</v>
      </c>
      <c r="M137" t="s">
        <v>17</v>
      </c>
      <c r="N137">
        <v>84469</v>
      </c>
      <c r="O137">
        <v>895.85</v>
      </c>
      <c r="P137">
        <v>237.15</v>
      </c>
      <c r="Q137" s="1">
        <v>100.45</v>
      </c>
      <c r="R137" s="1">
        <v>59.9</v>
      </c>
      <c r="S137" s="3">
        <v>0.17553748287160831</v>
      </c>
      <c r="T137" s="3">
        <v>0.13067767727625323</v>
      </c>
    </row>
    <row r="138" spans="1:20" x14ac:dyDescent="0.25">
      <c r="A138" t="s">
        <v>78</v>
      </c>
      <c r="B138" t="s">
        <v>79</v>
      </c>
      <c r="C138" t="s">
        <v>188</v>
      </c>
      <c r="D138" t="s">
        <v>189</v>
      </c>
      <c r="E138">
        <v>685.35</v>
      </c>
      <c r="F138">
        <v>685.35</v>
      </c>
      <c r="G138">
        <v>692.45</v>
      </c>
      <c r="H138">
        <v>679</v>
      </c>
      <c r="I138" s="1">
        <v>690.25</v>
      </c>
      <c r="J138">
        <v>2081865653.9000001</v>
      </c>
      <c r="K138">
        <v>3034365</v>
      </c>
      <c r="L138" t="s">
        <v>78</v>
      </c>
      <c r="M138" t="s">
        <v>17</v>
      </c>
      <c r="N138">
        <v>77190</v>
      </c>
      <c r="O138">
        <v>706.95</v>
      </c>
      <c r="P138">
        <v>404.05</v>
      </c>
      <c r="Q138" s="1">
        <v>380.4</v>
      </c>
      <c r="R138" s="1">
        <v>212.05</v>
      </c>
      <c r="S138" s="3">
        <v>5.0905888687889034E-2</v>
      </c>
      <c r="T138" s="3">
        <v>6.0753251453839807E-2</v>
      </c>
    </row>
    <row r="139" spans="1:20" x14ac:dyDescent="0.25">
      <c r="A139" t="s">
        <v>78</v>
      </c>
      <c r="B139" t="s">
        <v>79</v>
      </c>
      <c r="C139" t="s">
        <v>3028</v>
      </c>
      <c r="D139" t="s">
        <v>3029</v>
      </c>
      <c r="E139">
        <v>906</v>
      </c>
      <c r="F139">
        <v>906</v>
      </c>
      <c r="G139">
        <v>906</v>
      </c>
      <c r="H139">
        <v>885.6</v>
      </c>
      <c r="I139" s="1">
        <v>890.1</v>
      </c>
      <c r="J139">
        <v>3134691441.0999999</v>
      </c>
      <c r="K139">
        <v>3499221</v>
      </c>
      <c r="L139" t="s">
        <v>78</v>
      </c>
      <c r="M139" t="s">
        <v>17</v>
      </c>
      <c r="N139">
        <v>57619</v>
      </c>
      <c r="O139">
        <v>1259.4000000000001</v>
      </c>
      <c r="P139">
        <v>522</v>
      </c>
      <c r="Q139" s="1">
        <v>851.75</v>
      </c>
      <c r="R139" s="1" t="str">
        <v/>
      </c>
      <c r="S139" s="3">
        <v>3.6768062140448698E-3</v>
      </c>
      <c r="T139" s="3">
        <v>0</v>
      </c>
    </row>
    <row r="140" spans="1:20" x14ac:dyDescent="0.25">
      <c r="A140" t="s">
        <v>78</v>
      </c>
      <c r="B140" t="s">
        <v>79</v>
      </c>
      <c r="C140" t="s">
        <v>192</v>
      </c>
      <c r="D140" t="s">
        <v>193</v>
      </c>
      <c r="E140">
        <v>9796.9</v>
      </c>
      <c r="F140">
        <v>9750.0499999999993</v>
      </c>
      <c r="G140">
        <v>9850</v>
      </c>
      <c r="H140">
        <v>9461.2000000000007</v>
      </c>
      <c r="I140" s="1">
        <v>9780.7000000000007</v>
      </c>
      <c r="J140">
        <v>371753064.10000002</v>
      </c>
      <c r="K140">
        <v>38458</v>
      </c>
      <c r="L140" t="s">
        <v>78</v>
      </c>
      <c r="M140" t="s">
        <v>17</v>
      </c>
      <c r="N140">
        <v>12992</v>
      </c>
      <c r="O140">
        <v>9980</v>
      </c>
      <c r="P140">
        <v>6627.9</v>
      </c>
      <c r="Q140" s="1">
        <v>3899.95</v>
      </c>
      <c r="R140" s="1">
        <v>3445.85</v>
      </c>
      <c r="S140" s="3">
        <v>7.9632397271006239E-2</v>
      </c>
      <c r="T140" s="3">
        <v>5.3516331320796695E-2</v>
      </c>
    </row>
    <row r="141" spans="1:20" x14ac:dyDescent="0.25">
      <c r="A141" t="s">
        <v>78</v>
      </c>
      <c r="B141" t="s">
        <v>79</v>
      </c>
      <c r="C141" t="s">
        <v>196</v>
      </c>
      <c r="D141" t="s">
        <v>197</v>
      </c>
      <c r="E141">
        <v>258.2</v>
      </c>
      <c r="F141">
        <v>258.2</v>
      </c>
      <c r="G141">
        <v>258.85000000000002</v>
      </c>
      <c r="H141">
        <v>254.8</v>
      </c>
      <c r="I141" s="1">
        <v>255.45</v>
      </c>
      <c r="J141">
        <v>4839139789.75</v>
      </c>
      <c r="K141">
        <v>18903883</v>
      </c>
      <c r="L141" t="s">
        <v>78</v>
      </c>
      <c r="M141" t="s">
        <v>17</v>
      </c>
      <c r="N141">
        <v>84842</v>
      </c>
      <c r="O141">
        <v>299.7</v>
      </c>
      <c r="P141">
        <v>185.75</v>
      </c>
      <c r="Q141" s="1">
        <v>79.599999999999994</v>
      </c>
      <c r="R141" s="1">
        <v>116.85</v>
      </c>
      <c r="S141" s="3">
        <v>0.10204518973668053</v>
      </c>
      <c r="T141" s="3">
        <v>3.9859247551319976E-2</v>
      </c>
    </row>
    <row r="142" spans="1:20" x14ac:dyDescent="0.25">
      <c r="A142" t="s">
        <v>78</v>
      </c>
      <c r="B142" t="s">
        <v>79</v>
      </c>
      <c r="C142" t="s">
        <v>579</v>
      </c>
      <c r="D142" t="s">
        <v>580</v>
      </c>
      <c r="E142">
        <v>326.14999999999998</v>
      </c>
      <c r="F142">
        <v>326.5</v>
      </c>
      <c r="G142">
        <v>326.7</v>
      </c>
      <c r="H142">
        <v>312.3</v>
      </c>
      <c r="I142" s="1">
        <v>313.55</v>
      </c>
      <c r="J142">
        <v>15192140094.6</v>
      </c>
      <c r="K142">
        <v>48043715</v>
      </c>
      <c r="L142" t="s">
        <v>78</v>
      </c>
      <c r="M142" t="s">
        <v>17</v>
      </c>
      <c r="N142">
        <v>427400</v>
      </c>
      <c r="O142">
        <v>340.5</v>
      </c>
      <c r="P142">
        <v>123.5</v>
      </c>
      <c r="Q142" s="1">
        <v>177.65</v>
      </c>
      <c r="R142" s="1">
        <v>93.8</v>
      </c>
      <c r="S142" s="3">
        <v>4.8483980632945567E-2</v>
      </c>
      <c r="T142" s="3">
        <v>6.2162213226422569E-2</v>
      </c>
    </row>
    <row r="143" spans="1:20" x14ac:dyDescent="0.25">
      <c r="A143" t="s">
        <v>78</v>
      </c>
      <c r="B143" t="s">
        <v>79</v>
      </c>
      <c r="C143" t="s">
        <v>198</v>
      </c>
      <c r="D143" t="s">
        <v>199</v>
      </c>
      <c r="E143">
        <v>520.5</v>
      </c>
      <c r="F143">
        <v>509</v>
      </c>
      <c r="G143">
        <v>523.79999999999995</v>
      </c>
      <c r="H143">
        <v>507.2</v>
      </c>
      <c r="I143" s="1">
        <v>521.25</v>
      </c>
      <c r="J143">
        <v>1111616904.45</v>
      </c>
      <c r="K143">
        <v>2144891</v>
      </c>
      <c r="L143" t="s">
        <v>78</v>
      </c>
      <c r="M143" t="s">
        <v>17</v>
      </c>
      <c r="N143">
        <v>51423</v>
      </c>
      <c r="O143">
        <v>759</v>
      </c>
      <c r="P143">
        <v>439</v>
      </c>
      <c r="Q143" s="1">
        <v>830</v>
      </c>
      <c r="R143" s="1">
        <v>308.5</v>
      </c>
      <c r="S143" s="3">
        <v>-3.8024529715674493E-2</v>
      </c>
      <c r="T143" s="3">
        <v>2.6557564450189641E-2</v>
      </c>
    </row>
    <row r="144" spans="1:20" x14ac:dyDescent="0.25">
      <c r="A144" t="s">
        <v>78</v>
      </c>
      <c r="B144" t="s">
        <v>79</v>
      </c>
      <c r="C144" t="s">
        <v>202</v>
      </c>
      <c r="D144" t="s">
        <v>203</v>
      </c>
      <c r="E144">
        <v>35108.85</v>
      </c>
      <c r="F144">
        <v>35170.050000000003</v>
      </c>
      <c r="G144">
        <v>35385.050000000003</v>
      </c>
      <c r="H144">
        <v>34784.699999999997</v>
      </c>
      <c r="I144" s="1">
        <v>35149.85</v>
      </c>
      <c r="J144">
        <v>1685866536.6500001</v>
      </c>
      <c r="K144">
        <v>48057</v>
      </c>
      <c r="L144" t="s">
        <v>78</v>
      </c>
      <c r="M144" t="s">
        <v>17</v>
      </c>
      <c r="N144">
        <v>11525</v>
      </c>
      <c r="O144">
        <v>36678</v>
      </c>
      <c r="P144">
        <v>17931.150000000001</v>
      </c>
      <c r="Q144" s="1">
        <v>15108.15</v>
      </c>
      <c r="R144" s="1">
        <v>15051</v>
      </c>
      <c r="S144" s="3">
        <v>7.2900256206750669E-2</v>
      </c>
      <c r="T144" s="3">
        <v>4.3296666005047779E-2</v>
      </c>
    </row>
    <row r="145" spans="1:20" x14ac:dyDescent="0.25">
      <c r="A145" t="s">
        <v>78</v>
      </c>
      <c r="B145" t="s">
        <v>79</v>
      </c>
      <c r="C145" t="s">
        <v>673</v>
      </c>
      <c r="D145" t="s">
        <v>674</v>
      </c>
      <c r="E145">
        <v>116.04</v>
      </c>
      <c r="F145">
        <v>116.04</v>
      </c>
      <c r="G145">
        <v>117.59</v>
      </c>
      <c r="H145">
        <v>114.73</v>
      </c>
      <c r="I145" s="1">
        <v>115.77</v>
      </c>
      <c r="J145">
        <v>2849613579.9899998</v>
      </c>
      <c r="K145">
        <v>24517941</v>
      </c>
      <c r="L145" t="s">
        <v>78</v>
      </c>
      <c r="M145" t="s">
        <v>17</v>
      </c>
      <c r="N145">
        <v>88103</v>
      </c>
      <c r="O145">
        <v>632.9</v>
      </c>
      <c r="P145">
        <v>96.2</v>
      </c>
      <c r="Q145" s="1">
        <v>147.19999999999999</v>
      </c>
      <c r="R145" s="1">
        <v>264</v>
      </c>
      <c r="S145" s="3">
        <v>-1.9816580269246042E-2</v>
      </c>
      <c r="T145" s="3">
        <v>-4.0357643800017939E-2</v>
      </c>
    </row>
    <row r="146" spans="1:20" x14ac:dyDescent="0.25">
      <c r="A146" t="s">
        <v>78</v>
      </c>
      <c r="B146" t="s">
        <v>79</v>
      </c>
      <c r="C146" t="s">
        <v>737</v>
      </c>
      <c r="D146" t="s">
        <v>738</v>
      </c>
      <c r="E146">
        <v>1408.2</v>
      </c>
      <c r="F146">
        <v>1408</v>
      </c>
      <c r="G146">
        <v>1454.45</v>
      </c>
      <c r="H146">
        <v>1398.95</v>
      </c>
      <c r="I146" s="1">
        <v>1449.85</v>
      </c>
      <c r="J146">
        <v>2263821033.9000001</v>
      </c>
      <c r="K146">
        <v>1576176</v>
      </c>
      <c r="L146" t="s">
        <v>78</v>
      </c>
      <c r="M146" t="s">
        <v>17</v>
      </c>
      <c r="N146">
        <v>58567</v>
      </c>
      <c r="O146">
        <v>1476.2</v>
      </c>
      <c r="P146">
        <v>997.25</v>
      </c>
      <c r="Q146" s="1">
        <v>504</v>
      </c>
      <c r="R146" s="1">
        <v>259.3</v>
      </c>
      <c r="S146" s="3">
        <v>9.2046282292540305E-2</v>
      </c>
      <c r="T146" s="3">
        <v>8.9821970745079138E-2</v>
      </c>
    </row>
    <row r="147" spans="1:20" x14ac:dyDescent="0.25">
      <c r="A147" t="s">
        <v>78</v>
      </c>
      <c r="B147" t="s">
        <v>79</v>
      </c>
      <c r="C147" t="s">
        <v>206</v>
      </c>
      <c r="D147" t="s">
        <v>207</v>
      </c>
      <c r="E147">
        <v>3127.85</v>
      </c>
      <c r="F147">
        <v>3120</v>
      </c>
      <c r="G147">
        <v>3140</v>
      </c>
      <c r="H147">
        <v>3099.15</v>
      </c>
      <c r="I147" s="1">
        <v>3121.4</v>
      </c>
      <c r="J147">
        <v>752472948.10000002</v>
      </c>
      <c r="K147">
        <v>241159</v>
      </c>
      <c r="L147" t="s">
        <v>78</v>
      </c>
      <c r="M147" t="s">
        <v>17</v>
      </c>
      <c r="N147">
        <v>37334</v>
      </c>
      <c r="O147">
        <v>3155</v>
      </c>
      <c r="P147">
        <v>1820.8</v>
      </c>
      <c r="Q147" s="1">
        <v>1732.8</v>
      </c>
      <c r="R147" s="1">
        <v>1151.0999999999999</v>
      </c>
      <c r="S147" s="3">
        <v>5.026787619950035E-2</v>
      </c>
      <c r="T147" s="3">
        <v>5.1114326821563028E-2</v>
      </c>
    </row>
    <row r="148" spans="1:20" x14ac:dyDescent="0.25">
      <c r="A148" t="s">
        <v>78</v>
      </c>
      <c r="B148" t="s">
        <v>79</v>
      </c>
      <c r="C148" t="s">
        <v>210</v>
      </c>
      <c r="D148" t="s">
        <v>211</v>
      </c>
      <c r="E148">
        <v>640.95000000000005</v>
      </c>
      <c r="F148">
        <v>640.95000000000005</v>
      </c>
      <c r="G148">
        <v>651</v>
      </c>
      <c r="H148">
        <v>639.25</v>
      </c>
      <c r="I148" s="1">
        <v>644.85</v>
      </c>
      <c r="J148">
        <v>2043220669.7</v>
      </c>
      <c r="K148">
        <v>3161993</v>
      </c>
      <c r="L148" t="s">
        <v>78</v>
      </c>
      <c r="M148" t="s">
        <v>17</v>
      </c>
      <c r="N148">
        <v>65806</v>
      </c>
      <c r="O148">
        <v>651</v>
      </c>
      <c r="P148">
        <v>489.2</v>
      </c>
      <c r="Q148" s="1">
        <v>576</v>
      </c>
      <c r="R148" s="1">
        <v>415.85</v>
      </c>
      <c r="S148" s="3">
        <v>9.4535780039994854E-3</v>
      </c>
      <c r="T148" s="3">
        <v>2.2164710079759953E-2</v>
      </c>
    </row>
    <row r="149" spans="1:20" x14ac:dyDescent="0.25">
      <c r="A149" t="s">
        <v>78</v>
      </c>
      <c r="B149" t="s">
        <v>79</v>
      </c>
      <c r="C149" t="s">
        <v>212</v>
      </c>
      <c r="D149" t="s">
        <v>213</v>
      </c>
      <c r="E149">
        <v>843.75</v>
      </c>
      <c r="F149">
        <v>842</v>
      </c>
      <c r="G149">
        <v>846.95</v>
      </c>
      <c r="H149">
        <v>826.7</v>
      </c>
      <c r="I149" s="1">
        <v>844.9</v>
      </c>
      <c r="J149">
        <v>3716915496.4499998</v>
      </c>
      <c r="K149">
        <v>4433926</v>
      </c>
      <c r="L149" t="s">
        <v>78</v>
      </c>
      <c r="M149" t="s">
        <v>17</v>
      </c>
      <c r="N149">
        <v>76521</v>
      </c>
      <c r="O149">
        <v>967.6</v>
      </c>
      <c r="P149">
        <v>463.05</v>
      </c>
      <c r="Q149" s="1">
        <v>324.45</v>
      </c>
      <c r="R149" s="1">
        <v>177.25</v>
      </c>
      <c r="S149" s="3">
        <v>8.3024116861370567E-2</v>
      </c>
      <c r="T149" s="3">
        <v>8.1166005954221854E-2</v>
      </c>
    </row>
    <row r="150" spans="1:20" x14ac:dyDescent="0.25">
      <c r="A150" t="s">
        <v>78</v>
      </c>
      <c r="B150" t="s">
        <v>79</v>
      </c>
      <c r="C150" t="s">
        <v>214</v>
      </c>
      <c r="D150" t="s">
        <v>215</v>
      </c>
      <c r="E150">
        <v>5039.8500000000004</v>
      </c>
      <c r="F150">
        <v>5039.8500000000004</v>
      </c>
      <c r="G150">
        <v>5096.95</v>
      </c>
      <c r="H150">
        <v>5028</v>
      </c>
      <c r="I150" s="1">
        <v>5083.45</v>
      </c>
      <c r="J150">
        <v>4228718351.9499998</v>
      </c>
      <c r="K150">
        <v>837644</v>
      </c>
      <c r="L150" t="s">
        <v>78</v>
      </c>
      <c r="M150" t="s">
        <v>17</v>
      </c>
      <c r="N150">
        <v>45226</v>
      </c>
      <c r="O150">
        <v>5219</v>
      </c>
      <c r="P150">
        <v>3491.25</v>
      </c>
      <c r="Q150" s="1">
        <v>3315.15</v>
      </c>
      <c r="R150" s="1">
        <v>1393</v>
      </c>
      <c r="S150" s="3">
        <v>3.6266076148855797E-2</v>
      </c>
      <c r="T150" s="3">
        <v>6.682940463108733E-2</v>
      </c>
    </row>
    <row r="151" spans="1:20" x14ac:dyDescent="0.25">
      <c r="A151" t="s">
        <v>78</v>
      </c>
      <c r="B151" t="s">
        <v>79</v>
      </c>
      <c r="C151" t="s">
        <v>108</v>
      </c>
      <c r="D151" t="s">
        <v>109</v>
      </c>
      <c r="E151">
        <v>233.41</v>
      </c>
      <c r="F151">
        <v>233.51</v>
      </c>
      <c r="G151">
        <v>233.87</v>
      </c>
      <c r="H151">
        <v>227.76</v>
      </c>
      <c r="I151" s="1">
        <v>228.86</v>
      </c>
      <c r="J151">
        <v>3350653355.7399998</v>
      </c>
      <c r="K151">
        <v>14554717</v>
      </c>
      <c r="L151" t="s">
        <v>78</v>
      </c>
      <c r="M151" t="s">
        <v>17</v>
      </c>
      <c r="N151">
        <v>154767</v>
      </c>
      <c r="O151">
        <v>239.11</v>
      </c>
      <c r="P151">
        <v>108.35</v>
      </c>
      <c r="Q151" s="1">
        <v>143.80000000000001</v>
      </c>
      <c r="R151" s="1">
        <v>137.1</v>
      </c>
      <c r="S151" s="3">
        <v>3.9483461496983008E-2</v>
      </c>
      <c r="T151" s="3">
        <v>2.5936611987408043E-2</v>
      </c>
    </row>
    <row r="152" spans="1:20" x14ac:dyDescent="0.25">
      <c r="A152" t="s">
        <v>78</v>
      </c>
      <c r="B152" t="s">
        <v>79</v>
      </c>
      <c r="C152" t="s">
        <v>218</v>
      </c>
      <c r="D152" t="s">
        <v>219</v>
      </c>
      <c r="E152">
        <v>1452.75</v>
      </c>
      <c r="F152">
        <v>1440</v>
      </c>
      <c r="G152">
        <v>1470.75</v>
      </c>
      <c r="H152">
        <v>1440</v>
      </c>
      <c r="I152" s="1">
        <v>1465.25</v>
      </c>
      <c r="J152">
        <v>1718986614.0999999</v>
      </c>
      <c r="K152">
        <v>1177235</v>
      </c>
      <c r="L152" t="s">
        <v>78</v>
      </c>
      <c r="M152" t="s">
        <v>17</v>
      </c>
      <c r="N152">
        <v>78280</v>
      </c>
      <c r="O152">
        <v>1472</v>
      </c>
      <c r="P152">
        <v>959.8</v>
      </c>
      <c r="Q152" s="1">
        <v>942.1</v>
      </c>
      <c r="R152" s="1">
        <v>625.75</v>
      </c>
      <c r="S152" s="3">
        <v>3.7491531598971006E-2</v>
      </c>
      <c r="T152" s="3">
        <v>4.3435060910418155E-2</v>
      </c>
    </row>
    <row r="153" spans="1:20" x14ac:dyDescent="0.25">
      <c r="A153" t="s">
        <v>78</v>
      </c>
      <c r="B153" t="s">
        <v>79</v>
      </c>
      <c r="C153" t="s">
        <v>1200</v>
      </c>
      <c r="D153" t="s">
        <v>1201</v>
      </c>
      <c r="E153">
        <v>5329.4</v>
      </c>
      <c r="F153">
        <v>5325</v>
      </c>
      <c r="G153">
        <v>5325</v>
      </c>
      <c r="H153">
        <v>4975</v>
      </c>
      <c r="I153" s="1">
        <v>5015.75</v>
      </c>
      <c r="J153">
        <v>40249787394.449997</v>
      </c>
      <c r="K153">
        <v>7950717</v>
      </c>
      <c r="L153" t="s">
        <v>78</v>
      </c>
      <c r="M153" t="s">
        <v>17</v>
      </c>
      <c r="N153">
        <v>627742</v>
      </c>
      <c r="O153">
        <v>5674.75</v>
      </c>
      <c r="P153">
        <v>1767.8</v>
      </c>
      <c r="Q153" s="1">
        <v>1068</v>
      </c>
      <c r="R153" s="1">
        <v>672.35</v>
      </c>
      <c r="S153" s="3">
        <v>0.13757590780568862</v>
      </c>
      <c r="T153" s="3">
        <v>0.10563843112285021</v>
      </c>
    </row>
    <row r="154" spans="1:20" x14ac:dyDescent="0.25">
      <c r="A154" t="s">
        <v>78</v>
      </c>
      <c r="B154" t="s">
        <v>79</v>
      </c>
      <c r="C154" t="s">
        <v>220</v>
      </c>
      <c r="D154" t="s">
        <v>221</v>
      </c>
      <c r="E154">
        <v>1875.4</v>
      </c>
      <c r="F154">
        <v>1880</v>
      </c>
      <c r="G154">
        <v>1915.8</v>
      </c>
      <c r="H154">
        <v>1821.05</v>
      </c>
      <c r="I154" s="1">
        <v>1862.65</v>
      </c>
      <c r="J154">
        <v>6291236919.1000004</v>
      </c>
      <c r="K154">
        <v>3379348</v>
      </c>
      <c r="L154" t="s">
        <v>78</v>
      </c>
      <c r="M154" t="s">
        <v>17</v>
      </c>
      <c r="N154">
        <v>145380</v>
      </c>
      <c r="O154">
        <v>1985.4</v>
      </c>
      <c r="P154">
        <v>1232.8499999999999</v>
      </c>
      <c r="Q154" s="1">
        <v>1069.25</v>
      </c>
      <c r="R154" s="1">
        <v>705.1</v>
      </c>
      <c r="S154" s="3">
        <v>4.7339942274749358E-2</v>
      </c>
      <c r="T154" s="3">
        <v>4.974176182533574E-2</v>
      </c>
    </row>
    <row r="155" spans="1:20" x14ac:dyDescent="0.25">
      <c r="A155" t="s">
        <v>78</v>
      </c>
      <c r="B155" t="s">
        <v>79</v>
      </c>
      <c r="C155" t="s">
        <v>228</v>
      </c>
      <c r="D155" t="s">
        <v>229</v>
      </c>
      <c r="E155">
        <v>1873.1</v>
      </c>
      <c r="F155">
        <v>1875.6</v>
      </c>
      <c r="G155">
        <v>1916</v>
      </c>
      <c r="H155">
        <v>1863.9</v>
      </c>
      <c r="I155" s="1">
        <v>1910.55</v>
      </c>
      <c r="J155">
        <v>2185300720.25</v>
      </c>
      <c r="K155">
        <v>1156392</v>
      </c>
      <c r="L155" t="s">
        <v>78</v>
      </c>
      <c r="M155" t="s">
        <v>17</v>
      </c>
      <c r="N155">
        <v>71088</v>
      </c>
      <c r="O155">
        <v>1916</v>
      </c>
      <c r="P155">
        <v>1266</v>
      </c>
      <c r="Q155" s="1">
        <v>1483.05</v>
      </c>
      <c r="R155" s="1">
        <v>1061</v>
      </c>
      <c r="S155" s="3">
        <v>2.133187131016534E-2</v>
      </c>
      <c r="T155" s="3">
        <v>2.9829092928537637E-2</v>
      </c>
    </row>
    <row r="156" spans="1:20" x14ac:dyDescent="0.25">
      <c r="A156" t="s">
        <v>78</v>
      </c>
      <c r="B156" t="s">
        <v>79</v>
      </c>
      <c r="C156" t="s">
        <v>230</v>
      </c>
      <c r="D156" t="s">
        <v>231</v>
      </c>
      <c r="E156">
        <v>654.35</v>
      </c>
      <c r="F156">
        <v>648.5</v>
      </c>
      <c r="G156">
        <v>657</v>
      </c>
      <c r="H156">
        <v>640.15</v>
      </c>
      <c r="I156" s="1">
        <v>654.79999999999995</v>
      </c>
      <c r="J156">
        <v>899772095.5</v>
      </c>
      <c r="K156">
        <v>1388472</v>
      </c>
      <c r="L156" t="s">
        <v>78</v>
      </c>
      <c r="M156" t="s">
        <v>17</v>
      </c>
      <c r="N156">
        <v>41746</v>
      </c>
      <c r="O156">
        <v>673.7</v>
      </c>
      <c r="P156">
        <v>463.45</v>
      </c>
      <c r="Q156" s="1">
        <v>618</v>
      </c>
      <c r="R156" s="1">
        <v>377.05</v>
      </c>
      <c r="S156" s="3">
        <v>4.8317511146946934E-3</v>
      </c>
      <c r="T156" s="3">
        <v>2.7966406862970361E-2</v>
      </c>
    </row>
    <row r="157" spans="1:20" x14ac:dyDescent="0.25">
      <c r="A157" t="s">
        <v>78</v>
      </c>
      <c r="B157" t="s">
        <v>79</v>
      </c>
      <c r="C157" t="s">
        <v>234</v>
      </c>
      <c r="D157" t="s">
        <v>235</v>
      </c>
      <c r="E157">
        <v>4431.1000000000004</v>
      </c>
      <c r="F157">
        <v>4409.1000000000004</v>
      </c>
      <c r="G157">
        <v>4444</v>
      </c>
      <c r="H157">
        <v>4365</v>
      </c>
      <c r="I157" s="1">
        <v>4417.25</v>
      </c>
      <c r="J157">
        <v>3631890250.75</v>
      </c>
      <c r="K157">
        <v>822843</v>
      </c>
      <c r="L157" t="s">
        <v>78</v>
      </c>
      <c r="M157" t="s">
        <v>17</v>
      </c>
      <c r="N157">
        <v>92262</v>
      </c>
      <c r="O157">
        <v>4609.8</v>
      </c>
      <c r="P157">
        <v>2333.35</v>
      </c>
      <c r="Q157" s="1">
        <v>1760.15</v>
      </c>
      <c r="R157" s="1">
        <v>1452</v>
      </c>
      <c r="S157" s="3">
        <v>7.969276608569742E-2</v>
      </c>
      <c r="T157" s="3">
        <v>5.7172938280803498E-2</v>
      </c>
    </row>
    <row r="158" spans="1:20" x14ac:dyDescent="0.25">
      <c r="A158" t="s">
        <v>78</v>
      </c>
      <c r="B158" t="s">
        <v>79</v>
      </c>
      <c r="C158" t="s">
        <v>132</v>
      </c>
      <c r="D158" t="s">
        <v>133</v>
      </c>
      <c r="E158">
        <v>170.74</v>
      </c>
      <c r="F158">
        <v>170</v>
      </c>
      <c r="G158">
        <v>171.66</v>
      </c>
      <c r="H158">
        <v>168.66</v>
      </c>
      <c r="I158" s="1">
        <v>169.61</v>
      </c>
      <c r="J158">
        <v>3851394571.7399998</v>
      </c>
      <c r="K158">
        <v>22673600</v>
      </c>
      <c r="L158" t="s">
        <v>78</v>
      </c>
      <c r="M158" t="s">
        <v>17</v>
      </c>
      <c r="N158">
        <v>104003</v>
      </c>
      <c r="O158">
        <v>196.8</v>
      </c>
      <c r="P158">
        <v>85.5</v>
      </c>
      <c r="Q158" s="1">
        <v>105.1</v>
      </c>
      <c r="R158" s="1">
        <v>144.6</v>
      </c>
      <c r="S158" s="3">
        <v>4.0688434596980461E-2</v>
      </c>
      <c r="T158" s="3">
        <v>8.0040126112288501E-3</v>
      </c>
    </row>
    <row r="159" spans="1:20" x14ac:dyDescent="0.25">
      <c r="A159" t="s">
        <v>78</v>
      </c>
      <c r="B159" t="s">
        <v>79</v>
      </c>
      <c r="C159" t="s">
        <v>1415</v>
      </c>
      <c r="D159" t="s">
        <v>1416</v>
      </c>
      <c r="E159">
        <v>1029</v>
      </c>
      <c r="F159">
        <v>1027.8499999999999</v>
      </c>
      <c r="G159">
        <v>1028.75</v>
      </c>
      <c r="H159">
        <v>1004.1</v>
      </c>
      <c r="I159" s="1">
        <v>1010.25</v>
      </c>
      <c r="J159">
        <v>1872678434.7</v>
      </c>
      <c r="K159">
        <v>1850857</v>
      </c>
      <c r="L159" t="s">
        <v>78</v>
      </c>
      <c r="M159" t="s">
        <v>17</v>
      </c>
      <c r="N159">
        <v>62782</v>
      </c>
      <c r="O159">
        <v>1138.9000000000001</v>
      </c>
      <c r="P159">
        <v>615.6</v>
      </c>
      <c r="Q159" s="1">
        <v>2385.4499999999998</v>
      </c>
      <c r="R159" s="1" t="str">
        <v/>
      </c>
      <c r="S159" s="3">
        <v>-6.9096038585031438E-2</v>
      </c>
      <c r="T159" s="3">
        <v>0</v>
      </c>
    </row>
    <row r="160" spans="1:20" x14ac:dyDescent="0.25">
      <c r="A160" t="s">
        <v>78</v>
      </c>
      <c r="B160" t="s">
        <v>79</v>
      </c>
      <c r="C160" t="s">
        <v>1417</v>
      </c>
      <c r="D160" t="s">
        <v>1418</v>
      </c>
      <c r="E160">
        <v>212.11</v>
      </c>
      <c r="F160">
        <v>212</v>
      </c>
      <c r="G160">
        <v>212</v>
      </c>
      <c r="H160">
        <v>201.1</v>
      </c>
      <c r="I160" s="1">
        <v>205.82</v>
      </c>
      <c r="J160">
        <v>19419033558.240002</v>
      </c>
      <c r="K160">
        <v>94398777</v>
      </c>
      <c r="L160" t="s">
        <v>78</v>
      </c>
      <c r="M160" t="s">
        <v>17</v>
      </c>
      <c r="N160">
        <v>647394</v>
      </c>
      <c r="O160">
        <v>229</v>
      </c>
      <c r="P160">
        <v>32.35</v>
      </c>
      <c r="Q160" s="1">
        <v>23.15</v>
      </c>
      <c r="R160" s="1">
        <v>1121</v>
      </c>
      <c r="S160" s="3">
        <v>0.19971488771061452</v>
      </c>
      <c r="T160" s="3">
        <v>-8.1214241971329315E-2</v>
      </c>
    </row>
    <row r="161" spans="1:20" x14ac:dyDescent="0.25">
      <c r="A161" t="s">
        <v>78</v>
      </c>
      <c r="B161" t="s">
        <v>79</v>
      </c>
      <c r="C161" t="s">
        <v>1473</v>
      </c>
      <c r="D161" t="s">
        <v>1474</v>
      </c>
      <c r="E161">
        <v>1010.05</v>
      </c>
      <c r="F161">
        <v>1014.9</v>
      </c>
      <c r="G161">
        <v>1014.9</v>
      </c>
      <c r="H161">
        <v>976.4</v>
      </c>
      <c r="I161" s="1">
        <v>989.95</v>
      </c>
      <c r="J161">
        <v>4742271839.5</v>
      </c>
      <c r="K161">
        <v>4764249</v>
      </c>
      <c r="L161" t="s">
        <v>78</v>
      </c>
      <c r="M161" t="s">
        <v>17</v>
      </c>
      <c r="N161">
        <v>89990</v>
      </c>
      <c r="O161">
        <v>1097</v>
      </c>
      <c r="P161">
        <v>581.6</v>
      </c>
      <c r="Q161" s="1">
        <v>390</v>
      </c>
      <c r="R161" s="1">
        <v>138</v>
      </c>
      <c r="S161" s="3">
        <v>8.0718006931489006E-2</v>
      </c>
      <c r="T161" s="3">
        <v>0.10347697775328446</v>
      </c>
    </row>
    <row r="162" spans="1:20" x14ac:dyDescent="0.25">
      <c r="A162" t="s">
        <v>78</v>
      </c>
      <c r="B162" t="s">
        <v>79</v>
      </c>
      <c r="C162" t="s">
        <v>6422</v>
      </c>
      <c r="D162" t="s">
        <v>6421</v>
      </c>
      <c r="E162">
        <v>344.25</v>
      </c>
      <c r="F162">
        <v>345.6</v>
      </c>
      <c r="G162">
        <v>346.15</v>
      </c>
      <c r="H162">
        <v>336</v>
      </c>
      <c r="I162" s="1">
        <v>337</v>
      </c>
      <c r="J162">
        <v>8523366848.1000004</v>
      </c>
      <c r="K162">
        <v>25188963</v>
      </c>
      <c r="L162" t="s">
        <v>78</v>
      </c>
      <c r="M162" t="s">
        <v>17</v>
      </c>
      <c r="N162">
        <v>368889</v>
      </c>
      <c r="O162">
        <v>394.7</v>
      </c>
      <c r="P162">
        <v>204.25</v>
      </c>
      <c r="Q162" s="1" t="str">
        <v/>
      </c>
      <c r="R162" s="1" t="str">
        <v/>
      </c>
      <c r="S162" s="3">
        <v>0</v>
      </c>
      <c r="T162" s="3">
        <v>0</v>
      </c>
    </row>
    <row r="163" spans="1:20" x14ac:dyDescent="0.25">
      <c r="A163" t="s">
        <v>78</v>
      </c>
      <c r="B163" t="s">
        <v>79</v>
      </c>
      <c r="C163" t="s">
        <v>6420</v>
      </c>
      <c r="D163" t="s">
        <v>6419</v>
      </c>
      <c r="E163">
        <v>1108.45</v>
      </c>
      <c r="F163">
        <v>1109</v>
      </c>
      <c r="G163">
        <v>1130</v>
      </c>
      <c r="H163">
        <v>1088.3</v>
      </c>
      <c r="I163" s="1">
        <v>1109.6500000000001</v>
      </c>
      <c r="J163">
        <v>8307015853.3000002</v>
      </c>
      <c r="K163">
        <v>7475945</v>
      </c>
      <c r="L163" t="s">
        <v>78</v>
      </c>
      <c r="M163" t="s">
        <v>17</v>
      </c>
      <c r="N163">
        <v>156676</v>
      </c>
      <c r="O163">
        <v>1175</v>
      </c>
      <c r="P163">
        <v>597.35</v>
      </c>
      <c r="Q163" s="1" t="str">
        <v/>
      </c>
      <c r="R163" s="1" t="str">
        <v/>
      </c>
      <c r="S163" s="3">
        <v>0</v>
      </c>
      <c r="T163" s="3">
        <v>0</v>
      </c>
    </row>
    <row r="164" spans="1:20" x14ac:dyDescent="0.25">
      <c r="A164" t="s">
        <v>78</v>
      </c>
      <c r="B164" t="s">
        <v>79</v>
      </c>
      <c r="C164" t="s">
        <v>240</v>
      </c>
      <c r="D164" t="s">
        <v>241</v>
      </c>
      <c r="E164">
        <v>667.35</v>
      </c>
      <c r="F164">
        <v>664.25</v>
      </c>
      <c r="G164">
        <v>686.25</v>
      </c>
      <c r="H164">
        <v>664.25</v>
      </c>
      <c r="I164" s="1">
        <v>684.85</v>
      </c>
      <c r="J164">
        <v>4373842966.5500002</v>
      </c>
      <c r="K164">
        <v>6427954</v>
      </c>
      <c r="L164" t="s">
        <v>78</v>
      </c>
      <c r="M164" t="s">
        <v>17</v>
      </c>
      <c r="N164">
        <v>133451</v>
      </c>
      <c r="O164">
        <v>686.25</v>
      </c>
      <c r="P164">
        <v>486.3</v>
      </c>
      <c r="Q164" s="1">
        <v>521.04999999999995</v>
      </c>
      <c r="R164" s="1">
        <v>363</v>
      </c>
      <c r="S164" s="3">
        <v>2.3040919634115031E-2</v>
      </c>
      <c r="T164" s="3">
        <v>3.2230988336545918E-2</v>
      </c>
    </row>
    <row r="165" spans="1:20" x14ac:dyDescent="0.25">
      <c r="A165" t="s">
        <v>78</v>
      </c>
      <c r="B165" t="s">
        <v>79</v>
      </c>
      <c r="C165" t="s">
        <v>6418</v>
      </c>
      <c r="D165" t="s">
        <v>6417</v>
      </c>
      <c r="E165">
        <v>201.17</v>
      </c>
      <c r="F165">
        <v>200</v>
      </c>
      <c r="G165">
        <v>205.9</v>
      </c>
      <c r="H165">
        <v>198.37</v>
      </c>
      <c r="I165" s="1">
        <v>204.31</v>
      </c>
      <c r="J165">
        <v>11329466422.93</v>
      </c>
      <c r="K165">
        <v>55731481</v>
      </c>
      <c r="L165" t="s">
        <v>78</v>
      </c>
      <c r="M165" t="s">
        <v>17</v>
      </c>
      <c r="N165">
        <v>93118</v>
      </c>
      <c r="O165">
        <v>208.88</v>
      </c>
      <c r="P165">
        <v>86.8</v>
      </c>
      <c r="Q165" s="1" t="str">
        <v/>
      </c>
      <c r="R165" s="1" t="str">
        <v/>
      </c>
      <c r="S165" s="3">
        <v>0</v>
      </c>
      <c r="T165" s="3">
        <v>0</v>
      </c>
    </row>
    <row r="166" spans="1:20" x14ac:dyDescent="0.25">
      <c r="A166" t="s">
        <v>78</v>
      </c>
      <c r="B166" t="s">
        <v>79</v>
      </c>
      <c r="C166" t="s">
        <v>248</v>
      </c>
      <c r="D166" t="s">
        <v>249</v>
      </c>
      <c r="E166">
        <v>6812</v>
      </c>
      <c r="F166">
        <v>6814.9</v>
      </c>
      <c r="G166">
        <v>6985</v>
      </c>
      <c r="H166">
        <v>6814.9</v>
      </c>
      <c r="I166" s="1">
        <v>6932.25</v>
      </c>
      <c r="J166">
        <v>2187535632.0999999</v>
      </c>
      <c r="K166">
        <v>316129</v>
      </c>
      <c r="L166" t="s">
        <v>78</v>
      </c>
      <c r="M166" t="s">
        <v>17</v>
      </c>
      <c r="N166">
        <v>66421</v>
      </c>
      <c r="O166">
        <v>7063</v>
      </c>
      <c r="P166">
        <v>3972.05</v>
      </c>
      <c r="Q166" s="1">
        <v>5018</v>
      </c>
      <c r="R166" s="1">
        <v>2125</v>
      </c>
      <c r="S166" s="3">
        <v>2.7295289241526799E-2</v>
      </c>
      <c r="T166" s="3">
        <v>6.0868863109679872E-2</v>
      </c>
    </row>
    <row r="167" spans="1:20" x14ac:dyDescent="0.25">
      <c r="A167" t="s">
        <v>78</v>
      </c>
      <c r="B167" t="s">
        <v>79</v>
      </c>
      <c r="C167" t="s">
        <v>258</v>
      </c>
      <c r="D167" t="s">
        <v>259</v>
      </c>
      <c r="E167">
        <v>549.54999999999995</v>
      </c>
      <c r="F167">
        <v>548</v>
      </c>
      <c r="G167">
        <v>556.85</v>
      </c>
      <c r="H167">
        <v>534.04999999999995</v>
      </c>
      <c r="I167" s="1">
        <v>547.6</v>
      </c>
      <c r="J167">
        <v>6921555678.1999998</v>
      </c>
      <c r="K167">
        <v>12703877</v>
      </c>
      <c r="L167" t="s">
        <v>78</v>
      </c>
      <c r="M167" t="s">
        <v>17</v>
      </c>
      <c r="N167">
        <v>131741</v>
      </c>
      <c r="O167">
        <v>580</v>
      </c>
      <c r="P167">
        <v>220.05</v>
      </c>
      <c r="Q167" s="1">
        <v>125.5</v>
      </c>
      <c r="R167" s="1">
        <v>118.4</v>
      </c>
      <c r="S167" s="3">
        <v>0.13062428476999677</v>
      </c>
      <c r="T167" s="3">
        <v>7.9536608945344422E-2</v>
      </c>
    </row>
    <row r="168" spans="1:20" x14ac:dyDescent="0.25">
      <c r="A168" t="s">
        <v>78</v>
      </c>
      <c r="B168" t="s">
        <v>79</v>
      </c>
      <c r="C168" t="s">
        <v>262</v>
      </c>
      <c r="D168" t="s">
        <v>263</v>
      </c>
      <c r="E168">
        <v>3175.15</v>
      </c>
      <c r="F168">
        <v>3184</v>
      </c>
      <c r="G168">
        <v>3227</v>
      </c>
      <c r="H168">
        <v>3150.9</v>
      </c>
      <c r="I168" s="1">
        <v>3193.4</v>
      </c>
      <c r="J168">
        <v>1311324527.6500001</v>
      </c>
      <c r="K168">
        <v>410938</v>
      </c>
      <c r="L168" t="s">
        <v>78</v>
      </c>
      <c r="M168" t="s">
        <v>17</v>
      </c>
      <c r="N168">
        <v>39800</v>
      </c>
      <c r="O168">
        <v>3231</v>
      </c>
      <c r="P168">
        <v>2292.5500000000002</v>
      </c>
      <c r="Q168" s="1">
        <v>2232</v>
      </c>
      <c r="R168" s="1">
        <v>1192.05</v>
      </c>
      <c r="S168" s="3">
        <v>3.0298958691579836E-2</v>
      </c>
      <c r="T168" s="3">
        <v>5.0476216103438221E-2</v>
      </c>
    </row>
    <row r="169" spans="1:20" x14ac:dyDescent="0.25">
      <c r="A169" t="s">
        <v>78</v>
      </c>
      <c r="B169" t="s">
        <v>79</v>
      </c>
      <c r="C169" t="s">
        <v>264</v>
      </c>
      <c r="D169" t="s">
        <v>265</v>
      </c>
      <c r="E169">
        <v>119.86</v>
      </c>
      <c r="F169">
        <v>119.99</v>
      </c>
      <c r="G169">
        <v>120.9</v>
      </c>
      <c r="H169">
        <v>118.15</v>
      </c>
      <c r="I169" s="1">
        <v>118.84</v>
      </c>
      <c r="J169">
        <v>2607080446.5599999</v>
      </c>
      <c r="K169">
        <v>21826818</v>
      </c>
      <c r="L169" t="s">
        <v>78</v>
      </c>
      <c r="M169" t="s">
        <v>17</v>
      </c>
      <c r="N169">
        <v>100603</v>
      </c>
      <c r="O169">
        <v>142.9</v>
      </c>
      <c r="P169">
        <v>58.55</v>
      </c>
      <c r="Q169" s="1">
        <v>40.1</v>
      </c>
      <c r="R169" s="1">
        <v>72.3</v>
      </c>
      <c r="S169" s="3">
        <v>9.4758155542874478E-2</v>
      </c>
      <c r="T169" s="3">
        <v>2.5145022913876547E-2</v>
      </c>
    </row>
    <row r="170" spans="1:20" x14ac:dyDescent="0.25">
      <c r="A170" t="s">
        <v>78</v>
      </c>
      <c r="B170" t="s">
        <v>79</v>
      </c>
      <c r="C170" t="s">
        <v>2215</v>
      </c>
      <c r="D170" t="s">
        <v>2216</v>
      </c>
      <c r="E170">
        <v>617.70000000000005</v>
      </c>
      <c r="F170">
        <v>617.70000000000005</v>
      </c>
      <c r="G170">
        <v>620.85</v>
      </c>
      <c r="H170">
        <v>598</v>
      </c>
      <c r="I170" s="1">
        <v>610.04999999999995</v>
      </c>
      <c r="J170">
        <v>10804037790.299999</v>
      </c>
      <c r="K170">
        <v>17723265</v>
      </c>
      <c r="L170" t="s">
        <v>78</v>
      </c>
      <c r="M170" t="s">
        <v>17</v>
      </c>
      <c r="N170">
        <v>192635</v>
      </c>
      <c r="O170">
        <v>654</v>
      </c>
      <c r="P170">
        <v>159.15</v>
      </c>
      <c r="Q170" s="1">
        <v>150.4</v>
      </c>
      <c r="R170" s="1">
        <v>145.9</v>
      </c>
      <c r="S170" s="3">
        <v>0.12376749578695567</v>
      </c>
      <c r="T170" s="3">
        <v>7.4109342631063058E-2</v>
      </c>
    </row>
    <row r="171" spans="1:20" x14ac:dyDescent="0.25">
      <c r="A171" t="s">
        <v>78</v>
      </c>
      <c r="B171" t="s">
        <v>79</v>
      </c>
      <c r="C171" t="s">
        <v>266</v>
      </c>
      <c r="D171" t="s">
        <v>267</v>
      </c>
      <c r="E171">
        <v>730.9</v>
      </c>
      <c r="F171">
        <v>731</v>
      </c>
      <c r="G171">
        <v>734.45</v>
      </c>
      <c r="H171">
        <v>722</v>
      </c>
      <c r="I171" s="1">
        <v>733.5</v>
      </c>
      <c r="J171">
        <v>610381237.85000002</v>
      </c>
      <c r="K171">
        <v>836572</v>
      </c>
      <c r="L171" t="s">
        <v>78</v>
      </c>
      <c r="M171" t="s">
        <v>17</v>
      </c>
      <c r="N171">
        <v>26004</v>
      </c>
      <c r="O171">
        <v>892.85</v>
      </c>
      <c r="P171">
        <v>647.95000000000005</v>
      </c>
      <c r="Q171" s="1">
        <v>971</v>
      </c>
      <c r="R171" s="1" t="str">
        <v/>
      </c>
      <c r="S171" s="3">
        <v>-2.3103829019566535E-2</v>
      </c>
      <c r="T171" s="3">
        <v>0</v>
      </c>
    </row>
    <row r="172" spans="1:20" x14ac:dyDescent="0.25">
      <c r="A172" t="s">
        <v>78</v>
      </c>
      <c r="B172" t="s">
        <v>79</v>
      </c>
      <c r="C172" t="s">
        <v>160</v>
      </c>
      <c r="D172" t="s">
        <v>161</v>
      </c>
      <c r="E172">
        <v>27906.799999999999</v>
      </c>
      <c r="F172">
        <v>27800</v>
      </c>
      <c r="G172">
        <v>28197</v>
      </c>
      <c r="H172">
        <v>27672.2</v>
      </c>
      <c r="I172" s="1">
        <v>28061.599999999999</v>
      </c>
      <c r="J172">
        <v>861588031.25</v>
      </c>
      <c r="K172">
        <v>30733</v>
      </c>
      <c r="L172" t="s">
        <v>78</v>
      </c>
      <c r="M172" t="s">
        <v>17</v>
      </c>
      <c r="N172">
        <v>11880</v>
      </c>
      <c r="O172">
        <v>30737.75</v>
      </c>
      <c r="P172">
        <v>23026</v>
      </c>
      <c r="Q172" s="1">
        <v>27817.1</v>
      </c>
      <c r="R172" s="1">
        <v>21000</v>
      </c>
      <c r="S172" s="3">
        <v>7.2952882761811999E-4</v>
      </c>
      <c r="T172" s="3">
        <v>1.4591476472795684E-2</v>
      </c>
    </row>
    <row r="173" spans="1:20" x14ac:dyDescent="0.25">
      <c r="A173" t="s">
        <v>78</v>
      </c>
      <c r="B173" t="s">
        <v>79</v>
      </c>
      <c r="C173" t="s">
        <v>268</v>
      </c>
      <c r="D173" t="s">
        <v>269</v>
      </c>
      <c r="E173">
        <v>7468.6</v>
      </c>
      <c r="F173">
        <v>7468.6</v>
      </c>
      <c r="G173">
        <v>7478.55</v>
      </c>
      <c r="H173">
        <v>7055.05</v>
      </c>
      <c r="I173" s="1">
        <v>7121.2</v>
      </c>
      <c r="J173">
        <v>6197337242.25</v>
      </c>
      <c r="K173">
        <v>867081</v>
      </c>
      <c r="L173" t="s">
        <v>78</v>
      </c>
      <c r="M173" t="s">
        <v>17</v>
      </c>
      <c r="N173">
        <v>123735</v>
      </c>
      <c r="O173">
        <v>7968.7</v>
      </c>
      <c r="P173">
        <v>3246</v>
      </c>
      <c r="Q173" s="1">
        <v>1967.1</v>
      </c>
      <c r="R173" s="1">
        <v>1188.2</v>
      </c>
      <c r="S173" s="3">
        <v>0.11316761243273521</v>
      </c>
      <c r="T173" s="3">
        <v>9.3608526373093026E-2</v>
      </c>
    </row>
    <row r="174" spans="1:20" x14ac:dyDescent="0.25">
      <c r="A174" t="s">
        <v>78</v>
      </c>
      <c r="B174" t="s">
        <v>79</v>
      </c>
      <c r="C174" t="s">
        <v>2511</v>
      </c>
      <c r="D174" t="s">
        <v>2512</v>
      </c>
      <c r="E174">
        <v>2394.6</v>
      </c>
      <c r="F174">
        <v>2394</v>
      </c>
      <c r="G174">
        <v>2415.9499999999998</v>
      </c>
      <c r="H174">
        <v>2376.6999999999998</v>
      </c>
      <c r="I174" s="1">
        <v>2404.5</v>
      </c>
      <c r="J174">
        <v>1247228579.2</v>
      </c>
      <c r="K174">
        <v>519892</v>
      </c>
      <c r="L174" t="s">
        <v>78</v>
      </c>
      <c r="M174" t="s">
        <v>17</v>
      </c>
      <c r="N174">
        <v>29962</v>
      </c>
      <c r="O174">
        <v>2693.95</v>
      </c>
      <c r="P174">
        <v>2040</v>
      </c>
      <c r="Q174" s="1">
        <v>7656.45</v>
      </c>
      <c r="R174" s="1">
        <v>2640.25</v>
      </c>
      <c r="S174" s="3">
        <v>-9.2005723677023088E-2</v>
      </c>
      <c r="T174" s="3">
        <v>-4.6631140542106042E-3</v>
      </c>
    </row>
    <row r="175" spans="1:20" x14ac:dyDescent="0.25">
      <c r="A175" t="s">
        <v>78</v>
      </c>
      <c r="B175" t="s">
        <v>79</v>
      </c>
      <c r="C175" t="s">
        <v>2639</v>
      </c>
      <c r="D175" t="s">
        <v>2640</v>
      </c>
      <c r="E175">
        <v>436.9</v>
      </c>
      <c r="F175">
        <v>440.9</v>
      </c>
      <c r="G175">
        <v>441</v>
      </c>
      <c r="H175">
        <v>429</v>
      </c>
      <c r="I175" s="1">
        <v>429.95</v>
      </c>
      <c r="J175">
        <v>5207071767.6999998</v>
      </c>
      <c r="K175">
        <v>12053566</v>
      </c>
      <c r="L175" t="s">
        <v>78</v>
      </c>
      <c r="M175" t="s">
        <v>17</v>
      </c>
      <c r="N175">
        <v>153943</v>
      </c>
      <c r="O175">
        <v>464.2</v>
      </c>
      <c r="P175">
        <v>216.75</v>
      </c>
      <c r="Q175" s="1">
        <v>124.6</v>
      </c>
      <c r="R175" s="1">
        <v>65.2</v>
      </c>
      <c r="S175" s="3">
        <v>0.10872794171243583</v>
      </c>
      <c r="T175" s="3">
        <v>9.8844116372247326E-2</v>
      </c>
    </row>
    <row r="176" spans="1:20" x14ac:dyDescent="0.25">
      <c r="A176" t="s">
        <v>78</v>
      </c>
      <c r="B176" t="s">
        <v>79</v>
      </c>
      <c r="C176" t="s">
        <v>272</v>
      </c>
      <c r="D176" t="s">
        <v>273</v>
      </c>
      <c r="E176">
        <v>2975.05</v>
      </c>
      <c r="F176">
        <v>2977.7</v>
      </c>
      <c r="G176">
        <v>3073.95</v>
      </c>
      <c r="H176">
        <v>2953.05</v>
      </c>
      <c r="I176" s="1">
        <v>3058.3</v>
      </c>
      <c r="J176">
        <v>1255904888.5999999</v>
      </c>
      <c r="K176">
        <v>416024</v>
      </c>
      <c r="L176" t="s">
        <v>78</v>
      </c>
      <c r="M176" t="s">
        <v>17</v>
      </c>
      <c r="N176">
        <v>43512</v>
      </c>
      <c r="O176">
        <v>3073.95</v>
      </c>
      <c r="P176">
        <v>1772.05</v>
      </c>
      <c r="Q176" s="1">
        <v>2954.5</v>
      </c>
      <c r="R176" s="1">
        <v>1485.1</v>
      </c>
      <c r="S176" s="3">
        <v>2.8816251083012556E-3</v>
      </c>
      <c r="T176" s="3">
        <v>3.6758557721952023E-2</v>
      </c>
    </row>
    <row r="177" spans="1:20" x14ac:dyDescent="0.25">
      <c r="A177" t="s">
        <v>78</v>
      </c>
      <c r="B177" t="s">
        <v>79</v>
      </c>
      <c r="C177" t="s">
        <v>2723</v>
      </c>
      <c r="D177" t="s">
        <v>2724</v>
      </c>
      <c r="E177">
        <v>5647.3</v>
      </c>
      <c r="F177">
        <v>5649.9</v>
      </c>
      <c r="G177">
        <v>5660.25</v>
      </c>
      <c r="H177">
        <v>5282.95</v>
      </c>
      <c r="I177" s="1">
        <v>5308.5</v>
      </c>
      <c r="J177">
        <v>7198631521.0500002</v>
      </c>
      <c r="K177">
        <v>1342486</v>
      </c>
      <c r="L177" t="s">
        <v>78</v>
      </c>
      <c r="M177" t="s">
        <v>17</v>
      </c>
      <c r="N177">
        <v>116422</v>
      </c>
      <c r="O177">
        <v>5754.95</v>
      </c>
      <c r="P177">
        <v>1670.4</v>
      </c>
      <c r="Q177" s="1">
        <v>860</v>
      </c>
      <c r="R177" s="1">
        <v>434.55</v>
      </c>
      <c r="S177" s="3">
        <v>0.16378506857290542</v>
      </c>
      <c r="T177" s="3">
        <v>0.13322681042899798</v>
      </c>
    </row>
    <row r="178" spans="1:20" x14ac:dyDescent="0.25">
      <c r="A178" t="s">
        <v>78</v>
      </c>
      <c r="B178" t="s">
        <v>79</v>
      </c>
      <c r="C178" t="s">
        <v>2743</v>
      </c>
      <c r="D178" t="s">
        <v>2744</v>
      </c>
      <c r="E178">
        <v>2455.4</v>
      </c>
      <c r="F178">
        <v>2460</v>
      </c>
      <c r="G178">
        <v>2464.9499999999998</v>
      </c>
      <c r="H178">
        <v>2383</v>
      </c>
      <c r="I178" s="1">
        <v>2407.6</v>
      </c>
      <c r="J178">
        <v>2153270704.3000002</v>
      </c>
      <c r="K178">
        <v>894461</v>
      </c>
      <c r="L178" t="s">
        <v>78</v>
      </c>
      <c r="M178" t="s">
        <v>17</v>
      </c>
      <c r="N178">
        <v>51997</v>
      </c>
      <c r="O178">
        <v>2519</v>
      </c>
      <c r="P178">
        <v>1295</v>
      </c>
      <c r="Q178" s="1">
        <v>593</v>
      </c>
      <c r="R178" s="1">
        <v>392</v>
      </c>
      <c r="S178" s="3">
        <v>0.12385634914964783</v>
      </c>
      <c r="T178" s="3">
        <v>9.4947579815527483E-2</v>
      </c>
    </row>
    <row r="179" spans="1:20" x14ac:dyDescent="0.25">
      <c r="A179" t="s">
        <v>78</v>
      </c>
      <c r="B179" t="s">
        <v>79</v>
      </c>
      <c r="C179" t="s">
        <v>2815</v>
      </c>
      <c r="D179" t="s">
        <v>2816</v>
      </c>
      <c r="E179">
        <v>1599</v>
      </c>
      <c r="F179">
        <v>1600</v>
      </c>
      <c r="G179">
        <v>1608</v>
      </c>
      <c r="H179">
        <v>1586.1</v>
      </c>
      <c r="I179" s="1">
        <v>1590.65</v>
      </c>
      <c r="J179">
        <v>3190196648.1500001</v>
      </c>
      <c r="K179">
        <v>1997411</v>
      </c>
      <c r="L179" t="s">
        <v>78</v>
      </c>
      <c r="M179" t="s">
        <v>17</v>
      </c>
      <c r="N179">
        <v>69714</v>
      </c>
      <c r="O179">
        <v>1672</v>
      </c>
      <c r="P179">
        <v>784.9</v>
      </c>
      <c r="Q179" s="1">
        <v>765</v>
      </c>
      <c r="R179" s="1">
        <v>914.4</v>
      </c>
      <c r="S179" s="3">
        <v>6.2900879035704405E-2</v>
      </c>
      <c r="T179" s="3">
        <v>2.8052602607427035E-2</v>
      </c>
    </row>
    <row r="180" spans="1:20" x14ac:dyDescent="0.25">
      <c r="A180" t="s">
        <v>78</v>
      </c>
      <c r="B180" t="s">
        <v>79</v>
      </c>
      <c r="C180" t="s">
        <v>2819</v>
      </c>
      <c r="D180" t="s">
        <v>2820</v>
      </c>
      <c r="E180">
        <v>455.5</v>
      </c>
      <c r="F180">
        <v>458.95</v>
      </c>
      <c r="G180">
        <v>460.5</v>
      </c>
      <c r="H180">
        <v>448</v>
      </c>
      <c r="I180" s="1">
        <v>451.4</v>
      </c>
      <c r="J180">
        <v>7469154227.0500002</v>
      </c>
      <c r="K180">
        <v>16469541</v>
      </c>
      <c r="L180" t="s">
        <v>78</v>
      </c>
      <c r="M180" t="s">
        <v>17</v>
      </c>
      <c r="N180">
        <v>141258</v>
      </c>
      <c r="O180">
        <v>506.75</v>
      </c>
      <c r="P180">
        <v>208</v>
      </c>
      <c r="Q180" s="1">
        <v>263.10000000000002</v>
      </c>
      <c r="R180" s="1">
        <v>160.6</v>
      </c>
      <c r="S180" s="3">
        <v>4.6012141395559647E-2</v>
      </c>
      <c r="T180" s="3">
        <v>5.3000339227349924E-2</v>
      </c>
    </row>
    <row r="181" spans="1:20" x14ac:dyDescent="0.25">
      <c r="A181" t="s">
        <v>78</v>
      </c>
      <c r="B181" t="s">
        <v>79</v>
      </c>
      <c r="C181" t="s">
        <v>6416</v>
      </c>
      <c r="D181" t="s">
        <v>6415</v>
      </c>
      <c r="E181">
        <v>217.49</v>
      </c>
      <c r="F181">
        <v>217.75</v>
      </c>
      <c r="G181">
        <v>221.4</v>
      </c>
      <c r="H181">
        <v>210.25</v>
      </c>
      <c r="I181" s="1">
        <v>220.62</v>
      </c>
      <c r="J181">
        <v>12647310638.540001</v>
      </c>
      <c r="K181">
        <v>58537673</v>
      </c>
      <c r="L181" t="s">
        <v>78</v>
      </c>
      <c r="M181" t="s">
        <v>17</v>
      </c>
      <c r="N181">
        <v>426707</v>
      </c>
      <c r="O181">
        <v>232</v>
      </c>
      <c r="P181">
        <v>76.5</v>
      </c>
      <c r="Q181" s="1" t="str">
        <v/>
      </c>
      <c r="R181" s="1" t="str">
        <v/>
      </c>
      <c r="S181" s="3">
        <v>0</v>
      </c>
      <c r="T181" s="3">
        <v>0</v>
      </c>
    </row>
    <row r="182" spans="1:20" x14ac:dyDescent="0.25">
      <c r="A182" t="s">
        <v>78</v>
      </c>
      <c r="B182" t="s">
        <v>79</v>
      </c>
      <c r="C182" t="s">
        <v>6414</v>
      </c>
      <c r="D182" t="s">
        <v>6413</v>
      </c>
      <c r="E182">
        <v>1184.8</v>
      </c>
      <c r="F182">
        <v>1186</v>
      </c>
      <c r="G182">
        <v>1190.55</v>
      </c>
      <c r="H182">
        <v>1160.0999999999999</v>
      </c>
      <c r="I182" s="1">
        <v>1185.6500000000001</v>
      </c>
      <c r="J182">
        <v>1076312793.4000001</v>
      </c>
      <c r="K182">
        <v>914361</v>
      </c>
      <c r="L182" t="s">
        <v>78</v>
      </c>
      <c r="M182" t="s">
        <v>17</v>
      </c>
      <c r="N182">
        <v>53416</v>
      </c>
      <c r="O182">
        <v>1203</v>
      </c>
      <c r="P182">
        <v>567.75</v>
      </c>
      <c r="Q182" s="1" t="str">
        <v/>
      </c>
      <c r="R182" s="1" t="str">
        <v/>
      </c>
      <c r="S182" s="3">
        <v>0</v>
      </c>
      <c r="T182" s="3">
        <v>0</v>
      </c>
    </row>
    <row r="183" spans="1:20" x14ac:dyDescent="0.25">
      <c r="A183" t="s">
        <v>17</v>
      </c>
      <c r="B183" t="s">
        <v>79</v>
      </c>
      <c r="D183" t="s">
        <v>17</v>
      </c>
      <c r="E183" t="s">
        <v>17</v>
      </c>
      <c r="F183" t="s">
        <v>17</v>
      </c>
      <c r="G183" t="s">
        <v>17</v>
      </c>
      <c r="H183" t="s">
        <v>17</v>
      </c>
      <c r="I183" s="1" t="s">
        <v>17</v>
      </c>
      <c r="J183" t="s">
        <v>17</v>
      </c>
      <c r="K183" t="s">
        <v>17</v>
      </c>
      <c r="L183" t="s">
        <v>17</v>
      </c>
      <c r="M183" t="s">
        <v>17</v>
      </c>
      <c r="N183" t="s">
        <v>17</v>
      </c>
      <c r="O183" t="s">
        <v>17</v>
      </c>
      <c r="P183" t="s">
        <v>17</v>
      </c>
      <c r="Q183" s="1" t="str">
        <v/>
      </c>
      <c r="R183" s="1" t="str">
        <v/>
      </c>
      <c r="S183" s="3">
        <v>0</v>
      </c>
      <c r="T183" s="3">
        <v>0</v>
      </c>
    </row>
    <row r="184" spans="1:20" x14ac:dyDescent="0.25">
      <c r="A184" t="s">
        <v>17</v>
      </c>
      <c r="B184" t="s">
        <v>79</v>
      </c>
      <c r="D184" t="s">
        <v>276</v>
      </c>
      <c r="E184" t="s">
        <v>17</v>
      </c>
      <c r="F184" t="s">
        <v>17</v>
      </c>
      <c r="G184" t="s">
        <v>17</v>
      </c>
      <c r="H184" t="s">
        <v>17</v>
      </c>
      <c r="I184" s="1" t="s">
        <v>17</v>
      </c>
      <c r="J184" t="s">
        <v>17</v>
      </c>
      <c r="K184" t="s">
        <v>17</v>
      </c>
      <c r="L184" t="s">
        <v>17</v>
      </c>
      <c r="M184" t="s">
        <v>17</v>
      </c>
      <c r="N184" t="s">
        <v>17</v>
      </c>
      <c r="O184" t="s">
        <v>17</v>
      </c>
      <c r="P184" t="s">
        <v>17</v>
      </c>
      <c r="Q184" s="1" t="str">
        <v/>
      </c>
      <c r="R184" s="1" t="str">
        <v/>
      </c>
      <c r="S184" s="3">
        <v>0</v>
      </c>
      <c r="T184" s="3">
        <v>0</v>
      </c>
    </row>
    <row r="185" spans="1:20" x14ac:dyDescent="0.25">
      <c r="A185" t="s">
        <v>78</v>
      </c>
      <c r="B185" t="s">
        <v>79</v>
      </c>
      <c r="C185" t="s">
        <v>277</v>
      </c>
      <c r="D185" t="s">
        <v>278</v>
      </c>
      <c r="E185">
        <v>215.53</v>
      </c>
      <c r="F185">
        <v>217</v>
      </c>
      <c r="G185">
        <v>219.97</v>
      </c>
      <c r="H185">
        <v>205.48</v>
      </c>
      <c r="I185" s="1">
        <v>209.05</v>
      </c>
      <c r="J185">
        <v>30483282.469999999</v>
      </c>
      <c r="K185">
        <v>143793</v>
      </c>
      <c r="L185" t="s">
        <v>78</v>
      </c>
      <c r="M185" t="s">
        <v>17</v>
      </c>
      <c r="N185">
        <v>6176</v>
      </c>
      <c r="O185">
        <v>236</v>
      </c>
      <c r="P185">
        <v>151.85</v>
      </c>
      <c r="Q185" s="1">
        <v>65.55</v>
      </c>
      <c r="R185" s="1">
        <v>35.25</v>
      </c>
      <c r="S185" s="3">
        <v>0.10147114112117017</v>
      </c>
      <c r="T185" s="3">
        <v>9.3033275646891678E-2</v>
      </c>
    </row>
    <row r="186" spans="1:20" x14ac:dyDescent="0.25">
      <c r="A186" t="s">
        <v>78</v>
      </c>
      <c r="B186" t="s">
        <v>79</v>
      </c>
      <c r="C186" t="s">
        <v>6412</v>
      </c>
      <c r="D186" t="s">
        <v>6411</v>
      </c>
      <c r="E186">
        <v>980.75</v>
      </c>
      <c r="F186">
        <v>980</v>
      </c>
      <c r="G186">
        <v>1003.45</v>
      </c>
      <c r="H186">
        <v>974.2</v>
      </c>
      <c r="I186" s="1">
        <v>983.9</v>
      </c>
      <c r="J186">
        <v>1398767351.8499999</v>
      </c>
      <c r="K186">
        <v>1423067</v>
      </c>
      <c r="L186" t="s">
        <v>78</v>
      </c>
      <c r="M186" t="s">
        <v>17</v>
      </c>
      <c r="N186">
        <v>41059</v>
      </c>
      <c r="O186">
        <v>1065</v>
      </c>
      <c r="P186">
        <v>475</v>
      </c>
      <c r="Q186" s="1" t="str">
        <v/>
      </c>
      <c r="R186" s="1" t="str">
        <v/>
      </c>
      <c r="S186" s="3">
        <v>0</v>
      </c>
      <c r="T186" s="3">
        <v>0</v>
      </c>
    </row>
    <row r="187" spans="1:20" x14ac:dyDescent="0.25">
      <c r="A187" t="s">
        <v>78</v>
      </c>
      <c r="B187" t="s">
        <v>79</v>
      </c>
      <c r="C187" t="s">
        <v>6410</v>
      </c>
      <c r="D187" t="s">
        <v>6409</v>
      </c>
      <c r="E187">
        <v>37.950000000000003</v>
      </c>
      <c r="F187">
        <v>37.950000000000003</v>
      </c>
      <c r="G187">
        <v>39.18</v>
      </c>
      <c r="H187">
        <v>37.35</v>
      </c>
      <c r="I187" s="1">
        <v>38.380000000000003</v>
      </c>
      <c r="J187">
        <v>53334872.149999999</v>
      </c>
      <c r="K187">
        <v>1397875</v>
      </c>
      <c r="L187" t="s">
        <v>78</v>
      </c>
      <c r="M187" t="s">
        <v>17</v>
      </c>
      <c r="N187">
        <v>9613</v>
      </c>
      <c r="O187">
        <v>63.9</v>
      </c>
      <c r="P187">
        <v>30.25</v>
      </c>
      <c r="Q187" s="1" t="str">
        <v/>
      </c>
      <c r="R187" s="1" t="str">
        <v/>
      </c>
      <c r="S187" s="3">
        <v>0</v>
      </c>
      <c r="T187" s="3">
        <v>0</v>
      </c>
    </row>
    <row r="188" spans="1:20" x14ac:dyDescent="0.25">
      <c r="A188" t="s">
        <v>78</v>
      </c>
      <c r="B188" t="s">
        <v>79</v>
      </c>
      <c r="C188" t="s">
        <v>281</v>
      </c>
      <c r="D188" t="s">
        <v>282</v>
      </c>
      <c r="E188">
        <v>38772</v>
      </c>
      <c r="F188">
        <v>38994.5</v>
      </c>
      <c r="G188">
        <v>39099.949999999997</v>
      </c>
      <c r="H188">
        <v>37992</v>
      </c>
      <c r="I188" s="1">
        <v>38114.65</v>
      </c>
      <c r="J188">
        <v>103882192.40000001</v>
      </c>
      <c r="K188">
        <v>2711</v>
      </c>
      <c r="L188" t="s">
        <v>78</v>
      </c>
      <c r="M188" t="s">
        <v>17</v>
      </c>
      <c r="N188">
        <v>1568</v>
      </c>
      <c r="O188">
        <v>40856.5</v>
      </c>
      <c r="P188">
        <v>26628</v>
      </c>
      <c r="Q188" s="1">
        <v>24351</v>
      </c>
      <c r="R188" s="1">
        <v>21730</v>
      </c>
      <c r="S188" s="3">
        <v>3.804120849155912E-2</v>
      </c>
      <c r="T188" s="3">
        <v>2.8477815580678634E-2</v>
      </c>
    </row>
    <row r="189" spans="1:20" x14ac:dyDescent="0.25">
      <c r="A189" t="s">
        <v>78</v>
      </c>
      <c r="B189" t="s">
        <v>79</v>
      </c>
      <c r="C189" t="s">
        <v>283</v>
      </c>
      <c r="D189" t="s">
        <v>284</v>
      </c>
      <c r="E189">
        <v>37.67</v>
      </c>
      <c r="F189">
        <v>37.67</v>
      </c>
      <c r="G189">
        <v>38.590000000000003</v>
      </c>
      <c r="H189">
        <v>37.11</v>
      </c>
      <c r="I189" s="1">
        <v>37.340000000000003</v>
      </c>
      <c r="J189">
        <v>471841.09</v>
      </c>
      <c r="K189">
        <v>12583</v>
      </c>
      <c r="L189" t="s">
        <v>78</v>
      </c>
      <c r="M189" t="s">
        <v>17</v>
      </c>
      <c r="N189">
        <v>205</v>
      </c>
      <c r="O189">
        <v>41.52</v>
      </c>
      <c r="P189">
        <v>21.15</v>
      </c>
      <c r="Q189" s="1">
        <v>16.2</v>
      </c>
      <c r="R189" s="1">
        <v>7.6</v>
      </c>
      <c r="S189" s="3">
        <v>7.2066210916849727E-2</v>
      </c>
      <c r="T189" s="3">
        <v>8.2802139080817572E-2</v>
      </c>
    </row>
    <row r="190" spans="1:20" x14ac:dyDescent="0.25">
      <c r="A190" t="s">
        <v>78</v>
      </c>
      <c r="B190" t="s">
        <v>79</v>
      </c>
      <c r="C190" t="s">
        <v>285</v>
      </c>
      <c r="D190" t="s">
        <v>286</v>
      </c>
      <c r="E190">
        <v>502.05</v>
      </c>
      <c r="F190">
        <v>505.6</v>
      </c>
      <c r="G190">
        <v>506</v>
      </c>
      <c r="H190">
        <v>487</v>
      </c>
      <c r="I190" s="1">
        <v>488.45</v>
      </c>
      <c r="J190">
        <v>70005197.950000003</v>
      </c>
      <c r="K190">
        <v>142515</v>
      </c>
      <c r="L190" t="s">
        <v>78</v>
      </c>
      <c r="M190" t="s">
        <v>17</v>
      </c>
      <c r="N190">
        <v>10082</v>
      </c>
      <c r="O190">
        <v>758.45</v>
      </c>
      <c r="P190">
        <v>386.15</v>
      </c>
      <c r="Q190" s="1">
        <v>530.1</v>
      </c>
      <c r="R190" s="1">
        <v>207.25</v>
      </c>
      <c r="S190" s="3">
        <v>-6.7958493851293378E-3</v>
      </c>
      <c r="T190" s="3">
        <v>4.3773060452885426E-2</v>
      </c>
    </row>
    <row r="191" spans="1:20" x14ac:dyDescent="0.25">
      <c r="A191" t="s">
        <v>78</v>
      </c>
      <c r="B191" t="s">
        <v>79</v>
      </c>
      <c r="C191" t="s">
        <v>2964</v>
      </c>
      <c r="D191" t="s">
        <v>2965</v>
      </c>
      <c r="E191">
        <v>341.7</v>
      </c>
      <c r="F191">
        <v>342</v>
      </c>
      <c r="G191">
        <v>345.8</v>
      </c>
      <c r="H191">
        <v>333.35</v>
      </c>
      <c r="I191" s="1">
        <v>333.95</v>
      </c>
      <c r="J191">
        <v>36471563.950000003</v>
      </c>
      <c r="K191">
        <v>108041</v>
      </c>
      <c r="L191" t="s">
        <v>78</v>
      </c>
      <c r="M191" t="s">
        <v>17</v>
      </c>
      <c r="N191">
        <v>4800</v>
      </c>
      <c r="O191">
        <v>690.75</v>
      </c>
      <c r="P191">
        <v>223</v>
      </c>
      <c r="Q191" s="1">
        <v>93</v>
      </c>
      <c r="R191" s="1">
        <v>95.85</v>
      </c>
      <c r="S191" s="3">
        <v>0.11241424506718989</v>
      </c>
      <c r="T191" s="3">
        <v>6.4362642071674081E-2</v>
      </c>
    </row>
    <row r="192" spans="1:20" x14ac:dyDescent="0.25">
      <c r="A192" t="s">
        <v>78</v>
      </c>
      <c r="B192" t="s">
        <v>79</v>
      </c>
      <c r="C192" t="s">
        <v>288</v>
      </c>
      <c r="D192" t="s">
        <v>289</v>
      </c>
      <c r="E192">
        <v>109.39</v>
      </c>
      <c r="F192">
        <v>112.99</v>
      </c>
      <c r="G192">
        <v>112.99</v>
      </c>
      <c r="H192">
        <v>106.5</v>
      </c>
      <c r="I192" s="1">
        <v>107.59</v>
      </c>
      <c r="J192">
        <v>2756117.67</v>
      </c>
      <c r="K192">
        <v>25063</v>
      </c>
      <c r="L192" t="s">
        <v>78</v>
      </c>
      <c r="M192" t="s">
        <v>17</v>
      </c>
      <c r="N192">
        <v>529</v>
      </c>
      <c r="O192">
        <v>147</v>
      </c>
      <c r="P192">
        <v>51.3</v>
      </c>
      <c r="Q192" s="1">
        <v>58</v>
      </c>
      <c r="R192" s="1" t="str">
        <v/>
      </c>
      <c r="S192" s="3">
        <v>5.2839069869066169E-2</v>
      </c>
      <c r="T192" s="3">
        <v>0</v>
      </c>
    </row>
    <row r="193" spans="1:20" x14ac:dyDescent="0.25">
      <c r="A193" t="s">
        <v>78</v>
      </c>
      <c r="B193" t="s">
        <v>79</v>
      </c>
      <c r="C193" t="s">
        <v>6408</v>
      </c>
      <c r="D193" t="s">
        <v>6407</v>
      </c>
      <c r="E193">
        <v>457.05</v>
      </c>
      <c r="F193">
        <v>473</v>
      </c>
      <c r="G193">
        <v>484</v>
      </c>
      <c r="H193">
        <v>462.1</v>
      </c>
      <c r="I193" s="1">
        <v>465.9</v>
      </c>
      <c r="J193">
        <v>989808964.10000002</v>
      </c>
      <c r="K193">
        <v>2092007</v>
      </c>
      <c r="L193" t="s">
        <v>78</v>
      </c>
      <c r="M193" t="s">
        <v>17</v>
      </c>
      <c r="N193">
        <v>38765</v>
      </c>
      <c r="O193">
        <v>484</v>
      </c>
      <c r="P193">
        <v>292</v>
      </c>
      <c r="Q193" s="1" t="str">
        <v/>
      </c>
      <c r="R193" s="1" t="str">
        <v/>
      </c>
      <c r="S193" s="3">
        <v>0</v>
      </c>
      <c r="T193" s="3">
        <v>0</v>
      </c>
    </row>
    <row r="194" spans="1:20" x14ac:dyDescent="0.25">
      <c r="A194" t="s">
        <v>78</v>
      </c>
      <c r="B194" t="s">
        <v>79</v>
      </c>
      <c r="C194" t="s">
        <v>6406</v>
      </c>
      <c r="D194" t="s">
        <v>6405</v>
      </c>
      <c r="E194">
        <v>52.74</v>
      </c>
      <c r="F194">
        <v>53.39</v>
      </c>
      <c r="G194">
        <v>53.39</v>
      </c>
      <c r="H194">
        <v>51</v>
      </c>
      <c r="I194" s="1">
        <v>51.85</v>
      </c>
      <c r="J194">
        <v>2058158.88</v>
      </c>
      <c r="K194">
        <v>39693</v>
      </c>
      <c r="L194" t="s">
        <v>78</v>
      </c>
      <c r="M194" t="s">
        <v>17</v>
      </c>
      <c r="N194">
        <v>505</v>
      </c>
      <c r="O194">
        <v>68</v>
      </c>
      <c r="P194">
        <v>37.35</v>
      </c>
      <c r="Q194" s="1" t="str">
        <v/>
      </c>
      <c r="R194" s="1" t="str">
        <v/>
      </c>
      <c r="S194" s="3">
        <v>0</v>
      </c>
      <c r="T194" s="3">
        <v>0</v>
      </c>
    </row>
    <row r="195" spans="1:20" x14ac:dyDescent="0.25">
      <c r="A195" t="s">
        <v>78</v>
      </c>
      <c r="B195" t="s">
        <v>79</v>
      </c>
      <c r="C195" t="s">
        <v>2968</v>
      </c>
      <c r="D195" t="s">
        <v>2969</v>
      </c>
      <c r="E195">
        <v>267.5</v>
      </c>
      <c r="F195">
        <v>267.5</v>
      </c>
      <c r="G195">
        <v>267.5</v>
      </c>
      <c r="H195">
        <v>262.25</v>
      </c>
      <c r="I195" s="1">
        <v>265</v>
      </c>
      <c r="J195">
        <v>1251291.3500000001</v>
      </c>
      <c r="K195">
        <v>4725</v>
      </c>
      <c r="L195" t="s">
        <v>78</v>
      </c>
      <c r="M195" t="s">
        <v>17</v>
      </c>
      <c r="N195">
        <v>351</v>
      </c>
      <c r="O195">
        <v>326.39999999999998</v>
      </c>
      <c r="P195">
        <v>242</v>
      </c>
      <c r="Q195" s="1">
        <v>115.8</v>
      </c>
      <c r="R195" s="1">
        <v>45</v>
      </c>
      <c r="S195" s="3">
        <v>7.1424178848638942E-2</v>
      </c>
      <c r="T195" s="3">
        <v>9.264877392996862E-2</v>
      </c>
    </row>
    <row r="196" spans="1:20" x14ac:dyDescent="0.25">
      <c r="A196" t="s">
        <v>78</v>
      </c>
      <c r="B196" t="s">
        <v>79</v>
      </c>
      <c r="C196" t="s">
        <v>292</v>
      </c>
      <c r="D196" t="s">
        <v>293</v>
      </c>
      <c r="E196">
        <v>532.75</v>
      </c>
      <c r="F196">
        <v>530</v>
      </c>
      <c r="G196">
        <v>538.45000000000005</v>
      </c>
      <c r="H196">
        <v>519.04999999999995</v>
      </c>
      <c r="I196" s="1">
        <v>523.95000000000005</v>
      </c>
      <c r="J196">
        <v>111638317.55</v>
      </c>
      <c r="K196">
        <v>212576</v>
      </c>
      <c r="L196" t="s">
        <v>78</v>
      </c>
      <c r="M196" t="s">
        <v>17</v>
      </c>
      <c r="N196">
        <v>11763</v>
      </c>
      <c r="O196">
        <v>645.75</v>
      </c>
      <c r="P196">
        <v>431.05</v>
      </c>
      <c r="Q196" s="1">
        <v>716</v>
      </c>
      <c r="R196" s="1">
        <v>480.75</v>
      </c>
      <c r="S196" s="3">
        <v>-2.5687961834476969E-2</v>
      </c>
      <c r="T196" s="3">
        <v>4.3093462029888396E-3</v>
      </c>
    </row>
    <row r="197" spans="1:20" x14ac:dyDescent="0.25">
      <c r="A197" t="s">
        <v>78</v>
      </c>
      <c r="B197" t="s">
        <v>79</v>
      </c>
      <c r="C197" t="s">
        <v>294</v>
      </c>
      <c r="D197" t="s">
        <v>295</v>
      </c>
      <c r="E197">
        <v>704.25</v>
      </c>
      <c r="F197">
        <v>703</v>
      </c>
      <c r="G197">
        <v>706</v>
      </c>
      <c r="H197">
        <v>691.85</v>
      </c>
      <c r="I197" s="1">
        <v>704.15</v>
      </c>
      <c r="J197">
        <v>579826369.54999995</v>
      </c>
      <c r="K197">
        <v>830786</v>
      </c>
      <c r="L197" t="s">
        <v>78</v>
      </c>
      <c r="M197" t="s">
        <v>17</v>
      </c>
      <c r="N197">
        <v>38605</v>
      </c>
      <c r="O197">
        <v>769.25</v>
      </c>
      <c r="P197">
        <v>438</v>
      </c>
      <c r="Q197" s="1">
        <v>846.95</v>
      </c>
      <c r="R197" s="1">
        <v>1600</v>
      </c>
      <c r="S197" s="3">
        <v>-1.5269738608357009E-2</v>
      </c>
      <c r="T197" s="3">
        <v>-4.0186132042325906E-2</v>
      </c>
    </row>
    <row r="198" spans="1:20" x14ac:dyDescent="0.25">
      <c r="A198" t="s">
        <v>78</v>
      </c>
      <c r="B198" t="s">
        <v>79</v>
      </c>
      <c r="C198" t="s">
        <v>6404</v>
      </c>
      <c r="D198" t="s">
        <v>6403</v>
      </c>
      <c r="E198">
        <v>608.9</v>
      </c>
      <c r="F198">
        <v>612</v>
      </c>
      <c r="G198">
        <v>632.95000000000005</v>
      </c>
      <c r="H198">
        <v>610</v>
      </c>
      <c r="I198" s="1">
        <v>626.75</v>
      </c>
      <c r="J198">
        <v>119060756.34999999</v>
      </c>
      <c r="K198">
        <v>191495</v>
      </c>
      <c r="L198" t="s">
        <v>78</v>
      </c>
      <c r="M198" t="s">
        <v>17</v>
      </c>
      <c r="N198">
        <v>10108</v>
      </c>
      <c r="O198">
        <v>662.8</v>
      </c>
      <c r="P198">
        <v>320.3</v>
      </c>
      <c r="Q198" s="1" t="str">
        <v/>
      </c>
      <c r="R198" s="1" t="str">
        <v/>
      </c>
      <c r="S198" s="3">
        <v>0</v>
      </c>
      <c r="T198" s="3">
        <v>0</v>
      </c>
    </row>
    <row r="199" spans="1:20" x14ac:dyDescent="0.25">
      <c r="A199" t="s">
        <v>78</v>
      </c>
      <c r="B199" t="s">
        <v>79</v>
      </c>
      <c r="C199" t="s">
        <v>296</v>
      </c>
      <c r="D199" t="s">
        <v>297</v>
      </c>
      <c r="E199">
        <v>704</v>
      </c>
      <c r="F199">
        <v>704</v>
      </c>
      <c r="G199">
        <v>728.8</v>
      </c>
      <c r="H199">
        <v>701.15</v>
      </c>
      <c r="I199" s="1">
        <v>711.65</v>
      </c>
      <c r="J199">
        <v>19903381.149999999</v>
      </c>
      <c r="K199">
        <v>27909</v>
      </c>
      <c r="L199" t="s">
        <v>78</v>
      </c>
      <c r="M199" t="s">
        <v>17</v>
      </c>
      <c r="N199">
        <v>3194</v>
      </c>
      <c r="O199">
        <v>810</v>
      </c>
      <c r="P199">
        <v>548.15</v>
      </c>
      <c r="Q199" s="1">
        <v>1380</v>
      </c>
      <c r="R199" s="1" t="str">
        <v/>
      </c>
      <c r="S199" s="3">
        <v>-5.369250330436226E-2</v>
      </c>
      <c r="T199" s="3">
        <v>0</v>
      </c>
    </row>
    <row r="200" spans="1:20" x14ac:dyDescent="0.25">
      <c r="A200" t="s">
        <v>78</v>
      </c>
      <c r="B200" t="s">
        <v>79</v>
      </c>
      <c r="C200" t="s">
        <v>2970</v>
      </c>
      <c r="D200" t="s">
        <v>2971</v>
      </c>
      <c r="E200">
        <v>30.12</v>
      </c>
      <c r="F200">
        <v>31.6</v>
      </c>
      <c r="G200">
        <v>32.03</v>
      </c>
      <c r="H200">
        <v>29.79</v>
      </c>
      <c r="I200" s="1">
        <v>30.24</v>
      </c>
      <c r="J200">
        <v>12886027.59</v>
      </c>
      <c r="K200">
        <v>415974</v>
      </c>
      <c r="L200" t="s">
        <v>78</v>
      </c>
      <c r="M200" t="s">
        <v>17</v>
      </c>
      <c r="N200">
        <v>1720</v>
      </c>
      <c r="O200">
        <v>42.7</v>
      </c>
      <c r="P200">
        <v>20.100000000000001</v>
      </c>
      <c r="Q200" s="1">
        <v>25</v>
      </c>
      <c r="R200" s="1">
        <v>16</v>
      </c>
      <c r="S200" s="3">
        <v>1.5983874224035022E-2</v>
      </c>
      <c r="T200" s="3">
        <v>3.2322801750258812E-2</v>
      </c>
    </row>
    <row r="201" spans="1:20" x14ac:dyDescent="0.25">
      <c r="A201" t="s">
        <v>78</v>
      </c>
      <c r="B201" t="s">
        <v>79</v>
      </c>
      <c r="C201" t="s">
        <v>298</v>
      </c>
      <c r="D201" t="s">
        <v>299</v>
      </c>
      <c r="E201">
        <v>132.06</v>
      </c>
      <c r="F201">
        <v>131</v>
      </c>
      <c r="G201">
        <v>132.79</v>
      </c>
      <c r="H201">
        <v>129</v>
      </c>
      <c r="I201" s="1">
        <v>129.99</v>
      </c>
      <c r="J201">
        <v>7012291.7199999997</v>
      </c>
      <c r="K201">
        <v>53842</v>
      </c>
      <c r="L201" t="s">
        <v>78</v>
      </c>
      <c r="M201" t="s">
        <v>17</v>
      </c>
      <c r="N201">
        <v>608</v>
      </c>
      <c r="O201">
        <v>184.25</v>
      </c>
      <c r="P201">
        <v>112.95</v>
      </c>
      <c r="Q201" s="1">
        <v>70</v>
      </c>
      <c r="R201" s="1" t="str">
        <v/>
      </c>
      <c r="S201" s="3">
        <v>5.2933617861616655E-2</v>
      </c>
      <c r="T201" s="3">
        <v>0</v>
      </c>
    </row>
    <row r="202" spans="1:20" x14ac:dyDescent="0.25">
      <c r="A202" t="s">
        <v>78</v>
      </c>
      <c r="B202" t="s">
        <v>287</v>
      </c>
      <c r="C202" t="s">
        <v>6402</v>
      </c>
      <c r="D202" t="s">
        <v>6401</v>
      </c>
      <c r="E202">
        <v>26.7</v>
      </c>
      <c r="F202">
        <v>27.35</v>
      </c>
      <c r="G202">
        <v>27.35</v>
      </c>
      <c r="H202">
        <v>26.25</v>
      </c>
      <c r="I202" s="1">
        <v>26.25</v>
      </c>
      <c r="J202">
        <v>371800</v>
      </c>
      <c r="K202">
        <v>14000</v>
      </c>
      <c r="L202" t="s">
        <v>78</v>
      </c>
      <c r="M202" t="s">
        <v>17</v>
      </c>
      <c r="N202">
        <v>7</v>
      </c>
      <c r="O202">
        <v>60</v>
      </c>
      <c r="P202">
        <v>25</v>
      </c>
      <c r="Q202" s="1" t="str">
        <v/>
      </c>
      <c r="R202" s="1" t="str">
        <v/>
      </c>
      <c r="S202" s="3">
        <v>0</v>
      </c>
      <c r="T202" s="3">
        <v>0</v>
      </c>
    </row>
    <row r="203" spans="1:20" x14ac:dyDescent="0.25">
      <c r="A203" t="s">
        <v>78</v>
      </c>
      <c r="B203" t="s">
        <v>79</v>
      </c>
      <c r="C203" t="s">
        <v>300</v>
      </c>
      <c r="D203" t="s">
        <v>301</v>
      </c>
      <c r="E203">
        <v>1788.3</v>
      </c>
      <c r="F203">
        <v>1780.05</v>
      </c>
      <c r="G203">
        <v>1793.3</v>
      </c>
      <c r="H203">
        <v>1762.1</v>
      </c>
      <c r="I203" s="1">
        <v>1775.3</v>
      </c>
      <c r="J203">
        <v>132928662.05</v>
      </c>
      <c r="K203">
        <v>74962</v>
      </c>
      <c r="L203" t="s">
        <v>78</v>
      </c>
      <c r="M203" t="s">
        <v>17</v>
      </c>
      <c r="N203">
        <v>10945</v>
      </c>
      <c r="O203">
        <v>1978.95</v>
      </c>
      <c r="P203">
        <v>1307</v>
      </c>
      <c r="Q203" s="1">
        <v>2844.2</v>
      </c>
      <c r="R203" s="1">
        <v>1488</v>
      </c>
      <c r="S203" s="3">
        <v>-3.8514730290409305E-2</v>
      </c>
      <c r="T203" s="3">
        <v>8.8610187906159599E-3</v>
      </c>
    </row>
    <row r="204" spans="1:20" x14ac:dyDescent="0.25">
      <c r="A204" t="s">
        <v>78</v>
      </c>
      <c r="B204" t="s">
        <v>79</v>
      </c>
      <c r="C204" t="s">
        <v>181</v>
      </c>
      <c r="D204" t="s">
        <v>182</v>
      </c>
      <c r="E204">
        <v>28589.1</v>
      </c>
      <c r="F204">
        <v>28739.95</v>
      </c>
      <c r="G204">
        <v>28924</v>
      </c>
      <c r="H204">
        <v>28600</v>
      </c>
      <c r="I204" s="1">
        <v>28795.65</v>
      </c>
      <c r="J204">
        <v>341469659.64999998</v>
      </c>
      <c r="K204">
        <v>11877</v>
      </c>
      <c r="L204" t="s">
        <v>78</v>
      </c>
      <c r="M204" t="s">
        <v>17</v>
      </c>
      <c r="N204">
        <v>5770</v>
      </c>
      <c r="O204">
        <v>29638.95</v>
      </c>
      <c r="P204">
        <v>22000</v>
      </c>
      <c r="Q204" s="1">
        <v>17222.75</v>
      </c>
      <c r="R204" s="1">
        <v>8500</v>
      </c>
      <c r="S204" s="3">
        <v>4.3763323866689463E-2</v>
      </c>
      <c r="T204" s="3">
        <v>6.2871808319754807E-2</v>
      </c>
    </row>
    <row r="205" spans="1:20" x14ac:dyDescent="0.25">
      <c r="A205" t="s">
        <v>78</v>
      </c>
      <c r="B205" t="s">
        <v>79</v>
      </c>
      <c r="C205" t="s">
        <v>304</v>
      </c>
      <c r="D205" t="s">
        <v>305</v>
      </c>
      <c r="E205">
        <v>225.42</v>
      </c>
      <c r="F205">
        <v>224.99</v>
      </c>
      <c r="G205">
        <v>225.69</v>
      </c>
      <c r="H205">
        <v>222.01</v>
      </c>
      <c r="I205" s="1">
        <v>222.73</v>
      </c>
      <c r="J205">
        <v>1056184890</v>
      </c>
      <c r="K205">
        <v>4729478</v>
      </c>
      <c r="L205" t="s">
        <v>78</v>
      </c>
      <c r="M205" t="s">
        <v>17</v>
      </c>
      <c r="N205">
        <v>36776</v>
      </c>
      <c r="O205">
        <v>246.9</v>
      </c>
      <c r="P205">
        <v>155</v>
      </c>
      <c r="Q205" s="1">
        <v>123.1</v>
      </c>
      <c r="R205" s="1">
        <v>86.8</v>
      </c>
      <c r="S205" s="3">
        <v>5.0654815427379374E-2</v>
      </c>
      <c r="T205" s="3">
        <v>4.8218313827847359E-2</v>
      </c>
    </row>
    <row r="206" spans="1:20" x14ac:dyDescent="0.25">
      <c r="A206" t="s">
        <v>78</v>
      </c>
      <c r="B206" t="s">
        <v>287</v>
      </c>
      <c r="C206" t="s">
        <v>6400</v>
      </c>
      <c r="D206" t="s">
        <v>6399</v>
      </c>
      <c r="E206">
        <v>217</v>
      </c>
      <c r="F206">
        <v>220</v>
      </c>
      <c r="G206">
        <v>220</v>
      </c>
      <c r="H206">
        <v>220</v>
      </c>
      <c r="I206" s="1">
        <v>220</v>
      </c>
      <c r="J206">
        <v>440000</v>
      </c>
      <c r="K206">
        <v>2000</v>
      </c>
      <c r="L206" t="s">
        <v>78</v>
      </c>
      <c r="M206" t="s">
        <v>17</v>
      </c>
      <c r="N206">
        <v>4</v>
      </c>
      <c r="O206">
        <v>386</v>
      </c>
      <c r="P206">
        <v>40</v>
      </c>
      <c r="Q206" s="1" t="str">
        <v/>
      </c>
      <c r="R206" s="1" t="str">
        <v/>
      </c>
      <c r="S206" s="3">
        <v>0</v>
      </c>
      <c r="T206" s="3">
        <v>0</v>
      </c>
    </row>
    <row r="207" spans="1:20" x14ac:dyDescent="0.25">
      <c r="A207" t="s">
        <v>78</v>
      </c>
      <c r="B207" t="s">
        <v>79</v>
      </c>
      <c r="C207" t="s">
        <v>6398</v>
      </c>
      <c r="D207" t="s">
        <v>6397</v>
      </c>
      <c r="E207">
        <v>319</v>
      </c>
      <c r="F207">
        <v>318.89999999999998</v>
      </c>
      <c r="G207">
        <v>321</v>
      </c>
      <c r="H207">
        <v>308.8</v>
      </c>
      <c r="I207" s="1">
        <v>310.2</v>
      </c>
      <c r="J207">
        <v>295458268.69999999</v>
      </c>
      <c r="K207">
        <v>943866</v>
      </c>
      <c r="L207" t="s">
        <v>78</v>
      </c>
      <c r="M207" t="s">
        <v>17</v>
      </c>
      <c r="N207">
        <v>13348</v>
      </c>
      <c r="O207">
        <v>347.35</v>
      </c>
      <c r="P207">
        <v>306.7</v>
      </c>
      <c r="Q207" s="1" t="str">
        <v/>
      </c>
      <c r="R207" s="1" t="str">
        <v/>
      </c>
      <c r="S207" s="3">
        <v>0</v>
      </c>
      <c r="T207" s="3">
        <v>0</v>
      </c>
    </row>
    <row r="208" spans="1:20" x14ac:dyDescent="0.25">
      <c r="A208" t="s">
        <v>78</v>
      </c>
      <c r="B208" t="s">
        <v>79</v>
      </c>
      <c r="C208" t="s">
        <v>306</v>
      </c>
      <c r="D208" t="s">
        <v>307</v>
      </c>
      <c r="E208">
        <v>330.2</v>
      </c>
      <c r="F208">
        <v>330.15</v>
      </c>
      <c r="G208">
        <v>334.35</v>
      </c>
      <c r="H208">
        <v>321.5</v>
      </c>
      <c r="I208" s="1">
        <v>323.3</v>
      </c>
      <c r="J208">
        <v>2548064227.1500001</v>
      </c>
      <c r="K208">
        <v>7812600</v>
      </c>
      <c r="L208" t="s">
        <v>78</v>
      </c>
      <c r="M208" t="s">
        <v>17</v>
      </c>
      <c r="N208">
        <v>48423</v>
      </c>
      <c r="O208">
        <v>339.4</v>
      </c>
      <c r="P208">
        <v>192.95</v>
      </c>
      <c r="Q208" s="1">
        <v>217</v>
      </c>
      <c r="R208" s="1">
        <v>199.55</v>
      </c>
      <c r="S208" s="3">
        <v>3.3781678282896133E-2</v>
      </c>
      <c r="T208" s="3">
        <v>2.4405639282038427E-2</v>
      </c>
    </row>
    <row r="209" spans="1:20" x14ac:dyDescent="0.25">
      <c r="A209" t="s">
        <v>78</v>
      </c>
      <c r="B209" t="s">
        <v>287</v>
      </c>
      <c r="C209" t="s">
        <v>308</v>
      </c>
      <c r="D209" t="s">
        <v>309</v>
      </c>
      <c r="E209">
        <v>56.95</v>
      </c>
      <c r="F209">
        <v>57.15</v>
      </c>
      <c r="G209">
        <v>57.15</v>
      </c>
      <c r="H209">
        <v>56.95</v>
      </c>
      <c r="I209" s="1">
        <v>56.95</v>
      </c>
      <c r="J209">
        <v>684300</v>
      </c>
      <c r="K209">
        <v>12000</v>
      </c>
      <c r="L209" t="s">
        <v>78</v>
      </c>
      <c r="M209" t="s">
        <v>17</v>
      </c>
      <c r="N209">
        <v>6</v>
      </c>
      <c r="O209">
        <v>72.75</v>
      </c>
      <c r="P209">
        <v>27.55</v>
      </c>
      <c r="Q209" s="1">
        <v>7.2</v>
      </c>
      <c r="R209" s="1">
        <v>23.65</v>
      </c>
      <c r="S209" s="3">
        <v>0.18808296614289954</v>
      </c>
      <c r="T209" s="3">
        <v>4.4895065861600525E-2</v>
      </c>
    </row>
    <row r="210" spans="1:20" x14ac:dyDescent="0.25">
      <c r="A210" t="s">
        <v>78</v>
      </c>
      <c r="B210" t="s">
        <v>79</v>
      </c>
      <c r="C210" t="s">
        <v>6396</v>
      </c>
      <c r="D210" t="s">
        <v>6395</v>
      </c>
      <c r="E210">
        <v>707.6</v>
      </c>
      <c r="F210">
        <v>719.85</v>
      </c>
      <c r="G210">
        <v>732.4</v>
      </c>
      <c r="H210">
        <v>700</v>
      </c>
      <c r="I210" s="1">
        <v>705.75</v>
      </c>
      <c r="J210">
        <v>660715330.10000002</v>
      </c>
      <c r="K210">
        <v>926628</v>
      </c>
      <c r="L210" t="s">
        <v>78</v>
      </c>
      <c r="M210" t="s">
        <v>17</v>
      </c>
      <c r="N210">
        <v>38402</v>
      </c>
      <c r="O210">
        <v>732.4</v>
      </c>
      <c r="P210">
        <v>380.05</v>
      </c>
      <c r="Q210" s="1" t="str">
        <v/>
      </c>
      <c r="R210" s="1" t="str">
        <v/>
      </c>
      <c r="S210" s="3">
        <v>0</v>
      </c>
      <c r="T210" s="3">
        <v>0</v>
      </c>
    </row>
    <row r="211" spans="1:20" x14ac:dyDescent="0.25">
      <c r="A211" t="s">
        <v>78</v>
      </c>
      <c r="B211" t="s">
        <v>287</v>
      </c>
      <c r="C211" t="s">
        <v>6394</v>
      </c>
      <c r="D211" t="s">
        <v>6393</v>
      </c>
      <c r="E211">
        <v>346.25</v>
      </c>
      <c r="F211">
        <v>350</v>
      </c>
      <c r="G211">
        <v>350</v>
      </c>
      <c r="H211">
        <v>335</v>
      </c>
      <c r="I211" s="1">
        <v>340.9</v>
      </c>
      <c r="J211">
        <v>35395000</v>
      </c>
      <c r="K211">
        <v>104000</v>
      </c>
      <c r="L211" t="s">
        <v>78</v>
      </c>
      <c r="M211" t="s">
        <v>17</v>
      </c>
      <c r="N211">
        <v>102</v>
      </c>
      <c r="O211">
        <v>425</v>
      </c>
      <c r="P211">
        <v>190</v>
      </c>
      <c r="Q211" s="1" t="str">
        <v/>
      </c>
      <c r="R211" s="1" t="str">
        <v/>
      </c>
      <c r="S211" s="3">
        <v>0</v>
      </c>
      <c r="T211" s="3">
        <v>0</v>
      </c>
    </row>
    <row r="212" spans="1:20" x14ac:dyDescent="0.25">
      <c r="A212" t="s">
        <v>78</v>
      </c>
      <c r="B212" t="s">
        <v>79</v>
      </c>
      <c r="C212" t="s">
        <v>184</v>
      </c>
      <c r="D212" t="s">
        <v>185</v>
      </c>
      <c r="E212">
        <v>2715.85</v>
      </c>
      <c r="F212">
        <v>2716.5</v>
      </c>
      <c r="G212">
        <v>2719.9</v>
      </c>
      <c r="H212">
        <v>2671.15</v>
      </c>
      <c r="I212" s="1">
        <v>2686.45</v>
      </c>
      <c r="J212">
        <v>945692952.35000002</v>
      </c>
      <c r="K212">
        <v>351258</v>
      </c>
      <c r="L212" t="s">
        <v>78</v>
      </c>
      <c r="M212" t="s">
        <v>17</v>
      </c>
      <c r="N212">
        <v>21139</v>
      </c>
      <c r="O212">
        <v>2844</v>
      </c>
      <c r="P212">
        <v>1762.65</v>
      </c>
      <c r="Q212" s="1">
        <v>2105.1999999999998</v>
      </c>
      <c r="R212" s="1">
        <v>1531.25</v>
      </c>
      <c r="S212" s="3">
        <v>2.0525317705208046E-2</v>
      </c>
      <c r="T212" s="3">
        <v>2.8489703262128963E-2</v>
      </c>
    </row>
    <row r="213" spans="1:20" x14ac:dyDescent="0.25">
      <c r="A213" t="s">
        <v>78</v>
      </c>
      <c r="B213" t="s">
        <v>79</v>
      </c>
      <c r="C213" t="s">
        <v>312</v>
      </c>
      <c r="D213" t="s">
        <v>313</v>
      </c>
      <c r="E213">
        <v>1927.75</v>
      </c>
      <c r="F213">
        <v>1926</v>
      </c>
      <c r="G213">
        <v>1927.75</v>
      </c>
      <c r="H213">
        <v>1862.35</v>
      </c>
      <c r="I213" s="1">
        <v>1870.75</v>
      </c>
      <c r="J213">
        <v>44794392.700000003</v>
      </c>
      <c r="K213">
        <v>23742</v>
      </c>
      <c r="L213" t="s">
        <v>78</v>
      </c>
      <c r="M213" t="s">
        <v>17</v>
      </c>
      <c r="N213">
        <v>4661</v>
      </c>
      <c r="O213">
        <v>2127.4</v>
      </c>
      <c r="P213">
        <v>1310</v>
      </c>
      <c r="Q213" s="1">
        <v>1392.7</v>
      </c>
      <c r="R213" s="1">
        <v>801</v>
      </c>
      <c r="S213" s="3">
        <v>2.4896118082178065E-2</v>
      </c>
      <c r="T213" s="3">
        <v>4.3299681322836792E-2</v>
      </c>
    </row>
    <row r="214" spans="1:20" x14ac:dyDescent="0.25">
      <c r="A214" t="s">
        <v>78</v>
      </c>
      <c r="B214" t="s">
        <v>287</v>
      </c>
      <c r="C214" t="s">
        <v>6392</v>
      </c>
      <c r="D214" t="s">
        <v>6391</v>
      </c>
      <c r="E214">
        <v>290.60000000000002</v>
      </c>
      <c r="F214">
        <v>289</v>
      </c>
      <c r="G214">
        <v>296.45</v>
      </c>
      <c r="H214">
        <v>286</v>
      </c>
      <c r="I214" s="1">
        <v>288.05</v>
      </c>
      <c r="J214">
        <v>10300325</v>
      </c>
      <c r="K214">
        <v>35500</v>
      </c>
      <c r="L214" t="s">
        <v>78</v>
      </c>
      <c r="M214" t="s">
        <v>17</v>
      </c>
      <c r="N214">
        <v>52</v>
      </c>
      <c r="O214">
        <v>364</v>
      </c>
      <c r="P214">
        <v>224</v>
      </c>
      <c r="Q214" s="1" t="str">
        <v/>
      </c>
      <c r="R214" s="1" t="str">
        <v/>
      </c>
      <c r="S214" s="3">
        <v>0</v>
      </c>
      <c r="T214" s="3">
        <v>0</v>
      </c>
    </row>
    <row r="215" spans="1:20" x14ac:dyDescent="0.25">
      <c r="A215" t="s">
        <v>78</v>
      </c>
      <c r="B215" t="s">
        <v>79</v>
      </c>
      <c r="C215" t="s">
        <v>316</v>
      </c>
      <c r="D215" t="s">
        <v>317</v>
      </c>
      <c r="E215">
        <v>1444.25</v>
      </c>
      <c r="F215">
        <v>1449</v>
      </c>
      <c r="G215">
        <v>1457.4</v>
      </c>
      <c r="H215">
        <v>1403</v>
      </c>
      <c r="I215" s="1">
        <v>1411.45</v>
      </c>
      <c r="J215">
        <v>409096436.25</v>
      </c>
      <c r="K215">
        <v>287623</v>
      </c>
      <c r="L215" t="s">
        <v>78</v>
      </c>
      <c r="M215" t="s">
        <v>17</v>
      </c>
      <c r="N215">
        <v>27499</v>
      </c>
      <c r="O215">
        <v>1695</v>
      </c>
      <c r="P215">
        <v>598.15</v>
      </c>
      <c r="Q215" s="1">
        <v>228.5</v>
      </c>
      <c r="R215" s="1">
        <v>79.5</v>
      </c>
      <c r="S215" s="3">
        <v>0.16385338614039102</v>
      </c>
      <c r="T215" s="3">
        <v>0.15459775803338616</v>
      </c>
    </row>
    <row r="216" spans="1:20" x14ac:dyDescent="0.25">
      <c r="A216" t="s">
        <v>78</v>
      </c>
      <c r="B216" t="s">
        <v>79</v>
      </c>
      <c r="C216" t="s">
        <v>6390</v>
      </c>
      <c r="D216" t="s">
        <v>6389</v>
      </c>
      <c r="E216">
        <v>33.590000000000003</v>
      </c>
      <c r="F216">
        <v>33.99</v>
      </c>
      <c r="G216">
        <v>34.44</v>
      </c>
      <c r="H216">
        <v>33</v>
      </c>
      <c r="I216" s="1">
        <v>33.11</v>
      </c>
      <c r="J216">
        <v>667842.13</v>
      </c>
      <c r="K216">
        <v>19736</v>
      </c>
      <c r="L216" t="s">
        <v>78</v>
      </c>
      <c r="M216" t="s">
        <v>17</v>
      </c>
      <c r="N216">
        <v>408</v>
      </c>
      <c r="O216">
        <v>55.5</v>
      </c>
      <c r="P216">
        <v>29.6</v>
      </c>
      <c r="Q216" s="1" t="str">
        <v/>
      </c>
      <c r="R216" s="1" t="str">
        <v/>
      </c>
      <c r="S216" s="3">
        <v>0</v>
      </c>
      <c r="T216" s="3">
        <v>0</v>
      </c>
    </row>
    <row r="217" spans="1:20" x14ac:dyDescent="0.25">
      <c r="A217" t="s">
        <v>78</v>
      </c>
      <c r="B217" t="s">
        <v>79</v>
      </c>
      <c r="C217" t="s">
        <v>6388</v>
      </c>
      <c r="D217" t="s">
        <v>6387</v>
      </c>
      <c r="E217">
        <v>702.3</v>
      </c>
      <c r="F217">
        <v>702</v>
      </c>
      <c r="G217">
        <v>708</v>
      </c>
      <c r="H217">
        <v>688.5</v>
      </c>
      <c r="I217" s="1">
        <v>701.15</v>
      </c>
      <c r="J217">
        <v>238236534.5</v>
      </c>
      <c r="K217">
        <v>340821</v>
      </c>
      <c r="L217" t="s">
        <v>78</v>
      </c>
      <c r="M217" t="s">
        <v>17</v>
      </c>
      <c r="N217">
        <v>14870</v>
      </c>
      <c r="O217">
        <v>837.7</v>
      </c>
      <c r="P217">
        <v>494.15</v>
      </c>
      <c r="Q217" s="1" t="str">
        <v/>
      </c>
      <c r="R217" s="1" t="str">
        <v/>
      </c>
      <c r="S217" s="3">
        <v>0</v>
      </c>
      <c r="T217" s="3">
        <v>0</v>
      </c>
    </row>
    <row r="218" spans="1:20" x14ac:dyDescent="0.25">
      <c r="A218" t="s">
        <v>78</v>
      </c>
      <c r="B218" t="s">
        <v>79</v>
      </c>
      <c r="C218" t="s">
        <v>6386</v>
      </c>
      <c r="D218" t="s">
        <v>3001</v>
      </c>
      <c r="E218">
        <v>98.17</v>
      </c>
      <c r="F218">
        <v>98.17</v>
      </c>
      <c r="G218">
        <v>99.21</v>
      </c>
      <c r="H218">
        <v>96.5</v>
      </c>
      <c r="I218" s="1">
        <v>97.87</v>
      </c>
      <c r="J218">
        <v>6719242.7999999998</v>
      </c>
      <c r="K218">
        <v>68829</v>
      </c>
      <c r="L218" t="s">
        <v>78</v>
      </c>
      <c r="M218" t="s">
        <v>17</v>
      </c>
      <c r="N218">
        <v>1738</v>
      </c>
      <c r="O218">
        <v>139.19999999999999</v>
      </c>
      <c r="P218">
        <v>76</v>
      </c>
      <c r="Q218" s="1" t="str">
        <v/>
      </c>
      <c r="R218" s="1" t="str">
        <v/>
      </c>
      <c r="S218" s="3">
        <v>0</v>
      </c>
      <c r="T218" s="3">
        <v>0</v>
      </c>
    </row>
    <row r="219" spans="1:20" x14ac:dyDescent="0.25">
      <c r="A219" t="s">
        <v>78</v>
      </c>
      <c r="B219" t="s">
        <v>79</v>
      </c>
      <c r="C219" t="s">
        <v>6385</v>
      </c>
      <c r="D219" t="s">
        <v>6384</v>
      </c>
      <c r="E219">
        <v>98.9</v>
      </c>
      <c r="F219">
        <v>98.9</v>
      </c>
      <c r="G219">
        <v>99.12</v>
      </c>
      <c r="H219">
        <v>97.22</v>
      </c>
      <c r="I219" s="1">
        <v>97.53</v>
      </c>
      <c r="J219">
        <v>51010344.030000001</v>
      </c>
      <c r="K219">
        <v>521343</v>
      </c>
      <c r="L219" t="s">
        <v>78</v>
      </c>
      <c r="M219" t="s">
        <v>17</v>
      </c>
      <c r="N219">
        <v>6196</v>
      </c>
      <c r="O219">
        <v>177.65</v>
      </c>
      <c r="P219">
        <v>90</v>
      </c>
      <c r="Q219" s="1" t="str">
        <v/>
      </c>
      <c r="R219" s="1" t="str">
        <v/>
      </c>
      <c r="S219" s="3">
        <v>0</v>
      </c>
      <c r="T219" s="3">
        <v>0</v>
      </c>
    </row>
    <row r="220" spans="1:20" x14ac:dyDescent="0.25">
      <c r="A220" t="s">
        <v>78</v>
      </c>
      <c r="B220" t="s">
        <v>287</v>
      </c>
      <c r="C220" t="s">
        <v>6383</v>
      </c>
      <c r="D220" t="s">
        <v>6382</v>
      </c>
      <c r="E220">
        <v>78.599999999999994</v>
      </c>
      <c r="F220">
        <v>77.400000000000006</v>
      </c>
      <c r="G220">
        <v>77.400000000000006</v>
      </c>
      <c r="H220">
        <v>70.75</v>
      </c>
      <c r="I220" s="1">
        <v>70.75</v>
      </c>
      <c r="J220">
        <v>14111850</v>
      </c>
      <c r="K220">
        <v>195000</v>
      </c>
      <c r="L220" t="s">
        <v>78</v>
      </c>
      <c r="M220" t="s">
        <v>17</v>
      </c>
      <c r="N220">
        <v>64</v>
      </c>
      <c r="O220">
        <v>94.4</v>
      </c>
      <c r="P220">
        <v>38.049999999999997</v>
      </c>
      <c r="Q220" s="1" t="str">
        <v/>
      </c>
      <c r="R220" s="1" t="str">
        <v/>
      </c>
      <c r="S220" s="3">
        <v>0</v>
      </c>
      <c r="T220" s="3">
        <v>0</v>
      </c>
    </row>
    <row r="221" spans="1:20" x14ac:dyDescent="0.25">
      <c r="A221" t="s">
        <v>78</v>
      </c>
      <c r="B221" t="s">
        <v>79</v>
      </c>
      <c r="C221" t="s">
        <v>322</v>
      </c>
      <c r="D221" t="s">
        <v>323</v>
      </c>
      <c r="E221">
        <v>232.8</v>
      </c>
      <c r="F221">
        <v>233.99</v>
      </c>
      <c r="G221">
        <v>233.99</v>
      </c>
      <c r="H221">
        <v>226.1</v>
      </c>
      <c r="I221" s="1">
        <v>227.57</v>
      </c>
      <c r="J221">
        <v>23417835.649999999</v>
      </c>
      <c r="K221">
        <v>102191</v>
      </c>
      <c r="L221" t="s">
        <v>78</v>
      </c>
      <c r="M221" t="s">
        <v>17</v>
      </c>
      <c r="N221">
        <v>5239</v>
      </c>
      <c r="O221">
        <v>1183.7</v>
      </c>
      <c r="P221">
        <v>179</v>
      </c>
      <c r="Q221" s="1">
        <v>865.05</v>
      </c>
      <c r="R221" s="1">
        <v>265</v>
      </c>
      <c r="S221" s="3">
        <v>-0.10530951927518262</v>
      </c>
      <c r="T221" s="3">
        <v>-7.5805491831221206E-3</v>
      </c>
    </row>
    <row r="222" spans="1:20" x14ac:dyDescent="0.25">
      <c r="A222" t="s">
        <v>78</v>
      </c>
      <c r="B222" t="s">
        <v>79</v>
      </c>
      <c r="C222" t="s">
        <v>2980</v>
      </c>
      <c r="D222" t="s">
        <v>2981</v>
      </c>
      <c r="E222">
        <v>91.77</v>
      </c>
      <c r="F222">
        <v>95</v>
      </c>
      <c r="G222">
        <v>95</v>
      </c>
      <c r="H222">
        <v>89.61</v>
      </c>
      <c r="I222" s="1">
        <v>90.43</v>
      </c>
      <c r="J222">
        <v>316214.69</v>
      </c>
      <c r="K222">
        <v>3480</v>
      </c>
      <c r="L222" t="s">
        <v>78</v>
      </c>
      <c r="M222" t="s">
        <v>17</v>
      </c>
      <c r="N222">
        <v>167</v>
      </c>
      <c r="O222">
        <v>105.1</v>
      </c>
      <c r="P222">
        <v>69.05</v>
      </c>
      <c r="Q222" s="1">
        <v>35.049999999999997</v>
      </c>
      <c r="R222" s="1" t="str">
        <v/>
      </c>
      <c r="S222" s="3">
        <v>8.2186326719691394E-2</v>
      </c>
      <c r="T222" s="3">
        <v>0</v>
      </c>
    </row>
    <row r="223" spans="1:20" x14ac:dyDescent="0.25">
      <c r="A223" t="s">
        <v>78</v>
      </c>
      <c r="B223" t="s">
        <v>79</v>
      </c>
      <c r="C223" t="s">
        <v>324</v>
      </c>
      <c r="D223" t="s">
        <v>325</v>
      </c>
      <c r="E223">
        <v>1470.2</v>
      </c>
      <c r="F223">
        <v>1479.85</v>
      </c>
      <c r="G223">
        <v>1479.85</v>
      </c>
      <c r="H223">
        <v>1427</v>
      </c>
      <c r="I223" s="1">
        <v>1431.05</v>
      </c>
      <c r="J223">
        <v>41217976.399999999</v>
      </c>
      <c r="K223">
        <v>28450</v>
      </c>
      <c r="L223" t="s">
        <v>78</v>
      </c>
      <c r="M223" t="s">
        <v>17</v>
      </c>
      <c r="N223">
        <v>3605</v>
      </c>
      <c r="O223">
        <v>1770</v>
      </c>
      <c r="P223">
        <v>1022</v>
      </c>
      <c r="Q223" s="1">
        <v>741.45</v>
      </c>
      <c r="R223" s="1">
        <v>310.10000000000002</v>
      </c>
      <c r="S223" s="3">
        <v>5.6325453700371231E-2</v>
      </c>
      <c r="T223" s="3">
        <v>7.9417528126917825E-2</v>
      </c>
    </row>
    <row r="224" spans="1:20" x14ac:dyDescent="0.25">
      <c r="A224" t="s">
        <v>78</v>
      </c>
      <c r="B224" t="s">
        <v>79</v>
      </c>
      <c r="C224" t="s">
        <v>2982</v>
      </c>
      <c r="D224" t="s">
        <v>2983</v>
      </c>
      <c r="E224">
        <v>17.62</v>
      </c>
      <c r="F224">
        <v>17.739999999999998</v>
      </c>
      <c r="G224">
        <v>17.739999999999998</v>
      </c>
      <c r="H224">
        <v>17.25</v>
      </c>
      <c r="I224" s="1">
        <v>17.37</v>
      </c>
      <c r="J224">
        <v>1056697.49</v>
      </c>
      <c r="K224">
        <v>60887</v>
      </c>
      <c r="L224" t="s">
        <v>78</v>
      </c>
      <c r="M224" t="s">
        <v>17</v>
      </c>
      <c r="N224">
        <v>258</v>
      </c>
      <c r="O224">
        <v>35.35</v>
      </c>
      <c r="P224">
        <v>14.4</v>
      </c>
      <c r="Q224" s="1">
        <v>9.5</v>
      </c>
      <c r="R224" s="1">
        <v>8.5500000000000007</v>
      </c>
      <c r="S224" s="3">
        <v>5.1573624026273635E-2</v>
      </c>
      <c r="T224" s="3">
        <v>3.6056061673686024E-2</v>
      </c>
    </row>
    <row r="225" spans="1:20" x14ac:dyDescent="0.25">
      <c r="A225" t="s">
        <v>78</v>
      </c>
      <c r="B225" t="s">
        <v>79</v>
      </c>
      <c r="C225" t="s">
        <v>326</v>
      </c>
      <c r="D225" t="s">
        <v>327</v>
      </c>
      <c r="E225">
        <v>227.84</v>
      </c>
      <c r="F225">
        <v>230</v>
      </c>
      <c r="G225">
        <v>234.3</v>
      </c>
      <c r="H225">
        <v>220.25</v>
      </c>
      <c r="I225" s="1">
        <v>226.76</v>
      </c>
      <c r="J225">
        <v>211899824.63</v>
      </c>
      <c r="K225">
        <v>924929</v>
      </c>
      <c r="L225" t="s">
        <v>78</v>
      </c>
      <c r="M225" t="s">
        <v>17</v>
      </c>
      <c r="N225">
        <v>14318</v>
      </c>
      <c r="O225">
        <v>254</v>
      </c>
      <c r="P225">
        <v>110.5</v>
      </c>
      <c r="Q225" s="1">
        <v>67</v>
      </c>
      <c r="R225" s="1">
        <v>12.75</v>
      </c>
      <c r="S225" s="3">
        <v>0.10694056725874646</v>
      </c>
      <c r="T225" s="3">
        <v>0.15469845258819004</v>
      </c>
    </row>
    <row r="226" spans="1:20" x14ac:dyDescent="0.25">
      <c r="A226" t="s">
        <v>78</v>
      </c>
      <c r="B226" t="s">
        <v>79</v>
      </c>
      <c r="C226" t="s">
        <v>328</v>
      </c>
      <c r="D226" t="s">
        <v>329</v>
      </c>
      <c r="E226">
        <v>69.81</v>
      </c>
      <c r="F226">
        <v>69.81</v>
      </c>
      <c r="G226">
        <v>70.989999999999995</v>
      </c>
      <c r="H226">
        <v>68.8</v>
      </c>
      <c r="I226" s="1">
        <v>69.08</v>
      </c>
      <c r="J226">
        <v>7534771.6299999999</v>
      </c>
      <c r="K226">
        <v>108730</v>
      </c>
      <c r="L226" t="s">
        <v>78</v>
      </c>
      <c r="M226" t="s">
        <v>17</v>
      </c>
      <c r="N226">
        <v>2615</v>
      </c>
      <c r="O226">
        <v>175</v>
      </c>
      <c r="P226">
        <v>62.5</v>
      </c>
      <c r="Q226" s="1">
        <v>68.55</v>
      </c>
      <c r="R226" s="1">
        <v>54.05</v>
      </c>
      <c r="S226" s="3">
        <v>6.4202661676282524E-4</v>
      </c>
      <c r="T226" s="3">
        <v>1.2336542102278525E-2</v>
      </c>
    </row>
    <row r="227" spans="1:20" x14ac:dyDescent="0.25">
      <c r="A227" t="s">
        <v>78</v>
      </c>
      <c r="B227" t="s">
        <v>79</v>
      </c>
      <c r="C227" t="s">
        <v>330</v>
      </c>
      <c r="D227" t="s">
        <v>331</v>
      </c>
      <c r="E227">
        <v>376.5</v>
      </c>
      <c r="F227">
        <v>375.4</v>
      </c>
      <c r="G227">
        <v>384.8</v>
      </c>
      <c r="H227">
        <v>371.75</v>
      </c>
      <c r="I227" s="1">
        <v>377.1</v>
      </c>
      <c r="J227">
        <v>72240379.5</v>
      </c>
      <c r="K227">
        <v>191594</v>
      </c>
      <c r="L227" t="s">
        <v>78</v>
      </c>
      <c r="M227" t="s">
        <v>1555</v>
      </c>
      <c r="N227">
        <v>11762</v>
      </c>
      <c r="O227">
        <v>425.15</v>
      </c>
      <c r="P227">
        <v>284.14999999999998</v>
      </c>
      <c r="Q227" s="1">
        <v>406</v>
      </c>
      <c r="R227" s="1">
        <v>159</v>
      </c>
      <c r="S227" s="3">
        <v>-6.1346685521379563E-3</v>
      </c>
      <c r="T227" s="3">
        <v>4.4101453703437876E-2</v>
      </c>
    </row>
    <row r="228" spans="1:20" x14ac:dyDescent="0.25">
      <c r="A228" t="s">
        <v>78</v>
      </c>
      <c r="B228" t="s">
        <v>79</v>
      </c>
      <c r="C228" t="s">
        <v>6381</v>
      </c>
      <c r="D228" t="s">
        <v>333</v>
      </c>
      <c r="E228">
        <v>897.45</v>
      </c>
      <c r="F228">
        <v>904.6</v>
      </c>
      <c r="G228">
        <v>904.6</v>
      </c>
      <c r="H228">
        <v>880</v>
      </c>
      <c r="I228" s="1">
        <v>885.65</v>
      </c>
      <c r="J228">
        <v>162167943</v>
      </c>
      <c r="K228">
        <v>182047</v>
      </c>
      <c r="L228" t="s">
        <v>78</v>
      </c>
      <c r="M228" t="s">
        <v>17</v>
      </c>
      <c r="N228">
        <v>19836</v>
      </c>
      <c r="O228">
        <v>970</v>
      </c>
      <c r="P228">
        <v>280</v>
      </c>
      <c r="Q228" s="1" t="str">
        <v/>
      </c>
      <c r="R228" s="1" t="str">
        <v/>
      </c>
      <c r="S228" s="3">
        <v>0</v>
      </c>
      <c r="T228" s="3">
        <v>0</v>
      </c>
    </row>
    <row r="229" spans="1:20" x14ac:dyDescent="0.25">
      <c r="A229" t="s">
        <v>78</v>
      </c>
      <c r="B229" t="s">
        <v>79</v>
      </c>
      <c r="C229" t="s">
        <v>6380</v>
      </c>
      <c r="D229" t="s">
        <v>6379</v>
      </c>
      <c r="E229">
        <v>159.16</v>
      </c>
      <c r="F229">
        <v>158.69999999999999</v>
      </c>
      <c r="G229">
        <v>162.9</v>
      </c>
      <c r="H229">
        <v>155</v>
      </c>
      <c r="I229" s="1">
        <v>155.80000000000001</v>
      </c>
      <c r="J229">
        <v>121193276.63</v>
      </c>
      <c r="K229">
        <v>763322</v>
      </c>
      <c r="L229" t="s">
        <v>78</v>
      </c>
      <c r="M229" t="s">
        <v>17</v>
      </c>
      <c r="N229">
        <v>13451</v>
      </c>
      <c r="O229">
        <v>196.35</v>
      </c>
      <c r="P229">
        <v>115</v>
      </c>
      <c r="Q229" s="1" t="str">
        <v/>
      </c>
      <c r="R229" s="1" t="str">
        <v/>
      </c>
      <c r="S229" s="3">
        <v>0</v>
      </c>
      <c r="T229" s="3">
        <v>0</v>
      </c>
    </row>
    <row r="230" spans="1:20" x14ac:dyDescent="0.25">
      <c r="A230" t="s">
        <v>78</v>
      </c>
      <c r="B230" t="s">
        <v>79</v>
      </c>
      <c r="C230" t="s">
        <v>6378</v>
      </c>
      <c r="D230" t="s">
        <v>6377</v>
      </c>
      <c r="E230">
        <v>890.1</v>
      </c>
      <c r="F230">
        <v>892.85</v>
      </c>
      <c r="G230">
        <v>897.3</v>
      </c>
      <c r="H230">
        <v>874.45</v>
      </c>
      <c r="I230" s="1">
        <v>879.35</v>
      </c>
      <c r="J230">
        <v>39253268.25</v>
      </c>
      <c r="K230">
        <v>44584</v>
      </c>
      <c r="L230" t="s">
        <v>78</v>
      </c>
      <c r="M230" t="s">
        <v>17</v>
      </c>
      <c r="N230">
        <v>2752</v>
      </c>
      <c r="O230">
        <v>1110</v>
      </c>
      <c r="P230">
        <v>761.55</v>
      </c>
      <c r="Q230" s="1" t="str">
        <v/>
      </c>
      <c r="R230" s="1" t="str">
        <v/>
      </c>
      <c r="S230" s="3">
        <v>0</v>
      </c>
      <c r="T230" s="3">
        <v>0</v>
      </c>
    </row>
    <row r="231" spans="1:20" x14ac:dyDescent="0.25">
      <c r="A231" t="s">
        <v>78</v>
      </c>
      <c r="B231" t="s">
        <v>79</v>
      </c>
      <c r="C231" t="s">
        <v>2984</v>
      </c>
      <c r="D231" t="s">
        <v>2985</v>
      </c>
      <c r="E231">
        <v>1407.7</v>
      </c>
      <c r="F231">
        <v>1406.6</v>
      </c>
      <c r="G231">
        <v>1409.75</v>
      </c>
      <c r="H231">
        <v>1373.85</v>
      </c>
      <c r="I231" s="1">
        <v>1394.8</v>
      </c>
      <c r="J231">
        <v>348165245.80000001</v>
      </c>
      <c r="K231">
        <v>250836</v>
      </c>
      <c r="L231" t="s">
        <v>78</v>
      </c>
      <c r="M231" t="s">
        <v>17</v>
      </c>
      <c r="N231">
        <v>20436</v>
      </c>
      <c r="O231">
        <v>1464.95</v>
      </c>
      <c r="P231">
        <v>988.15</v>
      </c>
      <c r="Q231" s="1">
        <v>4350</v>
      </c>
      <c r="R231" s="1" t="str">
        <v/>
      </c>
      <c r="S231" s="3">
        <v>-9.0431893862277901E-2</v>
      </c>
      <c r="T231" s="3">
        <v>0</v>
      </c>
    </row>
    <row r="232" spans="1:20" x14ac:dyDescent="0.25">
      <c r="A232" t="s">
        <v>78</v>
      </c>
      <c r="B232" t="s">
        <v>79</v>
      </c>
      <c r="C232" t="s">
        <v>6376</v>
      </c>
      <c r="D232" t="s">
        <v>6375</v>
      </c>
      <c r="E232">
        <v>101.57</v>
      </c>
      <c r="F232">
        <v>102.8</v>
      </c>
      <c r="G232">
        <v>103.25</v>
      </c>
      <c r="H232">
        <v>96.3</v>
      </c>
      <c r="I232" s="1">
        <v>97.26</v>
      </c>
      <c r="J232">
        <v>38617122.039999999</v>
      </c>
      <c r="K232">
        <v>393362</v>
      </c>
      <c r="L232" t="s">
        <v>78</v>
      </c>
      <c r="M232" t="s">
        <v>17</v>
      </c>
      <c r="N232">
        <v>6894</v>
      </c>
      <c r="O232">
        <v>134</v>
      </c>
      <c r="P232">
        <v>96.3</v>
      </c>
      <c r="Q232" s="1" t="str">
        <v/>
      </c>
      <c r="R232" s="1" t="str">
        <v/>
      </c>
      <c r="S232" s="3">
        <v>0</v>
      </c>
      <c r="T232" s="3">
        <v>0</v>
      </c>
    </row>
    <row r="233" spans="1:20" x14ac:dyDescent="0.25">
      <c r="A233" t="s">
        <v>78</v>
      </c>
      <c r="B233" t="s">
        <v>79</v>
      </c>
      <c r="C233" t="s">
        <v>334</v>
      </c>
      <c r="D233" t="s">
        <v>335</v>
      </c>
      <c r="E233">
        <v>1258.05</v>
      </c>
      <c r="F233">
        <v>1264.8499999999999</v>
      </c>
      <c r="G233">
        <v>1298</v>
      </c>
      <c r="H233">
        <v>1202</v>
      </c>
      <c r="I233" s="1">
        <v>1207.6500000000001</v>
      </c>
      <c r="J233">
        <v>74808234.349999994</v>
      </c>
      <c r="K233">
        <v>60840</v>
      </c>
      <c r="L233" t="s">
        <v>78</v>
      </c>
      <c r="M233" t="s">
        <v>17</v>
      </c>
      <c r="N233">
        <v>8291</v>
      </c>
      <c r="O233">
        <v>1298</v>
      </c>
      <c r="P233">
        <v>686</v>
      </c>
      <c r="Q233" s="1">
        <v>353.05</v>
      </c>
      <c r="R233" s="1">
        <v>115.1</v>
      </c>
      <c r="S233" s="3">
        <v>0.10792085945300922</v>
      </c>
      <c r="T233" s="3">
        <v>0.12464468332326084</v>
      </c>
    </row>
    <row r="234" spans="1:20" x14ac:dyDescent="0.25">
      <c r="A234" t="s">
        <v>78</v>
      </c>
      <c r="B234" t="s">
        <v>79</v>
      </c>
      <c r="C234" t="s">
        <v>6374</v>
      </c>
      <c r="D234" t="s">
        <v>6373</v>
      </c>
      <c r="E234">
        <v>841.95</v>
      </c>
      <c r="F234">
        <v>850</v>
      </c>
      <c r="G234">
        <v>859.75</v>
      </c>
      <c r="H234">
        <v>805.25</v>
      </c>
      <c r="I234" s="1">
        <v>809.25</v>
      </c>
      <c r="J234">
        <v>144773657.75</v>
      </c>
      <c r="K234">
        <v>174845</v>
      </c>
      <c r="L234" t="s">
        <v>78</v>
      </c>
      <c r="M234" t="s">
        <v>17</v>
      </c>
      <c r="N234">
        <v>10309</v>
      </c>
      <c r="O234">
        <v>1089</v>
      </c>
      <c r="P234">
        <v>575</v>
      </c>
      <c r="Q234" s="1" t="str">
        <v/>
      </c>
      <c r="R234" s="1" t="str">
        <v/>
      </c>
      <c r="S234" s="3">
        <v>0</v>
      </c>
      <c r="T234" s="3">
        <v>0</v>
      </c>
    </row>
    <row r="235" spans="1:20" x14ac:dyDescent="0.25">
      <c r="A235" t="s">
        <v>78</v>
      </c>
      <c r="B235" t="s">
        <v>79</v>
      </c>
      <c r="C235" t="s">
        <v>6372</v>
      </c>
      <c r="D235" t="s">
        <v>6371</v>
      </c>
      <c r="E235">
        <v>901.4</v>
      </c>
      <c r="F235">
        <v>905</v>
      </c>
      <c r="G235">
        <v>920</v>
      </c>
      <c r="H235">
        <v>871.95</v>
      </c>
      <c r="I235" s="1">
        <v>903.45</v>
      </c>
      <c r="J235">
        <v>1302410.75</v>
      </c>
      <c r="K235">
        <v>1457</v>
      </c>
      <c r="L235" t="s">
        <v>78</v>
      </c>
      <c r="M235" t="s">
        <v>17</v>
      </c>
      <c r="N235">
        <v>481</v>
      </c>
      <c r="O235">
        <v>929.5</v>
      </c>
      <c r="P235">
        <v>840</v>
      </c>
      <c r="Q235" s="1" t="str">
        <v/>
      </c>
      <c r="R235" s="1" t="str">
        <v/>
      </c>
      <c r="S235" s="3">
        <v>0</v>
      </c>
      <c r="T235" s="3">
        <v>0</v>
      </c>
    </row>
    <row r="236" spans="1:20" x14ac:dyDescent="0.25">
      <c r="A236" t="s">
        <v>78</v>
      </c>
      <c r="B236" t="s">
        <v>287</v>
      </c>
      <c r="C236" t="s">
        <v>6370</v>
      </c>
      <c r="D236" t="s">
        <v>6369</v>
      </c>
      <c r="E236">
        <v>55</v>
      </c>
      <c r="F236">
        <v>54.55</v>
      </c>
      <c r="G236">
        <v>55</v>
      </c>
      <c r="H236">
        <v>52.25</v>
      </c>
      <c r="I236" s="1">
        <v>52.55</v>
      </c>
      <c r="J236">
        <v>8987125</v>
      </c>
      <c r="K236">
        <v>167500</v>
      </c>
      <c r="L236" t="s">
        <v>78</v>
      </c>
      <c r="M236" t="s">
        <v>17</v>
      </c>
      <c r="N236">
        <v>57</v>
      </c>
      <c r="O236">
        <v>84.7</v>
      </c>
      <c r="P236">
        <v>20.3</v>
      </c>
      <c r="Q236" s="1" t="str">
        <v/>
      </c>
      <c r="R236" s="1" t="str">
        <v/>
      </c>
      <c r="S236" s="3">
        <v>0</v>
      </c>
      <c r="T236" s="3">
        <v>0</v>
      </c>
    </row>
    <row r="237" spans="1:20" x14ac:dyDescent="0.25">
      <c r="A237" t="s">
        <v>78</v>
      </c>
      <c r="B237" t="s">
        <v>79</v>
      </c>
      <c r="C237" t="s">
        <v>336</v>
      </c>
      <c r="D237" t="s">
        <v>337</v>
      </c>
      <c r="E237">
        <v>196.84</v>
      </c>
      <c r="F237">
        <v>199.98</v>
      </c>
      <c r="G237">
        <v>199.98</v>
      </c>
      <c r="H237">
        <v>195.35</v>
      </c>
      <c r="I237" s="1">
        <v>196.19</v>
      </c>
      <c r="J237">
        <v>1092557.43</v>
      </c>
      <c r="K237">
        <v>5542</v>
      </c>
      <c r="L237" t="s">
        <v>78</v>
      </c>
      <c r="M237" t="s">
        <v>17</v>
      </c>
      <c r="N237">
        <v>277</v>
      </c>
      <c r="O237">
        <v>261.5</v>
      </c>
      <c r="P237">
        <v>152.69999999999999</v>
      </c>
      <c r="Q237" s="1">
        <v>45.05</v>
      </c>
      <c r="R237" s="1">
        <v>50.3</v>
      </c>
      <c r="S237" s="3">
        <v>0.13044257587842312</v>
      </c>
      <c r="T237" s="3">
        <v>7.038313622081338E-2</v>
      </c>
    </row>
    <row r="238" spans="1:20" x14ac:dyDescent="0.25">
      <c r="A238" t="s">
        <v>78</v>
      </c>
      <c r="B238" t="s">
        <v>79</v>
      </c>
      <c r="C238" t="s">
        <v>338</v>
      </c>
      <c r="D238" t="s">
        <v>339</v>
      </c>
      <c r="E238">
        <v>47.58</v>
      </c>
      <c r="F238">
        <v>47.55</v>
      </c>
      <c r="G238">
        <v>47.57</v>
      </c>
      <c r="H238">
        <v>46.35</v>
      </c>
      <c r="I238" s="1">
        <v>46.99</v>
      </c>
      <c r="J238">
        <v>3715548.62</v>
      </c>
      <c r="K238">
        <v>79288</v>
      </c>
      <c r="L238" t="s">
        <v>78</v>
      </c>
      <c r="M238" t="s">
        <v>17</v>
      </c>
      <c r="N238">
        <v>1738</v>
      </c>
      <c r="O238">
        <v>65.75</v>
      </c>
      <c r="P238">
        <v>32.9</v>
      </c>
      <c r="Q238" s="1">
        <v>14.9</v>
      </c>
      <c r="R238" s="1">
        <v>89.05</v>
      </c>
      <c r="S238" s="3">
        <v>0.10044480547199486</v>
      </c>
      <c r="T238" s="3">
        <v>-3.1440783351352808E-2</v>
      </c>
    </row>
    <row r="239" spans="1:20" x14ac:dyDescent="0.25">
      <c r="A239" t="s">
        <v>78</v>
      </c>
      <c r="B239" t="s">
        <v>79</v>
      </c>
      <c r="C239" t="s">
        <v>6368</v>
      </c>
      <c r="D239" t="s">
        <v>6367</v>
      </c>
      <c r="E239">
        <v>83.8</v>
      </c>
      <c r="F239">
        <v>83.8</v>
      </c>
      <c r="G239">
        <v>84.74</v>
      </c>
      <c r="H239">
        <v>78.5</v>
      </c>
      <c r="I239" s="1">
        <v>79.86</v>
      </c>
      <c r="J239">
        <v>42486448.490000002</v>
      </c>
      <c r="K239">
        <v>520762</v>
      </c>
      <c r="L239" t="s">
        <v>78</v>
      </c>
      <c r="M239" t="s">
        <v>17</v>
      </c>
      <c r="N239">
        <v>5254</v>
      </c>
      <c r="O239">
        <v>126.75</v>
      </c>
      <c r="P239">
        <v>54.15</v>
      </c>
      <c r="Q239" s="1" t="str">
        <v/>
      </c>
      <c r="R239" s="1" t="str">
        <v/>
      </c>
      <c r="S239" s="3">
        <v>0</v>
      </c>
      <c r="T239" s="3">
        <v>0</v>
      </c>
    </row>
    <row r="240" spans="1:20" x14ac:dyDescent="0.25">
      <c r="A240" t="s">
        <v>78</v>
      </c>
      <c r="B240" t="s">
        <v>287</v>
      </c>
      <c r="C240" t="s">
        <v>6366</v>
      </c>
      <c r="D240" t="s">
        <v>6365</v>
      </c>
      <c r="E240">
        <v>62</v>
      </c>
      <c r="F240">
        <v>61.9</v>
      </c>
      <c r="G240">
        <v>61.9</v>
      </c>
      <c r="H240">
        <v>61.9</v>
      </c>
      <c r="I240" s="1">
        <v>61.9</v>
      </c>
      <c r="J240">
        <v>123800</v>
      </c>
      <c r="K240">
        <v>2000</v>
      </c>
      <c r="L240" t="s">
        <v>78</v>
      </c>
      <c r="M240" t="s">
        <v>17</v>
      </c>
      <c r="N240">
        <v>1</v>
      </c>
      <c r="O240">
        <v>119.95</v>
      </c>
      <c r="P240">
        <v>39.5</v>
      </c>
      <c r="Q240" s="1" t="str">
        <v/>
      </c>
      <c r="R240" s="1" t="str">
        <v/>
      </c>
      <c r="S240" s="3">
        <v>0</v>
      </c>
      <c r="T240" s="3">
        <v>0</v>
      </c>
    </row>
    <row r="241" spans="1:20" x14ac:dyDescent="0.25">
      <c r="A241" t="s">
        <v>78</v>
      </c>
      <c r="B241" t="s">
        <v>79</v>
      </c>
      <c r="C241" t="s">
        <v>6364</v>
      </c>
      <c r="D241" t="s">
        <v>6363</v>
      </c>
      <c r="E241">
        <v>534.95000000000005</v>
      </c>
      <c r="F241">
        <v>534.45000000000005</v>
      </c>
      <c r="G241">
        <v>546.5</v>
      </c>
      <c r="H241">
        <v>509.55</v>
      </c>
      <c r="I241" s="1">
        <v>521.70000000000005</v>
      </c>
      <c r="J241">
        <v>149992706.90000001</v>
      </c>
      <c r="K241">
        <v>282896</v>
      </c>
      <c r="L241" t="s">
        <v>78</v>
      </c>
      <c r="M241" t="s">
        <v>17</v>
      </c>
      <c r="N241">
        <v>6385</v>
      </c>
      <c r="O241">
        <v>562.45000000000005</v>
      </c>
      <c r="P241">
        <v>258.25</v>
      </c>
      <c r="Q241" s="1" t="str">
        <v/>
      </c>
      <c r="R241" s="1" t="str">
        <v/>
      </c>
      <c r="S241" s="3">
        <v>0</v>
      </c>
      <c r="T241" s="3">
        <v>0</v>
      </c>
    </row>
    <row r="242" spans="1:20" x14ac:dyDescent="0.25">
      <c r="A242" t="s">
        <v>78</v>
      </c>
      <c r="B242" t="s">
        <v>79</v>
      </c>
      <c r="C242" t="s">
        <v>342</v>
      </c>
      <c r="D242" t="s">
        <v>343</v>
      </c>
      <c r="E242">
        <v>137.80000000000001</v>
      </c>
      <c r="F242">
        <v>140.80000000000001</v>
      </c>
      <c r="G242">
        <v>140.80000000000001</v>
      </c>
      <c r="H242">
        <v>126</v>
      </c>
      <c r="I242" s="1">
        <v>128.06</v>
      </c>
      <c r="J242">
        <v>18899710.789999999</v>
      </c>
      <c r="K242">
        <v>144823</v>
      </c>
      <c r="L242" t="s">
        <v>78</v>
      </c>
      <c r="M242" t="s">
        <v>17</v>
      </c>
      <c r="N242">
        <v>2149</v>
      </c>
      <c r="O242">
        <v>182.9</v>
      </c>
      <c r="P242">
        <v>119.65</v>
      </c>
      <c r="Q242" s="1">
        <v>171.4</v>
      </c>
      <c r="R242" s="1">
        <v>177.1</v>
      </c>
      <c r="S242" s="3">
        <v>-2.3999088354126008E-2</v>
      </c>
      <c r="T242" s="3">
        <v>-1.6071359404058461E-2</v>
      </c>
    </row>
    <row r="243" spans="1:20" x14ac:dyDescent="0.25">
      <c r="A243" t="s">
        <v>78</v>
      </c>
      <c r="B243" t="s">
        <v>79</v>
      </c>
      <c r="C243" t="s">
        <v>344</v>
      </c>
      <c r="D243" t="s">
        <v>345</v>
      </c>
      <c r="E243">
        <v>1442</v>
      </c>
      <c r="F243">
        <v>1442</v>
      </c>
      <c r="G243">
        <v>1445.65</v>
      </c>
      <c r="H243">
        <v>1411.2</v>
      </c>
      <c r="I243" s="1">
        <v>1423.65</v>
      </c>
      <c r="J243">
        <v>98412940.450000003</v>
      </c>
      <c r="K243">
        <v>69139</v>
      </c>
      <c r="L243" t="s">
        <v>78</v>
      </c>
      <c r="M243" t="s">
        <v>17</v>
      </c>
      <c r="N243">
        <v>10594</v>
      </c>
      <c r="O243">
        <v>1542.45</v>
      </c>
      <c r="P243">
        <v>650</v>
      </c>
      <c r="Q243" s="1">
        <v>396.55</v>
      </c>
      <c r="R243" s="1">
        <v>310.55</v>
      </c>
      <c r="S243" s="3">
        <v>0.11239434699994733</v>
      </c>
      <c r="T243" s="3">
        <v>7.9059711755307571E-2</v>
      </c>
    </row>
    <row r="244" spans="1:20" x14ac:dyDescent="0.25">
      <c r="A244" t="s">
        <v>78</v>
      </c>
      <c r="B244" t="s">
        <v>79</v>
      </c>
      <c r="C244" t="s">
        <v>348</v>
      </c>
      <c r="D244" t="s">
        <v>349</v>
      </c>
      <c r="E244">
        <v>4256.2</v>
      </c>
      <c r="F244">
        <v>4262.05</v>
      </c>
      <c r="G244">
        <v>4296.95</v>
      </c>
      <c r="H244">
        <v>4203.05</v>
      </c>
      <c r="I244" s="1">
        <v>4226.8</v>
      </c>
      <c r="J244">
        <v>259391016.40000001</v>
      </c>
      <c r="K244">
        <v>61341</v>
      </c>
      <c r="L244" t="s">
        <v>78</v>
      </c>
      <c r="M244" t="s">
        <v>17</v>
      </c>
      <c r="N244">
        <v>10599</v>
      </c>
      <c r="O244">
        <v>4630</v>
      </c>
      <c r="P244">
        <v>3326</v>
      </c>
      <c r="Q244" s="1">
        <v>2026</v>
      </c>
      <c r="R244" s="1">
        <v>1735.95</v>
      </c>
      <c r="S244" s="3">
        <v>6.3198499006793751E-2</v>
      </c>
      <c r="T244" s="3">
        <v>4.5473771334064272E-2</v>
      </c>
    </row>
    <row r="245" spans="1:20" x14ac:dyDescent="0.25">
      <c r="A245" t="s">
        <v>78</v>
      </c>
      <c r="B245" t="s">
        <v>79</v>
      </c>
      <c r="C245" t="s">
        <v>6362</v>
      </c>
      <c r="D245" t="s">
        <v>6361</v>
      </c>
      <c r="E245">
        <v>1066.25</v>
      </c>
      <c r="F245">
        <v>1066.25</v>
      </c>
      <c r="G245">
        <v>1076.2</v>
      </c>
      <c r="H245">
        <v>1030</v>
      </c>
      <c r="I245" s="1">
        <v>1056.2</v>
      </c>
      <c r="J245">
        <v>33037246.199999999</v>
      </c>
      <c r="K245">
        <v>31385</v>
      </c>
      <c r="L245" t="s">
        <v>78</v>
      </c>
      <c r="M245" t="s">
        <v>17</v>
      </c>
      <c r="N245">
        <v>7161</v>
      </c>
      <c r="O245">
        <v>1180</v>
      </c>
      <c r="P245">
        <v>732.2</v>
      </c>
      <c r="Q245" s="1" t="str">
        <v/>
      </c>
      <c r="R245" s="1" t="str">
        <v/>
      </c>
      <c r="S245" s="3">
        <v>0</v>
      </c>
      <c r="T245" s="3">
        <v>0</v>
      </c>
    </row>
    <row r="246" spans="1:20" x14ac:dyDescent="0.25">
      <c r="A246" t="s">
        <v>78</v>
      </c>
      <c r="B246" t="s">
        <v>79</v>
      </c>
      <c r="C246" t="s">
        <v>2988</v>
      </c>
      <c r="D246" t="s">
        <v>2989</v>
      </c>
      <c r="E246">
        <v>30.94</v>
      </c>
      <c r="F246">
        <v>31.35</v>
      </c>
      <c r="G246">
        <v>31.35</v>
      </c>
      <c r="H246">
        <v>29.7</v>
      </c>
      <c r="I246" s="1">
        <v>30.03</v>
      </c>
      <c r="J246">
        <v>11383340.65</v>
      </c>
      <c r="K246">
        <v>375616</v>
      </c>
      <c r="L246" t="s">
        <v>78</v>
      </c>
      <c r="M246" t="s">
        <v>17</v>
      </c>
      <c r="N246">
        <v>2697</v>
      </c>
      <c r="O246">
        <v>33.49</v>
      </c>
      <c r="P246">
        <v>21.85</v>
      </c>
      <c r="Q246" s="1">
        <v>25.4</v>
      </c>
      <c r="R246" s="1">
        <v>20.8</v>
      </c>
      <c r="S246" s="3">
        <v>1.4051786804548438E-2</v>
      </c>
      <c r="T246" s="3">
        <v>1.8521574210797587E-2</v>
      </c>
    </row>
    <row r="247" spans="1:20" x14ac:dyDescent="0.25">
      <c r="A247" t="s">
        <v>78</v>
      </c>
      <c r="B247" t="s">
        <v>79</v>
      </c>
      <c r="C247" t="s">
        <v>352</v>
      </c>
      <c r="D247" t="s">
        <v>353</v>
      </c>
      <c r="E247">
        <v>138.06</v>
      </c>
      <c r="F247">
        <v>135.19999999999999</v>
      </c>
      <c r="G247">
        <v>139.03</v>
      </c>
      <c r="H247">
        <v>134.21</v>
      </c>
      <c r="I247" s="1">
        <v>136.62</v>
      </c>
      <c r="J247">
        <v>1240789.43</v>
      </c>
      <c r="K247">
        <v>9070</v>
      </c>
      <c r="L247" t="s">
        <v>78</v>
      </c>
      <c r="M247" t="s">
        <v>17</v>
      </c>
      <c r="N247">
        <v>839</v>
      </c>
      <c r="O247">
        <v>196.8</v>
      </c>
      <c r="P247">
        <v>100.55</v>
      </c>
      <c r="Q247" s="1">
        <v>36</v>
      </c>
      <c r="R247" s="1" t="str">
        <v/>
      </c>
      <c r="S247" s="3">
        <v>0.11755176387153243</v>
      </c>
      <c r="T247" s="3">
        <v>0</v>
      </c>
    </row>
    <row r="248" spans="1:20" x14ac:dyDescent="0.25">
      <c r="A248" t="s">
        <v>78</v>
      </c>
      <c r="B248" t="s">
        <v>862</v>
      </c>
      <c r="C248" t="s">
        <v>6360</v>
      </c>
      <c r="D248" t="s">
        <v>6359</v>
      </c>
      <c r="E248">
        <v>1069.9000000000001</v>
      </c>
      <c r="F248">
        <v>1062.25</v>
      </c>
      <c r="G248">
        <v>1081.8</v>
      </c>
      <c r="H248">
        <v>1056.5999999999999</v>
      </c>
      <c r="I248" s="1">
        <v>1079.5</v>
      </c>
      <c r="J248">
        <v>364395350.60000002</v>
      </c>
      <c r="K248">
        <v>341104</v>
      </c>
      <c r="L248" t="s">
        <v>78</v>
      </c>
      <c r="M248" t="s">
        <v>17</v>
      </c>
      <c r="N248">
        <v>11734</v>
      </c>
      <c r="O248">
        <v>1176.7</v>
      </c>
      <c r="P248">
        <v>457</v>
      </c>
      <c r="Q248" s="1" t="str">
        <v/>
      </c>
      <c r="R248" s="1" t="str">
        <v/>
      </c>
      <c r="S248" s="3">
        <v>0</v>
      </c>
      <c r="T248" s="3">
        <v>0</v>
      </c>
    </row>
    <row r="249" spans="1:20" x14ac:dyDescent="0.25">
      <c r="A249" t="s">
        <v>78</v>
      </c>
      <c r="B249" t="s">
        <v>287</v>
      </c>
      <c r="C249" t="s">
        <v>354</v>
      </c>
      <c r="D249" t="s">
        <v>355</v>
      </c>
      <c r="E249">
        <v>154</v>
      </c>
      <c r="F249">
        <v>147</v>
      </c>
      <c r="G249">
        <v>147</v>
      </c>
      <c r="H249">
        <v>147</v>
      </c>
      <c r="I249" s="1">
        <v>147</v>
      </c>
      <c r="J249">
        <v>176400</v>
      </c>
      <c r="K249">
        <v>1200</v>
      </c>
      <c r="L249" t="s">
        <v>78</v>
      </c>
      <c r="M249" t="s">
        <v>17</v>
      </c>
      <c r="N249">
        <v>1</v>
      </c>
      <c r="O249">
        <v>161.5</v>
      </c>
      <c r="P249">
        <v>48.65</v>
      </c>
      <c r="Q249" s="1">
        <v>47.1</v>
      </c>
      <c r="R249" s="1">
        <v>34</v>
      </c>
      <c r="S249" s="3">
        <v>9.9490215740021037E-2</v>
      </c>
      <c r="T249" s="3">
        <v>7.5906447773929298E-2</v>
      </c>
    </row>
    <row r="250" spans="1:20" x14ac:dyDescent="0.25">
      <c r="A250" t="s">
        <v>78</v>
      </c>
      <c r="B250" t="s">
        <v>79</v>
      </c>
      <c r="C250" t="s">
        <v>356</v>
      </c>
      <c r="D250" t="s">
        <v>357</v>
      </c>
      <c r="E250">
        <v>2227.75</v>
      </c>
      <c r="F250">
        <v>2230</v>
      </c>
      <c r="G250">
        <v>2305.15</v>
      </c>
      <c r="H250">
        <v>2223.5500000000002</v>
      </c>
      <c r="I250" s="1">
        <v>2285.1</v>
      </c>
      <c r="J250">
        <v>219719495.30000001</v>
      </c>
      <c r="K250">
        <v>96744</v>
      </c>
      <c r="L250" t="s">
        <v>78</v>
      </c>
      <c r="M250" t="s">
        <v>17</v>
      </c>
      <c r="N250">
        <v>15582</v>
      </c>
      <c r="O250">
        <v>2540</v>
      </c>
      <c r="P250">
        <v>1391</v>
      </c>
      <c r="Q250" s="1">
        <v>2097</v>
      </c>
      <c r="R250" s="1">
        <v>903.65</v>
      </c>
      <c r="S250" s="3">
        <v>7.1841862589900884E-3</v>
      </c>
      <c r="T250" s="3">
        <v>4.7452205212095144E-2</v>
      </c>
    </row>
    <row r="251" spans="1:20" x14ac:dyDescent="0.25">
      <c r="A251" t="s">
        <v>78</v>
      </c>
      <c r="B251" t="s">
        <v>79</v>
      </c>
      <c r="C251" t="s">
        <v>358</v>
      </c>
      <c r="D251" t="s">
        <v>359</v>
      </c>
      <c r="E251">
        <v>739.8</v>
      </c>
      <c r="F251">
        <v>739</v>
      </c>
      <c r="G251">
        <v>745</v>
      </c>
      <c r="H251">
        <v>716</v>
      </c>
      <c r="I251" s="1">
        <v>731.25</v>
      </c>
      <c r="J251">
        <v>33642936.5</v>
      </c>
      <c r="K251">
        <v>46221</v>
      </c>
      <c r="L251" t="s">
        <v>78</v>
      </c>
      <c r="M251" t="s">
        <v>17</v>
      </c>
      <c r="N251">
        <v>4033</v>
      </c>
      <c r="O251">
        <v>887.45</v>
      </c>
      <c r="P251">
        <v>326.35000000000002</v>
      </c>
      <c r="Q251" s="1">
        <v>295</v>
      </c>
      <c r="R251" s="1">
        <v>139.80000000000001</v>
      </c>
      <c r="S251" s="3">
        <v>7.8583209488481964E-2</v>
      </c>
      <c r="T251" s="3">
        <v>8.6196151285260481E-2</v>
      </c>
    </row>
    <row r="252" spans="1:20" x14ac:dyDescent="0.25">
      <c r="A252" t="s">
        <v>78</v>
      </c>
      <c r="B252" t="s">
        <v>79</v>
      </c>
      <c r="C252" t="s">
        <v>2990</v>
      </c>
      <c r="D252" t="s">
        <v>2991</v>
      </c>
      <c r="E252">
        <v>6.7</v>
      </c>
      <c r="F252">
        <v>6.7</v>
      </c>
      <c r="G252">
        <v>6.7</v>
      </c>
      <c r="H252">
        <v>6.4</v>
      </c>
      <c r="I252" s="1">
        <v>6.41</v>
      </c>
      <c r="J252">
        <v>16745666.98</v>
      </c>
      <c r="K252">
        <v>2588589</v>
      </c>
      <c r="L252" t="s">
        <v>78</v>
      </c>
      <c r="M252" t="s">
        <v>17</v>
      </c>
      <c r="N252">
        <v>3121</v>
      </c>
      <c r="O252">
        <v>7.7</v>
      </c>
      <c r="P252">
        <v>3.95</v>
      </c>
      <c r="Q252" s="1">
        <v>53.2</v>
      </c>
      <c r="R252" s="1" t="str">
        <v/>
      </c>
      <c r="S252" s="3">
        <v>-0.16167542049889638</v>
      </c>
      <c r="T252" s="3">
        <v>0</v>
      </c>
    </row>
    <row r="253" spans="1:20" x14ac:dyDescent="0.25">
      <c r="A253" t="s">
        <v>78</v>
      </c>
      <c r="B253" t="s">
        <v>79</v>
      </c>
      <c r="C253" t="s">
        <v>360</v>
      </c>
      <c r="D253" t="s">
        <v>361</v>
      </c>
      <c r="E253">
        <v>35.85</v>
      </c>
      <c r="F253">
        <v>37</v>
      </c>
      <c r="G253">
        <v>37</v>
      </c>
      <c r="H253">
        <v>34.26</v>
      </c>
      <c r="I253" s="1">
        <v>34.32</v>
      </c>
      <c r="J253">
        <v>1891390.32</v>
      </c>
      <c r="K253">
        <v>53388</v>
      </c>
      <c r="L253" t="s">
        <v>78</v>
      </c>
      <c r="M253" t="s">
        <v>17</v>
      </c>
      <c r="N253">
        <v>648</v>
      </c>
      <c r="O253">
        <v>50.6</v>
      </c>
      <c r="P253">
        <v>25.55</v>
      </c>
      <c r="Q253" s="1">
        <v>218.5</v>
      </c>
      <c r="R253" s="1" t="str">
        <v/>
      </c>
      <c r="S253" s="3">
        <v>-0.14294639406645793</v>
      </c>
      <c r="T253" s="3">
        <v>0</v>
      </c>
    </row>
    <row r="254" spans="1:20" x14ac:dyDescent="0.25">
      <c r="A254" t="s">
        <v>78</v>
      </c>
      <c r="B254" t="s">
        <v>79</v>
      </c>
      <c r="C254" t="s">
        <v>362</v>
      </c>
      <c r="D254" t="s">
        <v>363</v>
      </c>
      <c r="E254">
        <v>21.05</v>
      </c>
      <c r="F254">
        <v>21.39</v>
      </c>
      <c r="G254">
        <v>21.77</v>
      </c>
      <c r="H254">
        <v>20.8</v>
      </c>
      <c r="I254" s="1">
        <v>21.4</v>
      </c>
      <c r="J254">
        <v>5296182.4800000004</v>
      </c>
      <c r="K254">
        <v>247148</v>
      </c>
      <c r="L254" t="s">
        <v>78</v>
      </c>
      <c r="M254" t="s">
        <v>17</v>
      </c>
      <c r="N254">
        <v>649</v>
      </c>
      <c r="O254">
        <v>32.6</v>
      </c>
      <c r="P254">
        <v>17.600000000000001</v>
      </c>
      <c r="Q254" s="1">
        <v>25.5</v>
      </c>
      <c r="R254" s="1" t="str">
        <v/>
      </c>
      <c r="S254" s="3">
        <v>-1.4501125232107448E-2</v>
      </c>
      <c r="T254" s="3">
        <v>0</v>
      </c>
    </row>
    <row r="255" spans="1:20" x14ac:dyDescent="0.25">
      <c r="A255" t="s">
        <v>78</v>
      </c>
      <c r="B255" t="s">
        <v>79</v>
      </c>
      <c r="C255" t="s">
        <v>6358</v>
      </c>
      <c r="D255" t="s">
        <v>6357</v>
      </c>
      <c r="E255">
        <v>24.21</v>
      </c>
      <c r="F255">
        <v>25.38</v>
      </c>
      <c r="G255">
        <v>25.42</v>
      </c>
      <c r="H255">
        <v>23.55</v>
      </c>
      <c r="I255" s="1">
        <v>24.1</v>
      </c>
      <c r="J255">
        <v>4400928.83</v>
      </c>
      <c r="K255">
        <v>176311</v>
      </c>
      <c r="L255" t="s">
        <v>78</v>
      </c>
      <c r="M255" t="s">
        <v>17</v>
      </c>
      <c r="N255">
        <v>921</v>
      </c>
      <c r="O255">
        <v>32.5</v>
      </c>
      <c r="P255">
        <v>10.6</v>
      </c>
      <c r="Q255" s="1" t="str">
        <v/>
      </c>
      <c r="R255" s="1" t="str">
        <v/>
      </c>
      <c r="S255" s="3">
        <v>0</v>
      </c>
      <c r="T255" s="3">
        <v>0</v>
      </c>
    </row>
    <row r="256" spans="1:20" x14ac:dyDescent="0.25">
      <c r="A256" t="s">
        <v>78</v>
      </c>
      <c r="B256" t="s">
        <v>287</v>
      </c>
      <c r="C256" t="s">
        <v>6356</v>
      </c>
      <c r="D256" t="s">
        <v>6355</v>
      </c>
      <c r="E256">
        <v>78.400000000000006</v>
      </c>
      <c r="F256">
        <v>77</v>
      </c>
      <c r="G256">
        <v>78</v>
      </c>
      <c r="H256">
        <v>75.2</v>
      </c>
      <c r="I256" s="1">
        <v>76.849999999999994</v>
      </c>
      <c r="J256">
        <v>3428800</v>
      </c>
      <c r="K256">
        <v>44800</v>
      </c>
      <c r="L256" t="s">
        <v>78</v>
      </c>
      <c r="M256" t="s">
        <v>17</v>
      </c>
      <c r="N256">
        <v>28</v>
      </c>
      <c r="O256">
        <v>98</v>
      </c>
      <c r="P256">
        <v>75.2</v>
      </c>
      <c r="Q256" s="1" t="str">
        <v/>
      </c>
      <c r="R256" s="1" t="str">
        <v/>
      </c>
      <c r="S256" s="3">
        <v>0</v>
      </c>
      <c r="T256" s="3">
        <v>0</v>
      </c>
    </row>
    <row r="257" spans="1:20" x14ac:dyDescent="0.25">
      <c r="A257" t="s">
        <v>78</v>
      </c>
      <c r="B257" t="s">
        <v>79</v>
      </c>
      <c r="C257" t="s">
        <v>6354</v>
      </c>
      <c r="D257" t="s">
        <v>6353</v>
      </c>
      <c r="E257">
        <v>2.44</v>
      </c>
      <c r="F257">
        <v>2.44</v>
      </c>
      <c r="G257">
        <v>2.44</v>
      </c>
      <c r="H257">
        <v>2.31</v>
      </c>
      <c r="I257" s="1">
        <v>2.31</v>
      </c>
      <c r="J257">
        <v>12128946.09</v>
      </c>
      <c r="K257">
        <v>5219694</v>
      </c>
      <c r="L257" t="s">
        <v>78</v>
      </c>
      <c r="M257" t="s">
        <v>17</v>
      </c>
      <c r="N257">
        <v>3724</v>
      </c>
      <c r="O257">
        <v>7.9</v>
      </c>
      <c r="P257">
        <v>2.15</v>
      </c>
      <c r="Q257" s="1" t="str">
        <v/>
      </c>
      <c r="R257" s="1" t="str">
        <v/>
      </c>
      <c r="S257" s="3">
        <v>0</v>
      </c>
      <c r="T257" s="3">
        <v>0</v>
      </c>
    </row>
    <row r="258" spans="1:20" x14ac:dyDescent="0.25">
      <c r="A258" t="s">
        <v>78</v>
      </c>
      <c r="B258" t="s">
        <v>79</v>
      </c>
      <c r="C258" t="s">
        <v>364</v>
      </c>
      <c r="D258" t="s">
        <v>365</v>
      </c>
      <c r="E258">
        <v>313.45</v>
      </c>
      <c r="F258">
        <v>312.64999999999998</v>
      </c>
      <c r="G258">
        <v>312.7</v>
      </c>
      <c r="H258">
        <v>301</v>
      </c>
      <c r="I258" s="1">
        <v>303.2</v>
      </c>
      <c r="J258">
        <v>4718123.8499999996</v>
      </c>
      <c r="K258">
        <v>15366</v>
      </c>
      <c r="L258" t="s">
        <v>78</v>
      </c>
      <c r="M258" t="s">
        <v>17</v>
      </c>
      <c r="N258">
        <v>1045</v>
      </c>
      <c r="O258">
        <v>365.5</v>
      </c>
      <c r="P258">
        <v>231.25</v>
      </c>
      <c r="Q258" s="1">
        <v>435.1</v>
      </c>
      <c r="R258" s="1">
        <v>246</v>
      </c>
      <c r="S258" s="3">
        <v>-2.9650150571625566E-2</v>
      </c>
      <c r="T258" s="3">
        <v>1.0502095238699827E-2</v>
      </c>
    </row>
    <row r="259" spans="1:20" x14ac:dyDescent="0.25">
      <c r="A259" t="s">
        <v>78</v>
      </c>
      <c r="B259" t="s">
        <v>79</v>
      </c>
      <c r="C259" t="s">
        <v>2992</v>
      </c>
      <c r="D259" t="s">
        <v>6352</v>
      </c>
      <c r="E259">
        <v>8.8699999999999992</v>
      </c>
      <c r="F259">
        <v>8.8699999999999992</v>
      </c>
      <c r="G259">
        <v>8.89</v>
      </c>
      <c r="H259">
        <v>8.6999999999999993</v>
      </c>
      <c r="I259" s="1">
        <v>8.75</v>
      </c>
      <c r="J259">
        <v>1443681.91</v>
      </c>
      <c r="K259">
        <v>164731</v>
      </c>
      <c r="L259" t="s">
        <v>78</v>
      </c>
      <c r="M259" t="s">
        <v>17</v>
      </c>
      <c r="N259">
        <v>466</v>
      </c>
      <c r="O259">
        <v>13.45</v>
      </c>
      <c r="P259">
        <v>7.9</v>
      </c>
      <c r="Q259" s="1">
        <v>11.5</v>
      </c>
      <c r="R259" s="1">
        <v>9.6999999999999993</v>
      </c>
      <c r="S259" s="3">
        <v>-2.2517064518873031E-2</v>
      </c>
      <c r="T259" s="3">
        <v>-5.1375443513991259E-3</v>
      </c>
    </row>
    <row r="260" spans="1:20" x14ac:dyDescent="0.25">
      <c r="A260" t="s">
        <v>78</v>
      </c>
      <c r="B260" t="s">
        <v>79</v>
      </c>
      <c r="C260" t="s">
        <v>366</v>
      </c>
      <c r="D260" t="s">
        <v>367</v>
      </c>
      <c r="E260">
        <v>3017.9</v>
      </c>
      <c r="F260">
        <v>2990.05</v>
      </c>
      <c r="G260">
        <v>2990.05</v>
      </c>
      <c r="H260">
        <v>2905</v>
      </c>
      <c r="I260" s="1">
        <v>2934.65</v>
      </c>
      <c r="J260">
        <v>50741426</v>
      </c>
      <c r="K260">
        <v>17154</v>
      </c>
      <c r="L260" t="s">
        <v>78</v>
      </c>
      <c r="M260" t="s">
        <v>17</v>
      </c>
      <c r="N260">
        <v>6517</v>
      </c>
      <c r="O260">
        <v>3058</v>
      </c>
      <c r="P260">
        <v>2267</v>
      </c>
      <c r="Q260" s="1">
        <v>2260</v>
      </c>
      <c r="R260" s="1">
        <v>1723.05</v>
      </c>
      <c r="S260" s="3">
        <v>2.2007280164654919E-2</v>
      </c>
      <c r="T260" s="3">
        <v>2.696723838909465E-2</v>
      </c>
    </row>
    <row r="261" spans="1:20" x14ac:dyDescent="0.25">
      <c r="A261" t="s">
        <v>78</v>
      </c>
      <c r="B261" t="s">
        <v>79</v>
      </c>
      <c r="C261" t="s">
        <v>368</v>
      </c>
      <c r="D261" t="s">
        <v>369</v>
      </c>
      <c r="E261">
        <v>24.7</v>
      </c>
      <c r="F261">
        <v>24.65</v>
      </c>
      <c r="G261">
        <v>25.95</v>
      </c>
      <c r="H261">
        <v>24.03</v>
      </c>
      <c r="I261" s="1">
        <v>24.37</v>
      </c>
      <c r="J261">
        <v>205175546.62</v>
      </c>
      <c r="K261">
        <v>8125877</v>
      </c>
      <c r="L261" t="s">
        <v>78</v>
      </c>
      <c r="M261" t="s">
        <v>17</v>
      </c>
      <c r="N261">
        <v>14781</v>
      </c>
      <c r="O261">
        <v>26.4</v>
      </c>
      <c r="P261">
        <v>9.65</v>
      </c>
      <c r="Q261" s="1">
        <v>20</v>
      </c>
      <c r="R261" s="1">
        <v>26.6</v>
      </c>
      <c r="S261" s="3">
        <v>1.6604734123657483E-2</v>
      </c>
      <c r="T261" s="3">
        <v>-4.3659612217862298E-3</v>
      </c>
    </row>
    <row r="262" spans="1:20" x14ac:dyDescent="0.25">
      <c r="A262" t="s">
        <v>78</v>
      </c>
      <c r="B262" t="s">
        <v>79</v>
      </c>
      <c r="C262" t="s">
        <v>370</v>
      </c>
      <c r="D262" t="s">
        <v>371</v>
      </c>
      <c r="E262">
        <v>1264.05</v>
      </c>
      <c r="F262">
        <v>1260</v>
      </c>
      <c r="G262">
        <v>1279.95</v>
      </c>
      <c r="H262">
        <v>1241</v>
      </c>
      <c r="I262" s="1">
        <v>1254.9000000000001</v>
      </c>
      <c r="J262">
        <v>11408847.300000001</v>
      </c>
      <c r="K262">
        <v>9066</v>
      </c>
      <c r="L262" t="s">
        <v>78</v>
      </c>
      <c r="M262" t="s">
        <v>17</v>
      </c>
      <c r="N262">
        <v>2020</v>
      </c>
      <c r="O262">
        <v>1607.9</v>
      </c>
      <c r="P262">
        <v>660.25</v>
      </c>
      <c r="Q262" s="1">
        <v>530</v>
      </c>
      <c r="R262" s="1">
        <v>374</v>
      </c>
      <c r="S262" s="3">
        <v>7.4470354538937356E-2</v>
      </c>
      <c r="T262" s="3">
        <v>6.2361882842342675E-2</v>
      </c>
    </row>
    <row r="263" spans="1:20" x14ac:dyDescent="0.25">
      <c r="A263" t="s">
        <v>78</v>
      </c>
      <c r="B263" t="s">
        <v>79</v>
      </c>
      <c r="C263" t="s">
        <v>372</v>
      </c>
      <c r="D263" t="s">
        <v>373</v>
      </c>
      <c r="E263">
        <v>154.13</v>
      </c>
      <c r="F263">
        <v>153</v>
      </c>
      <c r="G263">
        <v>153.19</v>
      </c>
      <c r="H263">
        <v>145</v>
      </c>
      <c r="I263" s="1">
        <v>145.58000000000001</v>
      </c>
      <c r="J263">
        <v>350020915.38999999</v>
      </c>
      <c r="K263">
        <v>2364271</v>
      </c>
      <c r="L263" t="s">
        <v>78</v>
      </c>
      <c r="M263" t="s">
        <v>17</v>
      </c>
      <c r="N263">
        <v>27927</v>
      </c>
      <c r="O263">
        <v>155.80000000000001</v>
      </c>
      <c r="P263">
        <v>74.150000000000006</v>
      </c>
      <c r="Q263" s="1">
        <v>132.15</v>
      </c>
      <c r="R263" s="1">
        <v>41.85</v>
      </c>
      <c r="S263" s="3">
        <v>8.0982920873911013E-3</v>
      </c>
      <c r="T263" s="3">
        <v>6.4278987330313564E-2</v>
      </c>
    </row>
    <row r="264" spans="1:20" x14ac:dyDescent="0.25">
      <c r="A264" t="s">
        <v>78</v>
      </c>
      <c r="B264" t="s">
        <v>79</v>
      </c>
      <c r="C264" t="s">
        <v>374</v>
      </c>
      <c r="D264" t="s">
        <v>375</v>
      </c>
      <c r="E264">
        <v>1285.4000000000001</v>
      </c>
      <c r="F264">
        <v>1285</v>
      </c>
      <c r="G264">
        <v>1292</v>
      </c>
      <c r="H264">
        <v>1234.8499999999999</v>
      </c>
      <c r="I264" s="1">
        <v>1261.1500000000001</v>
      </c>
      <c r="J264">
        <v>30263964.300000001</v>
      </c>
      <c r="K264">
        <v>24043</v>
      </c>
      <c r="L264" t="s">
        <v>78</v>
      </c>
      <c r="M264" t="s">
        <v>17</v>
      </c>
      <c r="N264">
        <v>3600</v>
      </c>
      <c r="O264">
        <v>1399</v>
      </c>
      <c r="P264">
        <v>775.55</v>
      </c>
      <c r="Q264" s="1">
        <v>763.3</v>
      </c>
      <c r="R264" s="1">
        <v>505.05</v>
      </c>
      <c r="S264" s="3">
        <v>4.2731812353127951E-2</v>
      </c>
      <c r="T264" s="3">
        <v>4.6792821715585076E-2</v>
      </c>
    </row>
    <row r="265" spans="1:20" x14ac:dyDescent="0.25">
      <c r="A265" t="s">
        <v>78</v>
      </c>
      <c r="B265" t="s">
        <v>79</v>
      </c>
      <c r="C265" t="s">
        <v>376</v>
      </c>
      <c r="D265" t="s">
        <v>377</v>
      </c>
      <c r="E265">
        <v>139.30000000000001</v>
      </c>
      <c r="F265">
        <v>138.30000000000001</v>
      </c>
      <c r="G265">
        <v>139.99</v>
      </c>
      <c r="H265">
        <v>137</v>
      </c>
      <c r="I265" s="1">
        <v>137.43</v>
      </c>
      <c r="J265">
        <v>1574092.66</v>
      </c>
      <c r="K265">
        <v>11381</v>
      </c>
      <c r="L265" t="s">
        <v>78</v>
      </c>
      <c r="M265" t="s">
        <v>17</v>
      </c>
      <c r="N265">
        <v>328</v>
      </c>
      <c r="O265">
        <v>165</v>
      </c>
      <c r="P265">
        <v>95.55</v>
      </c>
      <c r="Q265" s="1">
        <v>87.5</v>
      </c>
      <c r="R265" s="1">
        <v>37.1</v>
      </c>
      <c r="S265" s="3">
        <v>3.83396966356786E-2</v>
      </c>
      <c r="T265" s="3">
        <v>6.7627641372763447E-2</v>
      </c>
    </row>
    <row r="266" spans="1:20" x14ac:dyDescent="0.25">
      <c r="A266" t="s">
        <v>78</v>
      </c>
      <c r="B266" t="s">
        <v>79</v>
      </c>
      <c r="C266" t="s">
        <v>186</v>
      </c>
      <c r="D266" t="s">
        <v>187</v>
      </c>
      <c r="E266">
        <v>5296.8</v>
      </c>
      <c r="F266">
        <v>5330</v>
      </c>
      <c r="G266">
        <v>5330</v>
      </c>
      <c r="H266">
        <v>5190</v>
      </c>
      <c r="I266" s="1">
        <v>5272.75</v>
      </c>
      <c r="J266">
        <v>699184918.85000002</v>
      </c>
      <c r="K266">
        <v>133445</v>
      </c>
      <c r="L266" t="s">
        <v>78</v>
      </c>
      <c r="M266" t="s">
        <v>17</v>
      </c>
      <c r="N266">
        <v>33398</v>
      </c>
      <c r="O266">
        <v>5578.8</v>
      </c>
      <c r="P266">
        <v>3447</v>
      </c>
      <c r="Q266" s="1">
        <v>3320</v>
      </c>
      <c r="R266" s="1">
        <v>1735.3</v>
      </c>
      <c r="S266" s="3">
        <v>3.9301589247530799E-2</v>
      </c>
      <c r="T266" s="3">
        <v>5.7109350397607228E-2</v>
      </c>
    </row>
    <row r="267" spans="1:20" x14ac:dyDescent="0.25">
      <c r="A267" t="s">
        <v>78</v>
      </c>
      <c r="B267" t="s">
        <v>79</v>
      </c>
      <c r="C267" t="s">
        <v>378</v>
      </c>
      <c r="D267" t="s">
        <v>379</v>
      </c>
      <c r="E267">
        <v>2060.5</v>
      </c>
      <c r="F267">
        <v>2060.5</v>
      </c>
      <c r="G267">
        <v>2065.9499999999998</v>
      </c>
      <c r="H267">
        <v>2034.9</v>
      </c>
      <c r="I267" s="1">
        <v>2046.4</v>
      </c>
      <c r="J267">
        <v>100136904.2</v>
      </c>
      <c r="K267">
        <v>48911</v>
      </c>
      <c r="L267" t="s">
        <v>78</v>
      </c>
      <c r="M267" t="s">
        <v>17</v>
      </c>
      <c r="N267">
        <v>7571</v>
      </c>
      <c r="O267">
        <v>2735</v>
      </c>
      <c r="P267">
        <v>1808</v>
      </c>
      <c r="Q267" s="1">
        <v>3678</v>
      </c>
      <c r="R267" s="1">
        <v>785.1</v>
      </c>
      <c r="S267" s="3">
        <v>-4.7682934706807734E-2</v>
      </c>
      <c r="T267" s="3">
        <v>4.9039605002322739E-2</v>
      </c>
    </row>
    <row r="268" spans="1:20" x14ac:dyDescent="0.25">
      <c r="A268" t="s">
        <v>78</v>
      </c>
      <c r="B268" t="s">
        <v>79</v>
      </c>
      <c r="C268" t="s">
        <v>380</v>
      </c>
      <c r="D268" t="s">
        <v>381</v>
      </c>
      <c r="E268">
        <v>63.9</v>
      </c>
      <c r="F268">
        <v>63.94</v>
      </c>
      <c r="G268">
        <v>66.25</v>
      </c>
      <c r="H268">
        <v>63.65</v>
      </c>
      <c r="I268" s="1">
        <v>64.78</v>
      </c>
      <c r="J268">
        <v>520899085.94999999</v>
      </c>
      <c r="K268">
        <v>7970699</v>
      </c>
      <c r="L268" t="s">
        <v>78</v>
      </c>
      <c r="M268" t="s">
        <v>17</v>
      </c>
      <c r="N268">
        <v>34311</v>
      </c>
      <c r="O268">
        <v>346.85</v>
      </c>
      <c r="P268">
        <v>59.3</v>
      </c>
      <c r="Q268" s="1">
        <v>158.4</v>
      </c>
      <c r="R268" s="1">
        <v>97.65</v>
      </c>
      <c r="S268" s="3">
        <v>-7.1802315820251872E-2</v>
      </c>
      <c r="T268" s="3">
        <v>-2.0299532749752491E-2</v>
      </c>
    </row>
    <row r="269" spans="1:20" x14ac:dyDescent="0.25">
      <c r="A269" t="s">
        <v>78</v>
      </c>
      <c r="B269" t="s">
        <v>287</v>
      </c>
      <c r="C269" t="s">
        <v>6351</v>
      </c>
      <c r="D269" t="s">
        <v>6350</v>
      </c>
      <c r="E269">
        <v>280.89999999999998</v>
      </c>
      <c r="F269">
        <v>283.89999999999998</v>
      </c>
      <c r="G269">
        <v>303</v>
      </c>
      <c r="H269">
        <v>280</v>
      </c>
      <c r="I269" s="1">
        <v>298</v>
      </c>
      <c r="J269">
        <v>59878580</v>
      </c>
      <c r="K269">
        <v>204000</v>
      </c>
      <c r="L269" t="s">
        <v>78</v>
      </c>
      <c r="M269" t="s">
        <v>17</v>
      </c>
      <c r="N269">
        <v>407</v>
      </c>
      <c r="O269">
        <v>335.4</v>
      </c>
      <c r="P269">
        <v>109</v>
      </c>
      <c r="Q269" s="1" t="str">
        <v/>
      </c>
      <c r="R269" s="1" t="str">
        <v/>
      </c>
      <c r="S269" s="3">
        <v>0</v>
      </c>
      <c r="T269" s="3">
        <v>0</v>
      </c>
    </row>
    <row r="270" spans="1:20" x14ac:dyDescent="0.25">
      <c r="A270" t="s">
        <v>78</v>
      </c>
      <c r="B270" t="s">
        <v>79</v>
      </c>
      <c r="C270" t="s">
        <v>382</v>
      </c>
      <c r="D270" t="s">
        <v>383</v>
      </c>
      <c r="E270">
        <v>1145.55</v>
      </c>
      <c r="F270">
        <v>1154</v>
      </c>
      <c r="G270">
        <v>1154</v>
      </c>
      <c r="H270">
        <v>1121.55</v>
      </c>
      <c r="I270" s="1">
        <v>1135.3499999999999</v>
      </c>
      <c r="J270">
        <v>11462116.6</v>
      </c>
      <c r="K270">
        <v>10078</v>
      </c>
      <c r="L270" t="s">
        <v>78</v>
      </c>
      <c r="M270" t="s">
        <v>17</v>
      </c>
      <c r="N270">
        <v>2148</v>
      </c>
      <c r="O270">
        <v>1251.9000000000001</v>
      </c>
      <c r="P270">
        <v>532.54999999999995</v>
      </c>
      <c r="Q270" s="1">
        <v>525</v>
      </c>
      <c r="R270" s="1">
        <v>308.25</v>
      </c>
      <c r="S270" s="3">
        <v>6.6385435851944008E-2</v>
      </c>
      <c r="T270" s="3">
        <v>6.7322904507083337E-2</v>
      </c>
    </row>
    <row r="271" spans="1:20" x14ac:dyDescent="0.25">
      <c r="A271" t="s">
        <v>78</v>
      </c>
      <c r="B271" t="s">
        <v>79</v>
      </c>
      <c r="C271" t="s">
        <v>384</v>
      </c>
      <c r="D271" t="s">
        <v>385</v>
      </c>
      <c r="E271">
        <v>153.31</v>
      </c>
      <c r="F271">
        <v>158.49</v>
      </c>
      <c r="G271">
        <v>160.97</v>
      </c>
      <c r="H271">
        <v>155.44</v>
      </c>
      <c r="I271" s="1">
        <v>160.04</v>
      </c>
      <c r="J271">
        <v>54591148.079999998</v>
      </c>
      <c r="K271">
        <v>342486</v>
      </c>
      <c r="L271" t="s">
        <v>78</v>
      </c>
      <c r="M271" t="s">
        <v>17</v>
      </c>
      <c r="N271">
        <v>3547</v>
      </c>
      <c r="O271">
        <v>166.72</v>
      </c>
      <c r="P271">
        <v>75.5</v>
      </c>
      <c r="Q271" s="1">
        <v>61.4</v>
      </c>
      <c r="R271" s="1">
        <v>14.8</v>
      </c>
      <c r="S271" s="3">
        <v>8.3107793882175596E-2</v>
      </c>
      <c r="T271" s="3">
        <v>0.12634135230795218</v>
      </c>
    </row>
    <row r="272" spans="1:20" x14ac:dyDescent="0.25">
      <c r="A272" t="s">
        <v>78</v>
      </c>
      <c r="B272" t="s">
        <v>79</v>
      </c>
      <c r="C272" t="s">
        <v>386</v>
      </c>
      <c r="D272" t="s">
        <v>387</v>
      </c>
      <c r="E272">
        <v>26.99</v>
      </c>
      <c r="F272">
        <v>26.2</v>
      </c>
      <c r="G272">
        <v>26.45</v>
      </c>
      <c r="H272">
        <v>25.6</v>
      </c>
      <c r="I272" s="1">
        <v>25.89</v>
      </c>
      <c r="J272">
        <v>408236991.79000002</v>
      </c>
      <c r="K272">
        <v>15721454</v>
      </c>
      <c r="L272" t="s">
        <v>78</v>
      </c>
      <c r="M272" t="s">
        <v>17</v>
      </c>
      <c r="N272">
        <v>42095</v>
      </c>
      <c r="O272">
        <v>39.049999999999997</v>
      </c>
      <c r="P272">
        <v>14.55</v>
      </c>
      <c r="Q272" s="1">
        <v>27.2</v>
      </c>
      <c r="R272" s="1" t="str">
        <v/>
      </c>
      <c r="S272" s="3">
        <v>-4.1049000652511047E-3</v>
      </c>
      <c r="T272" s="3">
        <v>0</v>
      </c>
    </row>
    <row r="273" spans="1:20" x14ac:dyDescent="0.25">
      <c r="A273" t="s">
        <v>78</v>
      </c>
      <c r="B273" t="s">
        <v>79</v>
      </c>
      <c r="C273" t="s">
        <v>2994</v>
      </c>
      <c r="D273" t="s">
        <v>2995</v>
      </c>
      <c r="E273">
        <v>91.93</v>
      </c>
      <c r="F273">
        <v>91.93</v>
      </c>
      <c r="G273">
        <v>94.09</v>
      </c>
      <c r="H273">
        <v>91</v>
      </c>
      <c r="I273" s="1">
        <v>91.75</v>
      </c>
      <c r="J273">
        <v>5416398.7300000004</v>
      </c>
      <c r="K273">
        <v>58638</v>
      </c>
      <c r="L273" t="s">
        <v>78</v>
      </c>
      <c r="M273" t="s">
        <v>17</v>
      </c>
      <c r="N273">
        <v>1690</v>
      </c>
      <c r="O273">
        <v>115</v>
      </c>
      <c r="P273">
        <v>68.099999999999994</v>
      </c>
      <c r="Q273" s="1">
        <v>49.05</v>
      </c>
      <c r="R273" s="1">
        <v>16</v>
      </c>
      <c r="S273" s="3">
        <v>5.3571276056129324E-2</v>
      </c>
      <c r="T273" s="3">
        <v>9.1197935013470399E-2</v>
      </c>
    </row>
    <row r="274" spans="1:20" x14ac:dyDescent="0.25">
      <c r="A274" t="s">
        <v>78</v>
      </c>
      <c r="B274" t="s">
        <v>79</v>
      </c>
      <c r="C274" t="s">
        <v>388</v>
      </c>
      <c r="D274" t="s">
        <v>389</v>
      </c>
      <c r="E274">
        <v>456.55</v>
      </c>
      <c r="F274">
        <v>456.55</v>
      </c>
      <c r="G274">
        <v>519.6</v>
      </c>
      <c r="H274">
        <v>443.3</v>
      </c>
      <c r="I274" s="1">
        <v>511.5</v>
      </c>
      <c r="J274">
        <v>210866164.80000001</v>
      </c>
      <c r="K274">
        <v>425316</v>
      </c>
      <c r="L274" t="s">
        <v>78</v>
      </c>
      <c r="M274" t="s">
        <v>17</v>
      </c>
      <c r="N274">
        <v>14230</v>
      </c>
      <c r="O274">
        <v>519.6</v>
      </c>
      <c r="P274">
        <v>267.7</v>
      </c>
      <c r="Q274" s="1">
        <v>315.95</v>
      </c>
      <c r="R274" s="1">
        <v>349.1</v>
      </c>
      <c r="S274" s="3">
        <v>4.0963750979296387E-2</v>
      </c>
      <c r="T274" s="3">
        <v>1.9272358636984954E-2</v>
      </c>
    </row>
    <row r="275" spans="1:20" x14ac:dyDescent="0.25">
      <c r="A275" t="s">
        <v>78</v>
      </c>
      <c r="B275" t="s">
        <v>79</v>
      </c>
      <c r="C275" t="s">
        <v>392</v>
      </c>
      <c r="D275" t="s">
        <v>393</v>
      </c>
      <c r="E275">
        <v>4593.25</v>
      </c>
      <c r="F275">
        <v>4578</v>
      </c>
      <c r="G275">
        <v>4578</v>
      </c>
      <c r="H275">
        <v>4307.3</v>
      </c>
      <c r="I275" s="1">
        <v>4428.6499999999996</v>
      </c>
      <c r="J275">
        <v>755133844.95000005</v>
      </c>
      <c r="K275">
        <v>170961</v>
      </c>
      <c r="L275" t="s">
        <v>78</v>
      </c>
      <c r="M275" t="s">
        <v>17</v>
      </c>
      <c r="N275">
        <v>26393</v>
      </c>
      <c r="O275">
        <v>4888</v>
      </c>
      <c r="P275">
        <v>2171</v>
      </c>
      <c r="Q275" s="1">
        <v>3000.65</v>
      </c>
      <c r="R275" s="1">
        <v>820.05</v>
      </c>
      <c r="S275" s="3">
        <v>3.2970696245130382E-2</v>
      </c>
      <c r="T275" s="3">
        <v>8.7931360155287575E-2</v>
      </c>
    </row>
    <row r="276" spans="1:20" x14ac:dyDescent="0.25">
      <c r="A276" t="s">
        <v>78</v>
      </c>
      <c r="B276" t="s">
        <v>79</v>
      </c>
      <c r="C276" t="s">
        <v>394</v>
      </c>
      <c r="D276" t="s">
        <v>395</v>
      </c>
      <c r="E276">
        <v>26.25</v>
      </c>
      <c r="F276">
        <v>26.25</v>
      </c>
      <c r="G276">
        <v>26.4</v>
      </c>
      <c r="H276">
        <v>25.55</v>
      </c>
      <c r="I276" s="1">
        <v>25.87</v>
      </c>
      <c r="J276">
        <v>630734.71</v>
      </c>
      <c r="K276">
        <v>24235</v>
      </c>
      <c r="L276" t="s">
        <v>78</v>
      </c>
      <c r="M276" t="s">
        <v>17</v>
      </c>
      <c r="N276">
        <v>506</v>
      </c>
      <c r="O276">
        <v>31.75</v>
      </c>
      <c r="P276">
        <v>23.2</v>
      </c>
      <c r="Q276" s="1">
        <v>19.649999999999999</v>
      </c>
      <c r="R276" s="1" t="str">
        <v/>
      </c>
      <c r="S276" s="3">
        <v>2.3181838573727021E-2</v>
      </c>
      <c r="T276" s="3">
        <v>0</v>
      </c>
    </row>
    <row r="277" spans="1:20" x14ac:dyDescent="0.25">
      <c r="A277" t="s">
        <v>78</v>
      </c>
      <c r="B277" t="s">
        <v>79</v>
      </c>
      <c r="C277" t="s">
        <v>396</v>
      </c>
      <c r="D277" t="s">
        <v>397</v>
      </c>
      <c r="E277">
        <v>1665.2</v>
      </c>
      <c r="F277">
        <v>1665.2</v>
      </c>
      <c r="G277">
        <v>1686</v>
      </c>
      <c r="H277">
        <v>1632.1</v>
      </c>
      <c r="I277" s="1">
        <v>1655.7</v>
      </c>
      <c r="J277">
        <v>26267671.850000001</v>
      </c>
      <c r="K277">
        <v>15867</v>
      </c>
      <c r="L277" t="s">
        <v>78</v>
      </c>
      <c r="M277" t="s">
        <v>17</v>
      </c>
      <c r="N277">
        <v>2703</v>
      </c>
      <c r="O277">
        <v>1885</v>
      </c>
      <c r="P277">
        <v>1385.65</v>
      </c>
      <c r="Q277" s="1">
        <v>1385</v>
      </c>
      <c r="R277" s="1">
        <v>977</v>
      </c>
      <c r="S277" s="3">
        <v>1.4988191437493414E-2</v>
      </c>
      <c r="T277" s="3">
        <v>2.6710683994078499E-2</v>
      </c>
    </row>
    <row r="278" spans="1:20" x14ac:dyDescent="0.25">
      <c r="A278" t="s">
        <v>78</v>
      </c>
      <c r="B278" t="s">
        <v>79</v>
      </c>
      <c r="C278" t="s">
        <v>398</v>
      </c>
      <c r="D278" t="s">
        <v>399</v>
      </c>
      <c r="E278">
        <v>71.66</v>
      </c>
      <c r="F278">
        <v>71.66</v>
      </c>
      <c r="G278">
        <v>73.989999999999995</v>
      </c>
      <c r="H278">
        <v>70.92</v>
      </c>
      <c r="I278" s="1">
        <v>71.94</v>
      </c>
      <c r="J278">
        <v>5305626.72</v>
      </c>
      <c r="K278">
        <v>73278</v>
      </c>
      <c r="L278" t="s">
        <v>78</v>
      </c>
      <c r="M278" t="s">
        <v>17</v>
      </c>
      <c r="N278">
        <v>983</v>
      </c>
      <c r="O278">
        <v>98</v>
      </c>
      <c r="P278">
        <v>51.2</v>
      </c>
      <c r="Q278" s="1">
        <v>30.5</v>
      </c>
      <c r="R278" s="1">
        <v>15.4</v>
      </c>
      <c r="S278" s="3">
        <v>7.4127616825817588E-2</v>
      </c>
      <c r="T278" s="3">
        <v>8.0075598885789745E-2</v>
      </c>
    </row>
    <row r="279" spans="1:20" x14ac:dyDescent="0.25">
      <c r="A279" t="s">
        <v>78</v>
      </c>
      <c r="B279" t="s">
        <v>287</v>
      </c>
      <c r="C279" t="s">
        <v>6349</v>
      </c>
      <c r="D279" t="s">
        <v>6348</v>
      </c>
      <c r="E279">
        <v>108.85</v>
      </c>
      <c r="F279">
        <v>112</v>
      </c>
      <c r="G279">
        <v>113.65</v>
      </c>
      <c r="H279">
        <v>103.4</v>
      </c>
      <c r="I279" s="1">
        <v>105.7</v>
      </c>
      <c r="J279">
        <v>4652300</v>
      </c>
      <c r="K279">
        <v>44000</v>
      </c>
      <c r="L279" t="s">
        <v>78</v>
      </c>
      <c r="M279" t="s">
        <v>17</v>
      </c>
      <c r="N279">
        <v>22</v>
      </c>
      <c r="O279">
        <v>139.69999999999999</v>
      </c>
      <c r="P279">
        <v>37</v>
      </c>
      <c r="Q279" s="1" t="str">
        <v/>
      </c>
      <c r="R279" s="1" t="str">
        <v/>
      </c>
      <c r="S279" s="3">
        <v>0</v>
      </c>
      <c r="T279" s="3">
        <v>0</v>
      </c>
    </row>
    <row r="280" spans="1:20" x14ac:dyDescent="0.25">
      <c r="A280" t="s">
        <v>78</v>
      </c>
      <c r="B280" t="s">
        <v>287</v>
      </c>
      <c r="C280" t="s">
        <v>6347</v>
      </c>
      <c r="D280" t="s">
        <v>6346</v>
      </c>
      <c r="E280">
        <v>83</v>
      </c>
      <c r="F280">
        <v>81</v>
      </c>
      <c r="G280">
        <v>81</v>
      </c>
      <c r="H280">
        <v>81</v>
      </c>
      <c r="I280" s="1">
        <v>81</v>
      </c>
      <c r="J280">
        <v>129600</v>
      </c>
      <c r="K280">
        <v>1600</v>
      </c>
      <c r="L280" t="s">
        <v>78</v>
      </c>
      <c r="M280" t="s">
        <v>17</v>
      </c>
      <c r="N280">
        <v>1</v>
      </c>
      <c r="O280">
        <v>97</v>
      </c>
      <c r="P280">
        <v>60.5</v>
      </c>
      <c r="Q280" s="1" t="str">
        <v/>
      </c>
      <c r="R280" s="1" t="str">
        <v/>
      </c>
      <c r="S280" s="3">
        <v>0</v>
      </c>
      <c r="T280" s="3">
        <v>0</v>
      </c>
    </row>
    <row r="281" spans="1:20" x14ac:dyDescent="0.25">
      <c r="A281" t="s">
        <v>78</v>
      </c>
      <c r="B281" t="s">
        <v>79</v>
      </c>
      <c r="C281" t="s">
        <v>6345</v>
      </c>
      <c r="D281" t="s">
        <v>6344</v>
      </c>
      <c r="E281">
        <v>1347.65</v>
      </c>
      <c r="F281">
        <v>1358.35</v>
      </c>
      <c r="G281">
        <v>1358.35</v>
      </c>
      <c r="H281">
        <v>1313</v>
      </c>
      <c r="I281" s="1">
        <v>1318.05</v>
      </c>
      <c r="J281">
        <v>127236765.90000001</v>
      </c>
      <c r="K281">
        <v>95610</v>
      </c>
      <c r="L281" t="s">
        <v>78</v>
      </c>
      <c r="M281" t="s">
        <v>17</v>
      </c>
      <c r="N281">
        <v>8200</v>
      </c>
      <c r="O281">
        <v>1469</v>
      </c>
      <c r="P281">
        <v>1004.45</v>
      </c>
      <c r="Q281" s="1" t="str">
        <v/>
      </c>
      <c r="R281" s="1" t="str">
        <v/>
      </c>
      <c r="S281" s="3">
        <v>0</v>
      </c>
      <c r="T281" s="3">
        <v>0</v>
      </c>
    </row>
    <row r="282" spans="1:20" x14ac:dyDescent="0.25">
      <c r="A282" t="s">
        <v>78</v>
      </c>
      <c r="B282" t="s">
        <v>79</v>
      </c>
      <c r="C282" t="s">
        <v>6343</v>
      </c>
      <c r="D282" t="s">
        <v>6342</v>
      </c>
      <c r="E282">
        <v>274.85000000000002</v>
      </c>
      <c r="F282">
        <v>274.85000000000002</v>
      </c>
      <c r="G282">
        <v>279.8</v>
      </c>
      <c r="H282">
        <v>263.7</v>
      </c>
      <c r="I282" s="1">
        <v>265.8</v>
      </c>
      <c r="J282">
        <v>8672672.3499999996</v>
      </c>
      <c r="K282">
        <v>32258</v>
      </c>
      <c r="L282" t="s">
        <v>78</v>
      </c>
      <c r="M282" t="s">
        <v>17</v>
      </c>
      <c r="N282">
        <v>1440</v>
      </c>
      <c r="O282">
        <v>346</v>
      </c>
      <c r="P282">
        <v>149</v>
      </c>
      <c r="Q282" s="1" t="str">
        <v/>
      </c>
      <c r="R282" s="1" t="str">
        <v/>
      </c>
      <c r="S282" s="3">
        <v>0</v>
      </c>
      <c r="T282" s="3">
        <v>0</v>
      </c>
    </row>
    <row r="283" spans="1:20" x14ac:dyDescent="0.25">
      <c r="A283" t="s">
        <v>78</v>
      </c>
      <c r="B283" t="s">
        <v>79</v>
      </c>
      <c r="C283" t="s">
        <v>402</v>
      </c>
      <c r="D283" t="s">
        <v>403</v>
      </c>
      <c r="E283">
        <v>742.95</v>
      </c>
      <c r="F283">
        <v>740</v>
      </c>
      <c r="G283">
        <v>745</v>
      </c>
      <c r="H283">
        <v>724.95</v>
      </c>
      <c r="I283" s="1">
        <v>737.7</v>
      </c>
      <c r="J283">
        <v>22890842.399999999</v>
      </c>
      <c r="K283">
        <v>31184</v>
      </c>
      <c r="L283" t="s">
        <v>78</v>
      </c>
      <c r="M283" t="s">
        <v>17</v>
      </c>
      <c r="N283">
        <v>3614</v>
      </c>
      <c r="O283">
        <v>825.15</v>
      </c>
      <c r="P283">
        <v>563.9</v>
      </c>
      <c r="Q283" s="1">
        <v>690</v>
      </c>
      <c r="R283" s="1">
        <v>295</v>
      </c>
      <c r="S283" s="3">
        <v>5.5860139419667831E-3</v>
      </c>
      <c r="T283" s="3">
        <v>4.6868153997846607E-2</v>
      </c>
    </row>
    <row r="284" spans="1:20" x14ac:dyDescent="0.25">
      <c r="A284" t="s">
        <v>78</v>
      </c>
      <c r="B284" t="s">
        <v>79</v>
      </c>
      <c r="C284" t="s">
        <v>6341</v>
      </c>
      <c r="D284" t="s">
        <v>6340</v>
      </c>
      <c r="E284">
        <v>3906.05</v>
      </c>
      <c r="F284">
        <v>3906.4</v>
      </c>
      <c r="G284">
        <v>4036.9</v>
      </c>
      <c r="H284">
        <v>3825</v>
      </c>
      <c r="I284" s="1">
        <v>3864.65</v>
      </c>
      <c r="J284">
        <v>162968452.5</v>
      </c>
      <c r="K284">
        <v>42259</v>
      </c>
      <c r="L284" t="s">
        <v>78</v>
      </c>
      <c r="M284" t="s">
        <v>17</v>
      </c>
      <c r="N284">
        <v>7040</v>
      </c>
      <c r="O284">
        <v>4299.95</v>
      </c>
      <c r="P284">
        <v>1001.6</v>
      </c>
      <c r="Q284" s="1" t="str">
        <v/>
      </c>
      <c r="R284" s="1" t="str">
        <v/>
      </c>
      <c r="S284" s="3">
        <v>0</v>
      </c>
      <c r="T284" s="3">
        <v>0</v>
      </c>
    </row>
    <row r="285" spans="1:20" x14ac:dyDescent="0.25">
      <c r="A285" t="s">
        <v>78</v>
      </c>
      <c r="B285" t="s">
        <v>79</v>
      </c>
      <c r="C285" t="s">
        <v>2998</v>
      </c>
      <c r="D285" t="s">
        <v>2999</v>
      </c>
      <c r="E285">
        <v>482.95</v>
      </c>
      <c r="F285">
        <v>482.95</v>
      </c>
      <c r="G285">
        <v>486.25</v>
      </c>
      <c r="H285">
        <v>473.7</v>
      </c>
      <c r="I285" s="1">
        <v>479.05</v>
      </c>
      <c r="J285">
        <v>484833244.89999998</v>
      </c>
      <c r="K285">
        <v>1011349</v>
      </c>
      <c r="L285" t="s">
        <v>78</v>
      </c>
      <c r="M285" t="s">
        <v>17</v>
      </c>
      <c r="N285">
        <v>37044</v>
      </c>
      <c r="O285">
        <v>552</v>
      </c>
      <c r="P285">
        <v>181.3</v>
      </c>
      <c r="Q285" s="1">
        <v>67.650000000000006</v>
      </c>
      <c r="R285" s="1">
        <v>29.2</v>
      </c>
      <c r="S285" s="3">
        <v>0.17717967120230793</v>
      </c>
      <c r="T285" s="3">
        <v>0.15004975625494388</v>
      </c>
    </row>
    <row r="286" spans="1:20" x14ac:dyDescent="0.25">
      <c r="A286" t="s">
        <v>78</v>
      </c>
      <c r="B286" t="s">
        <v>79</v>
      </c>
      <c r="C286" t="s">
        <v>404</v>
      </c>
      <c r="D286" t="s">
        <v>405</v>
      </c>
      <c r="E286">
        <v>572.1</v>
      </c>
      <c r="F286">
        <v>572.1</v>
      </c>
      <c r="G286">
        <v>573.85</v>
      </c>
      <c r="H286">
        <v>560.45000000000005</v>
      </c>
      <c r="I286" s="1">
        <v>569.4</v>
      </c>
      <c r="J286">
        <v>79452841.150000006</v>
      </c>
      <c r="K286">
        <v>140235</v>
      </c>
      <c r="L286" t="s">
        <v>78</v>
      </c>
      <c r="M286" t="s">
        <v>17</v>
      </c>
      <c r="N286">
        <v>7144</v>
      </c>
      <c r="O286">
        <v>674.9</v>
      </c>
      <c r="P286">
        <v>407.05</v>
      </c>
      <c r="Q286" s="1">
        <v>250.35</v>
      </c>
      <c r="R286" s="1" t="str">
        <v/>
      </c>
      <c r="S286" s="3">
        <v>7.0875926346820606E-2</v>
      </c>
      <c r="T286" s="3">
        <v>0</v>
      </c>
    </row>
    <row r="287" spans="1:20" x14ac:dyDescent="0.25">
      <c r="A287" t="s">
        <v>78</v>
      </c>
      <c r="B287" t="s">
        <v>79</v>
      </c>
      <c r="C287" t="s">
        <v>406</v>
      </c>
      <c r="D287" t="s">
        <v>407</v>
      </c>
      <c r="E287">
        <v>120.28</v>
      </c>
      <c r="F287">
        <v>120.24</v>
      </c>
      <c r="G287">
        <v>121.45</v>
      </c>
      <c r="H287">
        <v>116.03</v>
      </c>
      <c r="I287" s="1">
        <v>116.54</v>
      </c>
      <c r="J287">
        <v>65220991.359999999</v>
      </c>
      <c r="K287">
        <v>555122</v>
      </c>
      <c r="L287" t="s">
        <v>78</v>
      </c>
      <c r="M287" t="s">
        <v>17</v>
      </c>
      <c r="N287">
        <v>8902</v>
      </c>
      <c r="O287">
        <v>128.99</v>
      </c>
      <c r="P287">
        <v>92</v>
      </c>
      <c r="Q287" s="1">
        <v>545.04999999999995</v>
      </c>
      <c r="R287" s="1">
        <v>289.64999999999998</v>
      </c>
      <c r="S287" s="3">
        <v>-0.12063355616702964</v>
      </c>
      <c r="T287" s="3">
        <v>-4.4477537481527163E-2</v>
      </c>
    </row>
    <row r="288" spans="1:20" x14ac:dyDescent="0.25">
      <c r="A288" t="s">
        <v>78</v>
      </c>
      <c r="B288" t="s">
        <v>79</v>
      </c>
      <c r="C288" t="s">
        <v>6339</v>
      </c>
      <c r="D288" t="s">
        <v>6338</v>
      </c>
      <c r="E288">
        <v>2218.8000000000002</v>
      </c>
      <c r="F288">
        <v>2226.1</v>
      </c>
      <c r="G288">
        <v>2232.65</v>
      </c>
      <c r="H288">
        <v>2155</v>
      </c>
      <c r="I288" s="1">
        <v>2158.8000000000002</v>
      </c>
      <c r="J288">
        <v>1482542220.4000001</v>
      </c>
      <c r="K288">
        <v>682604</v>
      </c>
      <c r="L288" t="s">
        <v>78</v>
      </c>
      <c r="M288" t="s">
        <v>17</v>
      </c>
      <c r="N288">
        <v>81205</v>
      </c>
      <c r="O288">
        <v>3896</v>
      </c>
      <c r="P288">
        <v>1452</v>
      </c>
      <c r="Q288" s="1" t="str">
        <v/>
      </c>
      <c r="R288" s="1" t="str">
        <v/>
      </c>
      <c r="S288" s="3">
        <v>0</v>
      </c>
      <c r="T288" s="3">
        <v>0</v>
      </c>
    </row>
    <row r="289" spans="1:20" x14ac:dyDescent="0.25">
      <c r="A289" t="s">
        <v>78</v>
      </c>
      <c r="B289" t="s">
        <v>79</v>
      </c>
      <c r="C289" t="s">
        <v>410</v>
      </c>
      <c r="D289" t="s">
        <v>411</v>
      </c>
      <c r="E289">
        <v>67.98</v>
      </c>
      <c r="F289">
        <v>68</v>
      </c>
      <c r="G289">
        <v>74.45</v>
      </c>
      <c r="H289">
        <v>64.92</v>
      </c>
      <c r="I289" s="1">
        <v>72.56</v>
      </c>
      <c r="J289">
        <v>18456531.690000001</v>
      </c>
      <c r="K289">
        <v>258484</v>
      </c>
      <c r="L289" t="s">
        <v>78</v>
      </c>
      <c r="M289" t="s">
        <v>17</v>
      </c>
      <c r="N289">
        <v>2067</v>
      </c>
      <c r="O289">
        <v>74.45</v>
      </c>
      <c r="P289">
        <v>41.6</v>
      </c>
      <c r="Q289" s="1">
        <v>24.35</v>
      </c>
      <c r="R289" s="1">
        <v>8.65</v>
      </c>
      <c r="S289" s="3">
        <v>9.5258231175652464E-2</v>
      </c>
      <c r="T289" s="3">
        <v>0.11213821944774116</v>
      </c>
    </row>
    <row r="290" spans="1:20" x14ac:dyDescent="0.25">
      <c r="A290" t="s">
        <v>78</v>
      </c>
      <c r="B290" t="s">
        <v>287</v>
      </c>
      <c r="C290" t="s">
        <v>6337</v>
      </c>
      <c r="D290" t="s">
        <v>6336</v>
      </c>
      <c r="E290">
        <v>299.64999999999998</v>
      </c>
      <c r="F290">
        <v>300.5</v>
      </c>
      <c r="G290">
        <v>300.75</v>
      </c>
      <c r="H290">
        <v>296</v>
      </c>
      <c r="I290" s="1">
        <v>298.39999999999998</v>
      </c>
      <c r="J290">
        <v>12423525</v>
      </c>
      <c r="K290">
        <v>41500</v>
      </c>
      <c r="L290" t="s">
        <v>78</v>
      </c>
      <c r="M290" t="s">
        <v>17</v>
      </c>
      <c r="N290">
        <v>69</v>
      </c>
      <c r="O290">
        <v>427</v>
      </c>
      <c r="P290">
        <v>251.65</v>
      </c>
      <c r="Q290" s="1" t="str">
        <v/>
      </c>
      <c r="R290" s="1" t="str">
        <v/>
      </c>
      <c r="S290" s="3">
        <v>0</v>
      </c>
      <c r="T290" s="3">
        <v>0</v>
      </c>
    </row>
    <row r="291" spans="1:20" x14ac:dyDescent="0.25">
      <c r="A291" t="s">
        <v>78</v>
      </c>
      <c r="B291" t="s">
        <v>79</v>
      </c>
      <c r="C291" t="s">
        <v>3006</v>
      </c>
      <c r="D291" t="s">
        <v>3007</v>
      </c>
      <c r="E291">
        <v>1.41</v>
      </c>
      <c r="F291">
        <v>1.41</v>
      </c>
      <c r="G291">
        <v>1.43</v>
      </c>
      <c r="H291">
        <v>1.39</v>
      </c>
      <c r="I291" s="1">
        <v>1.42</v>
      </c>
      <c r="J291">
        <v>2119516.2400000002</v>
      </c>
      <c r="K291">
        <v>1495673</v>
      </c>
      <c r="L291" t="s">
        <v>78</v>
      </c>
      <c r="M291" t="s">
        <v>17</v>
      </c>
      <c r="N291">
        <v>1824</v>
      </c>
      <c r="O291">
        <v>1.95</v>
      </c>
      <c r="P291">
        <v>0.65</v>
      </c>
      <c r="Q291" s="1">
        <v>0.75</v>
      </c>
      <c r="R291" s="1">
        <v>0.85</v>
      </c>
      <c r="S291" s="3">
        <v>5.4635186146608783E-2</v>
      </c>
      <c r="T291" s="3">
        <v>2.597639344352265E-2</v>
      </c>
    </row>
    <row r="292" spans="1:20" x14ac:dyDescent="0.25">
      <c r="A292" t="s">
        <v>78</v>
      </c>
      <c r="B292" t="s">
        <v>79</v>
      </c>
      <c r="C292" t="s">
        <v>416</v>
      </c>
      <c r="D292" t="s">
        <v>417</v>
      </c>
      <c r="E292">
        <v>1831.65</v>
      </c>
      <c r="F292">
        <v>1815.05</v>
      </c>
      <c r="G292">
        <v>1871.6</v>
      </c>
      <c r="H292">
        <v>1801.3</v>
      </c>
      <c r="I292" s="1">
        <v>1813.8</v>
      </c>
      <c r="J292">
        <v>64239177</v>
      </c>
      <c r="K292">
        <v>35184</v>
      </c>
      <c r="L292" t="s">
        <v>78</v>
      </c>
      <c r="M292" t="s">
        <v>17</v>
      </c>
      <c r="N292">
        <v>8187</v>
      </c>
      <c r="O292">
        <v>3649.95</v>
      </c>
      <c r="P292">
        <v>1550</v>
      </c>
      <c r="Q292" s="1">
        <v>970</v>
      </c>
      <c r="R292" s="1">
        <v>465.15</v>
      </c>
      <c r="S292" s="3">
        <v>5.3541073988894183E-2</v>
      </c>
      <c r="T292" s="3">
        <v>7.0369279041948785E-2</v>
      </c>
    </row>
    <row r="293" spans="1:20" x14ac:dyDescent="0.25">
      <c r="A293" t="s">
        <v>78</v>
      </c>
      <c r="B293" t="s">
        <v>79</v>
      </c>
      <c r="C293" t="s">
        <v>418</v>
      </c>
      <c r="D293" t="s">
        <v>419</v>
      </c>
      <c r="E293">
        <v>776.2</v>
      </c>
      <c r="F293">
        <v>780</v>
      </c>
      <c r="G293">
        <v>795.6</v>
      </c>
      <c r="H293">
        <v>770.1</v>
      </c>
      <c r="I293" s="1">
        <v>782</v>
      </c>
      <c r="J293">
        <v>428041177.44999999</v>
      </c>
      <c r="K293">
        <v>546613</v>
      </c>
      <c r="L293" t="s">
        <v>78</v>
      </c>
      <c r="M293" t="s">
        <v>17</v>
      </c>
      <c r="N293">
        <v>21191</v>
      </c>
      <c r="O293">
        <v>1106.3</v>
      </c>
      <c r="P293">
        <v>720.4</v>
      </c>
      <c r="Q293" s="1">
        <v>791.55</v>
      </c>
      <c r="R293" s="1" t="str">
        <v/>
      </c>
      <c r="S293" s="3">
        <v>-1.0110142449071269E-3</v>
      </c>
      <c r="T293" s="3">
        <v>0</v>
      </c>
    </row>
    <row r="294" spans="1:20" x14ac:dyDescent="0.25">
      <c r="A294" t="s">
        <v>78</v>
      </c>
      <c r="B294" t="s">
        <v>79</v>
      </c>
      <c r="C294" t="s">
        <v>420</v>
      </c>
      <c r="D294" t="s">
        <v>421</v>
      </c>
      <c r="E294">
        <v>9028.2999999999993</v>
      </c>
      <c r="F294">
        <v>9020.25</v>
      </c>
      <c r="G294">
        <v>9077.6</v>
      </c>
      <c r="H294">
        <v>8506.1</v>
      </c>
      <c r="I294" s="1">
        <v>8596.75</v>
      </c>
      <c r="J294">
        <v>1308350763.6500001</v>
      </c>
      <c r="K294">
        <v>150932</v>
      </c>
      <c r="L294" t="s">
        <v>78</v>
      </c>
      <c r="M294" t="s">
        <v>17</v>
      </c>
      <c r="N294">
        <v>38543</v>
      </c>
      <c r="O294">
        <v>9099</v>
      </c>
      <c r="P294">
        <v>3303.25</v>
      </c>
      <c r="Q294" s="1">
        <v>559.9</v>
      </c>
      <c r="R294" s="1">
        <v>520.1</v>
      </c>
      <c r="S294" s="3">
        <v>0.25560196246846889</v>
      </c>
      <c r="T294" s="3">
        <v>0.15047984248319635</v>
      </c>
    </row>
    <row r="295" spans="1:20" x14ac:dyDescent="0.25">
      <c r="A295" t="s">
        <v>78</v>
      </c>
      <c r="B295" t="s">
        <v>79</v>
      </c>
      <c r="C295" t="s">
        <v>422</v>
      </c>
      <c r="D295" t="s">
        <v>423</v>
      </c>
      <c r="E295">
        <v>195.55</v>
      </c>
      <c r="F295">
        <v>197</v>
      </c>
      <c r="G295">
        <v>197</v>
      </c>
      <c r="H295">
        <v>190</v>
      </c>
      <c r="I295" s="1">
        <v>193.89</v>
      </c>
      <c r="J295">
        <v>3554084.53</v>
      </c>
      <c r="K295">
        <v>18425</v>
      </c>
      <c r="L295" t="s">
        <v>78</v>
      </c>
      <c r="M295" t="s">
        <v>17</v>
      </c>
      <c r="N295">
        <v>1153</v>
      </c>
      <c r="O295">
        <v>231.95</v>
      </c>
      <c r="P295">
        <v>154.30000000000001</v>
      </c>
      <c r="Q295" s="1">
        <v>437</v>
      </c>
      <c r="R295" s="1">
        <v>150.19999999999999</v>
      </c>
      <c r="S295" s="3">
        <v>-6.5478068749820206E-2</v>
      </c>
      <c r="T295" s="3">
        <v>1.2840916626032373E-2</v>
      </c>
    </row>
    <row r="296" spans="1:20" x14ac:dyDescent="0.25">
      <c r="A296" t="s">
        <v>78</v>
      </c>
      <c r="B296" t="s">
        <v>79</v>
      </c>
      <c r="C296" t="s">
        <v>424</v>
      </c>
      <c r="D296" t="s">
        <v>425</v>
      </c>
      <c r="E296">
        <v>450.2</v>
      </c>
      <c r="F296">
        <v>452.4</v>
      </c>
      <c r="G296">
        <v>453.65</v>
      </c>
      <c r="H296">
        <v>437.55</v>
      </c>
      <c r="I296" s="1">
        <v>442.6</v>
      </c>
      <c r="J296">
        <v>13722518.75</v>
      </c>
      <c r="K296">
        <v>30936</v>
      </c>
      <c r="L296" t="s">
        <v>78</v>
      </c>
      <c r="M296" t="s">
        <v>17</v>
      </c>
      <c r="N296">
        <v>2634</v>
      </c>
      <c r="O296">
        <v>573.35</v>
      </c>
      <c r="P296">
        <v>383</v>
      </c>
      <c r="Q296" s="1">
        <v>315.5</v>
      </c>
      <c r="R296" s="1">
        <v>188</v>
      </c>
      <c r="S296" s="3">
        <v>2.861061977822299E-2</v>
      </c>
      <c r="T296" s="3">
        <v>4.3716371645989627E-2</v>
      </c>
    </row>
    <row r="297" spans="1:20" x14ac:dyDescent="0.25">
      <c r="A297" t="s">
        <v>78</v>
      </c>
      <c r="B297" t="s">
        <v>79</v>
      </c>
      <c r="C297" t="s">
        <v>426</v>
      </c>
      <c r="D297" t="s">
        <v>427</v>
      </c>
      <c r="E297">
        <v>225.42</v>
      </c>
      <c r="F297">
        <v>226.2</v>
      </c>
      <c r="G297">
        <v>243.98</v>
      </c>
      <c r="H297">
        <v>226.2</v>
      </c>
      <c r="I297" s="1">
        <v>231.03</v>
      </c>
      <c r="J297">
        <v>180979465.75</v>
      </c>
      <c r="K297">
        <v>765388</v>
      </c>
      <c r="L297" t="s">
        <v>78</v>
      </c>
      <c r="M297" t="s">
        <v>17</v>
      </c>
      <c r="N297">
        <v>28465</v>
      </c>
      <c r="O297">
        <v>285.8</v>
      </c>
      <c r="P297">
        <v>188.3</v>
      </c>
      <c r="Q297" s="1">
        <v>373.25</v>
      </c>
      <c r="R297" s="1">
        <v>222.5</v>
      </c>
      <c r="S297" s="3">
        <v>-3.9186610006031408E-2</v>
      </c>
      <c r="T297" s="3">
        <v>1.8817616928215042E-3</v>
      </c>
    </row>
    <row r="298" spans="1:20" x14ac:dyDescent="0.25">
      <c r="A298" t="s">
        <v>78</v>
      </c>
      <c r="B298" t="s">
        <v>79</v>
      </c>
      <c r="C298" t="s">
        <v>428</v>
      </c>
      <c r="D298" t="s">
        <v>429</v>
      </c>
      <c r="E298">
        <v>1552.95</v>
      </c>
      <c r="F298">
        <v>1530.9</v>
      </c>
      <c r="G298">
        <v>1554.2</v>
      </c>
      <c r="H298">
        <v>1515</v>
      </c>
      <c r="I298" s="1">
        <v>1525.85</v>
      </c>
      <c r="J298">
        <v>624644137.10000002</v>
      </c>
      <c r="K298">
        <v>407741</v>
      </c>
      <c r="L298" t="s">
        <v>78</v>
      </c>
      <c r="M298" t="s">
        <v>17</v>
      </c>
      <c r="N298">
        <v>32686</v>
      </c>
      <c r="O298">
        <v>1800</v>
      </c>
      <c r="P298">
        <v>1305</v>
      </c>
      <c r="Q298" s="1">
        <v>1516</v>
      </c>
      <c r="R298" s="1">
        <v>1424</v>
      </c>
      <c r="S298" s="3">
        <v>5.3984104604731797E-4</v>
      </c>
      <c r="T298" s="3">
        <v>3.4581650290748112E-3</v>
      </c>
    </row>
    <row r="299" spans="1:20" x14ac:dyDescent="0.25">
      <c r="A299" t="s">
        <v>78</v>
      </c>
      <c r="B299" t="s">
        <v>79</v>
      </c>
      <c r="C299" t="s">
        <v>430</v>
      </c>
      <c r="D299" t="s">
        <v>431</v>
      </c>
      <c r="E299">
        <v>1083.45</v>
      </c>
      <c r="F299">
        <v>1069</v>
      </c>
      <c r="G299">
        <v>1087.5</v>
      </c>
      <c r="H299">
        <v>1046.3</v>
      </c>
      <c r="I299" s="1">
        <v>1076.95</v>
      </c>
      <c r="J299">
        <v>720643895.75</v>
      </c>
      <c r="K299">
        <v>672098</v>
      </c>
      <c r="L299" t="s">
        <v>78</v>
      </c>
      <c r="M299" t="s">
        <v>17</v>
      </c>
      <c r="N299">
        <v>33239</v>
      </c>
      <c r="O299">
        <v>1119</v>
      </c>
      <c r="P299">
        <v>652.20000000000005</v>
      </c>
      <c r="Q299" s="1">
        <v>952.3</v>
      </c>
      <c r="R299" s="1">
        <v>506.95</v>
      </c>
      <c r="S299" s="3">
        <v>1.0303396483165805E-2</v>
      </c>
      <c r="T299" s="3">
        <v>3.8371023576214247E-2</v>
      </c>
    </row>
    <row r="300" spans="1:20" x14ac:dyDescent="0.25">
      <c r="A300" t="s">
        <v>78</v>
      </c>
      <c r="B300" t="s">
        <v>79</v>
      </c>
      <c r="C300" t="s">
        <v>432</v>
      </c>
      <c r="D300" t="s">
        <v>433</v>
      </c>
      <c r="E300">
        <v>115.24</v>
      </c>
      <c r="F300">
        <v>114</v>
      </c>
      <c r="G300">
        <v>121</v>
      </c>
      <c r="H300">
        <v>111.9</v>
      </c>
      <c r="I300" s="1">
        <v>121</v>
      </c>
      <c r="J300">
        <v>1679667826.9000001</v>
      </c>
      <c r="K300">
        <v>14127739</v>
      </c>
      <c r="L300" t="s">
        <v>78</v>
      </c>
      <c r="M300" t="s">
        <v>17</v>
      </c>
      <c r="N300">
        <v>55957</v>
      </c>
      <c r="O300">
        <v>161.69999999999999</v>
      </c>
      <c r="P300">
        <v>52.6</v>
      </c>
      <c r="Q300" s="1">
        <v>118.3</v>
      </c>
      <c r="R300" s="1">
        <v>98.6</v>
      </c>
      <c r="S300" s="3">
        <v>1.8823339215132684E-3</v>
      </c>
      <c r="T300" s="3">
        <v>1.0282867550561736E-2</v>
      </c>
    </row>
    <row r="301" spans="1:20" x14ac:dyDescent="0.25">
      <c r="A301" t="s">
        <v>78</v>
      </c>
      <c r="B301" t="s">
        <v>79</v>
      </c>
      <c r="C301" t="s">
        <v>436</v>
      </c>
      <c r="D301" t="s">
        <v>437</v>
      </c>
      <c r="E301">
        <v>630.35</v>
      </c>
      <c r="F301">
        <v>632.79999999999995</v>
      </c>
      <c r="G301">
        <v>633.35</v>
      </c>
      <c r="H301">
        <v>618.5</v>
      </c>
      <c r="I301" s="1">
        <v>621.85</v>
      </c>
      <c r="J301">
        <v>18151234.649999999</v>
      </c>
      <c r="K301">
        <v>29145</v>
      </c>
      <c r="L301" t="s">
        <v>78</v>
      </c>
      <c r="M301" t="s">
        <v>17</v>
      </c>
      <c r="N301">
        <v>3736</v>
      </c>
      <c r="O301">
        <v>798.65</v>
      </c>
      <c r="P301">
        <v>588.29999999999995</v>
      </c>
      <c r="Q301" s="1">
        <v>986.2</v>
      </c>
      <c r="R301" s="1" t="str">
        <v/>
      </c>
      <c r="S301" s="3">
        <v>-3.7700958149836206E-2</v>
      </c>
      <c r="T301" s="3">
        <v>0</v>
      </c>
    </row>
    <row r="302" spans="1:20" x14ac:dyDescent="0.25">
      <c r="A302" t="s">
        <v>78</v>
      </c>
      <c r="B302" t="s">
        <v>79</v>
      </c>
      <c r="C302" t="s">
        <v>438</v>
      </c>
      <c r="D302" t="s">
        <v>439</v>
      </c>
      <c r="E302">
        <v>550.45000000000005</v>
      </c>
      <c r="F302">
        <v>550.45000000000005</v>
      </c>
      <c r="G302">
        <v>555.15</v>
      </c>
      <c r="H302">
        <v>544.9</v>
      </c>
      <c r="I302" s="1">
        <v>549.95000000000005</v>
      </c>
      <c r="J302">
        <v>2977079632.25</v>
      </c>
      <c r="K302">
        <v>5415470</v>
      </c>
      <c r="L302" t="s">
        <v>78</v>
      </c>
      <c r="M302" t="s">
        <v>17</v>
      </c>
      <c r="N302">
        <v>106353</v>
      </c>
      <c r="O302">
        <v>557.9</v>
      </c>
      <c r="P302">
        <v>365</v>
      </c>
      <c r="Q302" s="1">
        <v>222.8</v>
      </c>
      <c r="R302" s="1">
        <v>174.25</v>
      </c>
      <c r="S302" s="3">
        <v>7.8203328815093842E-2</v>
      </c>
      <c r="T302" s="3">
        <v>5.9116790552785847E-2</v>
      </c>
    </row>
    <row r="303" spans="1:20" x14ac:dyDescent="0.25">
      <c r="A303" t="s">
        <v>78</v>
      </c>
      <c r="B303" t="s">
        <v>79</v>
      </c>
      <c r="C303" t="s">
        <v>440</v>
      </c>
      <c r="D303" t="s">
        <v>441</v>
      </c>
      <c r="E303">
        <v>1458.1</v>
      </c>
      <c r="F303">
        <v>1485</v>
      </c>
      <c r="G303">
        <v>1491</v>
      </c>
      <c r="H303">
        <v>1410.05</v>
      </c>
      <c r="I303" s="1">
        <v>1431.25</v>
      </c>
      <c r="J303">
        <v>5490849.9000000004</v>
      </c>
      <c r="K303">
        <v>3799</v>
      </c>
      <c r="L303" t="s">
        <v>78</v>
      </c>
      <c r="M303" t="s">
        <v>17</v>
      </c>
      <c r="N303">
        <v>880</v>
      </c>
      <c r="O303">
        <v>1809.3</v>
      </c>
      <c r="P303">
        <v>1410.05</v>
      </c>
      <c r="Q303" s="1">
        <v>785.25</v>
      </c>
      <c r="R303" s="1">
        <v>870</v>
      </c>
      <c r="S303" s="3">
        <v>5.1297494902968976E-2</v>
      </c>
      <c r="T303" s="3">
        <v>2.5188893152968461E-2</v>
      </c>
    </row>
    <row r="304" spans="1:20" x14ac:dyDescent="0.25">
      <c r="A304" t="s">
        <v>78</v>
      </c>
      <c r="B304" t="s">
        <v>79</v>
      </c>
      <c r="C304" t="s">
        <v>442</v>
      </c>
      <c r="D304" t="s">
        <v>443</v>
      </c>
      <c r="E304">
        <v>211.14</v>
      </c>
      <c r="F304">
        <v>211</v>
      </c>
      <c r="G304">
        <v>212.79</v>
      </c>
      <c r="H304">
        <v>207.8</v>
      </c>
      <c r="I304" s="1">
        <v>208.96</v>
      </c>
      <c r="J304">
        <v>52413836.369999997</v>
      </c>
      <c r="K304">
        <v>250223</v>
      </c>
      <c r="L304" t="s">
        <v>78</v>
      </c>
      <c r="M304" t="s">
        <v>17</v>
      </c>
      <c r="N304">
        <v>5732</v>
      </c>
      <c r="O304">
        <v>369.4</v>
      </c>
      <c r="P304">
        <v>200.6</v>
      </c>
      <c r="Q304" s="1">
        <v>242</v>
      </c>
      <c r="R304" s="1">
        <v>120.2</v>
      </c>
      <c r="S304" s="3">
        <v>-1.2158388835639355E-2</v>
      </c>
      <c r="T304" s="3">
        <v>2.8019513852690858E-2</v>
      </c>
    </row>
    <row r="305" spans="1:20" x14ac:dyDescent="0.25">
      <c r="A305" t="s">
        <v>78</v>
      </c>
      <c r="B305" t="s">
        <v>79</v>
      </c>
      <c r="C305" t="s">
        <v>6335</v>
      </c>
      <c r="D305" t="s">
        <v>6334</v>
      </c>
      <c r="E305">
        <v>324.8</v>
      </c>
      <c r="F305">
        <v>325</v>
      </c>
      <c r="G305">
        <v>328.75</v>
      </c>
      <c r="H305">
        <v>319.75</v>
      </c>
      <c r="I305" s="1">
        <v>323.2</v>
      </c>
      <c r="J305">
        <v>157683086.25</v>
      </c>
      <c r="K305">
        <v>487133</v>
      </c>
      <c r="L305" t="s">
        <v>78</v>
      </c>
      <c r="M305" t="s">
        <v>17</v>
      </c>
      <c r="N305">
        <v>27138</v>
      </c>
      <c r="O305">
        <v>392</v>
      </c>
      <c r="P305">
        <v>257</v>
      </c>
      <c r="Q305" s="1" t="str">
        <v/>
      </c>
      <c r="R305" s="1" t="str">
        <v/>
      </c>
      <c r="S305" s="3">
        <v>0</v>
      </c>
      <c r="T305" s="3">
        <v>0</v>
      </c>
    </row>
    <row r="306" spans="1:20" x14ac:dyDescent="0.25">
      <c r="A306" t="s">
        <v>78</v>
      </c>
      <c r="B306" t="s">
        <v>287</v>
      </c>
      <c r="C306" t="s">
        <v>6333</v>
      </c>
      <c r="D306" t="s">
        <v>6332</v>
      </c>
      <c r="E306">
        <v>82.2</v>
      </c>
      <c r="F306">
        <v>80.05</v>
      </c>
      <c r="G306">
        <v>81.95</v>
      </c>
      <c r="H306">
        <v>80.05</v>
      </c>
      <c r="I306" s="1">
        <v>81.95</v>
      </c>
      <c r="J306">
        <v>1131800</v>
      </c>
      <c r="K306">
        <v>14000</v>
      </c>
      <c r="L306" t="s">
        <v>78</v>
      </c>
      <c r="M306" t="s">
        <v>17</v>
      </c>
      <c r="N306">
        <v>7</v>
      </c>
      <c r="O306">
        <v>124.65</v>
      </c>
      <c r="P306">
        <v>70.150000000000006</v>
      </c>
      <c r="Q306" s="1" t="str">
        <v/>
      </c>
      <c r="R306" s="1" t="str">
        <v/>
      </c>
      <c r="S306" s="3">
        <v>0</v>
      </c>
      <c r="T306" s="3">
        <v>0</v>
      </c>
    </row>
    <row r="307" spans="1:20" x14ac:dyDescent="0.25">
      <c r="A307" t="s">
        <v>78</v>
      </c>
      <c r="B307" t="s">
        <v>79</v>
      </c>
      <c r="C307" t="s">
        <v>444</v>
      </c>
      <c r="D307" t="s">
        <v>445</v>
      </c>
      <c r="E307">
        <v>26.02</v>
      </c>
      <c r="F307">
        <v>26.47</v>
      </c>
      <c r="G307">
        <v>26.47</v>
      </c>
      <c r="H307">
        <v>25.14</v>
      </c>
      <c r="I307" s="1">
        <v>25.41</v>
      </c>
      <c r="J307">
        <v>2652549.58</v>
      </c>
      <c r="K307">
        <v>103646</v>
      </c>
      <c r="L307" t="s">
        <v>78</v>
      </c>
      <c r="M307" t="s">
        <v>17</v>
      </c>
      <c r="N307">
        <v>1044</v>
      </c>
      <c r="O307">
        <v>42.5</v>
      </c>
      <c r="P307">
        <v>22</v>
      </c>
      <c r="Q307" s="1">
        <v>25.4</v>
      </c>
      <c r="R307" s="1">
        <v>19.149999999999999</v>
      </c>
      <c r="S307" s="3">
        <v>3.2802480288030011E-5</v>
      </c>
      <c r="T307" s="3">
        <v>1.4234620213433802E-2</v>
      </c>
    </row>
    <row r="308" spans="1:20" x14ac:dyDescent="0.25">
      <c r="A308" t="s">
        <v>78</v>
      </c>
      <c r="B308" t="s">
        <v>79</v>
      </c>
      <c r="C308" t="s">
        <v>6331</v>
      </c>
      <c r="D308" t="s">
        <v>6330</v>
      </c>
      <c r="E308">
        <v>1569.75</v>
      </c>
      <c r="F308">
        <v>1570.05</v>
      </c>
      <c r="G308">
        <v>1658.5</v>
      </c>
      <c r="H308">
        <v>1560</v>
      </c>
      <c r="I308" s="1">
        <v>1566.3</v>
      </c>
      <c r="J308">
        <v>1879722799.1500001</v>
      </c>
      <c r="K308">
        <v>1178767</v>
      </c>
      <c r="L308" t="s">
        <v>78</v>
      </c>
      <c r="M308" t="s">
        <v>546</v>
      </c>
      <c r="N308">
        <v>73074</v>
      </c>
      <c r="O308">
        <v>1775.95</v>
      </c>
      <c r="P308">
        <v>599</v>
      </c>
      <c r="Q308" s="1" t="str">
        <v/>
      </c>
      <c r="R308" s="1" t="str">
        <v/>
      </c>
      <c r="S308" s="3">
        <v>0</v>
      </c>
      <c r="T308" s="3">
        <v>0</v>
      </c>
    </row>
    <row r="309" spans="1:20" x14ac:dyDescent="0.25">
      <c r="A309" t="s">
        <v>78</v>
      </c>
      <c r="B309" t="s">
        <v>79</v>
      </c>
      <c r="C309" t="s">
        <v>446</v>
      </c>
      <c r="D309" t="s">
        <v>447</v>
      </c>
      <c r="E309">
        <v>45.46</v>
      </c>
      <c r="F309">
        <v>45.5</v>
      </c>
      <c r="G309">
        <v>46.5</v>
      </c>
      <c r="H309">
        <v>44.72</v>
      </c>
      <c r="I309" s="1">
        <v>46.07</v>
      </c>
      <c r="J309">
        <v>120892.19</v>
      </c>
      <c r="K309">
        <v>2641</v>
      </c>
      <c r="L309" t="s">
        <v>78</v>
      </c>
      <c r="M309" t="s">
        <v>17</v>
      </c>
      <c r="N309">
        <v>109</v>
      </c>
      <c r="O309">
        <v>55.65</v>
      </c>
      <c r="P309">
        <v>36.6</v>
      </c>
      <c r="Q309" s="1">
        <v>15.65</v>
      </c>
      <c r="R309" s="1" t="str">
        <v/>
      </c>
      <c r="S309" s="3">
        <v>9.4146114729747543E-2</v>
      </c>
      <c r="T309" s="3">
        <v>0</v>
      </c>
    </row>
    <row r="310" spans="1:20" x14ac:dyDescent="0.25">
      <c r="A310" t="s">
        <v>78</v>
      </c>
      <c r="B310" t="s">
        <v>287</v>
      </c>
      <c r="C310" t="s">
        <v>6329</v>
      </c>
      <c r="D310" t="s">
        <v>6328</v>
      </c>
      <c r="E310">
        <v>149.4</v>
      </c>
      <c r="F310">
        <v>152.94999999999999</v>
      </c>
      <c r="G310">
        <v>152.94999999999999</v>
      </c>
      <c r="H310">
        <v>142.5</v>
      </c>
      <c r="I310" s="1">
        <v>148</v>
      </c>
      <c r="J310">
        <v>1755100</v>
      </c>
      <c r="K310">
        <v>12000</v>
      </c>
      <c r="L310" t="s">
        <v>78</v>
      </c>
      <c r="M310" t="s">
        <v>17</v>
      </c>
      <c r="N310">
        <v>12</v>
      </c>
      <c r="O310">
        <v>329.95</v>
      </c>
      <c r="P310">
        <v>79.05</v>
      </c>
      <c r="Q310" s="1" t="str">
        <v/>
      </c>
      <c r="R310" s="1" t="str">
        <v/>
      </c>
      <c r="S310" s="3">
        <v>0</v>
      </c>
      <c r="T310" s="3">
        <v>0</v>
      </c>
    </row>
    <row r="311" spans="1:20" x14ac:dyDescent="0.25">
      <c r="A311" t="s">
        <v>78</v>
      </c>
      <c r="B311" t="s">
        <v>79</v>
      </c>
      <c r="C311" t="s">
        <v>448</v>
      </c>
      <c r="D311" t="s">
        <v>449</v>
      </c>
      <c r="E311">
        <v>274.95</v>
      </c>
      <c r="F311">
        <v>275.85000000000002</v>
      </c>
      <c r="G311">
        <v>278.89999999999998</v>
      </c>
      <c r="H311">
        <v>267.05</v>
      </c>
      <c r="I311" s="1">
        <v>268.39999999999998</v>
      </c>
      <c r="J311">
        <v>20559056.149999999</v>
      </c>
      <c r="K311">
        <v>75889</v>
      </c>
      <c r="L311" t="s">
        <v>78</v>
      </c>
      <c r="M311" t="s">
        <v>17</v>
      </c>
      <c r="N311">
        <v>4479</v>
      </c>
      <c r="O311">
        <v>342.7</v>
      </c>
      <c r="P311">
        <v>158.05000000000001</v>
      </c>
      <c r="Q311" s="1">
        <v>164</v>
      </c>
      <c r="R311" s="1">
        <v>50.55</v>
      </c>
      <c r="S311" s="3">
        <v>4.1905239384560922E-2</v>
      </c>
      <c r="T311" s="3">
        <v>8.7009184908653614E-2</v>
      </c>
    </row>
    <row r="312" spans="1:20" x14ac:dyDescent="0.25">
      <c r="A312" t="s">
        <v>78</v>
      </c>
      <c r="B312" t="s">
        <v>287</v>
      </c>
      <c r="C312" t="s">
        <v>6327</v>
      </c>
      <c r="D312" t="s">
        <v>6326</v>
      </c>
      <c r="E312">
        <v>130</v>
      </c>
      <c r="F312">
        <v>127</v>
      </c>
      <c r="G312">
        <v>129</v>
      </c>
      <c r="H312">
        <v>117.15</v>
      </c>
      <c r="I312" s="1">
        <v>129</v>
      </c>
      <c r="J312">
        <v>1070600</v>
      </c>
      <c r="K312">
        <v>8800</v>
      </c>
      <c r="L312" t="s">
        <v>78</v>
      </c>
      <c r="M312" t="s">
        <v>17</v>
      </c>
      <c r="N312">
        <v>11</v>
      </c>
      <c r="O312">
        <v>200</v>
      </c>
      <c r="P312">
        <v>97</v>
      </c>
      <c r="Q312" s="1" t="str">
        <v/>
      </c>
      <c r="R312" s="1" t="str">
        <v/>
      </c>
      <c r="S312" s="3">
        <v>0</v>
      </c>
      <c r="T312" s="3">
        <v>0</v>
      </c>
    </row>
    <row r="313" spans="1:20" x14ac:dyDescent="0.25">
      <c r="A313" t="s">
        <v>78</v>
      </c>
      <c r="B313" t="s">
        <v>79</v>
      </c>
      <c r="C313" t="s">
        <v>450</v>
      </c>
      <c r="D313" t="s">
        <v>451</v>
      </c>
      <c r="E313">
        <v>75.36</v>
      </c>
      <c r="F313">
        <v>75.900000000000006</v>
      </c>
      <c r="G313">
        <v>79.790000000000006</v>
      </c>
      <c r="H313">
        <v>75.599999999999994</v>
      </c>
      <c r="I313" s="1">
        <v>79.150000000000006</v>
      </c>
      <c r="J313">
        <v>281695795.76999998</v>
      </c>
      <c r="K313">
        <v>3583633</v>
      </c>
      <c r="L313" t="s">
        <v>78</v>
      </c>
      <c r="M313" t="s">
        <v>17</v>
      </c>
      <c r="N313">
        <v>19491</v>
      </c>
      <c r="O313">
        <v>84.35</v>
      </c>
      <c r="P313">
        <v>37.85</v>
      </c>
      <c r="Q313" s="1">
        <v>170.1</v>
      </c>
      <c r="R313" s="1" t="str">
        <v/>
      </c>
      <c r="S313" s="3">
        <v>-6.1763731303261404E-2</v>
      </c>
      <c r="T313" s="3">
        <v>0</v>
      </c>
    </row>
    <row r="314" spans="1:20" x14ac:dyDescent="0.25">
      <c r="A314" t="s">
        <v>78</v>
      </c>
      <c r="B314" t="s">
        <v>79</v>
      </c>
      <c r="C314" t="s">
        <v>3012</v>
      </c>
      <c r="D314" t="s">
        <v>3013</v>
      </c>
      <c r="E314">
        <v>372.7</v>
      </c>
      <c r="F314">
        <v>373.3</v>
      </c>
      <c r="G314">
        <v>376.95</v>
      </c>
      <c r="H314">
        <v>365</v>
      </c>
      <c r="I314" s="1">
        <v>369.8</v>
      </c>
      <c r="J314">
        <v>29693846.800000001</v>
      </c>
      <c r="K314">
        <v>79934</v>
      </c>
      <c r="L314" t="s">
        <v>78</v>
      </c>
      <c r="M314" t="s">
        <v>17</v>
      </c>
      <c r="N314">
        <v>2947</v>
      </c>
      <c r="O314">
        <v>416</v>
      </c>
      <c r="P314">
        <v>158.55000000000001</v>
      </c>
      <c r="Q314" s="1">
        <v>91.7</v>
      </c>
      <c r="R314" s="1">
        <v>37</v>
      </c>
      <c r="S314" s="3">
        <v>0.12322423219856771</v>
      </c>
      <c r="T314" s="3">
        <v>0.12191739920713496</v>
      </c>
    </row>
    <row r="315" spans="1:20" x14ac:dyDescent="0.25">
      <c r="A315" t="s">
        <v>78</v>
      </c>
      <c r="B315" t="s">
        <v>287</v>
      </c>
      <c r="C315" t="s">
        <v>6325</v>
      </c>
      <c r="D315" t="s">
        <v>6324</v>
      </c>
      <c r="E315">
        <v>98</v>
      </c>
      <c r="F315">
        <v>98.9</v>
      </c>
      <c r="G315">
        <v>99.8</v>
      </c>
      <c r="H315">
        <v>95.55</v>
      </c>
      <c r="I315" s="1">
        <v>96</v>
      </c>
      <c r="J315">
        <v>1397200</v>
      </c>
      <c r="K315">
        <v>14400</v>
      </c>
      <c r="L315" t="s">
        <v>78</v>
      </c>
      <c r="M315" t="s">
        <v>17</v>
      </c>
      <c r="N315">
        <v>9</v>
      </c>
      <c r="O315">
        <v>124.7</v>
      </c>
      <c r="P315">
        <v>53.1</v>
      </c>
      <c r="Q315" s="1" t="str">
        <v/>
      </c>
      <c r="R315" s="1" t="str">
        <v/>
      </c>
      <c r="S315" s="3">
        <v>0</v>
      </c>
      <c r="T315" s="3">
        <v>0</v>
      </c>
    </row>
    <row r="316" spans="1:20" x14ac:dyDescent="0.25">
      <c r="A316" t="s">
        <v>78</v>
      </c>
      <c r="B316" t="s">
        <v>79</v>
      </c>
      <c r="C316" t="s">
        <v>452</v>
      </c>
      <c r="D316" t="s">
        <v>453</v>
      </c>
      <c r="E316">
        <v>2019.75</v>
      </c>
      <c r="F316">
        <v>2054.9499999999998</v>
      </c>
      <c r="G316">
        <v>2054.9499999999998</v>
      </c>
      <c r="H316">
        <v>1995</v>
      </c>
      <c r="I316" s="1">
        <v>2001.35</v>
      </c>
      <c r="J316">
        <v>47402497.799999997</v>
      </c>
      <c r="K316">
        <v>23522</v>
      </c>
      <c r="L316" t="s">
        <v>78</v>
      </c>
      <c r="M316" t="s">
        <v>17</v>
      </c>
      <c r="N316">
        <v>4841</v>
      </c>
      <c r="O316">
        <v>2680</v>
      </c>
      <c r="P316">
        <v>1696.6</v>
      </c>
      <c r="Q316" s="1">
        <v>677</v>
      </c>
      <c r="R316" s="1">
        <v>375.5</v>
      </c>
      <c r="S316" s="3">
        <v>9.4530491657901949E-2</v>
      </c>
      <c r="T316" s="3">
        <v>8.7215802494462702E-2</v>
      </c>
    </row>
    <row r="317" spans="1:20" x14ac:dyDescent="0.25">
      <c r="A317" t="s">
        <v>78</v>
      </c>
      <c r="B317" t="s">
        <v>79</v>
      </c>
      <c r="C317" t="s">
        <v>454</v>
      </c>
      <c r="D317" t="s">
        <v>455</v>
      </c>
      <c r="E317">
        <v>60.55</v>
      </c>
      <c r="F317">
        <v>60.7</v>
      </c>
      <c r="G317">
        <v>60.7</v>
      </c>
      <c r="H317">
        <v>58.05</v>
      </c>
      <c r="I317" s="1">
        <v>58.55</v>
      </c>
      <c r="J317">
        <v>5579890.2800000003</v>
      </c>
      <c r="K317">
        <v>94860</v>
      </c>
      <c r="L317" t="s">
        <v>78</v>
      </c>
      <c r="M317" t="s">
        <v>17</v>
      </c>
      <c r="N317">
        <v>1079</v>
      </c>
      <c r="O317">
        <v>69.3</v>
      </c>
      <c r="P317">
        <v>41.1</v>
      </c>
      <c r="Q317" s="1">
        <v>68.3</v>
      </c>
      <c r="R317" s="1">
        <v>40.15</v>
      </c>
      <c r="S317" s="3">
        <v>-1.2753696483199461E-2</v>
      </c>
      <c r="T317" s="3">
        <v>1.9031434646700429E-2</v>
      </c>
    </row>
    <row r="318" spans="1:20" x14ac:dyDescent="0.25">
      <c r="A318" t="s">
        <v>78</v>
      </c>
      <c r="B318" t="s">
        <v>79</v>
      </c>
      <c r="C318" t="s">
        <v>3014</v>
      </c>
      <c r="D318" t="s">
        <v>3015</v>
      </c>
      <c r="E318">
        <v>565.75</v>
      </c>
      <c r="F318">
        <v>567</v>
      </c>
      <c r="G318">
        <v>575</v>
      </c>
      <c r="H318">
        <v>552.1</v>
      </c>
      <c r="I318" s="1">
        <v>557.54999999999995</v>
      </c>
      <c r="J318">
        <v>14987330.85</v>
      </c>
      <c r="K318">
        <v>26792</v>
      </c>
      <c r="L318" t="s">
        <v>78</v>
      </c>
      <c r="M318" t="s">
        <v>17</v>
      </c>
      <c r="N318">
        <v>3485</v>
      </c>
      <c r="O318">
        <v>632</v>
      </c>
      <c r="P318">
        <v>335.05</v>
      </c>
      <c r="Q318" s="1">
        <v>152</v>
      </c>
      <c r="R318" s="1">
        <v>58.9</v>
      </c>
      <c r="S318" s="3">
        <v>0.1143886650089585</v>
      </c>
      <c r="T318" s="3">
        <v>0.11887532573526771</v>
      </c>
    </row>
    <row r="319" spans="1:20" x14ac:dyDescent="0.25">
      <c r="A319" t="s">
        <v>78</v>
      </c>
      <c r="B319" t="s">
        <v>79</v>
      </c>
      <c r="C319" t="s">
        <v>3018</v>
      </c>
      <c r="D319" t="s">
        <v>3019</v>
      </c>
      <c r="E319">
        <v>229.02</v>
      </c>
      <c r="F319">
        <v>229.3</v>
      </c>
      <c r="G319">
        <v>235.35</v>
      </c>
      <c r="H319">
        <v>218.1</v>
      </c>
      <c r="I319" s="1">
        <v>226.27</v>
      </c>
      <c r="J319">
        <v>121223695.95</v>
      </c>
      <c r="K319">
        <v>535184</v>
      </c>
      <c r="L319" t="s">
        <v>78</v>
      </c>
      <c r="M319" t="s">
        <v>17</v>
      </c>
      <c r="N319">
        <v>6569</v>
      </c>
      <c r="O319">
        <v>249</v>
      </c>
      <c r="P319">
        <v>118.55</v>
      </c>
      <c r="Q319" s="1">
        <v>350.15</v>
      </c>
      <c r="R319" s="1" t="str">
        <v/>
      </c>
      <c r="S319" s="3">
        <v>-3.5732038660597043E-2</v>
      </c>
      <c r="T319" s="3">
        <v>0</v>
      </c>
    </row>
    <row r="320" spans="1:20" x14ac:dyDescent="0.25">
      <c r="A320" t="s">
        <v>78</v>
      </c>
      <c r="B320" t="s">
        <v>79</v>
      </c>
      <c r="C320" t="s">
        <v>6323</v>
      </c>
      <c r="D320" t="s">
        <v>6322</v>
      </c>
      <c r="E320">
        <v>67.510000000000005</v>
      </c>
      <c r="F320">
        <v>66.16</v>
      </c>
      <c r="G320">
        <v>68.010000000000005</v>
      </c>
      <c r="H320">
        <v>63.37</v>
      </c>
      <c r="I320" s="1">
        <v>64.67</v>
      </c>
      <c r="J320">
        <v>1717593.19</v>
      </c>
      <c r="K320">
        <v>26202</v>
      </c>
      <c r="L320" t="s">
        <v>78</v>
      </c>
      <c r="M320" t="s">
        <v>17</v>
      </c>
      <c r="N320">
        <v>1422</v>
      </c>
      <c r="O320">
        <v>88.6</v>
      </c>
      <c r="P320">
        <v>45.7</v>
      </c>
      <c r="Q320" s="1" t="str">
        <v/>
      </c>
      <c r="R320" s="1" t="str">
        <v/>
      </c>
      <c r="S320" s="3">
        <v>0</v>
      </c>
      <c r="T320" s="3">
        <v>0</v>
      </c>
    </row>
    <row r="321" spans="1:20" x14ac:dyDescent="0.25">
      <c r="A321" t="s">
        <v>78</v>
      </c>
      <c r="B321" t="s">
        <v>79</v>
      </c>
      <c r="C321" t="s">
        <v>458</v>
      </c>
      <c r="D321" t="s">
        <v>459</v>
      </c>
      <c r="E321">
        <v>384.25</v>
      </c>
      <c r="F321">
        <v>385.3</v>
      </c>
      <c r="G321">
        <v>388.45</v>
      </c>
      <c r="H321">
        <v>375.4</v>
      </c>
      <c r="I321" s="1">
        <v>380.65</v>
      </c>
      <c r="J321">
        <v>183740861.19999999</v>
      </c>
      <c r="K321">
        <v>482988</v>
      </c>
      <c r="L321" t="s">
        <v>78</v>
      </c>
      <c r="M321" t="s">
        <v>17</v>
      </c>
      <c r="N321">
        <v>24029</v>
      </c>
      <c r="O321">
        <v>403.65</v>
      </c>
      <c r="P321">
        <v>124.65</v>
      </c>
      <c r="Q321" s="1">
        <v>102</v>
      </c>
      <c r="R321" s="1">
        <v>56.15</v>
      </c>
      <c r="S321" s="3">
        <v>0.11599043377814278</v>
      </c>
      <c r="T321" s="3">
        <v>0.10036316596918815</v>
      </c>
    </row>
    <row r="322" spans="1:20" x14ac:dyDescent="0.25">
      <c r="A322" t="s">
        <v>78</v>
      </c>
      <c r="B322" t="s">
        <v>79</v>
      </c>
      <c r="C322" t="s">
        <v>460</v>
      </c>
      <c r="D322" t="s">
        <v>461</v>
      </c>
      <c r="E322">
        <v>504.3</v>
      </c>
      <c r="F322">
        <v>504.3</v>
      </c>
      <c r="G322">
        <v>511</v>
      </c>
      <c r="H322">
        <v>494.8</v>
      </c>
      <c r="I322" s="1">
        <v>497.15</v>
      </c>
      <c r="J322">
        <v>161644548.59999999</v>
      </c>
      <c r="K322">
        <v>322907</v>
      </c>
      <c r="L322" t="s">
        <v>78</v>
      </c>
      <c r="M322" t="s">
        <v>17</v>
      </c>
      <c r="N322">
        <v>19774</v>
      </c>
      <c r="O322">
        <v>559.79999999999995</v>
      </c>
      <c r="P322">
        <v>297.8</v>
      </c>
      <c r="Q322" s="1">
        <v>171.25</v>
      </c>
      <c r="R322" s="1">
        <v>645.04999999999995</v>
      </c>
      <c r="S322" s="3">
        <v>9.287729978087822E-2</v>
      </c>
      <c r="T322" s="3">
        <v>-1.2930346148730343E-2</v>
      </c>
    </row>
    <row r="323" spans="1:20" x14ac:dyDescent="0.25">
      <c r="A323" t="s">
        <v>78</v>
      </c>
      <c r="B323" t="s">
        <v>79</v>
      </c>
      <c r="C323" t="s">
        <v>462</v>
      </c>
      <c r="D323" t="s">
        <v>463</v>
      </c>
      <c r="E323">
        <v>721.65</v>
      </c>
      <c r="F323">
        <v>721</v>
      </c>
      <c r="G323">
        <v>725.05</v>
      </c>
      <c r="H323">
        <v>700</v>
      </c>
      <c r="I323" s="1">
        <v>712</v>
      </c>
      <c r="J323">
        <v>127691058.2</v>
      </c>
      <c r="K323">
        <v>180646</v>
      </c>
      <c r="L323" t="s">
        <v>78</v>
      </c>
      <c r="M323" t="s">
        <v>183</v>
      </c>
      <c r="N323">
        <v>5664</v>
      </c>
      <c r="O323">
        <v>764</v>
      </c>
      <c r="P323">
        <v>309</v>
      </c>
      <c r="Q323" s="1">
        <v>125.65</v>
      </c>
      <c r="R323" s="1">
        <v>91.5</v>
      </c>
      <c r="S323" s="3">
        <v>0.15551731709163685</v>
      </c>
      <c r="T323" s="3">
        <v>0.10797138891746738</v>
      </c>
    </row>
    <row r="324" spans="1:20" x14ac:dyDescent="0.25">
      <c r="A324" t="s">
        <v>78</v>
      </c>
      <c r="B324" t="s">
        <v>79</v>
      </c>
      <c r="C324" t="s">
        <v>464</v>
      </c>
      <c r="D324" t="s">
        <v>465</v>
      </c>
      <c r="E324">
        <v>646.75</v>
      </c>
      <c r="F324">
        <v>647.95000000000005</v>
      </c>
      <c r="G324">
        <v>652.20000000000005</v>
      </c>
      <c r="H324">
        <v>635</v>
      </c>
      <c r="I324" s="1">
        <v>636.20000000000005</v>
      </c>
      <c r="J324">
        <v>40670391.200000003</v>
      </c>
      <c r="K324">
        <v>63557</v>
      </c>
      <c r="L324" t="s">
        <v>78</v>
      </c>
      <c r="M324" t="s">
        <v>17</v>
      </c>
      <c r="N324">
        <v>6461</v>
      </c>
      <c r="O324">
        <v>722</v>
      </c>
      <c r="P324">
        <v>491.6</v>
      </c>
      <c r="Q324" s="1">
        <v>374</v>
      </c>
      <c r="R324" s="1">
        <v>200</v>
      </c>
      <c r="S324" s="3">
        <v>4.5266034854312354E-2</v>
      </c>
      <c r="T324" s="3">
        <v>5.9532840013692301E-2</v>
      </c>
    </row>
    <row r="325" spans="1:20" x14ac:dyDescent="0.25">
      <c r="A325" t="s">
        <v>78</v>
      </c>
      <c r="B325" t="s">
        <v>79</v>
      </c>
      <c r="C325" t="s">
        <v>466</v>
      </c>
      <c r="D325" t="s">
        <v>467</v>
      </c>
      <c r="E325">
        <v>431.1</v>
      </c>
      <c r="F325">
        <v>431.1</v>
      </c>
      <c r="G325">
        <v>439.6</v>
      </c>
      <c r="H325">
        <v>415.2</v>
      </c>
      <c r="I325" s="1">
        <v>419.8</v>
      </c>
      <c r="J325">
        <v>7133168.7999999998</v>
      </c>
      <c r="K325">
        <v>16781</v>
      </c>
      <c r="L325" t="s">
        <v>78</v>
      </c>
      <c r="M325" t="s">
        <v>17</v>
      </c>
      <c r="N325">
        <v>2169</v>
      </c>
      <c r="O325">
        <v>496</v>
      </c>
      <c r="P325">
        <v>218.35</v>
      </c>
      <c r="Q325" s="1">
        <v>363.4</v>
      </c>
      <c r="R325" s="1">
        <v>127</v>
      </c>
      <c r="S325" s="3">
        <v>1.2095419319298362E-2</v>
      </c>
      <c r="T325" s="3">
        <v>6.1567753352113064E-2</v>
      </c>
    </row>
    <row r="326" spans="1:20" x14ac:dyDescent="0.25">
      <c r="A326" t="s">
        <v>78</v>
      </c>
      <c r="B326" t="s">
        <v>79</v>
      </c>
      <c r="C326" t="s">
        <v>3022</v>
      </c>
      <c r="D326" t="s">
        <v>3023</v>
      </c>
      <c r="E326">
        <v>968.85</v>
      </c>
      <c r="F326">
        <v>973.65</v>
      </c>
      <c r="G326">
        <v>973.65</v>
      </c>
      <c r="H326">
        <v>939.6</v>
      </c>
      <c r="I326" s="1">
        <v>948.35</v>
      </c>
      <c r="J326">
        <v>39885202.100000001</v>
      </c>
      <c r="K326">
        <v>41844</v>
      </c>
      <c r="L326" t="s">
        <v>78</v>
      </c>
      <c r="M326" t="s">
        <v>17</v>
      </c>
      <c r="N326">
        <v>6951</v>
      </c>
      <c r="O326">
        <v>1094.55</v>
      </c>
      <c r="P326">
        <v>373</v>
      </c>
      <c r="Q326" s="1">
        <v>66</v>
      </c>
      <c r="R326" s="1">
        <v>38.5</v>
      </c>
      <c r="S326" s="3">
        <v>0.24868259831467876</v>
      </c>
      <c r="T326" s="3">
        <v>0.17364646042286336</v>
      </c>
    </row>
    <row r="327" spans="1:20" x14ac:dyDescent="0.25">
      <c r="A327" t="s">
        <v>78</v>
      </c>
      <c r="B327" t="s">
        <v>79</v>
      </c>
      <c r="C327" t="s">
        <v>468</v>
      </c>
      <c r="D327" t="s">
        <v>469</v>
      </c>
      <c r="E327">
        <v>669.9</v>
      </c>
      <c r="F327">
        <v>669.9</v>
      </c>
      <c r="G327">
        <v>687</v>
      </c>
      <c r="H327">
        <v>666.8</v>
      </c>
      <c r="I327" s="1">
        <v>675.55</v>
      </c>
      <c r="J327">
        <v>59566104.299999997</v>
      </c>
      <c r="K327">
        <v>87958</v>
      </c>
      <c r="L327" t="s">
        <v>78</v>
      </c>
      <c r="M327" t="s">
        <v>17</v>
      </c>
      <c r="N327">
        <v>5681</v>
      </c>
      <c r="O327">
        <v>743.7</v>
      </c>
      <c r="P327">
        <v>398</v>
      </c>
      <c r="Q327" s="1">
        <v>469.75</v>
      </c>
      <c r="R327" s="1" t="str">
        <v/>
      </c>
      <c r="S327" s="3">
        <v>3.0740227192396885E-2</v>
      </c>
      <c r="T327" s="3">
        <v>0</v>
      </c>
    </row>
    <row r="328" spans="1:20" x14ac:dyDescent="0.25">
      <c r="A328" t="s">
        <v>78</v>
      </c>
      <c r="B328" t="s">
        <v>79</v>
      </c>
      <c r="C328" t="s">
        <v>3024</v>
      </c>
      <c r="D328" t="s">
        <v>3025</v>
      </c>
      <c r="E328">
        <v>369.6</v>
      </c>
      <c r="F328">
        <v>370.5</v>
      </c>
      <c r="G328">
        <v>373.8</v>
      </c>
      <c r="H328">
        <v>358.4</v>
      </c>
      <c r="I328" s="1">
        <v>359.9</v>
      </c>
      <c r="J328">
        <v>62135327.049999997</v>
      </c>
      <c r="K328">
        <v>170718</v>
      </c>
      <c r="L328" t="s">
        <v>78</v>
      </c>
      <c r="M328" t="s">
        <v>17</v>
      </c>
      <c r="N328">
        <v>6873</v>
      </c>
      <c r="O328">
        <v>453.35</v>
      </c>
      <c r="P328">
        <v>302.89999999999998</v>
      </c>
      <c r="Q328" s="1">
        <v>140.5</v>
      </c>
      <c r="R328" s="1">
        <v>18.600000000000001</v>
      </c>
      <c r="S328" s="3">
        <v>8.153885623332302E-2</v>
      </c>
      <c r="T328" s="3">
        <v>0.15957331699559418</v>
      </c>
    </row>
    <row r="329" spans="1:20" x14ac:dyDescent="0.25">
      <c r="A329" t="s">
        <v>78</v>
      </c>
      <c r="B329" t="s">
        <v>79</v>
      </c>
      <c r="C329" t="s">
        <v>470</v>
      </c>
      <c r="D329" t="s">
        <v>471</v>
      </c>
      <c r="E329">
        <v>425</v>
      </c>
      <c r="F329">
        <v>420.75</v>
      </c>
      <c r="G329">
        <v>427.95</v>
      </c>
      <c r="H329">
        <v>411</v>
      </c>
      <c r="I329" s="1">
        <v>412.95</v>
      </c>
      <c r="J329">
        <v>29039712.550000001</v>
      </c>
      <c r="K329">
        <v>69685</v>
      </c>
      <c r="L329" t="s">
        <v>78</v>
      </c>
      <c r="M329" t="s">
        <v>17</v>
      </c>
      <c r="N329">
        <v>6129</v>
      </c>
      <c r="O329">
        <v>469</v>
      </c>
      <c r="P329">
        <v>193.9</v>
      </c>
      <c r="Q329" s="1">
        <v>165.5</v>
      </c>
      <c r="R329" s="1">
        <v>114.2</v>
      </c>
      <c r="S329" s="3">
        <v>7.9174370608610767E-2</v>
      </c>
      <c r="T329" s="3">
        <v>6.6341429370526228E-2</v>
      </c>
    </row>
    <row r="330" spans="1:20" x14ac:dyDescent="0.25">
      <c r="A330" t="s">
        <v>78</v>
      </c>
      <c r="B330" t="s">
        <v>79</v>
      </c>
      <c r="C330" t="s">
        <v>3026</v>
      </c>
      <c r="D330" t="s">
        <v>3027</v>
      </c>
      <c r="E330">
        <v>44.6</v>
      </c>
      <c r="F330">
        <v>44.88</v>
      </c>
      <c r="G330">
        <v>45.57</v>
      </c>
      <c r="H330">
        <v>42.37</v>
      </c>
      <c r="I330" s="1">
        <v>42.49</v>
      </c>
      <c r="J330">
        <v>48383828.140000001</v>
      </c>
      <c r="K330">
        <v>1122681</v>
      </c>
      <c r="L330" t="s">
        <v>78</v>
      </c>
      <c r="M330" t="s">
        <v>17</v>
      </c>
      <c r="N330">
        <v>4832</v>
      </c>
      <c r="O330">
        <v>51.6</v>
      </c>
      <c r="P330">
        <v>12.5</v>
      </c>
      <c r="Q330" s="1">
        <v>19.5</v>
      </c>
      <c r="R330" s="1">
        <v>8.75</v>
      </c>
      <c r="S330" s="3">
        <v>6.7057141222489625E-2</v>
      </c>
      <c r="T330" s="3">
        <v>8.2169132425137681E-2</v>
      </c>
    </row>
    <row r="331" spans="1:20" x14ac:dyDescent="0.25">
      <c r="A331" t="s">
        <v>78</v>
      </c>
      <c r="B331" t="s">
        <v>79</v>
      </c>
      <c r="C331" t="s">
        <v>472</v>
      </c>
      <c r="D331" t="s">
        <v>473</v>
      </c>
      <c r="E331">
        <v>235.64</v>
      </c>
      <c r="F331">
        <v>235.64</v>
      </c>
      <c r="G331">
        <v>237</v>
      </c>
      <c r="H331">
        <v>226.15</v>
      </c>
      <c r="I331" s="1">
        <v>227.75</v>
      </c>
      <c r="J331">
        <v>260545204.34999999</v>
      </c>
      <c r="K331">
        <v>1129628</v>
      </c>
      <c r="L331" t="s">
        <v>78</v>
      </c>
      <c r="M331" t="s">
        <v>17</v>
      </c>
      <c r="N331">
        <v>22095</v>
      </c>
      <c r="O331">
        <v>249</v>
      </c>
      <c r="P331">
        <v>88.95</v>
      </c>
      <c r="Q331" s="1">
        <v>107.4</v>
      </c>
      <c r="R331" s="1">
        <v>121.55</v>
      </c>
      <c r="S331" s="3">
        <v>6.464423975000777E-2</v>
      </c>
      <c r="T331" s="3">
        <v>3.1876457145384007E-2</v>
      </c>
    </row>
    <row r="332" spans="1:20" x14ac:dyDescent="0.25">
      <c r="A332" t="s">
        <v>78</v>
      </c>
      <c r="B332" t="s">
        <v>79</v>
      </c>
      <c r="C332" t="s">
        <v>6321</v>
      </c>
      <c r="D332" t="s">
        <v>6320</v>
      </c>
      <c r="E332">
        <v>20.059999999999999</v>
      </c>
      <c r="F332">
        <v>20</v>
      </c>
      <c r="G332">
        <v>20.3</v>
      </c>
      <c r="H332">
        <v>19.53</v>
      </c>
      <c r="I332" s="1">
        <v>19.920000000000002</v>
      </c>
      <c r="J332">
        <v>2204470.79</v>
      </c>
      <c r="K332">
        <v>111011</v>
      </c>
      <c r="L332" t="s">
        <v>78</v>
      </c>
      <c r="M332" t="s">
        <v>17</v>
      </c>
      <c r="N332">
        <v>828</v>
      </c>
      <c r="O332">
        <v>35.700000000000003</v>
      </c>
      <c r="P332">
        <v>17</v>
      </c>
      <c r="Q332" s="1" t="str">
        <v/>
      </c>
      <c r="R332" s="1" t="str">
        <v/>
      </c>
      <c r="S332" s="3">
        <v>0</v>
      </c>
      <c r="T332" s="3">
        <v>0</v>
      </c>
    </row>
    <row r="333" spans="1:20" x14ac:dyDescent="0.25">
      <c r="A333" t="s">
        <v>78</v>
      </c>
      <c r="B333" t="s">
        <v>79</v>
      </c>
      <c r="C333" t="s">
        <v>474</v>
      </c>
      <c r="D333" t="s">
        <v>475</v>
      </c>
      <c r="E333">
        <v>228.41</v>
      </c>
      <c r="F333">
        <v>229.5</v>
      </c>
      <c r="G333">
        <v>230.33</v>
      </c>
      <c r="H333">
        <v>225.56</v>
      </c>
      <c r="I333" s="1">
        <v>228.33</v>
      </c>
      <c r="J333">
        <v>1929451035.9100001</v>
      </c>
      <c r="K333">
        <v>8461245</v>
      </c>
      <c r="L333" t="s">
        <v>78</v>
      </c>
      <c r="M333" t="s">
        <v>17</v>
      </c>
      <c r="N333">
        <v>76380</v>
      </c>
      <c r="O333">
        <v>245.67</v>
      </c>
      <c r="P333">
        <v>157.55000000000001</v>
      </c>
      <c r="Q333" s="1">
        <v>123.9</v>
      </c>
      <c r="R333" s="1">
        <v>79</v>
      </c>
      <c r="S333" s="3">
        <v>5.2263014509269512E-2</v>
      </c>
      <c r="T333" s="3">
        <v>5.4469864920325239E-2</v>
      </c>
    </row>
    <row r="334" spans="1:20" x14ac:dyDescent="0.25">
      <c r="A334" t="s">
        <v>78</v>
      </c>
      <c r="B334" t="s">
        <v>79</v>
      </c>
      <c r="C334" t="s">
        <v>6319</v>
      </c>
      <c r="D334" t="s">
        <v>6318</v>
      </c>
      <c r="E334">
        <v>356.15</v>
      </c>
      <c r="F334">
        <v>358.05</v>
      </c>
      <c r="G334">
        <v>367</v>
      </c>
      <c r="H334">
        <v>338.35</v>
      </c>
      <c r="I334" s="1">
        <v>341.35</v>
      </c>
      <c r="J334">
        <v>54292881.649999999</v>
      </c>
      <c r="K334">
        <v>156499</v>
      </c>
      <c r="L334" t="s">
        <v>78</v>
      </c>
      <c r="M334" t="s">
        <v>17</v>
      </c>
      <c r="N334">
        <v>4546</v>
      </c>
      <c r="O334">
        <v>367</v>
      </c>
      <c r="P334">
        <v>156.30000000000001</v>
      </c>
      <c r="Q334" s="1" t="str">
        <v/>
      </c>
      <c r="R334" s="1" t="str">
        <v/>
      </c>
      <c r="S334" s="3">
        <v>0</v>
      </c>
      <c r="T334" s="3">
        <v>0</v>
      </c>
    </row>
    <row r="335" spans="1:20" x14ac:dyDescent="0.25">
      <c r="A335" t="s">
        <v>78</v>
      </c>
      <c r="B335" t="s">
        <v>79</v>
      </c>
      <c r="C335" t="s">
        <v>476</v>
      </c>
      <c r="D335" t="s">
        <v>477</v>
      </c>
      <c r="E335">
        <v>170.33</v>
      </c>
      <c r="F335">
        <v>178.84</v>
      </c>
      <c r="G335">
        <v>178.84</v>
      </c>
      <c r="H335">
        <v>178.84</v>
      </c>
      <c r="I335" s="1">
        <v>178.84</v>
      </c>
      <c r="J335">
        <v>1199658.72</v>
      </c>
      <c r="K335">
        <v>6708</v>
      </c>
      <c r="L335" t="s">
        <v>78</v>
      </c>
      <c r="M335" t="s">
        <v>17</v>
      </c>
      <c r="N335">
        <v>74</v>
      </c>
      <c r="O335">
        <v>238.95</v>
      </c>
      <c r="P335">
        <v>108.85</v>
      </c>
      <c r="Q335" s="1">
        <v>84.15</v>
      </c>
      <c r="R335" s="1">
        <v>117</v>
      </c>
      <c r="S335" s="3">
        <v>6.4839644443784428E-2</v>
      </c>
      <c r="T335" s="3">
        <v>2.1430669857740892E-2</v>
      </c>
    </row>
    <row r="336" spans="1:20" x14ac:dyDescent="0.25">
      <c r="A336" t="s">
        <v>78</v>
      </c>
      <c r="B336" t="s">
        <v>79</v>
      </c>
      <c r="C336" t="s">
        <v>478</v>
      </c>
      <c r="D336" t="s">
        <v>479</v>
      </c>
      <c r="E336">
        <v>79.39</v>
      </c>
      <c r="F336">
        <v>79.39</v>
      </c>
      <c r="G336">
        <v>79.84</v>
      </c>
      <c r="H336">
        <v>75</v>
      </c>
      <c r="I336" s="1">
        <v>76.22</v>
      </c>
      <c r="J336">
        <v>107016508.06999999</v>
      </c>
      <c r="K336">
        <v>1388751</v>
      </c>
      <c r="L336" t="s">
        <v>78</v>
      </c>
      <c r="M336" t="s">
        <v>17</v>
      </c>
      <c r="N336">
        <v>12339</v>
      </c>
      <c r="O336">
        <v>86.1</v>
      </c>
      <c r="P336">
        <v>44.2</v>
      </c>
      <c r="Q336" s="1">
        <v>180.05</v>
      </c>
      <c r="R336" s="1">
        <v>215.6</v>
      </c>
      <c r="S336" s="3">
        <v>-6.9128676579218062E-2</v>
      </c>
      <c r="T336" s="3">
        <v>-5.0634654573851412E-2</v>
      </c>
    </row>
    <row r="337" spans="1:20" x14ac:dyDescent="0.25">
      <c r="A337" t="s">
        <v>78</v>
      </c>
      <c r="B337" t="s">
        <v>79</v>
      </c>
      <c r="C337" t="s">
        <v>6317</v>
      </c>
      <c r="D337" t="s">
        <v>6316</v>
      </c>
      <c r="E337">
        <v>387.65</v>
      </c>
      <c r="F337">
        <v>387.65</v>
      </c>
      <c r="G337">
        <v>387.65</v>
      </c>
      <c r="H337">
        <v>375.25</v>
      </c>
      <c r="I337" s="1">
        <v>377.4</v>
      </c>
      <c r="J337">
        <v>58300904.299999997</v>
      </c>
      <c r="K337">
        <v>153571</v>
      </c>
      <c r="L337" t="s">
        <v>78</v>
      </c>
      <c r="M337" t="s">
        <v>17</v>
      </c>
      <c r="N337">
        <v>7569</v>
      </c>
      <c r="O337">
        <v>406.5</v>
      </c>
      <c r="P337">
        <v>240.1</v>
      </c>
      <c r="Q337" s="1" t="str">
        <v/>
      </c>
      <c r="R337" s="1" t="str">
        <v/>
      </c>
      <c r="S337" s="3">
        <v>0</v>
      </c>
      <c r="T337" s="3">
        <v>0</v>
      </c>
    </row>
    <row r="338" spans="1:20" x14ac:dyDescent="0.25">
      <c r="A338" t="s">
        <v>78</v>
      </c>
      <c r="B338" t="s">
        <v>79</v>
      </c>
      <c r="C338" t="s">
        <v>6315</v>
      </c>
      <c r="D338" t="s">
        <v>3591</v>
      </c>
      <c r="E338">
        <v>20.39</v>
      </c>
      <c r="F338">
        <v>20.45</v>
      </c>
      <c r="G338">
        <v>20.79</v>
      </c>
      <c r="H338">
        <v>20.45</v>
      </c>
      <c r="I338" s="1">
        <v>20.78</v>
      </c>
      <c r="J338">
        <v>28849737.43</v>
      </c>
      <c r="K338">
        <v>1388924</v>
      </c>
      <c r="L338" t="s">
        <v>78</v>
      </c>
      <c r="M338" t="s">
        <v>17</v>
      </c>
      <c r="N338">
        <v>3854</v>
      </c>
      <c r="O338">
        <v>28.75</v>
      </c>
      <c r="P338">
        <v>9.75</v>
      </c>
      <c r="Q338" s="1" t="str">
        <v/>
      </c>
      <c r="R338" s="1" t="str">
        <v/>
      </c>
      <c r="S338" s="3">
        <v>0</v>
      </c>
      <c r="T338" s="3">
        <v>0</v>
      </c>
    </row>
    <row r="339" spans="1:20" x14ac:dyDescent="0.25">
      <c r="A339" t="s">
        <v>78</v>
      </c>
      <c r="B339" t="s">
        <v>79</v>
      </c>
      <c r="C339" t="s">
        <v>482</v>
      </c>
      <c r="D339" t="s">
        <v>483</v>
      </c>
      <c r="E339">
        <v>302.3</v>
      </c>
      <c r="F339">
        <v>303</v>
      </c>
      <c r="G339">
        <v>306</v>
      </c>
      <c r="H339">
        <v>282.05</v>
      </c>
      <c r="I339" s="1">
        <v>283.55</v>
      </c>
      <c r="J339">
        <v>7942741.6500000004</v>
      </c>
      <c r="K339">
        <v>27244</v>
      </c>
      <c r="L339" t="s">
        <v>78</v>
      </c>
      <c r="M339" t="s">
        <v>183</v>
      </c>
      <c r="N339">
        <v>1831</v>
      </c>
      <c r="O339">
        <v>359</v>
      </c>
      <c r="P339">
        <v>223.7</v>
      </c>
      <c r="Q339" s="1">
        <v>214.05</v>
      </c>
      <c r="R339" s="1">
        <v>141.6</v>
      </c>
      <c r="S339" s="3">
        <v>2.3708246153909318E-2</v>
      </c>
      <c r="T339" s="3">
        <v>3.5309173954215733E-2</v>
      </c>
    </row>
    <row r="340" spans="1:20" x14ac:dyDescent="0.25">
      <c r="A340" t="s">
        <v>78</v>
      </c>
      <c r="B340" t="s">
        <v>287</v>
      </c>
      <c r="C340" t="s">
        <v>6314</v>
      </c>
      <c r="D340" t="s">
        <v>6313</v>
      </c>
      <c r="E340">
        <v>111.1</v>
      </c>
      <c r="F340">
        <v>106.25</v>
      </c>
      <c r="G340">
        <v>108.85</v>
      </c>
      <c r="H340">
        <v>103.6</v>
      </c>
      <c r="I340" s="1">
        <v>106.3</v>
      </c>
      <c r="J340">
        <v>9509000</v>
      </c>
      <c r="K340">
        <v>90000</v>
      </c>
      <c r="L340" t="s">
        <v>78</v>
      </c>
      <c r="M340" t="s">
        <v>17</v>
      </c>
      <c r="N340">
        <v>44</v>
      </c>
      <c r="O340">
        <v>132</v>
      </c>
      <c r="P340">
        <v>56.25</v>
      </c>
      <c r="Q340" s="1" t="str">
        <v/>
      </c>
      <c r="R340" s="1" t="str">
        <v/>
      </c>
      <c r="S340" s="3">
        <v>0</v>
      </c>
      <c r="T340" s="3">
        <v>0</v>
      </c>
    </row>
    <row r="341" spans="1:20" x14ac:dyDescent="0.25">
      <c r="A341" t="s">
        <v>78</v>
      </c>
      <c r="B341" t="s">
        <v>79</v>
      </c>
      <c r="C341" t="s">
        <v>484</v>
      </c>
      <c r="D341" t="s">
        <v>485</v>
      </c>
      <c r="E341">
        <v>1325.7</v>
      </c>
      <c r="F341">
        <v>1309.9000000000001</v>
      </c>
      <c r="G341">
        <v>1326.45</v>
      </c>
      <c r="H341">
        <v>1301</v>
      </c>
      <c r="I341" s="1">
        <v>1303.25</v>
      </c>
      <c r="J341">
        <v>21093543</v>
      </c>
      <c r="K341">
        <v>16089</v>
      </c>
      <c r="L341" t="s">
        <v>78</v>
      </c>
      <c r="M341" t="s">
        <v>17</v>
      </c>
      <c r="N341">
        <v>2886</v>
      </c>
      <c r="O341">
        <v>1490</v>
      </c>
      <c r="P341">
        <v>825.05</v>
      </c>
      <c r="Q341" s="1">
        <v>1394</v>
      </c>
      <c r="R341" s="1">
        <v>315</v>
      </c>
      <c r="S341" s="3">
        <v>-5.5939757610901086E-3</v>
      </c>
      <c r="T341" s="3">
        <v>7.3541831783846989E-2</v>
      </c>
    </row>
    <row r="342" spans="1:20" x14ac:dyDescent="0.25">
      <c r="A342" t="s">
        <v>78</v>
      </c>
      <c r="B342" t="s">
        <v>79</v>
      </c>
      <c r="C342" t="s">
        <v>486</v>
      </c>
      <c r="D342" t="s">
        <v>487</v>
      </c>
      <c r="E342">
        <v>335.45</v>
      </c>
      <c r="F342">
        <v>334.95</v>
      </c>
      <c r="G342">
        <v>335.6</v>
      </c>
      <c r="H342">
        <v>330.5</v>
      </c>
      <c r="I342" s="1">
        <v>333.7</v>
      </c>
      <c r="J342">
        <v>559923434.04999995</v>
      </c>
      <c r="K342">
        <v>1676500</v>
      </c>
      <c r="L342" t="s">
        <v>78</v>
      </c>
      <c r="M342" t="s">
        <v>17</v>
      </c>
      <c r="N342">
        <v>29488</v>
      </c>
      <c r="O342">
        <v>558</v>
      </c>
      <c r="P342">
        <v>294.35000000000002</v>
      </c>
      <c r="Q342" s="1">
        <v>157.15</v>
      </c>
      <c r="R342" s="1">
        <v>123.5</v>
      </c>
      <c r="S342" s="3">
        <v>6.4764308974999185E-2</v>
      </c>
      <c r="T342" s="3">
        <v>5.0927222444367093E-2</v>
      </c>
    </row>
    <row r="343" spans="1:20" x14ac:dyDescent="0.25">
      <c r="A343" t="s">
        <v>78</v>
      </c>
      <c r="B343" t="s">
        <v>79</v>
      </c>
      <c r="C343" t="s">
        <v>488</v>
      </c>
      <c r="D343" t="s">
        <v>489</v>
      </c>
      <c r="E343">
        <v>2266.85</v>
      </c>
      <c r="F343">
        <v>2276.9499999999998</v>
      </c>
      <c r="G343">
        <v>2276.9499999999998</v>
      </c>
      <c r="H343">
        <v>2232.0500000000002</v>
      </c>
      <c r="I343" s="1">
        <v>2249.6999999999998</v>
      </c>
      <c r="J343">
        <v>437429134.19999999</v>
      </c>
      <c r="K343">
        <v>194539</v>
      </c>
      <c r="L343" t="s">
        <v>78</v>
      </c>
      <c r="M343" t="s">
        <v>17</v>
      </c>
      <c r="N343">
        <v>19724</v>
      </c>
      <c r="O343">
        <v>2454</v>
      </c>
      <c r="P343">
        <v>1740</v>
      </c>
      <c r="Q343" s="1">
        <v>2051</v>
      </c>
      <c r="R343" s="1">
        <v>1262.8499999999999</v>
      </c>
      <c r="S343" s="3">
        <v>7.7355488612411705E-3</v>
      </c>
      <c r="T343" s="3">
        <v>2.9275831655320994E-2</v>
      </c>
    </row>
    <row r="344" spans="1:20" x14ac:dyDescent="0.25">
      <c r="A344" t="s">
        <v>78</v>
      </c>
      <c r="B344" t="s">
        <v>79</v>
      </c>
      <c r="C344" t="s">
        <v>490</v>
      </c>
      <c r="D344" t="s">
        <v>491</v>
      </c>
      <c r="E344">
        <v>920.25</v>
      </c>
      <c r="F344">
        <v>920</v>
      </c>
      <c r="G344">
        <v>931.7</v>
      </c>
      <c r="H344">
        <v>903.65</v>
      </c>
      <c r="I344" s="1">
        <v>918.75</v>
      </c>
      <c r="J344">
        <v>374919698.14999998</v>
      </c>
      <c r="K344">
        <v>408814</v>
      </c>
      <c r="L344" t="s">
        <v>78</v>
      </c>
      <c r="M344" t="s">
        <v>17</v>
      </c>
      <c r="N344">
        <v>24293</v>
      </c>
      <c r="O344">
        <v>1059</v>
      </c>
      <c r="P344">
        <v>341.55</v>
      </c>
      <c r="Q344" s="1">
        <v>171.45</v>
      </c>
      <c r="R344" s="1">
        <v>77.25</v>
      </c>
      <c r="S344" s="3">
        <v>0.15015133683885296</v>
      </c>
      <c r="T344" s="3">
        <v>0.13171090079177272</v>
      </c>
    </row>
    <row r="345" spans="1:20" x14ac:dyDescent="0.25">
      <c r="A345" t="s">
        <v>78</v>
      </c>
      <c r="B345" t="s">
        <v>79</v>
      </c>
      <c r="C345" t="s">
        <v>492</v>
      </c>
      <c r="D345" t="s">
        <v>493</v>
      </c>
      <c r="E345">
        <v>6565.8</v>
      </c>
      <c r="F345">
        <v>6565.8</v>
      </c>
      <c r="G345">
        <v>6615.55</v>
      </c>
      <c r="H345">
        <v>6431.95</v>
      </c>
      <c r="I345" s="1">
        <v>6452.05</v>
      </c>
      <c r="J345">
        <v>88050781.75</v>
      </c>
      <c r="K345">
        <v>13571</v>
      </c>
      <c r="L345" t="s">
        <v>78</v>
      </c>
      <c r="M345" t="s">
        <v>17</v>
      </c>
      <c r="N345">
        <v>4566</v>
      </c>
      <c r="O345">
        <v>7572.2</v>
      </c>
      <c r="P345">
        <v>3730.25</v>
      </c>
      <c r="Q345" s="1">
        <v>3490</v>
      </c>
      <c r="R345" s="1">
        <v>1881</v>
      </c>
      <c r="S345" s="3">
        <v>5.254181443313799E-2</v>
      </c>
      <c r="T345" s="3">
        <v>6.3532555402739499E-2</v>
      </c>
    </row>
    <row r="346" spans="1:20" x14ac:dyDescent="0.25">
      <c r="A346" t="s">
        <v>78</v>
      </c>
      <c r="B346" t="s">
        <v>79</v>
      </c>
      <c r="C346" t="s">
        <v>6312</v>
      </c>
      <c r="D346" t="s">
        <v>6311</v>
      </c>
      <c r="E346">
        <v>188.35</v>
      </c>
      <c r="F346">
        <v>188.23</v>
      </c>
      <c r="G346">
        <v>189.28</v>
      </c>
      <c r="H346">
        <v>179.6</v>
      </c>
      <c r="I346" s="1">
        <v>183.9</v>
      </c>
      <c r="J346">
        <v>7271495.7400000002</v>
      </c>
      <c r="K346">
        <v>39505</v>
      </c>
      <c r="L346" t="s">
        <v>78</v>
      </c>
      <c r="M346" t="s">
        <v>17</v>
      </c>
      <c r="N346">
        <v>1127</v>
      </c>
      <c r="O346">
        <v>241.4</v>
      </c>
      <c r="P346">
        <v>136</v>
      </c>
      <c r="Q346" s="1" t="str">
        <v/>
      </c>
      <c r="R346" s="1" t="str">
        <v/>
      </c>
      <c r="S346" s="3">
        <v>0</v>
      </c>
      <c r="T346" s="3">
        <v>0</v>
      </c>
    </row>
    <row r="347" spans="1:20" x14ac:dyDescent="0.25">
      <c r="A347" t="s">
        <v>78</v>
      </c>
      <c r="B347" t="s">
        <v>79</v>
      </c>
      <c r="C347" t="s">
        <v>498</v>
      </c>
      <c r="D347" t="s">
        <v>499</v>
      </c>
      <c r="E347">
        <v>872</v>
      </c>
      <c r="F347">
        <v>837</v>
      </c>
      <c r="G347">
        <v>920</v>
      </c>
      <c r="H347">
        <v>820</v>
      </c>
      <c r="I347" s="1">
        <v>853.75</v>
      </c>
      <c r="J347">
        <v>207082024.55000001</v>
      </c>
      <c r="K347">
        <v>236286</v>
      </c>
      <c r="L347" t="s">
        <v>78</v>
      </c>
      <c r="M347" t="s">
        <v>17</v>
      </c>
      <c r="N347">
        <v>17525</v>
      </c>
      <c r="O347">
        <v>1090</v>
      </c>
      <c r="P347">
        <v>644.45000000000005</v>
      </c>
      <c r="Q347" s="1">
        <v>960</v>
      </c>
      <c r="R347" s="1">
        <v>480</v>
      </c>
      <c r="S347" s="3">
        <v>-9.7269569292609548E-3</v>
      </c>
      <c r="T347" s="3">
        <v>2.9194901137888696E-2</v>
      </c>
    </row>
    <row r="348" spans="1:20" x14ac:dyDescent="0.25">
      <c r="A348" t="s">
        <v>78</v>
      </c>
      <c r="B348" t="s">
        <v>79</v>
      </c>
      <c r="C348" t="s">
        <v>6310</v>
      </c>
      <c r="D348" t="s">
        <v>6309</v>
      </c>
      <c r="E348">
        <v>53.61</v>
      </c>
      <c r="F348">
        <v>53.61</v>
      </c>
      <c r="G348">
        <v>53.79</v>
      </c>
      <c r="H348">
        <v>52.08</v>
      </c>
      <c r="I348" s="1">
        <v>52.51</v>
      </c>
      <c r="J348">
        <v>45846116.899999999</v>
      </c>
      <c r="K348">
        <v>868388</v>
      </c>
      <c r="L348" t="s">
        <v>78</v>
      </c>
      <c r="M348" t="s">
        <v>17</v>
      </c>
      <c r="N348">
        <v>8338</v>
      </c>
      <c r="O348">
        <v>82.5</v>
      </c>
      <c r="P348">
        <v>31.3</v>
      </c>
      <c r="Q348" s="1" t="str">
        <v/>
      </c>
      <c r="R348" s="1" t="str">
        <v/>
      </c>
      <c r="S348" s="3">
        <v>0</v>
      </c>
      <c r="T348" s="3">
        <v>0</v>
      </c>
    </row>
    <row r="349" spans="1:20" x14ac:dyDescent="0.25">
      <c r="A349" t="s">
        <v>78</v>
      </c>
      <c r="B349" t="s">
        <v>79</v>
      </c>
      <c r="C349" t="s">
        <v>500</v>
      </c>
      <c r="D349" t="s">
        <v>501</v>
      </c>
      <c r="E349">
        <v>7015.6</v>
      </c>
      <c r="F349">
        <v>7055.95</v>
      </c>
      <c r="G349">
        <v>7149.1</v>
      </c>
      <c r="H349">
        <v>7015.25</v>
      </c>
      <c r="I349" s="1">
        <v>7123.9</v>
      </c>
      <c r="J349">
        <v>507903059.39999998</v>
      </c>
      <c r="K349">
        <v>71517</v>
      </c>
      <c r="L349" t="s">
        <v>78</v>
      </c>
      <c r="M349" t="s">
        <v>17</v>
      </c>
      <c r="N349">
        <v>14784</v>
      </c>
      <c r="O349">
        <v>7589.9</v>
      </c>
      <c r="P349">
        <v>5174.8500000000004</v>
      </c>
      <c r="Q349" s="1">
        <v>9210</v>
      </c>
      <c r="R349" s="1">
        <v>3586</v>
      </c>
      <c r="S349" s="3">
        <v>-2.1175460608094054E-2</v>
      </c>
      <c r="T349" s="3">
        <v>3.4897204004198157E-2</v>
      </c>
    </row>
    <row r="350" spans="1:20" x14ac:dyDescent="0.25">
      <c r="A350" t="s">
        <v>78</v>
      </c>
      <c r="B350" t="s">
        <v>79</v>
      </c>
      <c r="C350" t="s">
        <v>504</v>
      </c>
      <c r="D350" t="s">
        <v>505</v>
      </c>
      <c r="E350">
        <v>634.45000000000005</v>
      </c>
      <c r="F350">
        <v>635</v>
      </c>
      <c r="G350">
        <v>638.5</v>
      </c>
      <c r="H350">
        <v>630</v>
      </c>
      <c r="I350" s="1">
        <v>633.04999999999995</v>
      </c>
      <c r="J350">
        <v>1410609001.0999999</v>
      </c>
      <c r="K350">
        <v>2224274</v>
      </c>
      <c r="L350" t="s">
        <v>78</v>
      </c>
      <c r="M350" t="s">
        <v>17</v>
      </c>
      <c r="N350">
        <v>61105</v>
      </c>
      <c r="O350">
        <v>813.4</v>
      </c>
      <c r="P350">
        <v>553.70000000000005</v>
      </c>
      <c r="Q350" s="1">
        <v>1176</v>
      </c>
      <c r="R350" s="1">
        <v>655</v>
      </c>
      <c r="S350" s="3">
        <v>-5.030119628042673E-2</v>
      </c>
      <c r="T350" s="3">
        <v>-1.7019081456244312E-3</v>
      </c>
    </row>
    <row r="351" spans="1:20" x14ac:dyDescent="0.25">
      <c r="A351" t="s">
        <v>78</v>
      </c>
      <c r="B351" t="s">
        <v>287</v>
      </c>
      <c r="C351" t="s">
        <v>6308</v>
      </c>
      <c r="D351" t="s">
        <v>6307</v>
      </c>
      <c r="E351">
        <v>324.14999999999998</v>
      </c>
      <c r="F351">
        <v>314</v>
      </c>
      <c r="G351">
        <v>320</v>
      </c>
      <c r="H351">
        <v>302.05</v>
      </c>
      <c r="I351" s="1">
        <v>310</v>
      </c>
      <c r="J351">
        <v>3253725</v>
      </c>
      <c r="K351">
        <v>10500</v>
      </c>
      <c r="L351" t="s">
        <v>78</v>
      </c>
      <c r="M351" t="s">
        <v>17</v>
      </c>
      <c r="N351">
        <v>21</v>
      </c>
      <c r="O351">
        <v>389.8</v>
      </c>
      <c r="P351">
        <v>188</v>
      </c>
      <c r="Q351" s="1" t="str">
        <v/>
      </c>
      <c r="R351" s="1" t="str">
        <v/>
      </c>
      <c r="S351" s="3">
        <v>0</v>
      </c>
      <c r="T351" s="3">
        <v>0</v>
      </c>
    </row>
    <row r="352" spans="1:20" x14ac:dyDescent="0.25">
      <c r="A352" t="s">
        <v>78</v>
      </c>
      <c r="B352" t="s">
        <v>79</v>
      </c>
      <c r="C352" t="s">
        <v>506</v>
      </c>
      <c r="D352" t="s">
        <v>507</v>
      </c>
      <c r="E352">
        <v>1507.6</v>
      </c>
      <c r="F352">
        <v>1507.6</v>
      </c>
      <c r="G352">
        <v>1515</v>
      </c>
      <c r="H352">
        <v>1452</v>
      </c>
      <c r="I352" s="1">
        <v>1488.1</v>
      </c>
      <c r="J352">
        <v>152537517.30000001</v>
      </c>
      <c r="K352">
        <v>102316</v>
      </c>
      <c r="L352" t="s">
        <v>78</v>
      </c>
      <c r="M352" t="s">
        <v>17</v>
      </c>
      <c r="N352">
        <v>9859</v>
      </c>
      <c r="O352">
        <v>3039.9</v>
      </c>
      <c r="P352">
        <v>1363.15</v>
      </c>
      <c r="Q352" s="1">
        <v>184.05</v>
      </c>
      <c r="R352" s="1">
        <v>101.6</v>
      </c>
      <c r="S352" s="3">
        <v>0.19025868176486349</v>
      </c>
      <c r="T352" s="3">
        <v>0.14354958307047272</v>
      </c>
    </row>
    <row r="353" spans="1:20" x14ac:dyDescent="0.25">
      <c r="A353" t="s">
        <v>78</v>
      </c>
      <c r="B353" t="s">
        <v>287</v>
      </c>
      <c r="C353" t="s">
        <v>6306</v>
      </c>
      <c r="D353" t="s">
        <v>6305</v>
      </c>
      <c r="E353">
        <v>80.75</v>
      </c>
      <c r="F353">
        <v>80.75</v>
      </c>
      <c r="G353">
        <v>81.95</v>
      </c>
      <c r="H353">
        <v>79.650000000000006</v>
      </c>
      <c r="I353" s="1">
        <v>81.150000000000006</v>
      </c>
      <c r="J353">
        <v>2705520</v>
      </c>
      <c r="K353">
        <v>33600</v>
      </c>
      <c r="L353" t="s">
        <v>78</v>
      </c>
      <c r="M353" t="s">
        <v>17</v>
      </c>
      <c r="N353">
        <v>20</v>
      </c>
      <c r="O353">
        <v>118</v>
      </c>
      <c r="P353">
        <v>58.8</v>
      </c>
      <c r="Q353" s="1" t="str">
        <v/>
      </c>
      <c r="R353" s="1" t="str">
        <v/>
      </c>
      <c r="S353" s="3">
        <v>0</v>
      </c>
      <c r="T353" s="3">
        <v>0</v>
      </c>
    </row>
    <row r="354" spans="1:20" x14ac:dyDescent="0.25">
      <c r="A354" t="s">
        <v>78</v>
      </c>
      <c r="B354" t="s">
        <v>79</v>
      </c>
      <c r="C354" t="s">
        <v>190</v>
      </c>
      <c r="D354" t="s">
        <v>191</v>
      </c>
      <c r="E354">
        <v>1371.05</v>
      </c>
      <c r="F354">
        <v>1371.05</v>
      </c>
      <c r="G354">
        <v>1377.8</v>
      </c>
      <c r="H354">
        <v>1320.1</v>
      </c>
      <c r="I354" s="1">
        <v>1336.4</v>
      </c>
      <c r="J354">
        <v>2480243725.4499998</v>
      </c>
      <c r="K354">
        <v>1844711</v>
      </c>
      <c r="L354" t="s">
        <v>78</v>
      </c>
      <c r="M354" t="s">
        <v>17</v>
      </c>
      <c r="N354">
        <v>97601</v>
      </c>
      <c r="O354">
        <v>1409.9</v>
      </c>
      <c r="P354">
        <v>730.45</v>
      </c>
      <c r="Q354" s="1">
        <v>959.15</v>
      </c>
      <c r="R354" s="1">
        <v>550</v>
      </c>
      <c r="S354" s="3">
        <v>2.802614841244444E-2</v>
      </c>
      <c r="T354" s="3">
        <v>4.5365422815884404E-2</v>
      </c>
    </row>
    <row r="355" spans="1:20" x14ac:dyDescent="0.25">
      <c r="A355" t="s">
        <v>78</v>
      </c>
      <c r="B355" t="s">
        <v>79</v>
      </c>
      <c r="C355" t="s">
        <v>6304</v>
      </c>
      <c r="D355" t="s">
        <v>6303</v>
      </c>
      <c r="E355">
        <v>160.1</v>
      </c>
      <c r="F355">
        <v>160.22</v>
      </c>
      <c r="G355">
        <v>163.69999999999999</v>
      </c>
      <c r="H355">
        <v>155.5</v>
      </c>
      <c r="I355" s="1">
        <v>157</v>
      </c>
      <c r="J355">
        <v>11953881.07</v>
      </c>
      <c r="K355">
        <v>75146</v>
      </c>
      <c r="L355" t="s">
        <v>78</v>
      </c>
      <c r="M355" t="s">
        <v>17</v>
      </c>
      <c r="N355">
        <v>1632</v>
      </c>
      <c r="O355">
        <v>186.4</v>
      </c>
      <c r="P355">
        <v>117.65</v>
      </c>
      <c r="Q355" s="1" t="str">
        <v/>
      </c>
      <c r="R355" s="1" t="str">
        <v/>
      </c>
      <c r="S355" s="3">
        <v>0</v>
      </c>
      <c r="T355" s="3">
        <v>0</v>
      </c>
    </row>
    <row r="356" spans="1:20" x14ac:dyDescent="0.25">
      <c r="A356" t="s">
        <v>78</v>
      </c>
      <c r="B356" t="s">
        <v>862</v>
      </c>
      <c r="C356" t="s">
        <v>6302</v>
      </c>
      <c r="D356" t="s">
        <v>6301</v>
      </c>
      <c r="E356">
        <v>121.1</v>
      </c>
      <c r="F356">
        <v>121.1</v>
      </c>
      <c r="G356">
        <v>122</v>
      </c>
      <c r="H356">
        <v>119.45</v>
      </c>
      <c r="I356" s="1">
        <v>120.5</v>
      </c>
      <c r="J356">
        <v>683263.85</v>
      </c>
      <c r="K356">
        <v>5701</v>
      </c>
      <c r="L356" t="s">
        <v>78</v>
      </c>
      <c r="M356" t="s">
        <v>17</v>
      </c>
      <c r="N356">
        <v>34</v>
      </c>
      <c r="O356">
        <v>132.85</v>
      </c>
      <c r="P356">
        <v>105</v>
      </c>
      <c r="Q356" s="1" t="str">
        <v/>
      </c>
      <c r="R356" s="1" t="str">
        <v/>
      </c>
      <c r="S356" s="3">
        <v>0</v>
      </c>
      <c r="T356" s="3">
        <v>0</v>
      </c>
    </row>
    <row r="357" spans="1:20" x14ac:dyDescent="0.25">
      <c r="A357" t="s">
        <v>78</v>
      </c>
      <c r="B357" t="s">
        <v>79</v>
      </c>
      <c r="C357" t="s">
        <v>510</v>
      </c>
      <c r="D357" t="s">
        <v>511</v>
      </c>
      <c r="E357">
        <v>2025.1</v>
      </c>
      <c r="F357">
        <v>2028</v>
      </c>
      <c r="G357">
        <v>2048</v>
      </c>
      <c r="H357">
        <v>1995</v>
      </c>
      <c r="I357" s="1">
        <v>2014.35</v>
      </c>
      <c r="J357">
        <v>64453619.700000003</v>
      </c>
      <c r="K357">
        <v>31965</v>
      </c>
      <c r="L357" t="s">
        <v>78</v>
      </c>
      <c r="M357" t="s">
        <v>17</v>
      </c>
      <c r="N357">
        <v>3433</v>
      </c>
      <c r="O357">
        <v>2460</v>
      </c>
      <c r="P357">
        <v>1742.15</v>
      </c>
      <c r="Q357" s="1">
        <v>1350.1</v>
      </c>
      <c r="R357" s="1">
        <v>880.1</v>
      </c>
      <c r="S357" s="3">
        <v>3.3905271490956235E-2</v>
      </c>
      <c r="T357" s="3">
        <v>4.2246148353839441E-2</v>
      </c>
    </row>
    <row r="358" spans="1:20" x14ac:dyDescent="0.25">
      <c r="A358" t="s">
        <v>78</v>
      </c>
      <c r="B358" t="s">
        <v>79</v>
      </c>
      <c r="C358" t="s">
        <v>3032</v>
      </c>
      <c r="D358" t="s">
        <v>3033</v>
      </c>
      <c r="E358">
        <v>128.13999999999999</v>
      </c>
      <c r="F358">
        <v>129.4</v>
      </c>
      <c r="G358">
        <v>137.69999999999999</v>
      </c>
      <c r="H358">
        <v>127.61</v>
      </c>
      <c r="I358" s="1">
        <v>132.47</v>
      </c>
      <c r="J358">
        <v>60878427.270000003</v>
      </c>
      <c r="K358">
        <v>459315</v>
      </c>
      <c r="L358" t="s">
        <v>78</v>
      </c>
      <c r="M358" t="s">
        <v>17</v>
      </c>
      <c r="N358">
        <v>10103</v>
      </c>
      <c r="O358">
        <v>165.3</v>
      </c>
      <c r="P358">
        <v>95.8</v>
      </c>
      <c r="Q358" s="1">
        <v>46.1</v>
      </c>
      <c r="R358" s="1">
        <v>46.55</v>
      </c>
      <c r="S358" s="3">
        <v>9.1946559448397469E-2</v>
      </c>
      <c r="T358" s="3">
        <v>5.365263015006394E-2</v>
      </c>
    </row>
    <row r="359" spans="1:20" x14ac:dyDescent="0.25">
      <c r="A359" t="s">
        <v>78</v>
      </c>
      <c r="B359" t="s">
        <v>79</v>
      </c>
      <c r="C359" t="s">
        <v>512</v>
      </c>
      <c r="D359" t="s">
        <v>513</v>
      </c>
      <c r="E359">
        <v>655.35</v>
      </c>
      <c r="F359">
        <v>657</v>
      </c>
      <c r="G359">
        <v>657</v>
      </c>
      <c r="H359">
        <v>640</v>
      </c>
      <c r="I359" s="1">
        <v>645.65</v>
      </c>
      <c r="J359">
        <v>40394809.700000003</v>
      </c>
      <c r="K359">
        <v>62454</v>
      </c>
      <c r="L359" t="s">
        <v>78</v>
      </c>
      <c r="M359" t="s">
        <v>17</v>
      </c>
      <c r="N359">
        <v>4616</v>
      </c>
      <c r="O359">
        <v>855</v>
      </c>
      <c r="P359">
        <v>479.55</v>
      </c>
      <c r="Q359" s="1">
        <v>461</v>
      </c>
      <c r="R359" s="1">
        <v>261</v>
      </c>
      <c r="S359" s="3">
        <v>2.8469347468365935E-2</v>
      </c>
      <c r="T359" s="3">
        <v>4.6302014303904571E-2</v>
      </c>
    </row>
    <row r="360" spans="1:20" x14ac:dyDescent="0.25">
      <c r="A360" t="s">
        <v>78</v>
      </c>
      <c r="B360" t="s">
        <v>79</v>
      </c>
      <c r="C360" t="s">
        <v>6300</v>
      </c>
      <c r="D360" t="s">
        <v>6299</v>
      </c>
      <c r="E360">
        <v>532.4</v>
      </c>
      <c r="F360">
        <v>534</v>
      </c>
      <c r="G360">
        <v>535</v>
      </c>
      <c r="H360">
        <v>520</v>
      </c>
      <c r="I360" s="1">
        <v>523.9</v>
      </c>
      <c r="J360">
        <v>34442719.899999999</v>
      </c>
      <c r="K360">
        <v>65630</v>
      </c>
      <c r="L360" t="s">
        <v>78</v>
      </c>
      <c r="M360" t="s">
        <v>17</v>
      </c>
      <c r="N360">
        <v>4910</v>
      </c>
      <c r="O360">
        <v>705.6</v>
      </c>
      <c r="P360">
        <v>449.25</v>
      </c>
      <c r="Q360" s="1" t="str">
        <v/>
      </c>
      <c r="R360" s="1" t="str">
        <v/>
      </c>
      <c r="S360" s="3">
        <v>0</v>
      </c>
      <c r="T360" s="3">
        <v>0</v>
      </c>
    </row>
    <row r="361" spans="1:20" x14ac:dyDescent="0.25">
      <c r="A361" t="s">
        <v>78</v>
      </c>
      <c r="B361" t="s">
        <v>79</v>
      </c>
      <c r="C361" t="s">
        <v>514</v>
      </c>
      <c r="D361" t="s">
        <v>515</v>
      </c>
      <c r="E361">
        <v>595.95000000000005</v>
      </c>
      <c r="F361">
        <v>609.85</v>
      </c>
      <c r="G361">
        <v>623.95000000000005</v>
      </c>
      <c r="H361">
        <v>595.54999999999995</v>
      </c>
      <c r="I361" s="1">
        <v>616.04999999999995</v>
      </c>
      <c r="J361">
        <v>1318788587.6500001</v>
      </c>
      <c r="K361">
        <v>2145039</v>
      </c>
      <c r="L361" t="s">
        <v>78</v>
      </c>
      <c r="M361" t="s">
        <v>17</v>
      </c>
      <c r="N361">
        <v>57757</v>
      </c>
      <c r="O361">
        <v>672</v>
      </c>
      <c r="P361">
        <v>385.9</v>
      </c>
      <c r="Q361" s="1">
        <v>625.29999999999995</v>
      </c>
      <c r="R361" s="1">
        <v>312.64999999999998</v>
      </c>
      <c r="S361" s="3">
        <v>-1.2411795572505602E-3</v>
      </c>
      <c r="T361" s="3">
        <v>3.4474550272882265E-2</v>
      </c>
    </row>
    <row r="362" spans="1:20" x14ac:dyDescent="0.25">
      <c r="A362" t="s">
        <v>78</v>
      </c>
      <c r="B362" t="s">
        <v>79</v>
      </c>
      <c r="C362" t="s">
        <v>6298</v>
      </c>
      <c r="D362" t="s">
        <v>6297</v>
      </c>
      <c r="E362">
        <v>498.55</v>
      </c>
      <c r="F362">
        <v>501.95</v>
      </c>
      <c r="G362">
        <v>503.95</v>
      </c>
      <c r="H362">
        <v>480.5</v>
      </c>
      <c r="I362" s="1">
        <v>485.2</v>
      </c>
      <c r="J362">
        <v>27840307.550000001</v>
      </c>
      <c r="K362">
        <v>56489</v>
      </c>
      <c r="L362" t="s">
        <v>78</v>
      </c>
      <c r="M362" t="s">
        <v>17</v>
      </c>
      <c r="N362">
        <v>4657</v>
      </c>
      <c r="O362">
        <v>668.4</v>
      </c>
      <c r="P362">
        <v>238.15</v>
      </c>
      <c r="Q362" s="1" t="str">
        <v/>
      </c>
      <c r="R362" s="1">
        <v>79.75</v>
      </c>
      <c r="S362" s="3">
        <v>0</v>
      </c>
      <c r="T362" s="3">
        <v>9.4430108143640945E-2</v>
      </c>
    </row>
    <row r="363" spans="1:20" x14ac:dyDescent="0.25">
      <c r="A363" t="s">
        <v>78</v>
      </c>
      <c r="B363" t="s">
        <v>287</v>
      </c>
      <c r="C363" t="s">
        <v>6296</v>
      </c>
      <c r="D363" t="s">
        <v>6295</v>
      </c>
      <c r="E363">
        <v>146.05000000000001</v>
      </c>
      <c r="F363">
        <v>144</v>
      </c>
      <c r="G363">
        <v>147.85</v>
      </c>
      <c r="H363">
        <v>140.30000000000001</v>
      </c>
      <c r="I363" s="1">
        <v>143</v>
      </c>
      <c r="J363">
        <v>22687040</v>
      </c>
      <c r="K363">
        <v>158400</v>
      </c>
      <c r="L363" t="s">
        <v>78</v>
      </c>
      <c r="M363" t="s">
        <v>17</v>
      </c>
      <c r="N363">
        <v>97</v>
      </c>
      <c r="O363">
        <v>162.94999999999999</v>
      </c>
      <c r="P363">
        <v>63</v>
      </c>
      <c r="Q363" s="1" t="str">
        <v/>
      </c>
      <c r="R363" s="1" t="str">
        <v/>
      </c>
      <c r="S363" s="3">
        <v>0</v>
      </c>
      <c r="T363" s="3">
        <v>0</v>
      </c>
    </row>
    <row r="364" spans="1:20" x14ac:dyDescent="0.25">
      <c r="A364" t="s">
        <v>78</v>
      </c>
      <c r="B364" t="s">
        <v>79</v>
      </c>
      <c r="C364" t="s">
        <v>516</v>
      </c>
      <c r="D364" t="s">
        <v>517</v>
      </c>
      <c r="E364">
        <v>112.79</v>
      </c>
      <c r="F364">
        <v>112.79</v>
      </c>
      <c r="G364">
        <v>114.6</v>
      </c>
      <c r="H364">
        <v>111.16</v>
      </c>
      <c r="I364" s="1">
        <v>113.41</v>
      </c>
      <c r="J364">
        <v>1035357.42</v>
      </c>
      <c r="K364">
        <v>9174</v>
      </c>
      <c r="L364" t="s">
        <v>78</v>
      </c>
      <c r="M364" t="s">
        <v>17</v>
      </c>
      <c r="N364">
        <v>425</v>
      </c>
      <c r="O364">
        <v>170.85</v>
      </c>
      <c r="P364">
        <v>94</v>
      </c>
      <c r="Q364" s="1">
        <v>61</v>
      </c>
      <c r="R364" s="1" t="str">
        <v/>
      </c>
      <c r="S364" s="3">
        <v>5.3036584385507402E-2</v>
      </c>
      <c r="T364" s="3">
        <v>0</v>
      </c>
    </row>
    <row r="365" spans="1:20" x14ac:dyDescent="0.25">
      <c r="A365" t="s">
        <v>78</v>
      </c>
      <c r="B365" t="s">
        <v>79</v>
      </c>
      <c r="C365" t="s">
        <v>518</v>
      </c>
      <c r="D365" t="s">
        <v>519</v>
      </c>
      <c r="E365">
        <v>90.55</v>
      </c>
      <c r="F365">
        <v>90.85</v>
      </c>
      <c r="G365">
        <v>90.85</v>
      </c>
      <c r="H365">
        <v>88.3</v>
      </c>
      <c r="I365" s="1">
        <v>88.96</v>
      </c>
      <c r="J365">
        <v>15610059.470000001</v>
      </c>
      <c r="K365">
        <v>174706</v>
      </c>
      <c r="L365" t="s">
        <v>78</v>
      </c>
      <c r="M365" t="s">
        <v>17</v>
      </c>
      <c r="N365">
        <v>4575</v>
      </c>
      <c r="O365">
        <v>115.65</v>
      </c>
      <c r="P365">
        <v>74</v>
      </c>
      <c r="Q365" s="1">
        <v>78.25</v>
      </c>
      <c r="R365" s="1">
        <v>22.05</v>
      </c>
      <c r="S365" s="3">
        <v>1.0747173830469858E-2</v>
      </c>
      <c r="T365" s="3">
        <v>7.2192391926894084E-2</v>
      </c>
    </row>
    <row r="366" spans="1:20" x14ac:dyDescent="0.25">
      <c r="A366" t="s">
        <v>78</v>
      </c>
      <c r="B366" t="s">
        <v>79</v>
      </c>
      <c r="C366" t="s">
        <v>6294</v>
      </c>
      <c r="D366" t="s">
        <v>6293</v>
      </c>
      <c r="E366">
        <v>631.54999999999995</v>
      </c>
      <c r="F366">
        <v>633.15</v>
      </c>
      <c r="G366">
        <v>757.85</v>
      </c>
      <c r="H366">
        <v>632</v>
      </c>
      <c r="I366" s="1">
        <v>701.3</v>
      </c>
      <c r="J366">
        <v>1840472657.4000001</v>
      </c>
      <c r="K366">
        <v>2608734</v>
      </c>
      <c r="L366" t="s">
        <v>78</v>
      </c>
      <c r="M366" t="s">
        <v>17</v>
      </c>
      <c r="N366">
        <v>93099</v>
      </c>
      <c r="O366">
        <v>757.85</v>
      </c>
      <c r="P366">
        <v>371.4</v>
      </c>
      <c r="Q366" s="1" t="str">
        <v/>
      </c>
      <c r="R366" s="1" t="str">
        <v/>
      </c>
      <c r="S366" s="3">
        <v>0</v>
      </c>
      <c r="T366" s="3">
        <v>0</v>
      </c>
    </row>
    <row r="367" spans="1:20" x14ac:dyDescent="0.25">
      <c r="A367" t="s">
        <v>78</v>
      </c>
      <c r="B367" t="s">
        <v>79</v>
      </c>
      <c r="C367" t="s">
        <v>520</v>
      </c>
      <c r="D367" t="s">
        <v>521</v>
      </c>
      <c r="E367">
        <v>620.35</v>
      </c>
      <c r="F367">
        <v>626.79999999999995</v>
      </c>
      <c r="G367">
        <v>636.79999999999995</v>
      </c>
      <c r="H367">
        <v>615.04999999999995</v>
      </c>
      <c r="I367" s="1">
        <v>619.45000000000005</v>
      </c>
      <c r="J367">
        <v>355083588.55000001</v>
      </c>
      <c r="K367">
        <v>566986</v>
      </c>
      <c r="L367" t="s">
        <v>78</v>
      </c>
      <c r="M367" t="s">
        <v>17</v>
      </c>
      <c r="N367">
        <v>24457</v>
      </c>
      <c r="O367">
        <v>636.79999999999995</v>
      </c>
      <c r="P367">
        <v>309.8</v>
      </c>
      <c r="Q367" s="1">
        <v>356</v>
      </c>
      <c r="R367" s="1" t="str">
        <v/>
      </c>
      <c r="S367" s="3">
        <v>4.724032053723648E-2</v>
      </c>
      <c r="T367" s="3">
        <v>0</v>
      </c>
    </row>
    <row r="368" spans="1:20" x14ac:dyDescent="0.25">
      <c r="A368" t="s">
        <v>78</v>
      </c>
      <c r="B368" t="s">
        <v>79</v>
      </c>
      <c r="C368" t="s">
        <v>6292</v>
      </c>
      <c r="D368" t="s">
        <v>6291</v>
      </c>
      <c r="E368">
        <v>330.75</v>
      </c>
      <c r="F368">
        <v>330.75</v>
      </c>
      <c r="G368">
        <v>331.3</v>
      </c>
      <c r="H368">
        <v>323.10000000000002</v>
      </c>
      <c r="I368" s="1">
        <v>324.25</v>
      </c>
      <c r="J368">
        <v>678118943.39999998</v>
      </c>
      <c r="K368">
        <v>2079538</v>
      </c>
      <c r="L368" t="s">
        <v>78</v>
      </c>
      <c r="M368" t="s">
        <v>17</v>
      </c>
      <c r="N368">
        <v>37447</v>
      </c>
      <c r="O368">
        <v>422.7</v>
      </c>
      <c r="P368">
        <v>285.8</v>
      </c>
      <c r="Q368" s="1" t="str">
        <v/>
      </c>
      <c r="R368" s="1" t="str">
        <v/>
      </c>
      <c r="S368" s="3">
        <v>0</v>
      </c>
      <c r="T368" s="3">
        <v>0</v>
      </c>
    </row>
    <row r="369" spans="1:20" x14ac:dyDescent="0.25">
      <c r="A369" t="s">
        <v>78</v>
      </c>
      <c r="B369" t="s">
        <v>79</v>
      </c>
      <c r="C369" t="s">
        <v>3034</v>
      </c>
      <c r="D369" t="s">
        <v>3035</v>
      </c>
      <c r="E369">
        <v>581.95000000000005</v>
      </c>
      <c r="F369">
        <v>585</v>
      </c>
      <c r="G369">
        <v>585.9</v>
      </c>
      <c r="H369">
        <v>557.20000000000005</v>
      </c>
      <c r="I369" s="1">
        <v>559.29999999999995</v>
      </c>
      <c r="J369">
        <v>96723047.700000003</v>
      </c>
      <c r="K369">
        <v>171110</v>
      </c>
      <c r="L369" t="s">
        <v>78</v>
      </c>
      <c r="M369" t="s">
        <v>17</v>
      </c>
      <c r="N369">
        <v>10725</v>
      </c>
      <c r="O369">
        <v>850</v>
      </c>
      <c r="P369">
        <v>432.55</v>
      </c>
      <c r="Q369" s="1">
        <v>94.5</v>
      </c>
      <c r="R369" s="1">
        <v>65.05</v>
      </c>
      <c r="S369" s="3">
        <v>0.15971449204594701</v>
      </c>
      <c r="T369" s="3">
        <v>0.11351043174871922</v>
      </c>
    </row>
    <row r="370" spans="1:20" x14ac:dyDescent="0.25">
      <c r="A370" t="s">
        <v>78</v>
      </c>
      <c r="B370" t="s">
        <v>79</v>
      </c>
      <c r="C370" t="s">
        <v>6290</v>
      </c>
      <c r="D370" t="s">
        <v>6289</v>
      </c>
      <c r="E370">
        <v>21.21</v>
      </c>
      <c r="F370">
        <v>21.35</v>
      </c>
      <c r="G370">
        <v>21.49</v>
      </c>
      <c r="H370">
        <v>20.8</v>
      </c>
      <c r="I370" s="1">
        <v>21.01</v>
      </c>
      <c r="J370">
        <v>17385087.760000002</v>
      </c>
      <c r="K370">
        <v>824188</v>
      </c>
      <c r="L370" t="s">
        <v>78</v>
      </c>
      <c r="M370" t="s">
        <v>17</v>
      </c>
      <c r="N370">
        <v>4410</v>
      </c>
      <c r="O370">
        <v>40.6</v>
      </c>
      <c r="P370">
        <v>19.75</v>
      </c>
      <c r="Q370" s="1" t="str">
        <v/>
      </c>
      <c r="R370" s="1" t="str">
        <v/>
      </c>
      <c r="S370" s="3">
        <v>0</v>
      </c>
      <c r="T370" s="3">
        <v>0</v>
      </c>
    </row>
    <row r="371" spans="1:20" x14ac:dyDescent="0.25">
      <c r="A371" t="s">
        <v>78</v>
      </c>
      <c r="B371" t="s">
        <v>79</v>
      </c>
      <c r="C371" t="s">
        <v>522</v>
      </c>
      <c r="D371" t="s">
        <v>523</v>
      </c>
      <c r="E371">
        <v>120.27</v>
      </c>
      <c r="F371">
        <v>122.05</v>
      </c>
      <c r="G371">
        <v>124</v>
      </c>
      <c r="H371">
        <v>116</v>
      </c>
      <c r="I371" s="1">
        <v>117.32</v>
      </c>
      <c r="J371">
        <v>7873209.2800000003</v>
      </c>
      <c r="K371">
        <v>66061</v>
      </c>
      <c r="L371" t="s">
        <v>78</v>
      </c>
      <c r="M371" t="s">
        <v>17</v>
      </c>
      <c r="N371">
        <v>2759</v>
      </c>
      <c r="O371">
        <v>125.29</v>
      </c>
      <c r="P371">
        <v>63.15</v>
      </c>
      <c r="Q371" s="1">
        <v>80.25</v>
      </c>
      <c r="R371" s="1">
        <v>29.9</v>
      </c>
      <c r="S371" s="3">
        <v>3.215261633890254E-2</v>
      </c>
      <c r="T371" s="3">
        <v>7.0702425329568053E-2</v>
      </c>
    </row>
    <row r="372" spans="1:20" x14ac:dyDescent="0.25">
      <c r="A372" t="s">
        <v>78</v>
      </c>
      <c r="B372" t="s">
        <v>79</v>
      </c>
      <c r="C372" t="s">
        <v>6288</v>
      </c>
      <c r="D372" t="s">
        <v>6287</v>
      </c>
      <c r="E372">
        <v>1681.75</v>
      </c>
      <c r="F372">
        <v>1689.45</v>
      </c>
      <c r="G372">
        <v>1708.8</v>
      </c>
      <c r="H372">
        <v>1639.75</v>
      </c>
      <c r="I372" s="1">
        <v>1647.65</v>
      </c>
      <c r="J372">
        <v>1920175937.3</v>
      </c>
      <c r="K372">
        <v>1159068</v>
      </c>
      <c r="L372" t="s">
        <v>78</v>
      </c>
      <c r="M372" t="s">
        <v>17</v>
      </c>
      <c r="N372">
        <v>17201</v>
      </c>
      <c r="O372">
        <v>2080</v>
      </c>
      <c r="P372">
        <v>642.4</v>
      </c>
      <c r="Q372" s="1" t="str">
        <v/>
      </c>
      <c r="R372" s="1" t="str">
        <v/>
      </c>
      <c r="S372" s="3">
        <v>0</v>
      </c>
      <c r="T372" s="3">
        <v>0</v>
      </c>
    </row>
    <row r="373" spans="1:20" x14ac:dyDescent="0.25">
      <c r="A373" t="s">
        <v>78</v>
      </c>
      <c r="B373" t="s">
        <v>287</v>
      </c>
      <c r="C373" t="s">
        <v>6286</v>
      </c>
      <c r="D373" t="s">
        <v>6285</v>
      </c>
      <c r="E373">
        <v>54.5</v>
      </c>
      <c r="F373">
        <v>53.6</v>
      </c>
      <c r="G373">
        <v>54.45</v>
      </c>
      <c r="H373">
        <v>52.65</v>
      </c>
      <c r="I373" s="1">
        <v>54.45</v>
      </c>
      <c r="J373">
        <v>857120</v>
      </c>
      <c r="K373">
        <v>16000</v>
      </c>
      <c r="L373" t="s">
        <v>78</v>
      </c>
      <c r="M373" t="s">
        <v>17</v>
      </c>
      <c r="N373">
        <v>10</v>
      </c>
      <c r="O373">
        <v>80.7</v>
      </c>
      <c r="P373">
        <v>48.2</v>
      </c>
      <c r="Q373" s="1" t="str">
        <v/>
      </c>
      <c r="R373" s="1" t="str">
        <v/>
      </c>
      <c r="S373" s="3">
        <v>0</v>
      </c>
      <c r="T373" s="3">
        <v>0</v>
      </c>
    </row>
    <row r="374" spans="1:20" x14ac:dyDescent="0.25">
      <c r="A374" t="s">
        <v>78</v>
      </c>
      <c r="B374" t="s">
        <v>287</v>
      </c>
      <c r="C374" t="s">
        <v>6284</v>
      </c>
      <c r="D374" t="s">
        <v>6283</v>
      </c>
      <c r="E374">
        <v>290</v>
      </c>
      <c r="F374">
        <v>280.10000000000002</v>
      </c>
      <c r="G374">
        <v>292</v>
      </c>
      <c r="H374">
        <v>280.10000000000002</v>
      </c>
      <c r="I374" s="1">
        <v>290</v>
      </c>
      <c r="J374">
        <v>2816175</v>
      </c>
      <c r="K374">
        <v>9750</v>
      </c>
      <c r="L374" t="s">
        <v>78</v>
      </c>
      <c r="M374" t="s">
        <v>17</v>
      </c>
      <c r="N374">
        <v>11</v>
      </c>
      <c r="O374">
        <v>328</v>
      </c>
      <c r="P374">
        <v>105</v>
      </c>
      <c r="Q374" s="1" t="str">
        <v/>
      </c>
      <c r="R374" s="1" t="str">
        <v/>
      </c>
      <c r="S374" s="3">
        <v>0</v>
      </c>
      <c r="T374" s="3">
        <v>0</v>
      </c>
    </row>
    <row r="375" spans="1:20" x14ac:dyDescent="0.25">
      <c r="A375" t="s">
        <v>78</v>
      </c>
      <c r="B375" t="s">
        <v>79</v>
      </c>
      <c r="C375" t="s">
        <v>6282</v>
      </c>
      <c r="D375" t="s">
        <v>6281</v>
      </c>
      <c r="E375">
        <v>19.260000000000002</v>
      </c>
      <c r="F375">
        <v>19.5</v>
      </c>
      <c r="G375">
        <v>20.100000000000001</v>
      </c>
      <c r="H375">
        <v>19.2</v>
      </c>
      <c r="I375" s="1">
        <v>19.420000000000002</v>
      </c>
      <c r="J375">
        <v>61679724.329999998</v>
      </c>
      <c r="K375">
        <v>3141339</v>
      </c>
      <c r="L375" t="s">
        <v>78</v>
      </c>
      <c r="M375" t="s">
        <v>17</v>
      </c>
      <c r="N375">
        <v>5973</v>
      </c>
      <c r="O375">
        <v>46.5</v>
      </c>
      <c r="P375">
        <v>16.88</v>
      </c>
      <c r="Q375" s="1" t="str">
        <v/>
      </c>
      <c r="R375" s="1" t="str">
        <v/>
      </c>
      <c r="S375" s="3">
        <v>0</v>
      </c>
      <c r="T375" s="3">
        <v>0</v>
      </c>
    </row>
    <row r="376" spans="1:20" x14ac:dyDescent="0.25">
      <c r="A376" t="s">
        <v>78</v>
      </c>
      <c r="B376" t="s">
        <v>79</v>
      </c>
      <c r="C376" t="s">
        <v>526</v>
      </c>
      <c r="D376" t="s">
        <v>527</v>
      </c>
      <c r="E376">
        <v>274.39999999999998</v>
      </c>
      <c r="F376">
        <v>274.35000000000002</v>
      </c>
      <c r="G376">
        <v>286.89999999999998</v>
      </c>
      <c r="H376">
        <v>271</v>
      </c>
      <c r="I376" s="1">
        <v>279.95</v>
      </c>
      <c r="J376">
        <v>685705093.95000005</v>
      </c>
      <c r="K376">
        <v>2438617</v>
      </c>
      <c r="L376" t="s">
        <v>78</v>
      </c>
      <c r="M376" t="s">
        <v>17</v>
      </c>
      <c r="N376">
        <v>44840</v>
      </c>
      <c r="O376">
        <v>286.89999999999998</v>
      </c>
      <c r="P376">
        <v>196.55</v>
      </c>
      <c r="Q376" s="1">
        <v>288</v>
      </c>
      <c r="R376" s="1">
        <v>295.25</v>
      </c>
      <c r="S376" s="3">
        <v>-2.3596669603423992E-3</v>
      </c>
      <c r="T376" s="3">
        <v>-2.6555826004318606E-3</v>
      </c>
    </row>
    <row r="377" spans="1:20" x14ac:dyDescent="0.25">
      <c r="A377" t="s">
        <v>78</v>
      </c>
      <c r="B377" t="s">
        <v>79</v>
      </c>
      <c r="C377" t="s">
        <v>528</v>
      </c>
      <c r="D377" t="s">
        <v>529</v>
      </c>
      <c r="E377">
        <v>1056.8</v>
      </c>
      <c r="F377">
        <v>1020</v>
      </c>
      <c r="G377">
        <v>1049.95</v>
      </c>
      <c r="H377">
        <v>984.7</v>
      </c>
      <c r="I377" s="1">
        <v>1010.85</v>
      </c>
      <c r="J377">
        <v>110785990.55</v>
      </c>
      <c r="K377">
        <v>108164</v>
      </c>
      <c r="L377" t="s">
        <v>78</v>
      </c>
      <c r="M377" t="s">
        <v>17</v>
      </c>
      <c r="N377">
        <v>12011</v>
      </c>
      <c r="O377">
        <v>1327.7</v>
      </c>
      <c r="P377">
        <v>820.15</v>
      </c>
      <c r="Q377" s="1">
        <v>1025.2</v>
      </c>
      <c r="R377" s="1">
        <v>446.2</v>
      </c>
      <c r="S377" s="3">
        <v>-1.1739898698643891E-3</v>
      </c>
      <c r="T377" s="3">
        <v>4.1713116382882776E-2</v>
      </c>
    </row>
    <row r="378" spans="1:20" x14ac:dyDescent="0.25">
      <c r="A378" t="s">
        <v>78</v>
      </c>
      <c r="B378" t="s">
        <v>79</v>
      </c>
      <c r="C378" t="s">
        <v>6280</v>
      </c>
      <c r="D378" t="s">
        <v>6279</v>
      </c>
      <c r="E378">
        <v>372.45</v>
      </c>
      <c r="F378">
        <v>373.8</v>
      </c>
      <c r="G378">
        <v>376.45</v>
      </c>
      <c r="H378">
        <v>362.45</v>
      </c>
      <c r="I378" s="1">
        <v>364.25</v>
      </c>
      <c r="J378">
        <v>86798819.200000003</v>
      </c>
      <c r="K378">
        <v>236453</v>
      </c>
      <c r="L378" t="s">
        <v>78</v>
      </c>
      <c r="M378" t="s">
        <v>17</v>
      </c>
      <c r="N378">
        <v>12115</v>
      </c>
      <c r="O378">
        <v>513.4</v>
      </c>
      <c r="P378">
        <v>263.3</v>
      </c>
      <c r="Q378" s="1" t="str">
        <v/>
      </c>
      <c r="R378" s="1" t="str">
        <v/>
      </c>
      <c r="S378" s="3">
        <v>0</v>
      </c>
      <c r="T378" s="3">
        <v>0</v>
      </c>
    </row>
    <row r="379" spans="1:20" x14ac:dyDescent="0.25">
      <c r="A379" t="s">
        <v>78</v>
      </c>
      <c r="B379" t="s">
        <v>79</v>
      </c>
      <c r="C379" t="s">
        <v>3038</v>
      </c>
      <c r="D379" t="s">
        <v>3039</v>
      </c>
      <c r="E379">
        <v>41.84</v>
      </c>
      <c r="F379">
        <v>42</v>
      </c>
      <c r="G379">
        <v>42</v>
      </c>
      <c r="H379">
        <v>40.340000000000003</v>
      </c>
      <c r="I379" s="1">
        <v>40.799999999999997</v>
      </c>
      <c r="J379">
        <v>698160399.59000003</v>
      </c>
      <c r="K379">
        <v>17045277</v>
      </c>
      <c r="L379" t="s">
        <v>78</v>
      </c>
      <c r="M379" t="s">
        <v>17</v>
      </c>
      <c r="N379">
        <v>46105</v>
      </c>
      <c r="O379">
        <v>44.95</v>
      </c>
      <c r="P379">
        <v>15.9</v>
      </c>
      <c r="Q379" s="1">
        <v>18.2</v>
      </c>
      <c r="R379" s="1">
        <v>7</v>
      </c>
      <c r="S379" s="3">
        <v>6.9586053011444715E-2</v>
      </c>
      <c r="T379" s="3">
        <v>9.2086763526083359E-2</v>
      </c>
    </row>
    <row r="380" spans="1:20" x14ac:dyDescent="0.25">
      <c r="A380" t="s">
        <v>78</v>
      </c>
      <c r="B380" t="s">
        <v>79</v>
      </c>
      <c r="C380" t="s">
        <v>6278</v>
      </c>
      <c r="D380" t="s">
        <v>6277</v>
      </c>
      <c r="E380">
        <v>281.25</v>
      </c>
      <c r="F380">
        <v>280.75</v>
      </c>
      <c r="G380">
        <v>288.7</v>
      </c>
      <c r="H380">
        <v>276.35000000000002</v>
      </c>
      <c r="I380" s="1">
        <v>282.39999999999998</v>
      </c>
      <c r="J380">
        <v>139787995.69999999</v>
      </c>
      <c r="K380">
        <v>494245</v>
      </c>
      <c r="L380" t="s">
        <v>78</v>
      </c>
      <c r="M380" t="s">
        <v>17</v>
      </c>
      <c r="N380">
        <v>8454</v>
      </c>
      <c r="O380">
        <v>330</v>
      </c>
      <c r="P380">
        <v>108.25</v>
      </c>
      <c r="Q380" s="1" t="str">
        <v/>
      </c>
      <c r="R380" s="1" t="str">
        <v/>
      </c>
      <c r="S380" s="3">
        <v>0</v>
      </c>
      <c r="T380" s="3">
        <v>0</v>
      </c>
    </row>
    <row r="381" spans="1:20" x14ac:dyDescent="0.25">
      <c r="A381" t="s">
        <v>78</v>
      </c>
      <c r="B381" t="s">
        <v>79</v>
      </c>
      <c r="C381" t="s">
        <v>530</v>
      </c>
      <c r="D381" t="s">
        <v>531</v>
      </c>
      <c r="E381">
        <v>69.87</v>
      </c>
      <c r="F381">
        <v>70.38</v>
      </c>
      <c r="G381">
        <v>70.39</v>
      </c>
      <c r="H381">
        <v>68</v>
      </c>
      <c r="I381" s="1">
        <v>69.34</v>
      </c>
      <c r="J381">
        <v>11378359.859999999</v>
      </c>
      <c r="K381">
        <v>164202</v>
      </c>
      <c r="L381" t="s">
        <v>78</v>
      </c>
      <c r="M381" t="s">
        <v>17</v>
      </c>
      <c r="N381">
        <v>2079</v>
      </c>
      <c r="O381">
        <v>143.69999999999999</v>
      </c>
      <c r="P381">
        <v>42.55</v>
      </c>
      <c r="Q381" s="1">
        <v>69</v>
      </c>
      <c r="R381" s="1">
        <v>52.5</v>
      </c>
      <c r="S381" s="3">
        <v>4.0970354388170094E-4</v>
      </c>
      <c r="T381" s="3">
        <v>1.3999914195436114E-2</v>
      </c>
    </row>
    <row r="382" spans="1:20" x14ac:dyDescent="0.25">
      <c r="A382" t="s">
        <v>78</v>
      </c>
      <c r="B382" t="s">
        <v>79</v>
      </c>
      <c r="C382" t="s">
        <v>532</v>
      </c>
      <c r="D382" t="s">
        <v>533</v>
      </c>
      <c r="E382">
        <v>2336.9499999999998</v>
      </c>
      <c r="F382">
        <v>2348.65</v>
      </c>
      <c r="G382">
        <v>2355.6999999999998</v>
      </c>
      <c r="H382">
        <v>2304</v>
      </c>
      <c r="I382" s="1">
        <v>2317.4499999999998</v>
      </c>
      <c r="J382">
        <v>89328886.599999994</v>
      </c>
      <c r="K382">
        <v>38472</v>
      </c>
      <c r="L382" t="s">
        <v>78</v>
      </c>
      <c r="M382" t="s">
        <v>17</v>
      </c>
      <c r="N382">
        <v>6896</v>
      </c>
      <c r="O382">
        <v>2735</v>
      </c>
      <c r="P382">
        <v>1960</v>
      </c>
      <c r="Q382" s="1">
        <v>2817.4</v>
      </c>
      <c r="R382" s="1">
        <v>280</v>
      </c>
      <c r="S382" s="3">
        <v>-1.6147133688275694E-2</v>
      </c>
      <c r="T382" s="3">
        <v>0.11139255755952626</v>
      </c>
    </row>
    <row r="383" spans="1:20" x14ac:dyDescent="0.25">
      <c r="A383" t="s">
        <v>78</v>
      </c>
      <c r="B383" t="s">
        <v>79</v>
      </c>
      <c r="C383" t="s">
        <v>534</v>
      </c>
      <c r="D383" t="s">
        <v>535</v>
      </c>
      <c r="E383">
        <v>108.69</v>
      </c>
      <c r="F383">
        <v>109.3</v>
      </c>
      <c r="G383">
        <v>114.98</v>
      </c>
      <c r="H383">
        <v>106.6</v>
      </c>
      <c r="I383" s="1">
        <v>109.42</v>
      </c>
      <c r="J383">
        <v>2767667.76</v>
      </c>
      <c r="K383">
        <v>25251</v>
      </c>
      <c r="L383" t="s">
        <v>78</v>
      </c>
      <c r="M383" t="s">
        <v>17</v>
      </c>
      <c r="N383">
        <v>531</v>
      </c>
      <c r="O383">
        <v>734.5</v>
      </c>
      <c r="P383">
        <v>93</v>
      </c>
      <c r="Q383" s="1">
        <v>630</v>
      </c>
      <c r="R383" s="1">
        <v>75.8</v>
      </c>
      <c r="S383" s="3">
        <v>-0.13573615234153236</v>
      </c>
      <c r="T383" s="3">
        <v>1.8514015893330127E-2</v>
      </c>
    </row>
    <row r="384" spans="1:20" x14ac:dyDescent="0.25">
      <c r="A384" t="s">
        <v>78</v>
      </c>
      <c r="B384" t="s">
        <v>79</v>
      </c>
      <c r="C384" t="s">
        <v>536</v>
      </c>
      <c r="D384" t="s">
        <v>537</v>
      </c>
      <c r="E384">
        <v>24.75</v>
      </c>
      <c r="F384">
        <v>25.3</v>
      </c>
      <c r="G384">
        <v>25.3</v>
      </c>
      <c r="H384">
        <v>24.21</v>
      </c>
      <c r="I384" s="1">
        <v>24.37</v>
      </c>
      <c r="J384">
        <v>1593521.51</v>
      </c>
      <c r="K384">
        <v>64988</v>
      </c>
      <c r="L384" t="s">
        <v>78</v>
      </c>
      <c r="M384" t="s">
        <v>17</v>
      </c>
      <c r="N384">
        <v>431</v>
      </c>
      <c r="O384">
        <v>56.6</v>
      </c>
      <c r="P384">
        <v>20.350000000000001</v>
      </c>
      <c r="Q384" s="1">
        <v>24.15</v>
      </c>
      <c r="R384" s="1">
        <v>24.45</v>
      </c>
      <c r="S384" s="3">
        <v>7.5599291357897336E-4</v>
      </c>
      <c r="T384" s="3">
        <v>-1.6376426216668794E-4</v>
      </c>
    </row>
    <row r="385" spans="1:20" x14ac:dyDescent="0.25">
      <c r="A385" t="s">
        <v>78</v>
      </c>
      <c r="B385" t="s">
        <v>79</v>
      </c>
      <c r="C385" t="s">
        <v>538</v>
      </c>
      <c r="D385" t="s">
        <v>539</v>
      </c>
      <c r="E385">
        <v>3114.2</v>
      </c>
      <c r="F385">
        <v>3120</v>
      </c>
      <c r="G385">
        <v>3178</v>
      </c>
      <c r="H385">
        <v>3091.1</v>
      </c>
      <c r="I385" s="1">
        <v>3169.9</v>
      </c>
      <c r="J385">
        <v>3211952645.5500002</v>
      </c>
      <c r="K385">
        <v>1028345</v>
      </c>
      <c r="L385" t="s">
        <v>78</v>
      </c>
      <c r="M385" t="s">
        <v>17</v>
      </c>
      <c r="N385">
        <v>28465</v>
      </c>
      <c r="O385">
        <v>3363.95</v>
      </c>
      <c r="P385">
        <v>2193.8000000000002</v>
      </c>
      <c r="Q385" s="1">
        <v>2327</v>
      </c>
      <c r="R385" s="1">
        <v>725.55</v>
      </c>
      <c r="S385" s="3">
        <v>2.60946696550306E-2</v>
      </c>
      <c r="T385" s="3">
        <v>7.6468623692288906E-2</v>
      </c>
    </row>
    <row r="386" spans="1:20" x14ac:dyDescent="0.25">
      <c r="A386" t="s">
        <v>78</v>
      </c>
      <c r="B386" t="s">
        <v>79</v>
      </c>
      <c r="C386" t="s">
        <v>540</v>
      </c>
      <c r="D386" t="s">
        <v>541</v>
      </c>
      <c r="E386">
        <v>293.7</v>
      </c>
      <c r="F386">
        <v>293.7</v>
      </c>
      <c r="G386">
        <v>295</v>
      </c>
      <c r="H386">
        <v>283</v>
      </c>
      <c r="I386" s="1">
        <v>284.35000000000002</v>
      </c>
      <c r="J386">
        <v>173848919.90000001</v>
      </c>
      <c r="K386">
        <v>605849</v>
      </c>
      <c r="L386" t="s">
        <v>78</v>
      </c>
      <c r="M386" t="s">
        <v>17</v>
      </c>
      <c r="N386">
        <v>18050</v>
      </c>
      <c r="O386">
        <v>320.45</v>
      </c>
      <c r="P386">
        <v>129.4</v>
      </c>
      <c r="Q386" s="1">
        <v>138.30000000000001</v>
      </c>
      <c r="R386" s="1">
        <v>175.3</v>
      </c>
      <c r="S386" s="3">
        <v>6.1905624363832734E-2</v>
      </c>
      <c r="T386" s="3">
        <v>2.4466622746765365E-2</v>
      </c>
    </row>
    <row r="387" spans="1:20" x14ac:dyDescent="0.25">
      <c r="A387" t="s">
        <v>78</v>
      </c>
      <c r="B387" t="s">
        <v>79</v>
      </c>
      <c r="C387" t="s">
        <v>3040</v>
      </c>
      <c r="D387" t="s">
        <v>3041</v>
      </c>
      <c r="E387">
        <v>119.84</v>
      </c>
      <c r="F387">
        <v>119.5</v>
      </c>
      <c r="G387">
        <v>120.32</v>
      </c>
      <c r="H387">
        <v>116.1</v>
      </c>
      <c r="I387" s="1">
        <v>116.4</v>
      </c>
      <c r="J387">
        <v>3694416.87</v>
      </c>
      <c r="K387">
        <v>31480</v>
      </c>
      <c r="L387" t="s">
        <v>78</v>
      </c>
      <c r="M387" t="s">
        <v>17</v>
      </c>
      <c r="N387">
        <v>838</v>
      </c>
      <c r="O387">
        <v>132.44999999999999</v>
      </c>
      <c r="P387">
        <v>81.2</v>
      </c>
      <c r="Q387" s="1">
        <v>100</v>
      </c>
      <c r="R387" s="1">
        <v>48.45</v>
      </c>
      <c r="S387" s="3">
        <v>1.273561163392567E-2</v>
      </c>
      <c r="T387" s="3">
        <v>4.477443380078916E-2</v>
      </c>
    </row>
    <row r="388" spans="1:20" x14ac:dyDescent="0.25">
      <c r="A388" t="s">
        <v>78</v>
      </c>
      <c r="B388" t="s">
        <v>79</v>
      </c>
      <c r="C388" t="s">
        <v>542</v>
      </c>
      <c r="D388" t="s">
        <v>543</v>
      </c>
      <c r="E388">
        <v>450.2</v>
      </c>
      <c r="F388">
        <v>449.5</v>
      </c>
      <c r="G388">
        <v>453.95</v>
      </c>
      <c r="H388">
        <v>446.8</v>
      </c>
      <c r="I388" s="1">
        <v>449.7</v>
      </c>
      <c r="J388">
        <v>661369328.85000002</v>
      </c>
      <c r="K388">
        <v>1469762</v>
      </c>
      <c r="L388" t="s">
        <v>78</v>
      </c>
      <c r="M388" t="s">
        <v>17</v>
      </c>
      <c r="N388">
        <v>30751</v>
      </c>
      <c r="O388">
        <v>485.9</v>
      </c>
      <c r="P388">
        <v>343.5</v>
      </c>
      <c r="Q388" s="1">
        <v>340.4</v>
      </c>
      <c r="R388" s="1">
        <v>146.35</v>
      </c>
      <c r="S388" s="3">
        <v>2.3476270738634009E-2</v>
      </c>
      <c r="T388" s="3">
        <v>5.7701592808063973E-2</v>
      </c>
    </row>
    <row r="389" spans="1:20" x14ac:dyDescent="0.25">
      <c r="A389" t="s">
        <v>78</v>
      </c>
      <c r="B389" t="s">
        <v>79</v>
      </c>
      <c r="C389" t="s">
        <v>6276</v>
      </c>
      <c r="D389" t="s">
        <v>6275</v>
      </c>
      <c r="E389">
        <v>410.4</v>
      </c>
      <c r="F389">
        <v>410.95</v>
      </c>
      <c r="G389">
        <v>410.95</v>
      </c>
      <c r="H389">
        <v>392.1</v>
      </c>
      <c r="I389" s="1">
        <v>396.6</v>
      </c>
      <c r="J389">
        <v>250462548.55000001</v>
      </c>
      <c r="K389">
        <v>627004</v>
      </c>
      <c r="L389" t="s">
        <v>78</v>
      </c>
      <c r="M389" t="s">
        <v>17</v>
      </c>
      <c r="N389">
        <v>23782</v>
      </c>
      <c r="O389">
        <v>429.3</v>
      </c>
      <c r="P389">
        <v>222.85</v>
      </c>
      <c r="Q389" s="1" t="str">
        <v/>
      </c>
      <c r="R389" s="1" t="str">
        <v/>
      </c>
      <c r="S389" s="3">
        <v>0</v>
      </c>
      <c r="T389" s="3">
        <v>0</v>
      </c>
    </row>
    <row r="390" spans="1:20" x14ac:dyDescent="0.25">
      <c r="A390" t="s">
        <v>78</v>
      </c>
      <c r="B390" t="s">
        <v>79</v>
      </c>
      <c r="C390" t="s">
        <v>544</v>
      </c>
      <c r="D390" t="s">
        <v>545</v>
      </c>
      <c r="E390">
        <v>104.83</v>
      </c>
      <c r="F390">
        <v>104.8</v>
      </c>
      <c r="G390">
        <v>109.3</v>
      </c>
      <c r="H390">
        <v>104.8</v>
      </c>
      <c r="I390" s="1">
        <v>106.31</v>
      </c>
      <c r="J390">
        <v>6875993.8399999999</v>
      </c>
      <c r="K390">
        <v>64361</v>
      </c>
      <c r="L390" t="s">
        <v>78</v>
      </c>
      <c r="M390" t="s">
        <v>17</v>
      </c>
      <c r="N390">
        <v>1373</v>
      </c>
      <c r="O390">
        <v>119.95</v>
      </c>
      <c r="P390">
        <v>81.7</v>
      </c>
      <c r="Q390" s="1">
        <v>68</v>
      </c>
      <c r="R390" s="1">
        <v>44</v>
      </c>
      <c r="S390" s="3">
        <v>3.7939644840066178E-2</v>
      </c>
      <c r="T390" s="3">
        <v>4.5070482197981931E-2</v>
      </c>
    </row>
    <row r="391" spans="1:20" x14ac:dyDescent="0.25">
      <c r="A391" t="s">
        <v>78</v>
      </c>
      <c r="B391" t="s">
        <v>79</v>
      </c>
      <c r="C391" t="s">
        <v>547</v>
      </c>
      <c r="D391" t="s">
        <v>548</v>
      </c>
      <c r="E391">
        <v>3295.05</v>
      </c>
      <c r="F391">
        <v>3295.05</v>
      </c>
      <c r="G391">
        <v>3300.65</v>
      </c>
      <c r="H391">
        <v>3192.35</v>
      </c>
      <c r="I391" s="1">
        <v>3199.75</v>
      </c>
      <c r="J391">
        <v>11656501.949999999</v>
      </c>
      <c r="K391">
        <v>3612</v>
      </c>
      <c r="L391" t="s">
        <v>78</v>
      </c>
      <c r="M391" t="s">
        <v>17</v>
      </c>
      <c r="N391">
        <v>1284</v>
      </c>
      <c r="O391">
        <v>3489.9</v>
      </c>
      <c r="P391">
        <v>2189.1999999999998</v>
      </c>
      <c r="Q391" s="1">
        <v>1785</v>
      </c>
      <c r="R391" s="1">
        <v>1400</v>
      </c>
      <c r="S391" s="3">
        <v>4.9840088121073878E-2</v>
      </c>
      <c r="T391" s="3">
        <v>4.2172407680875157E-2</v>
      </c>
    </row>
    <row r="392" spans="1:20" x14ac:dyDescent="0.25">
      <c r="A392" t="s">
        <v>78</v>
      </c>
      <c r="B392" t="s">
        <v>79</v>
      </c>
      <c r="C392" t="s">
        <v>549</v>
      </c>
      <c r="D392" t="s">
        <v>550</v>
      </c>
      <c r="E392">
        <v>702.15</v>
      </c>
      <c r="F392">
        <v>710</v>
      </c>
      <c r="G392">
        <v>729</v>
      </c>
      <c r="H392">
        <v>686.5</v>
      </c>
      <c r="I392" s="1">
        <v>696.4</v>
      </c>
      <c r="J392">
        <v>236658836.05000001</v>
      </c>
      <c r="K392">
        <v>338272</v>
      </c>
      <c r="L392" t="s">
        <v>78</v>
      </c>
      <c r="M392" t="s">
        <v>17</v>
      </c>
      <c r="N392">
        <v>15639</v>
      </c>
      <c r="O392">
        <v>744.15</v>
      </c>
      <c r="P392">
        <v>315.8</v>
      </c>
      <c r="Q392" s="1">
        <v>161.15</v>
      </c>
      <c r="R392" s="1">
        <v>103.55</v>
      </c>
      <c r="S392" s="3">
        <v>0.12971537067319217</v>
      </c>
      <c r="T392" s="3">
        <v>9.9924228216509814E-2</v>
      </c>
    </row>
    <row r="393" spans="1:20" x14ac:dyDescent="0.25">
      <c r="A393" t="s">
        <v>78</v>
      </c>
      <c r="B393" t="s">
        <v>79</v>
      </c>
      <c r="C393" t="s">
        <v>194</v>
      </c>
      <c r="D393" t="s">
        <v>195</v>
      </c>
      <c r="E393">
        <v>198.43</v>
      </c>
      <c r="F393">
        <v>198.01</v>
      </c>
      <c r="G393">
        <v>201.26</v>
      </c>
      <c r="H393">
        <v>195.7</v>
      </c>
      <c r="I393" s="1">
        <v>195.93</v>
      </c>
      <c r="J393">
        <v>1654312814.77</v>
      </c>
      <c r="K393">
        <v>8349371</v>
      </c>
      <c r="L393" t="s">
        <v>78</v>
      </c>
      <c r="M393" t="s">
        <v>17</v>
      </c>
      <c r="N393">
        <v>50219</v>
      </c>
      <c r="O393">
        <v>263.10000000000002</v>
      </c>
      <c r="P393">
        <v>169.15</v>
      </c>
      <c r="Q393" s="1">
        <v>305.45</v>
      </c>
      <c r="R393" s="1">
        <v>507.2</v>
      </c>
      <c r="S393" s="3">
        <v>-3.6326165144953682E-2</v>
      </c>
      <c r="T393" s="3">
        <v>-4.6419424900214445E-2</v>
      </c>
    </row>
    <row r="394" spans="1:20" x14ac:dyDescent="0.25">
      <c r="A394" t="s">
        <v>78</v>
      </c>
      <c r="B394" t="s">
        <v>79</v>
      </c>
      <c r="C394" t="s">
        <v>551</v>
      </c>
      <c r="D394" t="s">
        <v>552</v>
      </c>
      <c r="E394">
        <v>50.89</v>
      </c>
      <c r="F394">
        <v>50.3</v>
      </c>
      <c r="G394">
        <v>51.97</v>
      </c>
      <c r="H394">
        <v>48.55</v>
      </c>
      <c r="I394" s="1">
        <v>50.03</v>
      </c>
      <c r="J394">
        <v>1318305.76</v>
      </c>
      <c r="K394">
        <v>26288</v>
      </c>
      <c r="L394" t="s">
        <v>78</v>
      </c>
      <c r="M394" t="s">
        <v>17</v>
      </c>
      <c r="N394">
        <v>1561</v>
      </c>
      <c r="O394">
        <v>75.8</v>
      </c>
      <c r="P394">
        <v>39.200000000000003</v>
      </c>
      <c r="Q394" s="1">
        <v>46.3</v>
      </c>
      <c r="R394" s="1">
        <v>35.6</v>
      </c>
      <c r="S394" s="3">
        <v>6.4776283735028528E-3</v>
      </c>
      <c r="T394" s="3">
        <v>1.7149942031726262E-2</v>
      </c>
    </row>
    <row r="395" spans="1:20" x14ac:dyDescent="0.25">
      <c r="A395" t="s">
        <v>78</v>
      </c>
      <c r="B395" t="s">
        <v>79</v>
      </c>
      <c r="C395" t="s">
        <v>555</v>
      </c>
      <c r="D395" t="s">
        <v>556</v>
      </c>
      <c r="E395">
        <v>123.03</v>
      </c>
      <c r="F395">
        <v>123.02</v>
      </c>
      <c r="G395">
        <v>125.09</v>
      </c>
      <c r="H395">
        <v>121.5</v>
      </c>
      <c r="I395" s="1">
        <v>123.64</v>
      </c>
      <c r="J395">
        <v>1989482040.74</v>
      </c>
      <c r="K395">
        <v>16067348</v>
      </c>
      <c r="L395" t="s">
        <v>78</v>
      </c>
      <c r="M395" t="s">
        <v>17</v>
      </c>
      <c r="N395">
        <v>88766</v>
      </c>
      <c r="O395">
        <v>157.94999999999999</v>
      </c>
      <c r="P395">
        <v>77.650000000000006</v>
      </c>
      <c r="Q395" s="1">
        <v>73.5</v>
      </c>
      <c r="R395" s="1">
        <v>80</v>
      </c>
      <c r="S395" s="3">
        <v>4.4293652155130037E-2</v>
      </c>
      <c r="T395" s="3">
        <v>2.199382872441058E-2</v>
      </c>
    </row>
    <row r="396" spans="1:20" x14ac:dyDescent="0.25">
      <c r="A396" t="s">
        <v>78</v>
      </c>
      <c r="B396" t="s">
        <v>79</v>
      </c>
      <c r="C396" t="s">
        <v>6274</v>
      </c>
      <c r="D396" t="s">
        <v>6273</v>
      </c>
      <c r="E396">
        <v>357.45</v>
      </c>
      <c r="F396">
        <v>357</v>
      </c>
      <c r="G396">
        <v>357</v>
      </c>
      <c r="H396">
        <v>345.9</v>
      </c>
      <c r="I396" s="1">
        <v>350.4</v>
      </c>
      <c r="J396">
        <v>264185509.55000001</v>
      </c>
      <c r="K396">
        <v>754784</v>
      </c>
      <c r="L396" t="s">
        <v>78</v>
      </c>
      <c r="M396" t="s">
        <v>17</v>
      </c>
      <c r="N396">
        <v>18658</v>
      </c>
      <c r="O396">
        <v>372</v>
      </c>
      <c r="P396">
        <v>336</v>
      </c>
      <c r="Q396" s="1" t="str">
        <v/>
      </c>
      <c r="R396" s="1" t="str">
        <v/>
      </c>
      <c r="S396" s="3">
        <v>0</v>
      </c>
      <c r="T396" s="3">
        <v>0</v>
      </c>
    </row>
    <row r="397" spans="1:20" x14ac:dyDescent="0.25">
      <c r="A397" t="s">
        <v>78</v>
      </c>
      <c r="B397" t="s">
        <v>79</v>
      </c>
      <c r="C397" t="s">
        <v>3042</v>
      </c>
      <c r="D397" t="s">
        <v>3043</v>
      </c>
      <c r="E397">
        <v>166.05</v>
      </c>
      <c r="F397">
        <v>166</v>
      </c>
      <c r="G397">
        <v>169.48</v>
      </c>
      <c r="H397">
        <v>161.38</v>
      </c>
      <c r="I397" s="1">
        <v>163.19999999999999</v>
      </c>
      <c r="J397">
        <v>12142507.869999999</v>
      </c>
      <c r="K397">
        <v>74034</v>
      </c>
      <c r="L397" t="s">
        <v>78</v>
      </c>
      <c r="M397" t="s">
        <v>17</v>
      </c>
      <c r="N397">
        <v>4052</v>
      </c>
      <c r="O397">
        <v>180</v>
      </c>
      <c r="P397">
        <v>133.05000000000001</v>
      </c>
      <c r="Q397" s="1">
        <v>205</v>
      </c>
      <c r="R397" s="1">
        <v>65.3</v>
      </c>
      <c r="S397" s="3">
        <v>-1.8823379872365931E-2</v>
      </c>
      <c r="T397" s="3">
        <v>4.6837943962219741E-2</v>
      </c>
    </row>
    <row r="398" spans="1:20" x14ac:dyDescent="0.25">
      <c r="A398" t="s">
        <v>78</v>
      </c>
      <c r="B398" t="s">
        <v>79</v>
      </c>
      <c r="C398" t="s">
        <v>557</v>
      </c>
      <c r="D398" t="s">
        <v>558</v>
      </c>
      <c r="E398">
        <v>551.70000000000005</v>
      </c>
      <c r="F398">
        <v>551.85</v>
      </c>
      <c r="G398">
        <v>554.70000000000005</v>
      </c>
      <c r="H398">
        <v>541</v>
      </c>
      <c r="I398" s="1">
        <v>544.45000000000005</v>
      </c>
      <c r="J398">
        <v>36605552.899999999</v>
      </c>
      <c r="K398">
        <v>67036</v>
      </c>
      <c r="L398" t="s">
        <v>78</v>
      </c>
      <c r="M398" t="s">
        <v>17</v>
      </c>
      <c r="N398">
        <v>7968</v>
      </c>
      <c r="O398">
        <v>791.7</v>
      </c>
      <c r="P398">
        <v>461.05</v>
      </c>
      <c r="Q398" s="1">
        <v>865.25</v>
      </c>
      <c r="R398" s="1" t="str">
        <v/>
      </c>
      <c r="S398" s="3">
        <v>-3.7867910891884349E-2</v>
      </c>
      <c r="T398" s="3">
        <v>0</v>
      </c>
    </row>
    <row r="399" spans="1:20" x14ac:dyDescent="0.25">
      <c r="A399" t="s">
        <v>78</v>
      </c>
      <c r="B399" t="s">
        <v>79</v>
      </c>
      <c r="C399" t="s">
        <v>559</v>
      </c>
      <c r="D399" t="s">
        <v>560</v>
      </c>
      <c r="E399">
        <v>5632.05</v>
      </c>
      <c r="F399">
        <v>5673</v>
      </c>
      <c r="G399">
        <v>5900</v>
      </c>
      <c r="H399">
        <v>5491.05</v>
      </c>
      <c r="I399" s="1">
        <v>5521.4</v>
      </c>
      <c r="J399">
        <v>220559886.05000001</v>
      </c>
      <c r="K399">
        <v>39410</v>
      </c>
      <c r="L399" t="s">
        <v>78</v>
      </c>
      <c r="M399" t="s">
        <v>17</v>
      </c>
      <c r="N399">
        <v>8621</v>
      </c>
      <c r="O399">
        <v>5900</v>
      </c>
      <c r="P399">
        <v>2430</v>
      </c>
      <c r="Q399" s="1">
        <v>2691.15</v>
      </c>
      <c r="R399" s="1">
        <v>1115</v>
      </c>
      <c r="S399" s="3">
        <v>6.1718232670529449E-2</v>
      </c>
      <c r="T399" s="3">
        <v>8.3227539236316428E-2</v>
      </c>
    </row>
    <row r="400" spans="1:20" x14ac:dyDescent="0.25">
      <c r="A400" t="s">
        <v>78</v>
      </c>
      <c r="B400" t="s">
        <v>79</v>
      </c>
      <c r="C400" t="s">
        <v>3044</v>
      </c>
      <c r="D400" t="s">
        <v>3045</v>
      </c>
      <c r="E400">
        <v>49.13</v>
      </c>
      <c r="F400">
        <v>50</v>
      </c>
      <c r="G400">
        <v>51.35</v>
      </c>
      <c r="H400">
        <v>48.41</v>
      </c>
      <c r="I400" s="1">
        <v>49.75</v>
      </c>
      <c r="J400">
        <v>18882540.309999999</v>
      </c>
      <c r="K400">
        <v>379930</v>
      </c>
      <c r="L400" t="s">
        <v>78</v>
      </c>
      <c r="M400" t="s">
        <v>17</v>
      </c>
      <c r="N400">
        <v>2638</v>
      </c>
      <c r="O400">
        <v>59.5</v>
      </c>
      <c r="P400">
        <v>37.5</v>
      </c>
      <c r="Q400" s="1">
        <v>86</v>
      </c>
      <c r="R400" s="1">
        <v>136</v>
      </c>
      <c r="S400" s="3">
        <v>-4.4586838982445087E-2</v>
      </c>
      <c r="T400" s="3">
        <v>-4.9012807845297934E-2</v>
      </c>
    </row>
    <row r="401" spans="1:20" x14ac:dyDescent="0.25">
      <c r="A401" t="s">
        <v>78</v>
      </c>
      <c r="B401" t="s">
        <v>79</v>
      </c>
      <c r="C401" t="s">
        <v>561</v>
      </c>
      <c r="D401" t="s">
        <v>562</v>
      </c>
      <c r="E401">
        <v>1530</v>
      </c>
      <c r="F401">
        <v>1530</v>
      </c>
      <c r="G401">
        <v>1554</v>
      </c>
      <c r="H401">
        <v>1521.25</v>
      </c>
      <c r="I401" s="1">
        <v>1530.45</v>
      </c>
      <c r="J401">
        <v>697310608.89999998</v>
      </c>
      <c r="K401">
        <v>453241</v>
      </c>
      <c r="L401" t="s">
        <v>78</v>
      </c>
      <c r="M401" t="s">
        <v>17</v>
      </c>
      <c r="N401">
        <v>25293</v>
      </c>
      <c r="O401">
        <v>1771.45</v>
      </c>
      <c r="P401">
        <v>1269</v>
      </c>
      <c r="Q401" s="1">
        <v>1600.8</v>
      </c>
      <c r="R401" s="1">
        <v>1283.1500000000001</v>
      </c>
      <c r="S401" s="3">
        <v>-3.7381369120983443E-3</v>
      </c>
      <c r="T401" s="3">
        <v>8.8462638764681412E-3</v>
      </c>
    </row>
    <row r="402" spans="1:20" x14ac:dyDescent="0.25">
      <c r="A402" t="s">
        <v>78</v>
      </c>
      <c r="B402" t="s">
        <v>287</v>
      </c>
      <c r="C402" t="s">
        <v>6272</v>
      </c>
      <c r="D402" t="s">
        <v>6271</v>
      </c>
      <c r="E402">
        <v>80.75</v>
      </c>
      <c r="F402">
        <v>80</v>
      </c>
      <c r="G402">
        <v>80.25</v>
      </c>
      <c r="H402">
        <v>77.75</v>
      </c>
      <c r="I402" s="1">
        <v>77.95</v>
      </c>
      <c r="J402">
        <v>2589520</v>
      </c>
      <c r="K402">
        <v>32800</v>
      </c>
      <c r="L402" t="s">
        <v>78</v>
      </c>
      <c r="M402" t="s">
        <v>17</v>
      </c>
      <c r="N402">
        <v>39</v>
      </c>
      <c r="O402">
        <v>183</v>
      </c>
      <c r="P402">
        <v>77.75</v>
      </c>
      <c r="Q402" s="1" t="str">
        <v/>
      </c>
      <c r="R402" s="1" t="str">
        <v/>
      </c>
      <c r="S402" s="3">
        <v>0</v>
      </c>
      <c r="T402" s="3">
        <v>0</v>
      </c>
    </row>
    <row r="403" spans="1:20" x14ac:dyDescent="0.25">
      <c r="A403" t="s">
        <v>78</v>
      </c>
      <c r="B403" t="s">
        <v>79</v>
      </c>
      <c r="C403" t="s">
        <v>563</v>
      </c>
      <c r="D403" t="s">
        <v>564</v>
      </c>
      <c r="E403">
        <v>6597.9</v>
      </c>
      <c r="F403">
        <v>6612.4</v>
      </c>
      <c r="G403">
        <v>6754.45</v>
      </c>
      <c r="H403">
        <v>6540</v>
      </c>
      <c r="I403" s="1">
        <v>6643</v>
      </c>
      <c r="J403">
        <v>290106827.44999999</v>
      </c>
      <c r="K403">
        <v>43670</v>
      </c>
      <c r="L403" t="s">
        <v>78</v>
      </c>
      <c r="M403" t="s">
        <v>17</v>
      </c>
      <c r="N403">
        <v>10477</v>
      </c>
      <c r="O403">
        <v>6976.9</v>
      </c>
      <c r="P403">
        <v>4350.8500000000004</v>
      </c>
      <c r="Q403" s="1">
        <v>5858.55</v>
      </c>
      <c r="R403" s="1">
        <v>3272</v>
      </c>
      <c r="S403" s="3">
        <v>1.0526815796171762E-2</v>
      </c>
      <c r="T403" s="3">
        <v>3.6022354613654661E-2</v>
      </c>
    </row>
    <row r="404" spans="1:20" x14ac:dyDescent="0.25">
      <c r="A404" t="s">
        <v>78</v>
      </c>
      <c r="B404" t="s">
        <v>79</v>
      </c>
      <c r="C404" t="s">
        <v>565</v>
      </c>
      <c r="D404" t="s">
        <v>566</v>
      </c>
      <c r="E404">
        <v>5276.25</v>
      </c>
      <c r="F404">
        <v>5319.7</v>
      </c>
      <c r="G404">
        <v>5321</v>
      </c>
      <c r="H404">
        <v>4748.6499999999996</v>
      </c>
      <c r="I404" s="1">
        <v>4748.6499999999996</v>
      </c>
      <c r="J404">
        <v>709968568.45000005</v>
      </c>
      <c r="K404">
        <v>144877</v>
      </c>
      <c r="L404" t="s">
        <v>78</v>
      </c>
      <c r="M404" t="s">
        <v>17</v>
      </c>
      <c r="N404">
        <v>15138</v>
      </c>
      <c r="O404">
        <v>7000</v>
      </c>
      <c r="P404">
        <v>3007.3</v>
      </c>
      <c r="Q404" s="1">
        <v>1345</v>
      </c>
      <c r="R404" s="1">
        <v>971</v>
      </c>
      <c r="S404" s="3">
        <v>0.11084634323398546</v>
      </c>
      <c r="T404" s="3">
        <v>8.2551760365689564E-2</v>
      </c>
    </row>
    <row r="405" spans="1:20" x14ac:dyDescent="0.25">
      <c r="A405" t="s">
        <v>78</v>
      </c>
      <c r="B405" t="s">
        <v>79</v>
      </c>
      <c r="C405" t="s">
        <v>567</v>
      </c>
      <c r="D405" t="s">
        <v>568</v>
      </c>
      <c r="E405">
        <v>2267.9</v>
      </c>
      <c r="F405">
        <v>2259.9</v>
      </c>
      <c r="G405">
        <v>2266</v>
      </c>
      <c r="H405">
        <v>2177.15</v>
      </c>
      <c r="I405" s="1">
        <v>2227.75</v>
      </c>
      <c r="J405">
        <v>157781280.25</v>
      </c>
      <c r="K405">
        <v>70837</v>
      </c>
      <c r="L405" t="s">
        <v>78</v>
      </c>
      <c r="M405" t="s">
        <v>17</v>
      </c>
      <c r="N405">
        <v>6479</v>
      </c>
      <c r="O405">
        <v>2408</v>
      </c>
      <c r="P405">
        <v>970.05</v>
      </c>
      <c r="Q405" s="1">
        <v>1281.55</v>
      </c>
      <c r="R405" s="1">
        <v>892</v>
      </c>
      <c r="S405" s="3">
        <v>4.7154848965311302E-2</v>
      </c>
      <c r="T405" s="3">
        <v>4.6801160436967582E-2</v>
      </c>
    </row>
    <row r="406" spans="1:20" x14ac:dyDescent="0.25">
      <c r="A406" t="s">
        <v>78</v>
      </c>
      <c r="B406" t="s">
        <v>79</v>
      </c>
      <c r="C406" t="s">
        <v>569</v>
      </c>
      <c r="D406" t="s">
        <v>570</v>
      </c>
      <c r="E406">
        <v>246.44</v>
      </c>
      <c r="F406">
        <v>246.4</v>
      </c>
      <c r="G406">
        <v>248.49</v>
      </c>
      <c r="H406">
        <v>246.4</v>
      </c>
      <c r="I406" s="1">
        <v>247.22</v>
      </c>
      <c r="J406">
        <v>219039.88</v>
      </c>
      <c r="K406">
        <v>886</v>
      </c>
      <c r="L406" t="s">
        <v>78</v>
      </c>
      <c r="M406" t="s">
        <v>17</v>
      </c>
      <c r="N406">
        <v>96</v>
      </c>
      <c r="O406">
        <v>314.3</v>
      </c>
      <c r="P406">
        <v>226</v>
      </c>
      <c r="Q406" s="1">
        <v>77</v>
      </c>
      <c r="R406" s="1" t="str">
        <v/>
      </c>
      <c r="S406" s="3">
        <v>0.10208749105429749</v>
      </c>
      <c r="T406" s="3">
        <v>0</v>
      </c>
    </row>
    <row r="407" spans="1:20" x14ac:dyDescent="0.25">
      <c r="A407" t="s">
        <v>78</v>
      </c>
      <c r="B407" t="s">
        <v>79</v>
      </c>
      <c r="C407" t="s">
        <v>573</v>
      </c>
      <c r="D407" t="s">
        <v>574</v>
      </c>
      <c r="E407">
        <v>54.25</v>
      </c>
      <c r="F407">
        <v>55.24</v>
      </c>
      <c r="G407">
        <v>56.65</v>
      </c>
      <c r="H407">
        <v>54.86</v>
      </c>
      <c r="I407" s="1">
        <v>55.69</v>
      </c>
      <c r="J407">
        <v>215710042.40000001</v>
      </c>
      <c r="K407">
        <v>3863625</v>
      </c>
      <c r="L407" t="s">
        <v>78</v>
      </c>
      <c r="M407" t="s">
        <v>17</v>
      </c>
      <c r="N407">
        <v>27535</v>
      </c>
      <c r="O407">
        <v>588</v>
      </c>
      <c r="P407">
        <v>45.85</v>
      </c>
      <c r="Q407" s="1">
        <v>256.60000000000002</v>
      </c>
      <c r="R407" s="1" t="str">
        <v/>
      </c>
      <c r="S407" s="3">
        <v>-0.11953915511328672</v>
      </c>
      <c r="T407" s="3">
        <v>0</v>
      </c>
    </row>
    <row r="408" spans="1:20" x14ac:dyDescent="0.25">
      <c r="A408" t="s">
        <v>78</v>
      </c>
      <c r="B408" t="s">
        <v>79</v>
      </c>
      <c r="C408" t="s">
        <v>6270</v>
      </c>
      <c r="D408" t="s">
        <v>6269</v>
      </c>
      <c r="E408">
        <v>601.4</v>
      </c>
      <c r="F408">
        <v>602.95000000000005</v>
      </c>
      <c r="G408">
        <v>610</v>
      </c>
      <c r="H408">
        <v>590.04999999999995</v>
      </c>
      <c r="I408" s="1">
        <v>598.45000000000005</v>
      </c>
      <c r="J408">
        <v>8809468.4000000004</v>
      </c>
      <c r="K408">
        <v>14641</v>
      </c>
      <c r="L408" t="s">
        <v>78</v>
      </c>
      <c r="M408" t="s">
        <v>17</v>
      </c>
      <c r="N408">
        <v>1791</v>
      </c>
      <c r="O408">
        <v>966.1</v>
      </c>
      <c r="P408">
        <v>327.25</v>
      </c>
      <c r="Q408" s="1" t="str">
        <v/>
      </c>
      <c r="R408" s="1" t="str">
        <v/>
      </c>
      <c r="S408" s="3">
        <v>0</v>
      </c>
      <c r="T408" s="3">
        <v>0</v>
      </c>
    </row>
    <row r="409" spans="1:20" x14ac:dyDescent="0.25">
      <c r="A409" t="s">
        <v>78</v>
      </c>
      <c r="B409" t="s">
        <v>79</v>
      </c>
      <c r="C409" t="s">
        <v>575</v>
      </c>
      <c r="D409" t="s">
        <v>576</v>
      </c>
      <c r="E409">
        <v>1601.9</v>
      </c>
      <c r="F409">
        <v>1602</v>
      </c>
      <c r="G409">
        <v>1609.95</v>
      </c>
      <c r="H409">
        <v>1533.3</v>
      </c>
      <c r="I409" s="1">
        <v>1546.45</v>
      </c>
      <c r="J409">
        <v>3291510227.0500002</v>
      </c>
      <c r="K409">
        <v>2115200</v>
      </c>
      <c r="L409" t="s">
        <v>78</v>
      </c>
      <c r="M409" t="s">
        <v>17</v>
      </c>
      <c r="N409">
        <v>99623</v>
      </c>
      <c r="O409">
        <v>2958</v>
      </c>
      <c r="P409">
        <v>900</v>
      </c>
      <c r="Q409" s="1">
        <v>372.2</v>
      </c>
      <c r="R409" s="1">
        <v>298</v>
      </c>
      <c r="S409" s="3">
        <v>0.12602135288897309</v>
      </c>
      <c r="T409" s="3">
        <v>8.576640362877197E-2</v>
      </c>
    </row>
    <row r="410" spans="1:20" x14ac:dyDescent="0.25">
      <c r="A410" t="s">
        <v>78</v>
      </c>
      <c r="B410" t="s">
        <v>287</v>
      </c>
      <c r="C410" t="s">
        <v>6268</v>
      </c>
      <c r="D410" t="s">
        <v>6267</v>
      </c>
      <c r="E410">
        <v>118.95</v>
      </c>
      <c r="F410">
        <v>116.25</v>
      </c>
      <c r="G410">
        <v>120.55</v>
      </c>
      <c r="H410">
        <v>115</v>
      </c>
      <c r="I410" s="1">
        <v>115.85</v>
      </c>
      <c r="J410">
        <v>13784700</v>
      </c>
      <c r="K410">
        <v>118000</v>
      </c>
      <c r="L410" t="s">
        <v>78</v>
      </c>
      <c r="M410" t="s">
        <v>17</v>
      </c>
      <c r="N410">
        <v>59</v>
      </c>
      <c r="O410">
        <v>151</v>
      </c>
      <c r="P410">
        <v>84.15</v>
      </c>
      <c r="Q410" s="1" t="str">
        <v/>
      </c>
      <c r="R410" s="1" t="str">
        <v/>
      </c>
      <c r="S410" s="3">
        <v>0</v>
      </c>
      <c r="T410" s="3">
        <v>0</v>
      </c>
    </row>
    <row r="411" spans="1:20" x14ac:dyDescent="0.25">
      <c r="A411" t="s">
        <v>78</v>
      </c>
      <c r="B411" t="s">
        <v>79</v>
      </c>
      <c r="C411" t="s">
        <v>3048</v>
      </c>
      <c r="D411" t="s">
        <v>3049</v>
      </c>
      <c r="E411">
        <v>36.770000000000003</v>
      </c>
      <c r="F411">
        <v>36.5</v>
      </c>
      <c r="G411">
        <v>37.44</v>
      </c>
      <c r="H411">
        <v>36.17</v>
      </c>
      <c r="I411" s="1">
        <v>36.39</v>
      </c>
      <c r="J411">
        <v>3572754.03</v>
      </c>
      <c r="K411">
        <v>98021</v>
      </c>
      <c r="L411" t="s">
        <v>78</v>
      </c>
      <c r="M411" t="s">
        <v>17</v>
      </c>
      <c r="N411">
        <v>1416</v>
      </c>
      <c r="O411">
        <v>58.9</v>
      </c>
      <c r="P411">
        <v>33.85</v>
      </c>
      <c r="Q411" s="1">
        <v>13.5</v>
      </c>
      <c r="R411" s="1">
        <v>13.6</v>
      </c>
      <c r="S411" s="3">
        <v>8.6143874486992233E-2</v>
      </c>
      <c r="T411" s="3">
        <v>5.0413882869135174E-2</v>
      </c>
    </row>
    <row r="412" spans="1:20" x14ac:dyDescent="0.25">
      <c r="A412" t="s">
        <v>78</v>
      </c>
      <c r="B412" t="s">
        <v>79</v>
      </c>
      <c r="C412" t="s">
        <v>577</v>
      </c>
      <c r="D412" t="s">
        <v>578</v>
      </c>
      <c r="E412">
        <v>1431.2</v>
      </c>
      <c r="F412">
        <v>1427</v>
      </c>
      <c r="G412">
        <v>1490.6</v>
      </c>
      <c r="H412">
        <v>1424.55</v>
      </c>
      <c r="I412" s="1">
        <v>1471.7</v>
      </c>
      <c r="J412">
        <v>753319056.04999995</v>
      </c>
      <c r="K412">
        <v>513963</v>
      </c>
      <c r="L412" t="s">
        <v>78</v>
      </c>
      <c r="M412" t="s">
        <v>17</v>
      </c>
      <c r="N412">
        <v>38579</v>
      </c>
      <c r="O412">
        <v>1565.95</v>
      </c>
      <c r="P412">
        <v>800.05</v>
      </c>
      <c r="Q412" s="1">
        <v>430.1</v>
      </c>
      <c r="R412" s="1" t="str">
        <v/>
      </c>
      <c r="S412" s="3">
        <v>0.10795168066387473</v>
      </c>
      <c r="T412" s="3">
        <v>0</v>
      </c>
    </row>
    <row r="413" spans="1:20" x14ac:dyDescent="0.25">
      <c r="A413" t="s">
        <v>78</v>
      </c>
      <c r="B413" t="s">
        <v>79</v>
      </c>
      <c r="C413" t="s">
        <v>3050</v>
      </c>
      <c r="D413" t="s">
        <v>3051</v>
      </c>
      <c r="E413">
        <v>216.62</v>
      </c>
      <c r="F413">
        <v>208.2</v>
      </c>
      <c r="G413">
        <v>216.24</v>
      </c>
      <c r="H413">
        <v>208.2</v>
      </c>
      <c r="I413" s="1">
        <v>210.75</v>
      </c>
      <c r="J413">
        <v>3803090.12</v>
      </c>
      <c r="K413">
        <v>17965</v>
      </c>
      <c r="L413" t="s">
        <v>78</v>
      </c>
      <c r="M413" t="s">
        <v>17</v>
      </c>
      <c r="N413">
        <v>1050</v>
      </c>
      <c r="O413">
        <v>278</v>
      </c>
      <c r="P413">
        <v>176</v>
      </c>
      <c r="Q413" s="1">
        <v>33.549999999999997</v>
      </c>
      <c r="R413" s="1">
        <v>15.65</v>
      </c>
      <c r="S413" s="3">
        <v>0.16548383652492049</v>
      </c>
      <c r="T413" s="3">
        <v>0.13875878550600729</v>
      </c>
    </row>
    <row r="414" spans="1:20" x14ac:dyDescent="0.25">
      <c r="A414" t="s">
        <v>78</v>
      </c>
      <c r="B414" t="s">
        <v>79</v>
      </c>
      <c r="C414" t="s">
        <v>581</v>
      </c>
      <c r="D414" t="s">
        <v>582</v>
      </c>
      <c r="E414">
        <v>4965.5</v>
      </c>
      <c r="F414">
        <v>4960</v>
      </c>
      <c r="G414">
        <v>4980</v>
      </c>
      <c r="H414">
        <v>4741.05</v>
      </c>
      <c r="I414" s="1">
        <v>4823.3999999999996</v>
      </c>
      <c r="J414">
        <v>2324741132.4000001</v>
      </c>
      <c r="K414">
        <v>480632</v>
      </c>
      <c r="L414" t="s">
        <v>78</v>
      </c>
      <c r="M414" t="s">
        <v>17</v>
      </c>
      <c r="N414">
        <v>58511</v>
      </c>
      <c r="O414">
        <v>5488</v>
      </c>
      <c r="P414">
        <v>1585</v>
      </c>
      <c r="Q414" s="1">
        <v>1292.55</v>
      </c>
      <c r="R414" s="1">
        <v>910.35</v>
      </c>
      <c r="S414" s="3">
        <v>0.11598620769220314</v>
      </c>
      <c r="T414" s="3">
        <v>8.6894560814657185E-2</v>
      </c>
    </row>
    <row r="415" spans="1:20" x14ac:dyDescent="0.25">
      <c r="A415" t="s">
        <v>78</v>
      </c>
      <c r="B415" t="s">
        <v>79</v>
      </c>
      <c r="C415" t="s">
        <v>583</v>
      </c>
      <c r="D415" t="s">
        <v>584</v>
      </c>
      <c r="E415">
        <v>149.01</v>
      </c>
      <c r="F415">
        <v>149</v>
      </c>
      <c r="G415">
        <v>150.25</v>
      </c>
      <c r="H415">
        <v>143.30000000000001</v>
      </c>
      <c r="I415" s="1">
        <v>144.96</v>
      </c>
      <c r="J415">
        <v>201724083.38</v>
      </c>
      <c r="K415">
        <v>1381737</v>
      </c>
      <c r="L415" t="s">
        <v>78</v>
      </c>
      <c r="M415" t="s">
        <v>17</v>
      </c>
      <c r="N415">
        <v>11404</v>
      </c>
      <c r="O415">
        <v>164.5</v>
      </c>
      <c r="P415">
        <v>81.599999999999994</v>
      </c>
      <c r="Q415" s="1">
        <v>173</v>
      </c>
      <c r="R415" s="1">
        <v>64.05</v>
      </c>
      <c r="S415" s="3">
        <v>-1.4628100393666132E-2</v>
      </c>
      <c r="T415" s="3">
        <v>4.1661802636132172E-2</v>
      </c>
    </row>
    <row r="416" spans="1:20" x14ac:dyDescent="0.25">
      <c r="A416" t="s">
        <v>78</v>
      </c>
      <c r="B416" t="s">
        <v>79</v>
      </c>
      <c r="C416" t="s">
        <v>585</v>
      </c>
      <c r="D416" t="s">
        <v>586</v>
      </c>
      <c r="E416">
        <v>606.6</v>
      </c>
      <c r="F416">
        <v>607.4</v>
      </c>
      <c r="G416">
        <v>610.45000000000005</v>
      </c>
      <c r="H416">
        <v>592.85</v>
      </c>
      <c r="I416" s="1">
        <v>601.85</v>
      </c>
      <c r="J416">
        <v>24542584.800000001</v>
      </c>
      <c r="K416">
        <v>40959</v>
      </c>
      <c r="L416" t="s">
        <v>78</v>
      </c>
      <c r="M416" t="s">
        <v>17</v>
      </c>
      <c r="N416">
        <v>5662</v>
      </c>
      <c r="O416">
        <v>1214.4000000000001</v>
      </c>
      <c r="P416">
        <v>490.85</v>
      </c>
      <c r="Q416" s="1">
        <v>443.65</v>
      </c>
      <c r="R416" s="1" t="str">
        <v/>
      </c>
      <c r="S416" s="3">
        <v>2.5740054843141458E-2</v>
      </c>
      <c r="T416" s="3">
        <v>0</v>
      </c>
    </row>
    <row r="417" spans="1:20" x14ac:dyDescent="0.25">
      <c r="A417" t="s">
        <v>78</v>
      </c>
      <c r="B417" t="s">
        <v>287</v>
      </c>
      <c r="C417" t="s">
        <v>587</v>
      </c>
      <c r="D417" t="s">
        <v>588</v>
      </c>
      <c r="E417">
        <v>1262.0999999999999</v>
      </c>
      <c r="F417">
        <v>1280</v>
      </c>
      <c r="G417">
        <v>1308.8499999999999</v>
      </c>
      <c r="H417">
        <v>1261</v>
      </c>
      <c r="I417" s="1">
        <v>1282.1500000000001</v>
      </c>
      <c r="J417">
        <v>11849205</v>
      </c>
      <c r="K417">
        <v>9200</v>
      </c>
      <c r="L417" t="s">
        <v>78</v>
      </c>
      <c r="M417" t="s">
        <v>17</v>
      </c>
      <c r="N417">
        <v>83</v>
      </c>
      <c r="O417">
        <v>1595</v>
      </c>
      <c r="P417">
        <v>728</v>
      </c>
      <c r="Q417" s="1">
        <v>368.15</v>
      </c>
      <c r="R417" s="1">
        <v>77.25</v>
      </c>
      <c r="S417" s="3">
        <v>0.10958225498222696</v>
      </c>
      <c r="T417" s="3">
        <v>0.15071721415885198</v>
      </c>
    </row>
    <row r="418" spans="1:20" x14ac:dyDescent="0.25">
      <c r="A418" t="s">
        <v>78</v>
      </c>
      <c r="B418" t="s">
        <v>287</v>
      </c>
      <c r="C418" t="s">
        <v>6266</v>
      </c>
      <c r="D418" t="s">
        <v>6265</v>
      </c>
      <c r="E418">
        <v>1505</v>
      </c>
      <c r="F418">
        <v>1500</v>
      </c>
      <c r="G418">
        <v>1500</v>
      </c>
      <c r="H418">
        <v>1455</v>
      </c>
      <c r="I418" s="1">
        <v>1485.05</v>
      </c>
      <c r="J418">
        <v>2592975</v>
      </c>
      <c r="K418">
        <v>1750</v>
      </c>
      <c r="L418" t="s">
        <v>78</v>
      </c>
      <c r="M418" t="s">
        <v>17</v>
      </c>
      <c r="N418">
        <v>14</v>
      </c>
      <c r="O418">
        <v>1935</v>
      </c>
      <c r="P418">
        <v>1249</v>
      </c>
      <c r="Q418" s="1" t="str">
        <v/>
      </c>
      <c r="R418" s="1" t="str">
        <v/>
      </c>
      <c r="S418" s="3">
        <v>0</v>
      </c>
      <c r="T418" s="3">
        <v>0</v>
      </c>
    </row>
    <row r="419" spans="1:20" x14ac:dyDescent="0.25">
      <c r="A419" t="s">
        <v>78</v>
      </c>
      <c r="B419" t="s">
        <v>79</v>
      </c>
      <c r="C419" t="s">
        <v>589</v>
      </c>
      <c r="D419" t="s">
        <v>590</v>
      </c>
      <c r="E419">
        <v>661.2</v>
      </c>
      <c r="F419">
        <v>661.2</v>
      </c>
      <c r="G419">
        <v>664.55</v>
      </c>
      <c r="H419">
        <v>640</v>
      </c>
      <c r="I419" s="1">
        <v>644.29999999999995</v>
      </c>
      <c r="J419">
        <v>51717522.75</v>
      </c>
      <c r="K419">
        <v>79758</v>
      </c>
      <c r="L419" t="s">
        <v>78</v>
      </c>
      <c r="M419" t="s">
        <v>17</v>
      </c>
      <c r="N419">
        <v>5590</v>
      </c>
      <c r="O419">
        <v>728</v>
      </c>
      <c r="P419">
        <v>374.4</v>
      </c>
      <c r="Q419" s="1">
        <v>408</v>
      </c>
      <c r="R419" s="1">
        <v>268.5</v>
      </c>
      <c r="S419" s="3">
        <v>3.8808905329754673E-2</v>
      </c>
      <c r="T419" s="3">
        <v>4.4712480257885989E-2</v>
      </c>
    </row>
    <row r="420" spans="1:20" x14ac:dyDescent="0.25">
      <c r="A420" t="s">
        <v>78</v>
      </c>
      <c r="B420" t="s">
        <v>79</v>
      </c>
      <c r="C420" t="s">
        <v>591</v>
      </c>
      <c r="D420" t="s">
        <v>592</v>
      </c>
      <c r="E420">
        <v>828.85</v>
      </c>
      <c r="F420">
        <v>828</v>
      </c>
      <c r="G420">
        <v>828</v>
      </c>
      <c r="H420">
        <v>806.9</v>
      </c>
      <c r="I420" s="1">
        <v>811.15</v>
      </c>
      <c r="J420">
        <v>154592484.90000001</v>
      </c>
      <c r="K420">
        <v>189801</v>
      </c>
      <c r="L420" t="s">
        <v>78</v>
      </c>
      <c r="M420" t="s">
        <v>17</v>
      </c>
      <c r="N420">
        <v>11535</v>
      </c>
      <c r="O420">
        <v>1016</v>
      </c>
      <c r="P420">
        <v>369.3</v>
      </c>
      <c r="Q420" s="1">
        <v>512.6</v>
      </c>
      <c r="R420" s="1">
        <v>221.3</v>
      </c>
      <c r="S420" s="3">
        <v>3.8987240683985736E-2</v>
      </c>
      <c r="T420" s="3">
        <v>6.7064179081664621E-2</v>
      </c>
    </row>
    <row r="421" spans="1:20" x14ac:dyDescent="0.25">
      <c r="A421" t="s">
        <v>78</v>
      </c>
      <c r="B421" t="s">
        <v>79</v>
      </c>
      <c r="C421" t="s">
        <v>6264</v>
      </c>
      <c r="D421" t="s">
        <v>6263</v>
      </c>
      <c r="E421">
        <v>262.92</v>
      </c>
      <c r="F421">
        <v>268.02999999999997</v>
      </c>
      <c r="G421">
        <v>279.95</v>
      </c>
      <c r="H421">
        <v>262</v>
      </c>
      <c r="I421" s="1">
        <v>265.5</v>
      </c>
      <c r="J421">
        <v>166188745.44999999</v>
      </c>
      <c r="K421">
        <v>618285</v>
      </c>
      <c r="L421" t="s">
        <v>78</v>
      </c>
      <c r="M421" t="s">
        <v>17</v>
      </c>
      <c r="N421">
        <v>16421</v>
      </c>
      <c r="O421">
        <v>1999</v>
      </c>
      <c r="P421">
        <v>168.2</v>
      </c>
      <c r="Q421" s="1" t="str">
        <v/>
      </c>
      <c r="R421" s="1" t="str">
        <v/>
      </c>
      <c r="S421" s="3">
        <v>0</v>
      </c>
      <c r="T421" s="3">
        <v>0</v>
      </c>
    </row>
    <row r="422" spans="1:20" x14ac:dyDescent="0.25">
      <c r="A422" t="s">
        <v>78</v>
      </c>
      <c r="B422" t="s">
        <v>79</v>
      </c>
      <c r="C422" t="s">
        <v>595</v>
      </c>
      <c r="D422" t="s">
        <v>596</v>
      </c>
      <c r="E422">
        <v>167.37</v>
      </c>
      <c r="F422">
        <v>168.8</v>
      </c>
      <c r="G422">
        <v>169.62</v>
      </c>
      <c r="H422">
        <v>167</v>
      </c>
      <c r="I422" s="1">
        <v>168.43</v>
      </c>
      <c r="J422">
        <v>6955149.7300000004</v>
      </c>
      <c r="K422">
        <v>41351</v>
      </c>
      <c r="L422" t="s">
        <v>78</v>
      </c>
      <c r="M422" t="s">
        <v>17</v>
      </c>
      <c r="N422">
        <v>1154</v>
      </c>
      <c r="O422">
        <v>204.85</v>
      </c>
      <c r="P422">
        <v>140</v>
      </c>
      <c r="Q422" s="1">
        <v>282</v>
      </c>
      <c r="R422" s="1">
        <v>120.4</v>
      </c>
      <c r="S422" s="3">
        <v>-4.2039662422074575E-2</v>
      </c>
      <c r="T422" s="3">
        <v>1.6917347403582639E-2</v>
      </c>
    </row>
    <row r="423" spans="1:20" x14ac:dyDescent="0.25">
      <c r="A423" t="s">
        <v>78</v>
      </c>
      <c r="B423" t="s">
        <v>79</v>
      </c>
      <c r="C423" t="s">
        <v>597</v>
      </c>
      <c r="D423" t="s">
        <v>598</v>
      </c>
      <c r="E423">
        <v>116.43</v>
      </c>
      <c r="F423">
        <v>117</v>
      </c>
      <c r="G423">
        <v>118.27</v>
      </c>
      <c r="H423">
        <v>113.1</v>
      </c>
      <c r="I423" s="1">
        <v>113.53</v>
      </c>
      <c r="J423">
        <v>15826407.810000001</v>
      </c>
      <c r="K423">
        <v>137680</v>
      </c>
      <c r="L423" t="s">
        <v>78</v>
      </c>
      <c r="M423" t="s">
        <v>17</v>
      </c>
      <c r="N423">
        <v>3559</v>
      </c>
      <c r="O423">
        <v>128.88999999999999</v>
      </c>
      <c r="P423">
        <v>93.05</v>
      </c>
      <c r="Q423" s="1">
        <v>48.05</v>
      </c>
      <c r="R423" s="1">
        <v>20.45</v>
      </c>
      <c r="S423" s="3">
        <v>7.4281517138669928E-2</v>
      </c>
      <c r="T423" s="3">
        <v>8.9432889888887424E-2</v>
      </c>
    </row>
    <row r="424" spans="1:20" x14ac:dyDescent="0.25">
      <c r="A424" t="s">
        <v>78</v>
      </c>
      <c r="B424" t="s">
        <v>79</v>
      </c>
      <c r="C424" t="s">
        <v>601</v>
      </c>
      <c r="D424" t="s">
        <v>602</v>
      </c>
      <c r="E424">
        <v>7.29</v>
      </c>
      <c r="F424">
        <v>7.32</v>
      </c>
      <c r="G424">
        <v>7.35</v>
      </c>
      <c r="H424">
        <v>7.08</v>
      </c>
      <c r="I424" s="1">
        <v>7.11</v>
      </c>
      <c r="J424">
        <v>5883780.0499999998</v>
      </c>
      <c r="K424">
        <v>816062</v>
      </c>
      <c r="L424" t="s">
        <v>78</v>
      </c>
      <c r="M424" t="s">
        <v>17</v>
      </c>
      <c r="N424">
        <v>1880</v>
      </c>
      <c r="O424">
        <v>11.85</v>
      </c>
      <c r="P424">
        <v>6.85</v>
      </c>
      <c r="Q424" s="1">
        <v>3.75</v>
      </c>
      <c r="R424" s="1">
        <v>1.6</v>
      </c>
      <c r="S424" s="3">
        <v>5.4758889783820042E-2</v>
      </c>
      <c r="T424" s="3">
        <v>7.7382070992315644E-2</v>
      </c>
    </row>
    <row r="425" spans="1:20" x14ac:dyDescent="0.25">
      <c r="A425" t="s">
        <v>78</v>
      </c>
      <c r="B425" t="s">
        <v>79</v>
      </c>
      <c r="C425" t="s">
        <v>603</v>
      </c>
      <c r="D425" t="s">
        <v>604</v>
      </c>
      <c r="E425">
        <v>1653.35</v>
      </c>
      <c r="F425">
        <v>1661.95</v>
      </c>
      <c r="G425">
        <v>1665.85</v>
      </c>
      <c r="H425">
        <v>1612.15</v>
      </c>
      <c r="I425" s="1">
        <v>1621.5</v>
      </c>
      <c r="J425">
        <v>1998686565.7</v>
      </c>
      <c r="K425">
        <v>1232254</v>
      </c>
      <c r="L425" t="s">
        <v>78</v>
      </c>
      <c r="M425" t="s">
        <v>17</v>
      </c>
      <c r="N425">
        <v>40508</v>
      </c>
      <c r="O425">
        <v>1804.5</v>
      </c>
      <c r="P425">
        <v>840.3</v>
      </c>
      <c r="Q425" s="1">
        <v>792</v>
      </c>
      <c r="R425" s="1">
        <v>432.55</v>
      </c>
      <c r="S425" s="3">
        <v>6.1530917345308023E-2</v>
      </c>
      <c r="T425" s="3">
        <v>6.8263322500334622E-2</v>
      </c>
    </row>
    <row r="426" spans="1:20" x14ac:dyDescent="0.25">
      <c r="A426" t="s">
        <v>78</v>
      </c>
      <c r="B426" t="s">
        <v>79</v>
      </c>
      <c r="C426" t="s">
        <v>605</v>
      </c>
      <c r="D426" t="s">
        <v>606</v>
      </c>
      <c r="E426">
        <v>112.47</v>
      </c>
      <c r="F426">
        <v>112.47</v>
      </c>
      <c r="G426">
        <v>113.45</v>
      </c>
      <c r="H426">
        <v>110.2</v>
      </c>
      <c r="I426" s="1">
        <v>110.94</v>
      </c>
      <c r="J426">
        <v>4717427.67</v>
      </c>
      <c r="K426">
        <v>42135</v>
      </c>
      <c r="L426" t="s">
        <v>78</v>
      </c>
      <c r="M426" t="s">
        <v>17</v>
      </c>
      <c r="N426">
        <v>864</v>
      </c>
      <c r="O426">
        <v>135</v>
      </c>
      <c r="P426">
        <v>96.5</v>
      </c>
      <c r="Q426" s="1">
        <v>118.5</v>
      </c>
      <c r="R426" s="1">
        <v>83</v>
      </c>
      <c r="S426" s="3">
        <v>-5.4785581574787745E-3</v>
      </c>
      <c r="T426" s="3">
        <v>1.4605128064486106E-2</v>
      </c>
    </row>
    <row r="427" spans="1:20" x14ac:dyDescent="0.25">
      <c r="A427" t="s">
        <v>78</v>
      </c>
      <c r="B427" t="s">
        <v>79</v>
      </c>
      <c r="C427" t="s">
        <v>607</v>
      </c>
      <c r="D427" t="s">
        <v>608</v>
      </c>
      <c r="E427">
        <v>10998.55</v>
      </c>
      <c r="F427">
        <v>10999.95</v>
      </c>
      <c r="G427">
        <v>11167.9</v>
      </c>
      <c r="H427">
        <v>10950</v>
      </c>
      <c r="I427" s="1">
        <v>10998.05</v>
      </c>
      <c r="J427">
        <v>153489770.59999999</v>
      </c>
      <c r="K427">
        <v>13924</v>
      </c>
      <c r="L427" t="s">
        <v>78</v>
      </c>
      <c r="M427" t="s">
        <v>17</v>
      </c>
      <c r="N427">
        <v>3458</v>
      </c>
      <c r="O427">
        <v>13276.9</v>
      </c>
      <c r="P427">
        <v>8332.75</v>
      </c>
      <c r="Q427" s="1">
        <v>13555</v>
      </c>
      <c r="R427" s="1">
        <v>4050</v>
      </c>
      <c r="S427" s="3">
        <v>-1.7268944160760302E-2</v>
      </c>
      <c r="T427" s="3">
        <v>5.1189836531855493E-2</v>
      </c>
    </row>
    <row r="428" spans="1:20" x14ac:dyDescent="0.25">
      <c r="A428" t="s">
        <v>78</v>
      </c>
      <c r="B428" t="s">
        <v>79</v>
      </c>
      <c r="C428" t="s">
        <v>609</v>
      </c>
      <c r="D428" t="s">
        <v>610</v>
      </c>
      <c r="E428">
        <v>254.5</v>
      </c>
      <c r="F428">
        <v>255</v>
      </c>
      <c r="G428">
        <v>255.25</v>
      </c>
      <c r="H428">
        <v>248</v>
      </c>
      <c r="I428" s="1">
        <v>251.95</v>
      </c>
      <c r="J428">
        <v>35486084.399999999</v>
      </c>
      <c r="K428">
        <v>141119</v>
      </c>
      <c r="L428" t="s">
        <v>78</v>
      </c>
      <c r="M428" t="s">
        <v>17</v>
      </c>
      <c r="N428">
        <v>7159</v>
      </c>
      <c r="O428">
        <v>400.6</v>
      </c>
      <c r="P428">
        <v>191.55</v>
      </c>
      <c r="Q428" s="1">
        <v>78.55</v>
      </c>
      <c r="R428" s="1">
        <v>33</v>
      </c>
      <c r="S428" s="3">
        <v>0.10199768228120787</v>
      </c>
      <c r="T428" s="3">
        <v>0.10691901529827286</v>
      </c>
    </row>
    <row r="429" spans="1:20" x14ac:dyDescent="0.25">
      <c r="A429" t="s">
        <v>78</v>
      </c>
      <c r="B429" t="s">
        <v>79</v>
      </c>
      <c r="C429" t="s">
        <v>6262</v>
      </c>
      <c r="D429" t="s">
        <v>6261</v>
      </c>
      <c r="E429">
        <v>1140.95</v>
      </c>
      <c r="F429">
        <v>1140.95</v>
      </c>
      <c r="G429">
        <v>1172</v>
      </c>
      <c r="H429">
        <v>1112</v>
      </c>
      <c r="I429" s="1">
        <v>1137.55</v>
      </c>
      <c r="J429">
        <v>1135215624.7</v>
      </c>
      <c r="K429">
        <v>999253</v>
      </c>
      <c r="L429" t="s">
        <v>78</v>
      </c>
      <c r="M429" t="s">
        <v>17</v>
      </c>
      <c r="N429">
        <v>61735</v>
      </c>
      <c r="O429">
        <v>1368.6</v>
      </c>
      <c r="P429">
        <v>755</v>
      </c>
      <c r="Q429" s="1" t="str">
        <v/>
      </c>
      <c r="R429" s="1" t="str">
        <v/>
      </c>
      <c r="S429" s="3">
        <v>0</v>
      </c>
      <c r="T429" s="3">
        <v>0</v>
      </c>
    </row>
    <row r="430" spans="1:20" x14ac:dyDescent="0.25">
      <c r="A430" t="s">
        <v>78</v>
      </c>
      <c r="B430" t="s">
        <v>79</v>
      </c>
      <c r="C430" t="s">
        <v>611</v>
      </c>
      <c r="D430" t="s">
        <v>611</v>
      </c>
      <c r="E430">
        <v>320</v>
      </c>
      <c r="F430">
        <v>319.75</v>
      </c>
      <c r="G430">
        <v>319.75</v>
      </c>
      <c r="H430">
        <v>306.2</v>
      </c>
      <c r="I430" s="1">
        <v>308.60000000000002</v>
      </c>
      <c r="J430">
        <v>6656432031.6000004</v>
      </c>
      <c r="K430">
        <v>21439407</v>
      </c>
      <c r="L430" t="s">
        <v>78</v>
      </c>
      <c r="M430" t="s">
        <v>17</v>
      </c>
      <c r="N430">
        <v>199216</v>
      </c>
      <c r="O430">
        <v>335.35</v>
      </c>
      <c r="P430">
        <v>92.05</v>
      </c>
      <c r="Q430" s="1">
        <v>63.8</v>
      </c>
      <c r="R430" s="1">
        <v>63.4</v>
      </c>
      <c r="S430" s="3">
        <v>0.14037565394597906</v>
      </c>
      <c r="T430" s="3">
        <v>8.2297145910743108E-2</v>
      </c>
    </row>
    <row r="431" spans="1:20" x14ac:dyDescent="0.25">
      <c r="A431" t="s">
        <v>78</v>
      </c>
      <c r="B431" t="s">
        <v>1352</v>
      </c>
      <c r="C431" t="s">
        <v>6260</v>
      </c>
      <c r="D431" t="s">
        <v>6259</v>
      </c>
      <c r="E431">
        <v>106.49</v>
      </c>
      <c r="F431">
        <v>106.5</v>
      </c>
      <c r="G431">
        <v>106.69</v>
      </c>
      <c r="H431">
        <v>105.2</v>
      </c>
      <c r="I431" s="1">
        <v>105.99</v>
      </c>
      <c r="J431">
        <v>28466066.219999999</v>
      </c>
      <c r="K431">
        <v>268527</v>
      </c>
      <c r="L431" t="s">
        <v>78</v>
      </c>
      <c r="M431" t="s">
        <v>17</v>
      </c>
      <c r="N431">
        <v>3554</v>
      </c>
      <c r="O431">
        <v>111.9</v>
      </c>
      <c r="P431">
        <v>101.1</v>
      </c>
      <c r="Q431" s="1" t="str">
        <v/>
      </c>
      <c r="R431" s="1" t="str">
        <v/>
      </c>
      <c r="S431" s="3">
        <v>0</v>
      </c>
      <c r="T431" s="3">
        <v>0</v>
      </c>
    </row>
    <row r="432" spans="1:20" x14ac:dyDescent="0.25">
      <c r="A432" t="s">
        <v>78</v>
      </c>
      <c r="B432" t="s">
        <v>79</v>
      </c>
      <c r="C432" t="s">
        <v>612</v>
      </c>
      <c r="D432" t="s">
        <v>613</v>
      </c>
      <c r="E432">
        <v>281.02</v>
      </c>
      <c r="F432">
        <v>283.5</v>
      </c>
      <c r="G432">
        <v>294.64</v>
      </c>
      <c r="H432">
        <v>276</v>
      </c>
      <c r="I432" s="1">
        <v>278.14999999999998</v>
      </c>
      <c r="J432">
        <v>176640208.62</v>
      </c>
      <c r="K432">
        <v>622925</v>
      </c>
      <c r="L432" t="s">
        <v>78</v>
      </c>
      <c r="M432" t="s">
        <v>17</v>
      </c>
      <c r="N432">
        <v>18804</v>
      </c>
      <c r="O432">
        <v>294.64</v>
      </c>
      <c r="P432">
        <v>138.25</v>
      </c>
      <c r="Q432" s="1">
        <v>105.5</v>
      </c>
      <c r="R432" s="1">
        <v>26.8</v>
      </c>
      <c r="S432" s="3">
        <v>8.414045461336106E-2</v>
      </c>
      <c r="T432" s="3">
        <v>0.12403384764270697</v>
      </c>
    </row>
    <row r="433" spans="1:20" x14ac:dyDescent="0.25">
      <c r="A433" t="s">
        <v>78</v>
      </c>
      <c r="B433" t="s">
        <v>79</v>
      </c>
      <c r="C433" t="s">
        <v>6258</v>
      </c>
      <c r="D433" t="s">
        <v>6257</v>
      </c>
      <c r="E433">
        <v>708.2</v>
      </c>
      <c r="F433">
        <v>704.95</v>
      </c>
      <c r="G433">
        <v>724.9</v>
      </c>
      <c r="H433">
        <v>698.2</v>
      </c>
      <c r="I433" s="1">
        <v>703.1</v>
      </c>
      <c r="J433">
        <v>398873387.30000001</v>
      </c>
      <c r="K433">
        <v>564458</v>
      </c>
      <c r="L433" t="s">
        <v>78</v>
      </c>
      <c r="M433" t="s">
        <v>17</v>
      </c>
      <c r="N433">
        <v>42391</v>
      </c>
      <c r="O433">
        <v>747</v>
      </c>
      <c r="P433">
        <v>414.35</v>
      </c>
      <c r="Q433" s="1" t="str">
        <v/>
      </c>
      <c r="R433" s="1" t="str">
        <v/>
      </c>
      <c r="S433" s="3">
        <v>0</v>
      </c>
      <c r="T433" s="3">
        <v>0</v>
      </c>
    </row>
    <row r="434" spans="1:20" x14ac:dyDescent="0.25">
      <c r="A434" t="s">
        <v>78</v>
      </c>
      <c r="B434" t="s">
        <v>79</v>
      </c>
      <c r="C434" t="s">
        <v>6256</v>
      </c>
      <c r="D434" t="s">
        <v>6255</v>
      </c>
      <c r="E434">
        <v>16.010000000000002</v>
      </c>
      <c r="F434">
        <v>15.5</v>
      </c>
      <c r="G434">
        <v>16</v>
      </c>
      <c r="H434">
        <v>15.5</v>
      </c>
      <c r="I434" s="1">
        <v>15.61</v>
      </c>
      <c r="J434">
        <v>131313.73000000001</v>
      </c>
      <c r="K434">
        <v>8338</v>
      </c>
      <c r="L434" t="s">
        <v>78</v>
      </c>
      <c r="M434" t="s">
        <v>17</v>
      </c>
      <c r="N434">
        <v>89</v>
      </c>
      <c r="O434">
        <v>20.8</v>
      </c>
      <c r="P434">
        <v>13.65</v>
      </c>
      <c r="Q434" s="1" t="str">
        <v/>
      </c>
      <c r="R434" s="1">
        <v>14.7</v>
      </c>
      <c r="S434" s="3">
        <v>0</v>
      </c>
      <c r="T434" s="3">
        <v>3.0060765563952874E-3</v>
      </c>
    </row>
    <row r="435" spans="1:20" x14ac:dyDescent="0.25">
      <c r="A435" t="s">
        <v>78</v>
      </c>
      <c r="B435" t="s">
        <v>79</v>
      </c>
      <c r="C435" t="s">
        <v>200</v>
      </c>
      <c r="D435" t="s">
        <v>201</v>
      </c>
      <c r="E435">
        <v>353.4</v>
      </c>
      <c r="F435">
        <v>353.4</v>
      </c>
      <c r="G435">
        <v>353.4</v>
      </c>
      <c r="H435">
        <v>340.95</v>
      </c>
      <c r="I435" s="1">
        <v>343.2</v>
      </c>
      <c r="J435">
        <v>1342061582.5999999</v>
      </c>
      <c r="K435">
        <v>3890681</v>
      </c>
      <c r="L435" t="s">
        <v>78</v>
      </c>
      <c r="M435" t="s">
        <v>17</v>
      </c>
      <c r="N435">
        <v>44384</v>
      </c>
      <c r="O435">
        <v>373.85</v>
      </c>
      <c r="P435">
        <v>217.5</v>
      </c>
      <c r="Q435" s="1">
        <v>405.1</v>
      </c>
      <c r="R435" s="1">
        <v>238</v>
      </c>
      <c r="S435" s="3">
        <v>-1.3723346293607608E-2</v>
      </c>
      <c r="T435" s="3">
        <v>1.8460437072293168E-2</v>
      </c>
    </row>
    <row r="436" spans="1:20" x14ac:dyDescent="0.25">
      <c r="A436" t="s">
        <v>78</v>
      </c>
      <c r="B436" t="s">
        <v>79</v>
      </c>
      <c r="C436" t="s">
        <v>616</v>
      </c>
      <c r="D436" t="s">
        <v>617</v>
      </c>
      <c r="E436">
        <v>64.98</v>
      </c>
      <c r="F436">
        <v>64.98</v>
      </c>
      <c r="G436">
        <v>65.98</v>
      </c>
      <c r="H436">
        <v>63.15</v>
      </c>
      <c r="I436" s="1">
        <v>64</v>
      </c>
      <c r="J436">
        <v>1751463.43</v>
      </c>
      <c r="K436">
        <v>27138</v>
      </c>
      <c r="L436" t="s">
        <v>78</v>
      </c>
      <c r="M436" t="s">
        <v>17</v>
      </c>
      <c r="N436">
        <v>607</v>
      </c>
      <c r="O436">
        <v>79</v>
      </c>
      <c r="P436">
        <v>44.25</v>
      </c>
      <c r="Q436" s="1">
        <v>79.3</v>
      </c>
      <c r="R436" s="1">
        <v>6.3</v>
      </c>
      <c r="S436" s="3">
        <v>-1.7704324211406774E-2</v>
      </c>
      <c r="T436" s="3">
        <v>0.12283101866749768</v>
      </c>
    </row>
    <row r="437" spans="1:20" x14ac:dyDescent="0.25">
      <c r="A437" t="s">
        <v>78</v>
      </c>
      <c r="B437" t="s">
        <v>618</v>
      </c>
      <c r="C437" t="s">
        <v>619</v>
      </c>
      <c r="D437" t="s">
        <v>620</v>
      </c>
      <c r="E437">
        <v>267.13</v>
      </c>
      <c r="F437">
        <v>267.14999999999998</v>
      </c>
      <c r="G437">
        <v>271.05</v>
      </c>
      <c r="H437">
        <v>265.2</v>
      </c>
      <c r="I437" s="1">
        <v>270.64999999999998</v>
      </c>
      <c r="J437">
        <v>113261573.38</v>
      </c>
      <c r="K437">
        <v>423649</v>
      </c>
      <c r="L437" t="s">
        <v>78</v>
      </c>
      <c r="M437" t="s">
        <v>17</v>
      </c>
      <c r="N437">
        <v>2544</v>
      </c>
      <c r="O437">
        <v>271.05</v>
      </c>
      <c r="P437">
        <v>232.1</v>
      </c>
      <c r="Q437" s="1">
        <v>265.49</v>
      </c>
      <c r="R437" s="1" t="str">
        <v/>
      </c>
      <c r="S437" s="3">
        <v>1.6053954408734583E-3</v>
      </c>
      <c r="T437" s="3">
        <v>0</v>
      </c>
    </row>
    <row r="438" spans="1:20" x14ac:dyDescent="0.25">
      <c r="A438" t="s">
        <v>78</v>
      </c>
      <c r="B438" t="s">
        <v>79</v>
      </c>
      <c r="C438" t="s">
        <v>3056</v>
      </c>
      <c r="D438" t="s">
        <v>3057</v>
      </c>
      <c r="E438">
        <v>289.89</v>
      </c>
      <c r="F438">
        <v>286</v>
      </c>
      <c r="G438">
        <v>288.66000000000003</v>
      </c>
      <c r="H438">
        <v>277</v>
      </c>
      <c r="I438" s="1">
        <v>280.20999999999998</v>
      </c>
      <c r="J438">
        <v>150855337.81</v>
      </c>
      <c r="K438">
        <v>533836</v>
      </c>
      <c r="L438" t="s">
        <v>78</v>
      </c>
      <c r="M438" t="s">
        <v>17</v>
      </c>
      <c r="N438">
        <v>18102</v>
      </c>
      <c r="O438">
        <v>429.7</v>
      </c>
      <c r="P438">
        <v>166.4</v>
      </c>
      <c r="Q438" s="1">
        <v>108.6</v>
      </c>
      <c r="R438" s="1">
        <v>84</v>
      </c>
      <c r="S438" s="3">
        <v>8.2192410183031583E-2</v>
      </c>
      <c r="T438" s="3">
        <v>6.2052267956210994E-2</v>
      </c>
    </row>
    <row r="439" spans="1:20" x14ac:dyDescent="0.25">
      <c r="A439" t="s">
        <v>78</v>
      </c>
      <c r="B439" t="s">
        <v>79</v>
      </c>
      <c r="C439" t="s">
        <v>621</v>
      </c>
      <c r="D439" t="s">
        <v>622</v>
      </c>
      <c r="E439">
        <v>1558.05</v>
      </c>
      <c r="F439">
        <v>1555</v>
      </c>
      <c r="G439">
        <v>1568.2</v>
      </c>
      <c r="H439">
        <v>1535.7</v>
      </c>
      <c r="I439" s="1">
        <v>1556.75</v>
      </c>
      <c r="J439">
        <v>96932617.75</v>
      </c>
      <c r="K439">
        <v>62319</v>
      </c>
      <c r="L439" t="s">
        <v>78</v>
      </c>
      <c r="M439" t="s">
        <v>17</v>
      </c>
      <c r="N439">
        <v>16169</v>
      </c>
      <c r="O439">
        <v>1802</v>
      </c>
      <c r="P439">
        <v>1060.55</v>
      </c>
      <c r="Q439" s="1">
        <v>1315</v>
      </c>
      <c r="R439" s="1">
        <v>593</v>
      </c>
      <c r="S439" s="3">
        <v>1.416299561000689E-2</v>
      </c>
      <c r="T439" s="3">
        <v>4.9413704388845181E-2</v>
      </c>
    </row>
    <row r="440" spans="1:20" x14ac:dyDescent="0.25">
      <c r="A440" t="s">
        <v>78</v>
      </c>
      <c r="B440" t="s">
        <v>79</v>
      </c>
      <c r="C440" t="s">
        <v>623</v>
      </c>
      <c r="D440" t="s">
        <v>624</v>
      </c>
      <c r="E440">
        <v>165.45</v>
      </c>
      <c r="F440">
        <v>169.95</v>
      </c>
      <c r="G440">
        <v>189.08</v>
      </c>
      <c r="H440">
        <v>167</v>
      </c>
      <c r="I440" s="1">
        <v>183.3</v>
      </c>
      <c r="J440">
        <v>1269923303.29</v>
      </c>
      <c r="K440">
        <v>6954393</v>
      </c>
      <c r="L440" t="s">
        <v>78</v>
      </c>
      <c r="M440" t="s">
        <v>17</v>
      </c>
      <c r="N440">
        <v>85059</v>
      </c>
      <c r="O440">
        <v>189.08</v>
      </c>
      <c r="P440">
        <v>59.3</v>
      </c>
      <c r="Q440" s="1">
        <v>77.8</v>
      </c>
      <c r="R440" s="1">
        <v>42.2</v>
      </c>
      <c r="S440" s="3">
        <v>7.4027098312456685E-2</v>
      </c>
      <c r="T440" s="3">
        <v>7.6155513167798672E-2</v>
      </c>
    </row>
    <row r="441" spans="1:20" x14ac:dyDescent="0.25">
      <c r="A441" t="s">
        <v>78</v>
      </c>
      <c r="B441" t="s">
        <v>79</v>
      </c>
      <c r="C441" t="s">
        <v>6254</v>
      </c>
      <c r="D441" t="s">
        <v>6253</v>
      </c>
      <c r="E441">
        <v>329.4</v>
      </c>
      <c r="F441">
        <v>330.9</v>
      </c>
      <c r="G441">
        <v>334.85</v>
      </c>
      <c r="H441">
        <v>317.35000000000002</v>
      </c>
      <c r="I441" s="1">
        <v>319.8</v>
      </c>
      <c r="J441">
        <v>131745446.90000001</v>
      </c>
      <c r="K441">
        <v>409008</v>
      </c>
      <c r="L441" t="s">
        <v>78</v>
      </c>
      <c r="M441" t="s">
        <v>17</v>
      </c>
      <c r="N441">
        <v>14472</v>
      </c>
      <c r="O441">
        <v>377.45</v>
      </c>
      <c r="P441">
        <v>151.19999999999999</v>
      </c>
      <c r="Q441" s="1" t="str">
        <v/>
      </c>
      <c r="R441" s="1" t="str">
        <v/>
      </c>
      <c r="S441" s="3">
        <v>0</v>
      </c>
      <c r="T441" s="3">
        <v>0</v>
      </c>
    </row>
    <row r="442" spans="1:20" x14ac:dyDescent="0.25">
      <c r="A442" t="s">
        <v>78</v>
      </c>
      <c r="B442" t="s">
        <v>79</v>
      </c>
      <c r="C442" t="s">
        <v>629</v>
      </c>
      <c r="D442" t="s">
        <v>630</v>
      </c>
      <c r="E442">
        <v>114.07</v>
      </c>
      <c r="F442">
        <v>114.07</v>
      </c>
      <c r="G442">
        <v>114.23</v>
      </c>
      <c r="H442">
        <v>110.84</v>
      </c>
      <c r="I442" s="1">
        <v>111.29</v>
      </c>
      <c r="J442">
        <v>35443933.850000001</v>
      </c>
      <c r="K442">
        <v>316676</v>
      </c>
      <c r="L442" t="s">
        <v>78</v>
      </c>
      <c r="M442" t="s">
        <v>183</v>
      </c>
      <c r="N442">
        <v>5652</v>
      </c>
      <c r="O442">
        <v>149.6</v>
      </c>
      <c r="P442">
        <v>77.349999999999994</v>
      </c>
      <c r="Q442" s="1">
        <v>112.05</v>
      </c>
      <c r="R442" s="1">
        <v>156</v>
      </c>
      <c r="S442" s="3">
        <v>-5.66988639624455E-4</v>
      </c>
      <c r="T442" s="3">
        <v>-1.6734970811043359E-2</v>
      </c>
    </row>
    <row r="443" spans="1:20" x14ac:dyDescent="0.25">
      <c r="A443" t="s">
        <v>78</v>
      </c>
      <c r="B443" t="s">
        <v>79</v>
      </c>
      <c r="C443" t="s">
        <v>631</v>
      </c>
      <c r="D443" t="s">
        <v>632</v>
      </c>
      <c r="E443">
        <v>107.97</v>
      </c>
      <c r="F443">
        <v>108.5</v>
      </c>
      <c r="G443">
        <v>109</v>
      </c>
      <c r="H443">
        <v>101.98</v>
      </c>
      <c r="I443" s="1">
        <v>103.78</v>
      </c>
      <c r="J443">
        <v>235115241.88999999</v>
      </c>
      <c r="K443">
        <v>2238617</v>
      </c>
      <c r="L443" t="s">
        <v>78</v>
      </c>
      <c r="M443" t="s">
        <v>17</v>
      </c>
      <c r="N443">
        <v>20583</v>
      </c>
      <c r="O443">
        <v>110.29</v>
      </c>
      <c r="P443">
        <v>38.799999999999997</v>
      </c>
      <c r="Q443" s="1">
        <v>24</v>
      </c>
      <c r="R443" s="1">
        <v>9.25</v>
      </c>
      <c r="S443" s="3">
        <v>0.12977476174403657</v>
      </c>
      <c r="T443" s="3">
        <v>0.12841758655652691</v>
      </c>
    </row>
    <row r="444" spans="1:20" x14ac:dyDescent="0.25">
      <c r="A444" t="s">
        <v>78</v>
      </c>
      <c r="B444" t="s">
        <v>79</v>
      </c>
      <c r="C444" t="s">
        <v>633</v>
      </c>
      <c r="D444" t="s">
        <v>634</v>
      </c>
      <c r="E444">
        <v>363.9</v>
      </c>
      <c r="F444">
        <v>361.6</v>
      </c>
      <c r="G444">
        <v>364.45</v>
      </c>
      <c r="H444">
        <v>350.35</v>
      </c>
      <c r="I444" s="1">
        <v>353.2</v>
      </c>
      <c r="J444">
        <v>562235291.25</v>
      </c>
      <c r="K444">
        <v>1570313</v>
      </c>
      <c r="L444" t="s">
        <v>78</v>
      </c>
      <c r="M444" t="s">
        <v>17</v>
      </c>
      <c r="N444">
        <v>40634</v>
      </c>
      <c r="O444">
        <v>429.95</v>
      </c>
      <c r="P444">
        <v>212</v>
      </c>
      <c r="Q444" s="1">
        <v>130</v>
      </c>
      <c r="R444" s="1">
        <v>78</v>
      </c>
      <c r="S444" s="3">
        <v>8.6858764451103632E-2</v>
      </c>
      <c r="T444" s="3">
        <v>7.8396187649518945E-2</v>
      </c>
    </row>
    <row r="445" spans="1:20" x14ac:dyDescent="0.25">
      <c r="A445" t="s">
        <v>78</v>
      </c>
      <c r="B445" t="s">
        <v>79</v>
      </c>
      <c r="C445" t="s">
        <v>6252</v>
      </c>
      <c r="D445" t="s">
        <v>6251</v>
      </c>
      <c r="E445">
        <v>234.7</v>
      </c>
      <c r="F445">
        <v>237.95</v>
      </c>
      <c r="G445">
        <v>237.95</v>
      </c>
      <c r="H445">
        <v>230</v>
      </c>
      <c r="I445" s="1">
        <v>232.9</v>
      </c>
      <c r="J445">
        <v>58582507.600000001</v>
      </c>
      <c r="K445">
        <v>252175</v>
      </c>
      <c r="L445" t="s">
        <v>78</v>
      </c>
      <c r="M445" t="s">
        <v>17</v>
      </c>
      <c r="N445">
        <v>14954</v>
      </c>
      <c r="O445">
        <v>423.7</v>
      </c>
      <c r="P445">
        <v>221.25</v>
      </c>
      <c r="Q445" s="1" t="str">
        <v/>
      </c>
      <c r="R445" s="1" t="str">
        <v/>
      </c>
      <c r="S445" s="3">
        <v>0</v>
      </c>
      <c r="T445" s="3">
        <v>0</v>
      </c>
    </row>
    <row r="446" spans="1:20" x14ac:dyDescent="0.25">
      <c r="A446" t="s">
        <v>78</v>
      </c>
      <c r="B446" t="s">
        <v>79</v>
      </c>
      <c r="C446" t="s">
        <v>637</v>
      </c>
      <c r="D446" t="s">
        <v>638</v>
      </c>
      <c r="E446">
        <v>8935.2000000000007</v>
      </c>
      <c r="F446">
        <v>8862.25</v>
      </c>
      <c r="G446">
        <v>8919.9500000000007</v>
      </c>
      <c r="H446">
        <v>8334</v>
      </c>
      <c r="I446" s="1">
        <v>8436.5499999999993</v>
      </c>
      <c r="J446">
        <v>272750237.44999999</v>
      </c>
      <c r="K446">
        <v>32000</v>
      </c>
      <c r="L446" t="s">
        <v>78</v>
      </c>
      <c r="M446" t="s">
        <v>17</v>
      </c>
      <c r="N446">
        <v>11448</v>
      </c>
      <c r="O446">
        <v>8980</v>
      </c>
      <c r="P446">
        <v>5486.6</v>
      </c>
      <c r="Q446" s="1">
        <v>5763.3</v>
      </c>
      <c r="R446" s="1">
        <v>2390.1</v>
      </c>
      <c r="S446" s="3">
        <v>3.2264847348882242E-2</v>
      </c>
      <c r="T446" s="3">
        <v>6.5055996881591138E-2</v>
      </c>
    </row>
    <row r="447" spans="1:20" x14ac:dyDescent="0.25">
      <c r="A447" t="s">
        <v>78</v>
      </c>
      <c r="B447" t="s">
        <v>79</v>
      </c>
      <c r="C447" t="s">
        <v>6250</v>
      </c>
      <c r="D447" t="s">
        <v>6249</v>
      </c>
      <c r="E447">
        <v>416.95</v>
      </c>
      <c r="F447">
        <v>412.75</v>
      </c>
      <c r="G447">
        <v>416.9</v>
      </c>
      <c r="H447">
        <v>408.8</v>
      </c>
      <c r="I447" s="1">
        <v>412.85</v>
      </c>
      <c r="J447">
        <v>42132436.200000003</v>
      </c>
      <c r="K447">
        <v>102228</v>
      </c>
      <c r="L447" t="s">
        <v>78</v>
      </c>
      <c r="M447" t="s">
        <v>17</v>
      </c>
      <c r="N447">
        <v>2914</v>
      </c>
      <c r="O447">
        <v>447</v>
      </c>
      <c r="P447">
        <v>319.5</v>
      </c>
      <c r="Q447" s="1" t="str">
        <v/>
      </c>
      <c r="R447" s="1" t="str">
        <v/>
      </c>
      <c r="S447" s="3">
        <v>0</v>
      </c>
      <c r="T447" s="3">
        <v>0</v>
      </c>
    </row>
    <row r="448" spans="1:20" x14ac:dyDescent="0.25">
      <c r="A448" t="s">
        <v>78</v>
      </c>
      <c r="B448" t="s">
        <v>287</v>
      </c>
      <c r="C448" t="s">
        <v>6248</v>
      </c>
      <c r="D448" t="s">
        <v>6247</v>
      </c>
      <c r="E448">
        <v>290</v>
      </c>
      <c r="F448">
        <v>292</v>
      </c>
      <c r="G448">
        <v>292</v>
      </c>
      <c r="H448">
        <v>278</v>
      </c>
      <c r="I448" s="1">
        <v>278</v>
      </c>
      <c r="J448">
        <v>7896160</v>
      </c>
      <c r="K448">
        <v>28000</v>
      </c>
      <c r="L448" t="s">
        <v>78</v>
      </c>
      <c r="M448" t="s">
        <v>17</v>
      </c>
      <c r="N448">
        <v>35</v>
      </c>
      <c r="O448">
        <v>381.4</v>
      </c>
      <c r="P448">
        <v>186</v>
      </c>
      <c r="Q448" s="1" t="str">
        <v/>
      </c>
      <c r="R448" s="1" t="str">
        <v/>
      </c>
      <c r="S448" s="3">
        <v>0</v>
      </c>
      <c r="T448" s="3">
        <v>0</v>
      </c>
    </row>
    <row r="449" spans="1:20" x14ac:dyDescent="0.25">
      <c r="A449" t="s">
        <v>78</v>
      </c>
      <c r="B449" t="s">
        <v>79</v>
      </c>
      <c r="C449" t="s">
        <v>639</v>
      </c>
      <c r="D449" t="s">
        <v>640</v>
      </c>
      <c r="E449">
        <v>1737.65</v>
      </c>
      <c r="F449">
        <v>1740</v>
      </c>
      <c r="G449">
        <v>1751.65</v>
      </c>
      <c r="H449">
        <v>1661</v>
      </c>
      <c r="I449" s="1">
        <v>1695.6</v>
      </c>
      <c r="J449">
        <v>691056616.20000005</v>
      </c>
      <c r="K449">
        <v>407094</v>
      </c>
      <c r="L449" t="s">
        <v>78</v>
      </c>
      <c r="M449" t="s">
        <v>17</v>
      </c>
      <c r="N449">
        <v>40872</v>
      </c>
      <c r="O449">
        <v>1897.8</v>
      </c>
      <c r="P449">
        <v>701.7</v>
      </c>
      <c r="Q449" s="1">
        <v>852.25</v>
      </c>
      <c r="R449" s="1">
        <v>708</v>
      </c>
      <c r="S449" s="3">
        <v>5.900099096229372E-2</v>
      </c>
      <c r="T449" s="3">
        <v>4.4609862151325119E-2</v>
      </c>
    </row>
    <row r="450" spans="1:20" x14ac:dyDescent="0.25">
      <c r="A450" t="s">
        <v>78</v>
      </c>
      <c r="B450" t="s">
        <v>287</v>
      </c>
      <c r="C450" t="s">
        <v>6246</v>
      </c>
      <c r="D450" t="s">
        <v>6245</v>
      </c>
      <c r="E450">
        <v>126.6</v>
      </c>
      <c r="F450">
        <v>126.6</v>
      </c>
      <c r="G450">
        <v>128.94999999999999</v>
      </c>
      <c r="H450">
        <v>126.3</v>
      </c>
      <c r="I450" s="1">
        <v>126.3</v>
      </c>
      <c r="J450">
        <v>658160</v>
      </c>
      <c r="K450">
        <v>5200</v>
      </c>
      <c r="L450" t="s">
        <v>78</v>
      </c>
      <c r="M450" t="s">
        <v>17</v>
      </c>
      <c r="N450">
        <v>12</v>
      </c>
      <c r="O450">
        <v>234.6</v>
      </c>
      <c r="P450">
        <v>74</v>
      </c>
      <c r="Q450" s="1" t="str">
        <v/>
      </c>
      <c r="R450" s="1" t="str">
        <v/>
      </c>
      <c r="S450" s="3">
        <v>0</v>
      </c>
      <c r="T450" s="3">
        <v>0</v>
      </c>
    </row>
    <row r="451" spans="1:20" x14ac:dyDescent="0.25">
      <c r="A451" t="s">
        <v>78</v>
      </c>
      <c r="B451" t="s">
        <v>79</v>
      </c>
      <c r="C451" t="s">
        <v>641</v>
      </c>
      <c r="D451" t="s">
        <v>642</v>
      </c>
      <c r="E451">
        <v>77.680000000000007</v>
      </c>
      <c r="F451">
        <v>77.900000000000006</v>
      </c>
      <c r="G451">
        <v>78.11</v>
      </c>
      <c r="H451">
        <v>75.7</v>
      </c>
      <c r="I451" s="1">
        <v>76.239999999999995</v>
      </c>
      <c r="J451">
        <v>47033418.130000003</v>
      </c>
      <c r="K451">
        <v>614208</v>
      </c>
      <c r="L451" t="s">
        <v>78</v>
      </c>
      <c r="M451" t="s">
        <v>17</v>
      </c>
      <c r="N451">
        <v>6793</v>
      </c>
      <c r="O451">
        <v>100.95</v>
      </c>
      <c r="P451">
        <v>65.8</v>
      </c>
      <c r="Q451" s="1">
        <v>115.1</v>
      </c>
      <c r="R451" s="1">
        <v>82</v>
      </c>
      <c r="S451" s="3">
        <v>-3.3743792420938612E-2</v>
      </c>
      <c r="T451" s="3">
        <v>-3.6330395483785694E-3</v>
      </c>
    </row>
    <row r="452" spans="1:20" x14ac:dyDescent="0.25">
      <c r="A452" t="s">
        <v>78</v>
      </c>
      <c r="B452" t="s">
        <v>79</v>
      </c>
      <c r="C452" t="s">
        <v>645</v>
      </c>
      <c r="D452" t="s">
        <v>646</v>
      </c>
      <c r="E452">
        <v>221.53</v>
      </c>
      <c r="F452">
        <v>222.19</v>
      </c>
      <c r="G452">
        <v>223.39</v>
      </c>
      <c r="H452">
        <v>214</v>
      </c>
      <c r="I452" s="1">
        <v>214.51</v>
      </c>
      <c r="J452">
        <v>441063702.43000001</v>
      </c>
      <c r="K452">
        <v>2033043</v>
      </c>
      <c r="L452" t="s">
        <v>78</v>
      </c>
      <c r="M452" t="s">
        <v>17</v>
      </c>
      <c r="N452">
        <v>21860</v>
      </c>
      <c r="O452">
        <v>231.54</v>
      </c>
      <c r="P452">
        <v>108.3</v>
      </c>
      <c r="Q452" s="1">
        <v>100.25</v>
      </c>
      <c r="R452" s="1">
        <v>90.9</v>
      </c>
      <c r="S452" s="3">
        <v>6.5443105635980769E-2</v>
      </c>
      <c r="T452" s="3">
        <v>4.3840090283073341E-2</v>
      </c>
    </row>
    <row r="453" spans="1:20" x14ac:dyDescent="0.25">
      <c r="A453" t="s">
        <v>78</v>
      </c>
      <c r="B453" t="s">
        <v>79</v>
      </c>
      <c r="C453" t="s">
        <v>647</v>
      </c>
      <c r="D453" t="s">
        <v>648</v>
      </c>
      <c r="E453">
        <v>371.1</v>
      </c>
      <c r="F453">
        <v>371</v>
      </c>
      <c r="G453">
        <v>371.55</v>
      </c>
      <c r="H453">
        <v>359</v>
      </c>
      <c r="I453" s="1">
        <v>360.6</v>
      </c>
      <c r="J453">
        <v>71503358.799999997</v>
      </c>
      <c r="K453">
        <v>196547</v>
      </c>
      <c r="L453" t="s">
        <v>78</v>
      </c>
      <c r="M453" t="s">
        <v>17</v>
      </c>
      <c r="N453">
        <v>10312</v>
      </c>
      <c r="O453">
        <v>420</v>
      </c>
      <c r="P453">
        <v>285.25</v>
      </c>
      <c r="Q453" s="1">
        <v>218.15</v>
      </c>
      <c r="R453" s="1" t="str">
        <v/>
      </c>
      <c r="S453" s="3">
        <v>4.2771633990140723E-2</v>
      </c>
      <c r="T453" s="3">
        <v>0</v>
      </c>
    </row>
    <row r="454" spans="1:20" x14ac:dyDescent="0.25">
      <c r="A454" t="s">
        <v>78</v>
      </c>
      <c r="B454" t="s">
        <v>79</v>
      </c>
      <c r="C454" t="s">
        <v>3062</v>
      </c>
      <c r="D454" t="s">
        <v>3063</v>
      </c>
      <c r="E454">
        <v>508</v>
      </c>
      <c r="F454">
        <v>507</v>
      </c>
      <c r="G454">
        <v>507.9</v>
      </c>
      <c r="H454">
        <v>496.5</v>
      </c>
      <c r="I454" s="1">
        <v>500.35</v>
      </c>
      <c r="J454">
        <v>168397642.34999999</v>
      </c>
      <c r="K454">
        <v>335645</v>
      </c>
      <c r="L454" t="s">
        <v>78</v>
      </c>
      <c r="M454" t="s">
        <v>17</v>
      </c>
      <c r="N454">
        <v>18490</v>
      </c>
      <c r="O454">
        <v>669.35</v>
      </c>
      <c r="P454">
        <v>391.05</v>
      </c>
      <c r="Q454" s="1">
        <v>281.05</v>
      </c>
      <c r="R454" s="1" t="str">
        <v/>
      </c>
      <c r="S454" s="3">
        <v>4.9238439541696266E-2</v>
      </c>
      <c r="T454" s="3">
        <v>0</v>
      </c>
    </row>
    <row r="455" spans="1:20" x14ac:dyDescent="0.25">
      <c r="A455" t="s">
        <v>78</v>
      </c>
      <c r="B455" t="s">
        <v>79</v>
      </c>
      <c r="C455" t="s">
        <v>6244</v>
      </c>
      <c r="D455" t="s">
        <v>6243</v>
      </c>
      <c r="E455">
        <v>192.86</v>
      </c>
      <c r="F455">
        <v>193.45</v>
      </c>
      <c r="G455">
        <v>196.01</v>
      </c>
      <c r="H455">
        <v>188.25</v>
      </c>
      <c r="I455" s="1">
        <v>189.27</v>
      </c>
      <c r="J455">
        <v>38862299.549999997</v>
      </c>
      <c r="K455">
        <v>203478</v>
      </c>
      <c r="L455" t="s">
        <v>78</v>
      </c>
      <c r="M455" t="s">
        <v>17</v>
      </c>
      <c r="N455">
        <v>5909</v>
      </c>
      <c r="O455">
        <v>230</v>
      </c>
      <c r="P455">
        <v>138</v>
      </c>
      <c r="Q455" s="1" t="str">
        <v/>
      </c>
      <c r="R455" s="1" t="str">
        <v/>
      </c>
      <c r="S455" s="3">
        <v>0</v>
      </c>
      <c r="T455" s="3">
        <v>0</v>
      </c>
    </row>
    <row r="456" spans="1:20" x14ac:dyDescent="0.25">
      <c r="A456" t="s">
        <v>78</v>
      </c>
      <c r="B456" t="s">
        <v>79</v>
      </c>
      <c r="C456" t="s">
        <v>651</v>
      </c>
      <c r="D456" t="s">
        <v>652</v>
      </c>
      <c r="E456">
        <v>1297.55</v>
      </c>
      <c r="F456">
        <v>1300.05</v>
      </c>
      <c r="G456">
        <v>1319.25</v>
      </c>
      <c r="H456">
        <v>1263</v>
      </c>
      <c r="I456" s="1">
        <v>1274.1500000000001</v>
      </c>
      <c r="J456">
        <v>346841018.35000002</v>
      </c>
      <c r="K456">
        <v>269954</v>
      </c>
      <c r="L456" t="s">
        <v>78</v>
      </c>
      <c r="M456" t="s">
        <v>17</v>
      </c>
      <c r="N456">
        <v>20343</v>
      </c>
      <c r="O456">
        <v>1453.1</v>
      </c>
      <c r="P456">
        <v>552.70000000000005</v>
      </c>
      <c r="Q456" s="1">
        <v>321.25</v>
      </c>
      <c r="R456" s="1">
        <v>269.89999999999998</v>
      </c>
      <c r="S456" s="3">
        <v>0.12166917539403821</v>
      </c>
      <c r="T456" s="3">
        <v>8.0643455261551145E-2</v>
      </c>
    </row>
    <row r="457" spans="1:20" x14ac:dyDescent="0.25">
      <c r="A457" t="s">
        <v>78</v>
      </c>
      <c r="B457" t="s">
        <v>79</v>
      </c>
      <c r="C457" t="s">
        <v>659</v>
      </c>
      <c r="D457" t="s">
        <v>660</v>
      </c>
      <c r="E457">
        <v>2371.4</v>
      </c>
      <c r="F457">
        <v>2365</v>
      </c>
      <c r="G457">
        <v>2366.9</v>
      </c>
      <c r="H457">
        <v>2284</v>
      </c>
      <c r="I457" s="1">
        <v>2300.4</v>
      </c>
      <c r="J457">
        <v>1736228280.7</v>
      </c>
      <c r="K457">
        <v>753728</v>
      </c>
      <c r="L457" t="s">
        <v>78</v>
      </c>
      <c r="M457" t="s">
        <v>17</v>
      </c>
      <c r="N457">
        <v>66882</v>
      </c>
      <c r="O457">
        <v>3264.7</v>
      </c>
      <c r="P457">
        <v>725.65</v>
      </c>
      <c r="Q457" s="1">
        <v>1173.25</v>
      </c>
      <c r="R457" s="1">
        <v>570</v>
      </c>
      <c r="S457" s="3">
        <v>5.771273416260736E-2</v>
      </c>
      <c r="T457" s="3">
        <v>7.2209950879372986E-2</v>
      </c>
    </row>
    <row r="458" spans="1:20" x14ac:dyDescent="0.25">
      <c r="A458" t="s">
        <v>78</v>
      </c>
      <c r="B458" t="s">
        <v>79</v>
      </c>
      <c r="C458" t="s">
        <v>661</v>
      </c>
      <c r="D458" t="s">
        <v>662</v>
      </c>
      <c r="E458">
        <v>201.86</v>
      </c>
      <c r="F458">
        <v>206.99</v>
      </c>
      <c r="G458">
        <v>206.99</v>
      </c>
      <c r="H458">
        <v>198</v>
      </c>
      <c r="I458" s="1">
        <v>200.08</v>
      </c>
      <c r="J458">
        <v>5291682.72</v>
      </c>
      <c r="K458">
        <v>26243</v>
      </c>
      <c r="L458" t="s">
        <v>78</v>
      </c>
      <c r="M458" t="s">
        <v>17</v>
      </c>
      <c r="N458">
        <v>1105</v>
      </c>
      <c r="O458">
        <v>301.95</v>
      </c>
      <c r="P458">
        <v>183</v>
      </c>
      <c r="Q458" s="1">
        <v>276</v>
      </c>
      <c r="R458" s="1">
        <v>125.5</v>
      </c>
      <c r="S458" s="3">
        <v>-2.645084748315718E-2</v>
      </c>
      <c r="T458" s="3">
        <v>2.3581554583410602E-2</v>
      </c>
    </row>
    <row r="459" spans="1:20" x14ac:dyDescent="0.25">
      <c r="A459" t="s">
        <v>78</v>
      </c>
      <c r="B459" t="s">
        <v>79</v>
      </c>
      <c r="C459" t="s">
        <v>663</v>
      </c>
      <c r="D459" t="s">
        <v>664</v>
      </c>
      <c r="E459">
        <v>209.13</v>
      </c>
      <c r="F459">
        <v>212.25</v>
      </c>
      <c r="G459">
        <v>212.25</v>
      </c>
      <c r="H459">
        <v>202</v>
      </c>
      <c r="I459" s="1">
        <v>202.79</v>
      </c>
      <c r="J459">
        <v>5150072.8</v>
      </c>
      <c r="K459">
        <v>25090</v>
      </c>
      <c r="L459" t="s">
        <v>78</v>
      </c>
      <c r="M459" t="s">
        <v>17</v>
      </c>
      <c r="N459">
        <v>1442</v>
      </c>
      <c r="O459">
        <v>238.9</v>
      </c>
      <c r="P459">
        <v>159</v>
      </c>
      <c r="Q459" s="1">
        <v>59.1</v>
      </c>
      <c r="R459" s="1">
        <v>26.7</v>
      </c>
      <c r="S459" s="3">
        <v>0.10820878316728755</v>
      </c>
      <c r="T459" s="3">
        <v>0.10663054320396381</v>
      </c>
    </row>
    <row r="460" spans="1:20" x14ac:dyDescent="0.25">
      <c r="A460" t="s">
        <v>78</v>
      </c>
      <c r="B460" t="s">
        <v>79</v>
      </c>
      <c r="C460" t="s">
        <v>665</v>
      </c>
      <c r="D460" t="s">
        <v>666</v>
      </c>
      <c r="E460">
        <v>727.05</v>
      </c>
      <c r="F460">
        <v>727</v>
      </c>
      <c r="G460">
        <v>753.65</v>
      </c>
      <c r="H460">
        <v>723.5</v>
      </c>
      <c r="I460" s="1">
        <v>749.45</v>
      </c>
      <c r="J460">
        <v>6092483223.8999996</v>
      </c>
      <c r="K460">
        <v>8205992</v>
      </c>
      <c r="L460" t="s">
        <v>78</v>
      </c>
      <c r="M460" t="s">
        <v>17</v>
      </c>
      <c r="N460">
        <v>117641</v>
      </c>
      <c r="O460">
        <v>861.85</v>
      </c>
      <c r="P460">
        <v>375.1</v>
      </c>
      <c r="Q460" s="1">
        <v>403</v>
      </c>
      <c r="R460" s="1">
        <v>72.349999999999994</v>
      </c>
      <c r="S460" s="3">
        <v>5.3060044158643516E-2</v>
      </c>
      <c r="T460" s="3">
        <v>0.12392519037975691</v>
      </c>
    </row>
    <row r="461" spans="1:20" x14ac:dyDescent="0.25">
      <c r="A461" t="s">
        <v>78</v>
      </c>
      <c r="B461" t="s">
        <v>79</v>
      </c>
      <c r="C461" t="s">
        <v>3068</v>
      </c>
      <c r="D461" t="s">
        <v>3069</v>
      </c>
      <c r="E461">
        <v>865.9</v>
      </c>
      <c r="F461">
        <v>865.9</v>
      </c>
      <c r="G461">
        <v>878.8</v>
      </c>
      <c r="H461">
        <v>850.45</v>
      </c>
      <c r="I461" s="1">
        <v>857.85</v>
      </c>
      <c r="J461">
        <v>7291337.5999999996</v>
      </c>
      <c r="K461">
        <v>8449</v>
      </c>
      <c r="L461" t="s">
        <v>78</v>
      </c>
      <c r="M461" t="s">
        <v>17</v>
      </c>
      <c r="N461">
        <v>1175</v>
      </c>
      <c r="O461">
        <v>1308.4000000000001</v>
      </c>
      <c r="P461">
        <v>674.9</v>
      </c>
      <c r="Q461" s="1">
        <v>730</v>
      </c>
      <c r="R461" s="1">
        <v>150</v>
      </c>
      <c r="S461" s="3">
        <v>1.3539567978577915E-2</v>
      </c>
      <c r="T461" s="3">
        <v>9.1051542656738649E-2</v>
      </c>
    </row>
    <row r="462" spans="1:20" x14ac:dyDescent="0.25">
      <c r="A462" t="s">
        <v>78</v>
      </c>
      <c r="B462" t="s">
        <v>79</v>
      </c>
      <c r="C462" t="s">
        <v>3070</v>
      </c>
      <c r="D462" t="s">
        <v>3071</v>
      </c>
      <c r="E462">
        <v>60.91</v>
      </c>
      <c r="F462">
        <v>61.51</v>
      </c>
      <c r="G462">
        <v>67</v>
      </c>
      <c r="H462">
        <v>60.22</v>
      </c>
      <c r="I462" s="1">
        <v>67</v>
      </c>
      <c r="J462">
        <v>8409808.6099999994</v>
      </c>
      <c r="K462">
        <v>129615</v>
      </c>
      <c r="L462" t="s">
        <v>78</v>
      </c>
      <c r="M462" t="s">
        <v>17</v>
      </c>
      <c r="N462">
        <v>2775</v>
      </c>
      <c r="O462">
        <v>77</v>
      </c>
      <c r="P462">
        <v>31.2</v>
      </c>
      <c r="Q462" s="1">
        <v>22.4</v>
      </c>
      <c r="R462" s="1">
        <v>14.1</v>
      </c>
      <c r="S462" s="3">
        <v>9.5600525856037954E-2</v>
      </c>
      <c r="T462" s="3">
        <v>8.0996407528208136E-2</v>
      </c>
    </row>
    <row r="463" spans="1:20" x14ac:dyDescent="0.25">
      <c r="A463" t="s">
        <v>78</v>
      </c>
      <c r="B463" t="s">
        <v>287</v>
      </c>
      <c r="C463" t="s">
        <v>6242</v>
      </c>
      <c r="D463" t="s">
        <v>6241</v>
      </c>
      <c r="E463">
        <v>209.3</v>
      </c>
      <c r="F463">
        <v>207</v>
      </c>
      <c r="G463">
        <v>207.6</v>
      </c>
      <c r="H463">
        <v>198.85</v>
      </c>
      <c r="I463" s="1">
        <v>198.85</v>
      </c>
      <c r="J463">
        <v>6246500</v>
      </c>
      <c r="K463">
        <v>31000</v>
      </c>
      <c r="L463" t="s">
        <v>78</v>
      </c>
      <c r="M463" t="s">
        <v>17</v>
      </c>
      <c r="N463">
        <v>59</v>
      </c>
      <c r="O463">
        <v>511</v>
      </c>
      <c r="P463">
        <v>102.3</v>
      </c>
      <c r="Q463" s="1" t="str">
        <v/>
      </c>
      <c r="R463" s="1">
        <v>43.85</v>
      </c>
      <c r="S463" s="3">
        <v>0</v>
      </c>
      <c r="T463" s="3">
        <v>7.8474353526791552E-2</v>
      </c>
    </row>
    <row r="464" spans="1:20" x14ac:dyDescent="0.25">
      <c r="A464" t="s">
        <v>78</v>
      </c>
      <c r="B464" t="s">
        <v>79</v>
      </c>
      <c r="C464" t="s">
        <v>3074</v>
      </c>
      <c r="D464" t="s">
        <v>3075</v>
      </c>
      <c r="E464">
        <v>17.2</v>
      </c>
      <c r="F464">
        <v>17.88</v>
      </c>
      <c r="G464">
        <v>17.88</v>
      </c>
      <c r="H464">
        <v>16.75</v>
      </c>
      <c r="I464" s="1">
        <v>17.13</v>
      </c>
      <c r="J464">
        <v>273984.08</v>
      </c>
      <c r="K464">
        <v>16031</v>
      </c>
      <c r="L464" t="s">
        <v>78</v>
      </c>
      <c r="M464" t="s">
        <v>17</v>
      </c>
      <c r="N464">
        <v>153</v>
      </c>
      <c r="O464">
        <v>23.25</v>
      </c>
      <c r="P464">
        <v>12</v>
      </c>
      <c r="Q464" s="1">
        <v>9.35</v>
      </c>
      <c r="R464" s="1">
        <v>17.5</v>
      </c>
      <c r="S464" s="3">
        <v>5.1749092618286641E-2</v>
      </c>
      <c r="T464" s="3">
        <v>-1.0673232875522132E-3</v>
      </c>
    </row>
    <row r="465" spans="1:20" x14ac:dyDescent="0.25">
      <c r="A465" t="s">
        <v>78</v>
      </c>
      <c r="B465" t="s">
        <v>79</v>
      </c>
      <c r="C465" t="s">
        <v>669</v>
      </c>
      <c r="D465" t="s">
        <v>670</v>
      </c>
      <c r="E465">
        <v>122.59</v>
      </c>
      <c r="F465">
        <v>122.6</v>
      </c>
      <c r="G465">
        <v>122.6</v>
      </c>
      <c r="H465">
        <v>117.03</v>
      </c>
      <c r="I465" s="1">
        <v>117.43</v>
      </c>
      <c r="J465">
        <v>329312124.13999999</v>
      </c>
      <c r="K465">
        <v>2766383</v>
      </c>
      <c r="L465" t="s">
        <v>78</v>
      </c>
      <c r="M465" t="s">
        <v>17</v>
      </c>
      <c r="N465">
        <v>23934</v>
      </c>
      <c r="O465">
        <v>186.35</v>
      </c>
      <c r="P465">
        <v>79.95</v>
      </c>
      <c r="Q465" s="1">
        <v>205.25</v>
      </c>
      <c r="R465" s="1">
        <v>58.2</v>
      </c>
      <c r="S465" s="3">
        <v>-4.5466170899181479E-2</v>
      </c>
      <c r="T465" s="3">
        <v>3.5701144502210624E-2</v>
      </c>
    </row>
    <row r="466" spans="1:20" x14ac:dyDescent="0.25">
      <c r="A466" t="s">
        <v>78</v>
      </c>
      <c r="B466" t="s">
        <v>79</v>
      </c>
      <c r="C466" t="s">
        <v>6240</v>
      </c>
      <c r="D466" t="s">
        <v>6239</v>
      </c>
      <c r="E466">
        <v>298.5</v>
      </c>
      <c r="F466">
        <v>298</v>
      </c>
      <c r="G466">
        <v>305.60000000000002</v>
      </c>
      <c r="H466">
        <v>292.64999999999998</v>
      </c>
      <c r="I466" s="1">
        <v>294.25</v>
      </c>
      <c r="J466">
        <v>306547174.69999999</v>
      </c>
      <c r="K466">
        <v>1029164</v>
      </c>
      <c r="L466" t="s">
        <v>78</v>
      </c>
      <c r="M466" t="s">
        <v>17</v>
      </c>
      <c r="N466">
        <v>33857</v>
      </c>
      <c r="O466">
        <v>323.5</v>
      </c>
      <c r="P466">
        <v>213</v>
      </c>
      <c r="Q466" s="1" t="str">
        <v/>
      </c>
      <c r="R466" s="1" t="str">
        <v/>
      </c>
      <c r="S466" s="3">
        <v>0</v>
      </c>
      <c r="T466" s="3">
        <v>0</v>
      </c>
    </row>
    <row r="467" spans="1:20" x14ac:dyDescent="0.25">
      <c r="A467" t="s">
        <v>78</v>
      </c>
      <c r="B467" t="s">
        <v>79</v>
      </c>
      <c r="C467" t="s">
        <v>671</v>
      </c>
      <c r="D467" t="s">
        <v>672</v>
      </c>
      <c r="E467">
        <v>4226.75</v>
      </c>
      <c r="F467">
        <v>4255</v>
      </c>
      <c r="G467">
        <v>4319.8</v>
      </c>
      <c r="H467">
        <v>4146</v>
      </c>
      <c r="I467" s="1">
        <v>4170.55</v>
      </c>
      <c r="J467">
        <v>1501976548.8</v>
      </c>
      <c r="K467">
        <v>355549</v>
      </c>
      <c r="L467" t="s">
        <v>78</v>
      </c>
      <c r="M467" t="s">
        <v>17</v>
      </c>
      <c r="N467">
        <v>47148</v>
      </c>
      <c r="O467">
        <v>4327.75</v>
      </c>
      <c r="P467">
        <v>2230</v>
      </c>
      <c r="Q467" s="1">
        <v>3348.05</v>
      </c>
      <c r="R467" s="1" t="str">
        <v/>
      </c>
      <c r="S467" s="3">
        <v>1.8474398166441919E-2</v>
      </c>
      <c r="T467" s="3">
        <v>0</v>
      </c>
    </row>
    <row r="468" spans="1:20" x14ac:dyDescent="0.25">
      <c r="A468" t="s">
        <v>78</v>
      </c>
      <c r="B468" t="s">
        <v>79</v>
      </c>
      <c r="C468" t="s">
        <v>675</v>
      </c>
      <c r="D468" t="s">
        <v>676</v>
      </c>
      <c r="E468">
        <v>887.7</v>
      </c>
      <c r="F468">
        <v>894</v>
      </c>
      <c r="G468">
        <v>894.7</v>
      </c>
      <c r="H468">
        <v>866.15</v>
      </c>
      <c r="I468" s="1">
        <v>877.1</v>
      </c>
      <c r="J468">
        <v>344146178.14999998</v>
      </c>
      <c r="K468">
        <v>392701</v>
      </c>
      <c r="L468" t="s">
        <v>78</v>
      </c>
      <c r="M468" t="s">
        <v>1555</v>
      </c>
      <c r="N468">
        <v>28075</v>
      </c>
      <c r="O468">
        <v>938</v>
      </c>
      <c r="P468">
        <v>680</v>
      </c>
      <c r="Q468" s="1">
        <v>530.95000000000005</v>
      </c>
      <c r="R468" s="1">
        <v>384</v>
      </c>
      <c r="S468" s="3">
        <v>4.2716607071478396E-2</v>
      </c>
      <c r="T468" s="3">
        <v>4.2140015061838509E-2</v>
      </c>
    </row>
    <row r="469" spans="1:20" x14ac:dyDescent="0.25">
      <c r="A469" t="s">
        <v>78</v>
      </c>
      <c r="B469" t="s">
        <v>79</v>
      </c>
      <c r="C469" t="s">
        <v>677</v>
      </c>
      <c r="D469" t="s">
        <v>678</v>
      </c>
      <c r="E469">
        <v>292.89999999999998</v>
      </c>
      <c r="F469">
        <v>294.85000000000002</v>
      </c>
      <c r="G469">
        <v>295.17</v>
      </c>
      <c r="H469">
        <v>281.22000000000003</v>
      </c>
      <c r="I469" s="1">
        <v>283.45</v>
      </c>
      <c r="J469">
        <v>70854046.719999999</v>
      </c>
      <c r="K469">
        <v>246128</v>
      </c>
      <c r="L469" t="s">
        <v>78</v>
      </c>
      <c r="M469" t="s">
        <v>17</v>
      </c>
      <c r="N469">
        <v>12564</v>
      </c>
      <c r="O469">
        <v>1188.5999999999999</v>
      </c>
      <c r="P469">
        <v>180.55</v>
      </c>
      <c r="Q469" s="1">
        <v>412.3</v>
      </c>
      <c r="R469" s="1">
        <v>233.85</v>
      </c>
      <c r="S469" s="3">
        <v>-3.0743786261244965E-2</v>
      </c>
      <c r="T469" s="3">
        <v>9.6588744080174926E-3</v>
      </c>
    </row>
    <row r="470" spans="1:20" x14ac:dyDescent="0.25">
      <c r="A470" t="s">
        <v>78</v>
      </c>
      <c r="B470" t="s">
        <v>79</v>
      </c>
      <c r="C470" t="s">
        <v>679</v>
      </c>
      <c r="D470" t="s">
        <v>680</v>
      </c>
      <c r="E470">
        <v>290.55</v>
      </c>
      <c r="F470">
        <v>289</v>
      </c>
      <c r="G470">
        <v>291.75</v>
      </c>
      <c r="H470">
        <v>283.95</v>
      </c>
      <c r="I470" s="1">
        <v>287.14999999999998</v>
      </c>
      <c r="J470">
        <v>184428604.69999999</v>
      </c>
      <c r="K470">
        <v>641323</v>
      </c>
      <c r="L470" t="s">
        <v>78</v>
      </c>
      <c r="M470" t="s">
        <v>17</v>
      </c>
      <c r="N470">
        <v>22772</v>
      </c>
      <c r="O470">
        <v>333</v>
      </c>
      <c r="P470">
        <v>187.3</v>
      </c>
      <c r="Q470" s="1">
        <v>230.3</v>
      </c>
      <c r="R470" s="1">
        <v>268</v>
      </c>
      <c r="S470" s="3">
        <v>1.8555207613865754E-2</v>
      </c>
      <c r="T470" s="3">
        <v>3.454952114016363E-3</v>
      </c>
    </row>
    <row r="471" spans="1:20" x14ac:dyDescent="0.25">
      <c r="A471" t="s">
        <v>78</v>
      </c>
      <c r="B471" t="s">
        <v>79</v>
      </c>
      <c r="C471" t="s">
        <v>6238</v>
      </c>
      <c r="D471" t="s">
        <v>6237</v>
      </c>
      <c r="E471">
        <v>355</v>
      </c>
      <c r="F471">
        <v>355</v>
      </c>
      <c r="G471">
        <v>356</v>
      </c>
      <c r="H471">
        <v>351</v>
      </c>
      <c r="I471" s="1">
        <v>353.4</v>
      </c>
      <c r="J471">
        <v>11983411.800000001</v>
      </c>
      <c r="K471">
        <v>33894</v>
      </c>
      <c r="L471" t="s">
        <v>78</v>
      </c>
      <c r="M471" t="s">
        <v>17</v>
      </c>
      <c r="N471">
        <v>2802</v>
      </c>
      <c r="O471">
        <v>469</v>
      </c>
      <c r="P471">
        <v>311.39999999999998</v>
      </c>
      <c r="Q471" s="1" t="str">
        <v/>
      </c>
      <c r="R471" s="1" t="str">
        <v/>
      </c>
      <c r="S471" s="3">
        <v>0</v>
      </c>
      <c r="T471" s="3">
        <v>0</v>
      </c>
    </row>
    <row r="472" spans="1:20" x14ac:dyDescent="0.25">
      <c r="A472" t="s">
        <v>78</v>
      </c>
      <c r="B472" t="s">
        <v>79</v>
      </c>
      <c r="C472" t="s">
        <v>681</v>
      </c>
      <c r="D472" t="s">
        <v>682</v>
      </c>
      <c r="E472">
        <v>1533.9</v>
      </c>
      <c r="F472">
        <v>1527</v>
      </c>
      <c r="G472">
        <v>1550</v>
      </c>
      <c r="H472">
        <v>1503.6</v>
      </c>
      <c r="I472" s="1">
        <v>1528.25</v>
      </c>
      <c r="J472">
        <v>155045170.25</v>
      </c>
      <c r="K472">
        <v>101742</v>
      </c>
      <c r="L472" t="s">
        <v>78</v>
      </c>
      <c r="M472" t="s">
        <v>17</v>
      </c>
      <c r="N472">
        <v>13039</v>
      </c>
      <c r="O472">
        <v>1619.05</v>
      </c>
      <c r="P472">
        <v>821.4</v>
      </c>
      <c r="Q472" s="1">
        <v>681.4</v>
      </c>
      <c r="R472" s="1">
        <v>404.55</v>
      </c>
      <c r="S472" s="3">
        <v>6.9627819054684625E-2</v>
      </c>
      <c r="T472" s="3">
        <v>6.8674149676603902E-2</v>
      </c>
    </row>
    <row r="473" spans="1:20" x14ac:dyDescent="0.25">
      <c r="A473" t="s">
        <v>78</v>
      </c>
      <c r="B473" t="s">
        <v>79</v>
      </c>
      <c r="C473" t="s">
        <v>683</v>
      </c>
      <c r="D473" t="s">
        <v>684</v>
      </c>
      <c r="E473">
        <v>113.1</v>
      </c>
      <c r="F473">
        <v>113.55</v>
      </c>
      <c r="G473">
        <v>121.4</v>
      </c>
      <c r="H473">
        <v>111</v>
      </c>
      <c r="I473" s="1">
        <v>118.27</v>
      </c>
      <c r="J473">
        <v>16811748.260000002</v>
      </c>
      <c r="K473">
        <v>142931</v>
      </c>
      <c r="L473" t="s">
        <v>78</v>
      </c>
      <c r="M473" t="s">
        <v>17</v>
      </c>
      <c r="N473">
        <v>6359</v>
      </c>
      <c r="O473">
        <v>147.80000000000001</v>
      </c>
      <c r="P473">
        <v>74.25</v>
      </c>
      <c r="Q473" s="1">
        <v>109.55</v>
      </c>
      <c r="R473" s="1">
        <v>75</v>
      </c>
      <c r="S473" s="3">
        <v>6.4028344166298101E-3</v>
      </c>
      <c r="T473" s="3">
        <v>2.3022652070318284E-2</v>
      </c>
    </row>
    <row r="474" spans="1:20" x14ac:dyDescent="0.25">
      <c r="A474" t="s">
        <v>78</v>
      </c>
      <c r="B474" t="s">
        <v>79</v>
      </c>
      <c r="C474" t="s">
        <v>685</v>
      </c>
      <c r="D474" t="s">
        <v>686</v>
      </c>
      <c r="E474">
        <v>1739</v>
      </c>
      <c r="F474">
        <v>1736</v>
      </c>
      <c r="G474">
        <v>1757</v>
      </c>
      <c r="H474">
        <v>1702</v>
      </c>
      <c r="I474" s="1">
        <v>1727.25</v>
      </c>
      <c r="J474">
        <v>149217867.09999999</v>
      </c>
      <c r="K474">
        <v>86336</v>
      </c>
      <c r="L474" t="s">
        <v>78</v>
      </c>
      <c r="M474" t="s">
        <v>17</v>
      </c>
      <c r="N474">
        <v>11767</v>
      </c>
      <c r="O474">
        <v>1841.15</v>
      </c>
      <c r="P474">
        <v>1025.5999999999999</v>
      </c>
      <c r="Q474" s="1">
        <v>626.35</v>
      </c>
      <c r="R474" s="1">
        <v>319</v>
      </c>
      <c r="S474" s="3">
        <v>8.8206986832515488E-2</v>
      </c>
      <c r="T474" s="3">
        <v>8.8073264655689432E-2</v>
      </c>
    </row>
    <row r="475" spans="1:20" x14ac:dyDescent="0.25">
      <c r="A475" t="s">
        <v>78</v>
      </c>
      <c r="B475" t="s">
        <v>79</v>
      </c>
      <c r="C475" t="s">
        <v>687</v>
      </c>
      <c r="D475" t="s">
        <v>688</v>
      </c>
      <c r="E475">
        <v>458.95</v>
      </c>
      <c r="F475">
        <v>463.55</v>
      </c>
      <c r="G475">
        <v>463.8</v>
      </c>
      <c r="H475">
        <v>446</v>
      </c>
      <c r="I475" s="1">
        <v>450.05</v>
      </c>
      <c r="J475">
        <v>46639858.200000003</v>
      </c>
      <c r="K475">
        <v>102994</v>
      </c>
      <c r="L475" t="s">
        <v>78</v>
      </c>
      <c r="M475" t="s">
        <v>17</v>
      </c>
      <c r="N475">
        <v>6782</v>
      </c>
      <c r="O475">
        <v>474.95</v>
      </c>
      <c r="P475">
        <v>354.2</v>
      </c>
      <c r="Q475" s="1">
        <v>144.80000000000001</v>
      </c>
      <c r="R475" s="1">
        <v>57.6</v>
      </c>
      <c r="S475" s="3">
        <v>9.910964012370771E-2</v>
      </c>
      <c r="T475" s="3">
        <v>0.10819826579846614</v>
      </c>
    </row>
    <row r="476" spans="1:20" x14ac:dyDescent="0.25">
      <c r="A476" t="s">
        <v>78</v>
      </c>
      <c r="B476" t="s">
        <v>79</v>
      </c>
      <c r="C476" t="s">
        <v>689</v>
      </c>
      <c r="D476" t="s">
        <v>690</v>
      </c>
      <c r="E476">
        <v>1040.95</v>
      </c>
      <c r="F476">
        <v>1040.95</v>
      </c>
      <c r="G476">
        <v>1049.3</v>
      </c>
      <c r="H476">
        <v>1020.95</v>
      </c>
      <c r="I476" s="1">
        <v>1023.85</v>
      </c>
      <c r="J476">
        <v>46256808.799999997</v>
      </c>
      <c r="K476">
        <v>44903</v>
      </c>
      <c r="L476" t="s">
        <v>78</v>
      </c>
      <c r="M476" t="s">
        <v>17</v>
      </c>
      <c r="N476">
        <v>6751</v>
      </c>
      <c r="O476">
        <v>1263.95</v>
      </c>
      <c r="P476">
        <v>699.7</v>
      </c>
      <c r="Q476" s="1">
        <v>698.05</v>
      </c>
      <c r="R476" s="1">
        <v>850</v>
      </c>
      <c r="S476" s="3">
        <v>3.2434440639380169E-2</v>
      </c>
      <c r="T476" s="3">
        <v>9.3427258371672206E-3</v>
      </c>
    </row>
    <row r="477" spans="1:20" x14ac:dyDescent="0.25">
      <c r="A477" t="s">
        <v>78</v>
      </c>
      <c r="B477" t="s">
        <v>79</v>
      </c>
      <c r="C477" t="s">
        <v>6236</v>
      </c>
      <c r="D477" t="s">
        <v>6235</v>
      </c>
      <c r="E477">
        <v>832.75</v>
      </c>
      <c r="F477">
        <v>840</v>
      </c>
      <c r="G477">
        <v>840</v>
      </c>
      <c r="H477">
        <v>829</v>
      </c>
      <c r="I477" s="1">
        <v>830.05</v>
      </c>
      <c r="J477">
        <v>129827817.40000001</v>
      </c>
      <c r="K477">
        <v>156232</v>
      </c>
      <c r="L477" t="s">
        <v>78</v>
      </c>
      <c r="M477" t="s">
        <v>17</v>
      </c>
      <c r="N477">
        <v>7887</v>
      </c>
      <c r="O477">
        <v>973.6</v>
      </c>
      <c r="P477">
        <v>484.1</v>
      </c>
      <c r="Q477" s="1" t="str">
        <v/>
      </c>
      <c r="R477" s="1" t="str">
        <v/>
      </c>
      <c r="S477" s="3">
        <v>0</v>
      </c>
      <c r="T477" s="3">
        <v>0</v>
      </c>
    </row>
    <row r="478" spans="1:20" x14ac:dyDescent="0.25">
      <c r="A478" t="s">
        <v>78</v>
      </c>
      <c r="B478" t="s">
        <v>79</v>
      </c>
      <c r="C478" t="s">
        <v>6234</v>
      </c>
      <c r="D478" t="s">
        <v>6233</v>
      </c>
      <c r="E478">
        <v>771.7</v>
      </c>
      <c r="F478">
        <v>773.95</v>
      </c>
      <c r="G478">
        <v>784.95</v>
      </c>
      <c r="H478">
        <v>760.35</v>
      </c>
      <c r="I478" s="1">
        <v>764</v>
      </c>
      <c r="J478">
        <v>70347096.150000006</v>
      </c>
      <c r="K478">
        <v>91333</v>
      </c>
      <c r="L478" t="s">
        <v>78</v>
      </c>
      <c r="M478" t="s">
        <v>17</v>
      </c>
      <c r="N478">
        <v>7909</v>
      </c>
      <c r="O478">
        <v>1150.95</v>
      </c>
      <c r="P478">
        <v>593.04999999999995</v>
      </c>
      <c r="Q478" s="1" t="str">
        <v/>
      </c>
      <c r="R478" s="1" t="str">
        <v/>
      </c>
      <c r="S478" s="3">
        <v>0</v>
      </c>
      <c r="T478" s="3">
        <v>0</v>
      </c>
    </row>
    <row r="479" spans="1:20" x14ac:dyDescent="0.25">
      <c r="A479" t="s">
        <v>78</v>
      </c>
      <c r="B479" t="s">
        <v>79</v>
      </c>
      <c r="C479" t="s">
        <v>691</v>
      </c>
      <c r="D479" t="s">
        <v>692</v>
      </c>
      <c r="E479">
        <v>270.61</v>
      </c>
      <c r="F479">
        <v>270</v>
      </c>
      <c r="G479">
        <v>270.8</v>
      </c>
      <c r="H479">
        <v>259.22000000000003</v>
      </c>
      <c r="I479" s="1">
        <v>260.82</v>
      </c>
      <c r="J479">
        <v>2599985693.9299998</v>
      </c>
      <c r="K479">
        <v>9879482</v>
      </c>
      <c r="L479" t="s">
        <v>78</v>
      </c>
      <c r="M479" t="s">
        <v>17</v>
      </c>
      <c r="N479">
        <v>80028</v>
      </c>
      <c r="O479">
        <v>277.69</v>
      </c>
      <c r="P479">
        <v>128.94999999999999</v>
      </c>
      <c r="Q479" s="1">
        <v>142.6</v>
      </c>
      <c r="R479" s="1">
        <v>125</v>
      </c>
      <c r="S479" s="3">
        <v>5.1602912915483579E-2</v>
      </c>
      <c r="T479" s="3">
        <v>3.7439542086851851E-2</v>
      </c>
    </row>
    <row r="480" spans="1:20" x14ac:dyDescent="0.25">
      <c r="A480" t="s">
        <v>78</v>
      </c>
      <c r="B480" t="s">
        <v>287</v>
      </c>
      <c r="C480" t="s">
        <v>6232</v>
      </c>
      <c r="D480" t="s">
        <v>6231</v>
      </c>
      <c r="E480">
        <v>16.45</v>
      </c>
      <c r="F480">
        <v>16.5</v>
      </c>
      <c r="G480">
        <v>16.5</v>
      </c>
      <c r="H480">
        <v>16.399999999999999</v>
      </c>
      <c r="I480" s="1">
        <v>16.399999999999999</v>
      </c>
      <c r="J480">
        <v>263200</v>
      </c>
      <c r="K480">
        <v>16000</v>
      </c>
      <c r="L480" t="s">
        <v>78</v>
      </c>
      <c r="M480" t="s">
        <v>17</v>
      </c>
      <c r="N480">
        <v>2</v>
      </c>
      <c r="O480">
        <v>42</v>
      </c>
      <c r="P480">
        <v>15.5</v>
      </c>
      <c r="Q480" s="1" t="str">
        <v/>
      </c>
      <c r="R480" s="1" t="str">
        <v/>
      </c>
      <c r="S480" s="3">
        <v>0</v>
      </c>
      <c r="T480" s="3">
        <v>0</v>
      </c>
    </row>
    <row r="481" spans="1:20" x14ac:dyDescent="0.25">
      <c r="A481" t="s">
        <v>78</v>
      </c>
      <c r="B481" t="s">
        <v>79</v>
      </c>
      <c r="C481" t="s">
        <v>693</v>
      </c>
      <c r="D481" t="s">
        <v>694</v>
      </c>
      <c r="E481">
        <v>595.6</v>
      </c>
      <c r="F481">
        <v>595.6</v>
      </c>
      <c r="G481">
        <v>610</v>
      </c>
      <c r="H481">
        <v>591.5</v>
      </c>
      <c r="I481" s="1">
        <v>605.4</v>
      </c>
      <c r="J481">
        <v>147186355.65000001</v>
      </c>
      <c r="K481">
        <v>244293</v>
      </c>
      <c r="L481" t="s">
        <v>78</v>
      </c>
      <c r="M481" t="s">
        <v>17</v>
      </c>
      <c r="N481">
        <v>12357</v>
      </c>
      <c r="O481">
        <v>717.95</v>
      </c>
      <c r="P481">
        <v>551.6</v>
      </c>
      <c r="Q481" s="1">
        <v>380</v>
      </c>
      <c r="R481" s="1">
        <v>241.7</v>
      </c>
      <c r="S481" s="3">
        <v>3.957278522615737E-2</v>
      </c>
      <c r="T481" s="3">
        <v>4.695344239407806E-2</v>
      </c>
    </row>
    <row r="482" spans="1:20" x14ac:dyDescent="0.25">
      <c r="A482" t="s">
        <v>78</v>
      </c>
      <c r="B482" t="s">
        <v>79</v>
      </c>
      <c r="C482" t="s">
        <v>695</v>
      </c>
      <c r="D482" t="s">
        <v>696</v>
      </c>
      <c r="E482">
        <v>2383.0500000000002</v>
      </c>
      <c r="F482">
        <v>2381</v>
      </c>
      <c r="G482">
        <v>2403.1</v>
      </c>
      <c r="H482">
        <v>2315</v>
      </c>
      <c r="I482" s="1">
        <v>2331.9499999999998</v>
      </c>
      <c r="J482">
        <v>1754094624.95</v>
      </c>
      <c r="K482">
        <v>747835</v>
      </c>
      <c r="L482" t="s">
        <v>78</v>
      </c>
      <c r="M482" t="s">
        <v>17</v>
      </c>
      <c r="N482">
        <v>65356</v>
      </c>
      <c r="O482">
        <v>2538.65</v>
      </c>
      <c r="P482">
        <v>1107.3499999999999</v>
      </c>
      <c r="Q482" s="1">
        <v>1345.05</v>
      </c>
      <c r="R482" s="1">
        <v>198.35</v>
      </c>
      <c r="S482" s="3">
        <v>4.6923786207505369E-2</v>
      </c>
      <c r="T482" s="3">
        <v>0.13105843945211482</v>
      </c>
    </row>
    <row r="483" spans="1:20" x14ac:dyDescent="0.25">
      <c r="A483" t="s">
        <v>78</v>
      </c>
      <c r="B483" t="s">
        <v>79</v>
      </c>
      <c r="C483" t="s">
        <v>697</v>
      </c>
      <c r="D483" t="s">
        <v>698</v>
      </c>
      <c r="E483">
        <v>2727.15</v>
      </c>
      <c r="F483">
        <v>2727.1</v>
      </c>
      <c r="G483">
        <v>2875</v>
      </c>
      <c r="H483">
        <v>2720.05</v>
      </c>
      <c r="I483" s="1">
        <v>2784.4</v>
      </c>
      <c r="J483">
        <v>4355085562.75</v>
      </c>
      <c r="K483">
        <v>1545199</v>
      </c>
      <c r="L483" t="s">
        <v>78</v>
      </c>
      <c r="M483" t="s">
        <v>17</v>
      </c>
      <c r="N483">
        <v>120580</v>
      </c>
      <c r="O483">
        <v>2998.45</v>
      </c>
      <c r="P483">
        <v>2056.35</v>
      </c>
      <c r="Q483" s="1">
        <v>1415.4</v>
      </c>
      <c r="R483" s="1">
        <v>861.35</v>
      </c>
      <c r="S483" s="3">
        <v>5.8004957836605309E-2</v>
      </c>
      <c r="T483" s="3">
        <v>6.0385170938305421E-2</v>
      </c>
    </row>
    <row r="484" spans="1:20" x14ac:dyDescent="0.25">
      <c r="A484" t="s">
        <v>78</v>
      </c>
      <c r="B484" t="s">
        <v>79</v>
      </c>
      <c r="C484" t="s">
        <v>701</v>
      </c>
      <c r="D484" t="s">
        <v>702</v>
      </c>
      <c r="E484">
        <v>18.75</v>
      </c>
      <c r="F484">
        <v>19.100000000000001</v>
      </c>
      <c r="G484">
        <v>19.100000000000001</v>
      </c>
      <c r="H484">
        <v>18.11</v>
      </c>
      <c r="I484" s="1">
        <v>18.170000000000002</v>
      </c>
      <c r="J484">
        <v>6457537.6200000001</v>
      </c>
      <c r="K484">
        <v>346638</v>
      </c>
      <c r="L484" t="s">
        <v>78</v>
      </c>
      <c r="M484" t="s">
        <v>17</v>
      </c>
      <c r="N484">
        <v>1073</v>
      </c>
      <c r="O484">
        <v>23.95</v>
      </c>
      <c r="P484">
        <v>12</v>
      </c>
      <c r="Q484" s="1">
        <v>8.9</v>
      </c>
      <c r="R484" s="1">
        <v>6.05</v>
      </c>
      <c r="S484" s="3">
        <v>6.1281051032860967E-2</v>
      </c>
      <c r="T484" s="3">
        <v>5.6493671377259913E-2</v>
      </c>
    </row>
    <row r="485" spans="1:20" x14ac:dyDescent="0.25">
      <c r="A485" t="s">
        <v>78</v>
      </c>
      <c r="B485" t="s">
        <v>287</v>
      </c>
      <c r="C485" t="s">
        <v>6230</v>
      </c>
      <c r="D485" t="s">
        <v>6229</v>
      </c>
      <c r="E485">
        <v>289.60000000000002</v>
      </c>
      <c r="F485">
        <v>297</v>
      </c>
      <c r="G485">
        <v>297</v>
      </c>
      <c r="H485">
        <v>283.25</v>
      </c>
      <c r="I485" s="1">
        <v>286.7</v>
      </c>
      <c r="J485">
        <v>10020720</v>
      </c>
      <c r="K485">
        <v>34800</v>
      </c>
      <c r="L485" t="s">
        <v>78</v>
      </c>
      <c r="M485" t="s">
        <v>17</v>
      </c>
      <c r="N485">
        <v>56</v>
      </c>
      <c r="O485">
        <v>355</v>
      </c>
      <c r="P485">
        <v>88.15</v>
      </c>
      <c r="Q485" s="1" t="str">
        <v/>
      </c>
      <c r="R485" s="1" t="str">
        <v/>
      </c>
      <c r="S485" s="3">
        <v>0</v>
      </c>
      <c r="T485" s="3">
        <v>0</v>
      </c>
    </row>
    <row r="486" spans="1:20" x14ac:dyDescent="0.25">
      <c r="A486" t="s">
        <v>78</v>
      </c>
      <c r="B486" t="s">
        <v>79</v>
      </c>
      <c r="C486" t="s">
        <v>6228</v>
      </c>
      <c r="D486" t="s">
        <v>6227</v>
      </c>
      <c r="E486">
        <v>990.3</v>
      </c>
      <c r="F486">
        <v>991.9</v>
      </c>
      <c r="G486">
        <v>996.45</v>
      </c>
      <c r="H486">
        <v>969.7</v>
      </c>
      <c r="I486" s="1">
        <v>971.25</v>
      </c>
      <c r="J486">
        <v>117385354.5</v>
      </c>
      <c r="K486">
        <v>120273</v>
      </c>
      <c r="L486" t="s">
        <v>78</v>
      </c>
      <c r="M486" t="s">
        <v>17</v>
      </c>
      <c r="N486">
        <v>7726</v>
      </c>
      <c r="O486">
        <v>1025</v>
      </c>
      <c r="P486">
        <v>711.2</v>
      </c>
      <c r="Q486" s="1" t="str">
        <v/>
      </c>
      <c r="R486" s="1" t="str">
        <v/>
      </c>
      <c r="S486" s="3">
        <v>0</v>
      </c>
      <c r="T486" s="3">
        <v>0</v>
      </c>
    </row>
    <row r="487" spans="1:20" x14ac:dyDescent="0.25">
      <c r="A487" t="s">
        <v>78</v>
      </c>
      <c r="B487" t="s">
        <v>287</v>
      </c>
      <c r="C487" t="s">
        <v>6226</v>
      </c>
      <c r="D487" t="s">
        <v>6225</v>
      </c>
      <c r="E487">
        <v>36</v>
      </c>
      <c r="F487">
        <v>36.950000000000003</v>
      </c>
      <c r="G487">
        <v>36.950000000000003</v>
      </c>
      <c r="H487">
        <v>34.15</v>
      </c>
      <c r="I487" s="1">
        <v>35.35</v>
      </c>
      <c r="J487">
        <v>595260</v>
      </c>
      <c r="K487">
        <v>16800</v>
      </c>
      <c r="L487" t="s">
        <v>78</v>
      </c>
      <c r="M487" t="s">
        <v>17</v>
      </c>
      <c r="N487">
        <v>14</v>
      </c>
      <c r="O487">
        <v>63.8</v>
      </c>
      <c r="P487">
        <v>30.1</v>
      </c>
      <c r="Q487" s="1" t="str">
        <v/>
      </c>
      <c r="R487" s="1" t="str">
        <v/>
      </c>
      <c r="S487" s="3">
        <v>0</v>
      </c>
      <c r="T487" s="3">
        <v>0</v>
      </c>
    </row>
    <row r="488" spans="1:20" x14ac:dyDescent="0.25">
      <c r="A488" t="s">
        <v>78</v>
      </c>
      <c r="B488" t="s">
        <v>79</v>
      </c>
      <c r="C488" t="s">
        <v>703</v>
      </c>
      <c r="D488" t="s">
        <v>704</v>
      </c>
      <c r="E488">
        <v>567.79999999999995</v>
      </c>
      <c r="F488">
        <v>567.04999999999995</v>
      </c>
      <c r="G488">
        <v>580.15</v>
      </c>
      <c r="H488">
        <v>563.45000000000005</v>
      </c>
      <c r="I488" s="1">
        <v>567.95000000000005</v>
      </c>
      <c r="J488">
        <v>21980959.449999999</v>
      </c>
      <c r="K488">
        <v>38554</v>
      </c>
      <c r="L488" t="s">
        <v>78</v>
      </c>
      <c r="M488" t="s">
        <v>17</v>
      </c>
      <c r="N488">
        <v>2432</v>
      </c>
      <c r="O488">
        <v>666</v>
      </c>
      <c r="P488">
        <v>377.75</v>
      </c>
      <c r="Q488" s="1">
        <v>447</v>
      </c>
      <c r="R488" s="1">
        <v>194</v>
      </c>
      <c r="S488" s="3">
        <v>2.0156689517192961E-2</v>
      </c>
      <c r="T488" s="3">
        <v>5.5146213203364658E-2</v>
      </c>
    </row>
    <row r="489" spans="1:20" x14ac:dyDescent="0.25">
      <c r="A489" t="s">
        <v>78</v>
      </c>
      <c r="B489" t="s">
        <v>79</v>
      </c>
      <c r="C489" t="s">
        <v>705</v>
      </c>
      <c r="D489" t="s">
        <v>706</v>
      </c>
      <c r="E489">
        <v>30.18</v>
      </c>
      <c r="F489">
        <v>30.18</v>
      </c>
      <c r="G489">
        <v>30.18</v>
      </c>
      <c r="H489">
        <v>28.67</v>
      </c>
      <c r="I489" s="1">
        <v>28.67</v>
      </c>
      <c r="J489">
        <v>23154891.73</v>
      </c>
      <c r="K489">
        <v>798385</v>
      </c>
      <c r="L489" t="s">
        <v>78</v>
      </c>
      <c r="M489" t="s">
        <v>17</v>
      </c>
      <c r="N489">
        <v>2246</v>
      </c>
      <c r="O489">
        <v>30.18</v>
      </c>
      <c r="P489">
        <v>16.95</v>
      </c>
      <c r="Q489" s="1">
        <v>9.65</v>
      </c>
      <c r="R489" s="1">
        <v>3.3</v>
      </c>
      <c r="S489" s="3">
        <v>9.4985491831820479E-2</v>
      </c>
      <c r="T489" s="3">
        <v>0.1140892356169072</v>
      </c>
    </row>
    <row r="490" spans="1:20" x14ac:dyDescent="0.25">
      <c r="A490" t="s">
        <v>78</v>
      </c>
      <c r="B490" t="s">
        <v>79</v>
      </c>
      <c r="C490" t="s">
        <v>707</v>
      </c>
      <c r="D490" t="s">
        <v>708</v>
      </c>
      <c r="E490">
        <v>65.040000000000006</v>
      </c>
      <c r="F490">
        <v>64.900000000000006</v>
      </c>
      <c r="G490">
        <v>67.64</v>
      </c>
      <c r="H490">
        <v>63.81</v>
      </c>
      <c r="I490" s="1">
        <v>64.38</v>
      </c>
      <c r="J490">
        <v>2942500614.9099998</v>
      </c>
      <c r="K490">
        <v>44730149</v>
      </c>
      <c r="L490" t="s">
        <v>78</v>
      </c>
      <c r="M490" t="s">
        <v>17</v>
      </c>
      <c r="N490">
        <v>118022</v>
      </c>
      <c r="O490">
        <v>76.900000000000006</v>
      </c>
      <c r="P490">
        <v>29.6</v>
      </c>
      <c r="Q490" s="1">
        <v>24.55</v>
      </c>
      <c r="R490" s="1">
        <v>18.850000000000001</v>
      </c>
      <c r="S490" s="3">
        <v>8.3656456749348296E-2</v>
      </c>
      <c r="T490" s="3">
        <v>6.330381998577117E-2</v>
      </c>
    </row>
    <row r="491" spans="1:20" x14ac:dyDescent="0.25">
      <c r="A491" t="s">
        <v>78</v>
      </c>
      <c r="B491" t="s">
        <v>79</v>
      </c>
      <c r="C491" t="s">
        <v>709</v>
      </c>
      <c r="D491" t="s">
        <v>710</v>
      </c>
      <c r="E491">
        <v>39.409999999999997</v>
      </c>
      <c r="F491">
        <v>39.1</v>
      </c>
      <c r="G491">
        <v>39.299999999999997</v>
      </c>
      <c r="H491">
        <v>36.909999999999997</v>
      </c>
      <c r="I491" s="1">
        <v>37.369999999999997</v>
      </c>
      <c r="J491">
        <v>57003539.380000003</v>
      </c>
      <c r="K491">
        <v>1503593</v>
      </c>
      <c r="L491" t="s">
        <v>78</v>
      </c>
      <c r="M491" t="s">
        <v>17</v>
      </c>
      <c r="N491">
        <v>8629</v>
      </c>
      <c r="O491">
        <v>46.5</v>
      </c>
      <c r="P491">
        <v>20.399999999999999</v>
      </c>
      <c r="Q491" s="1">
        <v>50.65</v>
      </c>
      <c r="R491" s="1">
        <v>23.7</v>
      </c>
      <c r="S491" s="3">
        <v>-2.5020904700988833E-2</v>
      </c>
      <c r="T491" s="3">
        <v>2.301811043685742E-2</v>
      </c>
    </row>
    <row r="492" spans="1:20" x14ac:dyDescent="0.25">
      <c r="A492" t="s">
        <v>78</v>
      </c>
      <c r="B492" t="s">
        <v>79</v>
      </c>
      <c r="C492" t="s">
        <v>711</v>
      </c>
      <c r="D492" t="s">
        <v>712</v>
      </c>
      <c r="E492">
        <v>1631.9</v>
      </c>
      <c r="F492">
        <v>1630</v>
      </c>
      <c r="G492">
        <v>1654.6</v>
      </c>
      <c r="H492">
        <v>1612</v>
      </c>
      <c r="I492" s="1">
        <v>1624.7</v>
      </c>
      <c r="J492">
        <v>18375320</v>
      </c>
      <c r="K492">
        <v>11258</v>
      </c>
      <c r="L492" t="s">
        <v>78</v>
      </c>
      <c r="M492" t="s">
        <v>17</v>
      </c>
      <c r="N492">
        <v>1996</v>
      </c>
      <c r="O492">
        <v>2089.65</v>
      </c>
      <c r="P492">
        <v>1451.35</v>
      </c>
      <c r="Q492" s="1">
        <v>484.9</v>
      </c>
      <c r="R492" s="1">
        <v>489.15</v>
      </c>
      <c r="S492" s="3">
        <v>0.10601262146960688</v>
      </c>
      <c r="T492" s="3">
        <v>6.182337311896835E-2</v>
      </c>
    </row>
    <row r="493" spans="1:20" x14ac:dyDescent="0.25">
      <c r="A493" t="s">
        <v>78</v>
      </c>
      <c r="B493" t="s">
        <v>79</v>
      </c>
      <c r="C493" t="s">
        <v>713</v>
      </c>
      <c r="D493" t="s">
        <v>714</v>
      </c>
      <c r="E493">
        <v>701.7</v>
      </c>
      <c r="F493">
        <v>701.7</v>
      </c>
      <c r="G493">
        <v>705.65</v>
      </c>
      <c r="H493">
        <v>691.1</v>
      </c>
      <c r="I493" s="1">
        <v>694.2</v>
      </c>
      <c r="J493">
        <v>60237352.899999999</v>
      </c>
      <c r="K493">
        <v>86225</v>
      </c>
      <c r="L493" t="s">
        <v>78</v>
      </c>
      <c r="M493" t="s">
        <v>17</v>
      </c>
      <c r="N493">
        <v>7263</v>
      </c>
      <c r="O493">
        <v>849.5</v>
      </c>
      <c r="P493">
        <v>594</v>
      </c>
      <c r="Q493" s="1">
        <v>411.9</v>
      </c>
      <c r="R493" s="1">
        <v>130.30000000000001</v>
      </c>
      <c r="S493" s="3">
        <v>4.4458210200554182E-2</v>
      </c>
      <c r="T493" s="3">
        <v>8.7194171285154942E-2</v>
      </c>
    </row>
    <row r="494" spans="1:20" x14ac:dyDescent="0.25">
      <c r="A494" t="s">
        <v>78</v>
      </c>
      <c r="B494" t="s">
        <v>79</v>
      </c>
      <c r="C494" t="s">
        <v>715</v>
      </c>
      <c r="D494" t="s">
        <v>716</v>
      </c>
      <c r="E494">
        <v>2218.5</v>
      </c>
      <c r="F494">
        <v>2218</v>
      </c>
      <c r="G494">
        <v>2295.85</v>
      </c>
      <c r="H494">
        <v>2184.65</v>
      </c>
      <c r="I494" s="1">
        <v>2259.75</v>
      </c>
      <c r="J494">
        <v>2414226324.3499999</v>
      </c>
      <c r="K494">
        <v>1076228</v>
      </c>
      <c r="L494" t="s">
        <v>78</v>
      </c>
      <c r="M494" t="s">
        <v>17</v>
      </c>
      <c r="N494">
        <v>64130</v>
      </c>
      <c r="O494">
        <v>2420</v>
      </c>
      <c r="P494">
        <v>905.1</v>
      </c>
      <c r="Q494" s="1">
        <v>710</v>
      </c>
      <c r="R494" s="1">
        <v>911.35</v>
      </c>
      <c r="S494" s="3">
        <v>0.10128613236885498</v>
      </c>
      <c r="T494" s="3">
        <v>4.6424648695600368E-2</v>
      </c>
    </row>
    <row r="495" spans="1:20" x14ac:dyDescent="0.25">
      <c r="A495" t="s">
        <v>78</v>
      </c>
      <c r="B495" t="s">
        <v>79</v>
      </c>
      <c r="C495" t="s">
        <v>717</v>
      </c>
      <c r="D495" t="s">
        <v>718</v>
      </c>
      <c r="E495">
        <v>9170.75</v>
      </c>
      <c r="F495">
        <v>9072.2999999999993</v>
      </c>
      <c r="G495">
        <v>9217.15</v>
      </c>
      <c r="H495">
        <v>8951</v>
      </c>
      <c r="I495" s="1">
        <v>8997.9</v>
      </c>
      <c r="J495">
        <v>101705775.59999999</v>
      </c>
      <c r="K495">
        <v>11244</v>
      </c>
      <c r="L495" t="s">
        <v>78</v>
      </c>
      <c r="M495" t="s">
        <v>17</v>
      </c>
      <c r="N495">
        <v>4272</v>
      </c>
      <c r="O495">
        <v>9740</v>
      </c>
      <c r="P495">
        <v>6591.2</v>
      </c>
      <c r="Q495" s="1">
        <v>4391.25</v>
      </c>
      <c r="R495" s="1">
        <v>2641.25</v>
      </c>
      <c r="S495" s="3">
        <v>6.1604497986452955E-2</v>
      </c>
      <c r="T495" s="3">
        <v>6.3168268660380722E-2</v>
      </c>
    </row>
    <row r="496" spans="1:20" x14ac:dyDescent="0.25">
      <c r="A496" t="s">
        <v>78</v>
      </c>
      <c r="B496" t="s">
        <v>79</v>
      </c>
      <c r="C496" t="s">
        <v>719</v>
      </c>
      <c r="D496" t="s">
        <v>720</v>
      </c>
      <c r="E496">
        <v>7.34</v>
      </c>
      <c r="F496">
        <v>7.6</v>
      </c>
      <c r="G496">
        <v>7.6</v>
      </c>
      <c r="H496">
        <v>7.05</v>
      </c>
      <c r="I496" s="1">
        <v>7.39</v>
      </c>
      <c r="J496">
        <v>4670442.82</v>
      </c>
      <c r="K496">
        <v>629859</v>
      </c>
      <c r="L496" t="s">
        <v>78</v>
      </c>
      <c r="M496" t="s">
        <v>17</v>
      </c>
      <c r="N496">
        <v>959</v>
      </c>
      <c r="O496">
        <v>12.35</v>
      </c>
      <c r="P496">
        <v>6.15</v>
      </c>
      <c r="Q496" s="1">
        <v>56</v>
      </c>
      <c r="R496" s="1">
        <v>23.2</v>
      </c>
      <c r="S496" s="3">
        <v>-0.15529570784249469</v>
      </c>
      <c r="T496" s="3">
        <v>-5.5566404678278447E-2</v>
      </c>
    </row>
    <row r="497" spans="1:20" x14ac:dyDescent="0.25">
      <c r="A497" t="s">
        <v>78</v>
      </c>
      <c r="B497" t="s">
        <v>79</v>
      </c>
      <c r="C497" t="s">
        <v>721</v>
      </c>
      <c r="D497" t="s">
        <v>722</v>
      </c>
      <c r="E497">
        <v>180</v>
      </c>
      <c r="F497">
        <v>180</v>
      </c>
      <c r="G497">
        <v>181.7</v>
      </c>
      <c r="H497">
        <v>174.23</v>
      </c>
      <c r="I497" s="1">
        <v>175.63</v>
      </c>
      <c r="J497">
        <v>1189358112.4300001</v>
      </c>
      <c r="K497">
        <v>6755556</v>
      </c>
      <c r="L497" t="s">
        <v>78</v>
      </c>
      <c r="M497" t="s">
        <v>17</v>
      </c>
      <c r="N497">
        <v>37531</v>
      </c>
      <c r="O497">
        <v>192.7</v>
      </c>
      <c r="P497">
        <v>74.7</v>
      </c>
      <c r="Q497" s="1">
        <v>826</v>
      </c>
      <c r="R497" s="1">
        <v>752.55</v>
      </c>
      <c r="S497" s="3">
        <v>-0.12104180194036607</v>
      </c>
      <c r="T497" s="3">
        <v>-7.0133780253917921E-2</v>
      </c>
    </row>
    <row r="498" spans="1:20" x14ac:dyDescent="0.25">
      <c r="A498" t="s">
        <v>78</v>
      </c>
      <c r="B498" t="s">
        <v>79</v>
      </c>
      <c r="C498" t="s">
        <v>723</v>
      </c>
      <c r="D498" t="s">
        <v>724</v>
      </c>
      <c r="E498">
        <v>217.39</v>
      </c>
      <c r="F498">
        <v>217.6</v>
      </c>
      <c r="G498">
        <v>218.46</v>
      </c>
      <c r="H498">
        <v>215.27</v>
      </c>
      <c r="I498" s="1">
        <v>215.85</v>
      </c>
      <c r="J498">
        <v>16120916.470000001</v>
      </c>
      <c r="K498">
        <v>74503</v>
      </c>
      <c r="L498" t="s">
        <v>78</v>
      </c>
      <c r="M498" t="s">
        <v>17</v>
      </c>
      <c r="N498">
        <v>4150</v>
      </c>
      <c r="O498">
        <v>1049</v>
      </c>
      <c r="P498">
        <v>195.55</v>
      </c>
      <c r="Q498" s="1">
        <v>526.45000000000005</v>
      </c>
      <c r="R498" s="1">
        <v>160</v>
      </c>
      <c r="S498" s="3">
        <v>-7.1604749010635294E-2</v>
      </c>
      <c r="T498" s="3">
        <v>1.5074792346192467E-2</v>
      </c>
    </row>
    <row r="499" spans="1:20" x14ac:dyDescent="0.25">
      <c r="A499" t="s">
        <v>78</v>
      </c>
      <c r="B499" t="s">
        <v>79</v>
      </c>
      <c r="C499" t="s">
        <v>3082</v>
      </c>
      <c r="D499" t="s">
        <v>3083</v>
      </c>
      <c r="E499">
        <v>730.6</v>
      </c>
      <c r="F499">
        <v>730</v>
      </c>
      <c r="G499">
        <v>730.4</v>
      </c>
      <c r="H499">
        <v>685.9</v>
      </c>
      <c r="I499" s="1">
        <v>689.3</v>
      </c>
      <c r="J499">
        <v>4275316853.0500002</v>
      </c>
      <c r="K499">
        <v>6154982</v>
      </c>
      <c r="L499" t="s">
        <v>78</v>
      </c>
      <c r="M499" t="s">
        <v>17</v>
      </c>
      <c r="N499">
        <v>202865</v>
      </c>
      <c r="O499">
        <v>783.75</v>
      </c>
      <c r="P499">
        <v>359.2</v>
      </c>
      <c r="Q499" s="1">
        <v>74.099999999999994</v>
      </c>
      <c r="R499" s="1">
        <v>21.6</v>
      </c>
      <c r="S499" s="3">
        <v>0.20424773794406748</v>
      </c>
      <c r="T499" s="3">
        <v>0.18893070918677801</v>
      </c>
    </row>
    <row r="500" spans="1:20" x14ac:dyDescent="0.25">
      <c r="A500" t="s">
        <v>78</v>
      </c>
      <c r="B500" t="s">
        <v>287</v>
      </c>
      <c r="C500" t="s">
        <v>6224</v>
      </c>
      <c r="D500" t="s">
        <v>6223</v>
      </c>
      <c r="E500">
        <v>193.1</v>
      </c>
      <c r="F500">
        <v>191</v>
      </c>
      <c r="G500">
        <v>199</v>
      </c>
      <c r="H500">
        <v>187.05</v>
      </c>
      <c r="I500" s="1">
        <v>188.2</v>
      </c>
      <c r="J500">
        <v>24398960</v>
      </c>
      <c r="K500">
        <v>126400</v>
      </c>
      <c r="L500" t="s">
        <v>78</v>
      </c>
      <c r="M500" t="s">
        <v>17</v>
      </c>
      <c r="N500">
        <v>65</v>
      </c>
      <c r="O500">
        <v>331.7</v>
      </c>
      <c r="P500">
        <v>148.55000000000001</v>
      </c>
      <c r="Q500" s="1" t="str">
        <v/>
      </c>
      <c r="R500" s="1" t="str">
        <v/>
      </c>
      <c r="S500" s="3">
        <v>0</v>
      </c>
      <c r="T500" s="3">
        <v>0</v>
      </c>
    </row>
    <row r="501" spans="1:20" x14ac:dyDescent="0.25">
      <c r="A501" t="s">
        <v>78</v>
      </c>
      <c r="B501" t="s">
        <v>79</v>
      </c>
      <c r="C501" t="s">
        <v>725</v>
      </c>
      <c r="D501" t="s">
        <v>726</v>
      </c>
      <c r="E501">
        <v>780.65</v>
      </c>
      <c r="F501">
        <v>784.4</v>
      </c>
      <c r="G501">
        <v>784.4</v>
      </c>
      <c r="H501">
        <v>760.25</v>
      </c>
      <c r="I501" s="1">
        <v>770.35</v>
      </c>
      <c r="J501">
        <v>242547301</v>
      </c>
      <c r="K501">
        <v>314896</v>
      </c>
      <c r="L501" t="s">
        <v>78</v>
      </c>
      <c r="M501" t="s">
        <v>17</v>
      </c>
      <c r="N501">
        <v>23901</v>
      </c>
      <c r="O501">
        <v>958</v>
      </c>
      <c r="P501">
        <v>446.3</v>
      </c>
      <c r="Q501" s="1">
        <v>176</v>
      </c>
      <c r="R501" s="1">
        <v>311.2</v>
      </c>
      <c r="S501" s="3">
        <v>0.13091843865000152</v>
      </c>
      <c r="T501" s="3">
        <v>4.6337151950972988E-2</v>
      </c>
    </row>
    <row r="502" spans="1:20" x14ac:dyDescent="0.25">
      <c r="A502" t="s">
        <v>78</v>
      </c>
      <c r="B502" t="s">
        <v>79</v>
      </c>
      <c r="C502" t="s">
        <v>727</v>
      </c>
      <c r="D502" t="s">
        <v>728</v>
      </c>
      <c r="E502">
        <v>505.4</v>
      </c>
      <c r="F502">
        <v>505</v>
      </c>
      <c r="G502">
        <v>514.9</v>
      </c>
      <c r="H502">
        <v>491.1</v>
      </c>
      <c r="I502" s="1">
        <v>511.65</v>
      </c>
      <c r="J502">
        <v>2104946657.25</v>
      </c>
      <c r="K502">
        <v>4168152</v>
      </c>
      <c r="L502" t="s">
        <v>78</v>
      </c>
      <c r="M502" t="s">
        <v>17</v>
      </c>
      <c r="N502">
        <v>46625</v>
      </c>
      <c r="O502">
        <v>574.35</v>
      </c>
      <c r="P502">
        <v>250.05</v>
      </c>
      <c r="Q502" s="1">
        <v>299</v>
      </c>
      <c r="R502" s="1">
        <v>161.25</v>
      </c>
      <c r="S502" s="3">
        <v>4.5783573302147218E-2</v>
      </c>
      <c r="T502" s="3">
        <v>5.9399908985119154E-2</v>
      </c>
    </row>
    <row r="503" spans="1:20" x14ac:dyDescent="0.25">
      <c r="A503" t="s">
        <v>78</v>
      </c>
      <c r="B503" t="s">
        <v>287</v>
      </c>
      <c r="C503" t="s">
        <v>6222</v>
      </c>
      <c r="D503" t="s">
        <v>6221</v>
      </c>
      <c r="E503">
        <v>156.9</v>
      </c>
      <c r="F503">
        <v>154.05000000000001</v>
      </c>
      <c r="G503">
        <v>157.25</v>
      </c>
      <c r="H503">
        <v>146.30000000000001</v>
      </c>
      <c r="I503" s="1">
        <v>149.9</v>
      </c>
      <c r="J503">
        <v>25882500</v>
      </c>
      <c r="K503">
        <v>171000</v>
      </c>
      <c r="L503" t="s">
        <v>78</v>
      </c>
      <c r="M503" t="s">
        <v>17</v>
      </c>
      <c r="N503">
        <v>162</v>
      </c>
      <c r="O503">
        <v>185</v>
      </c>
      <c r="P503">
        <v>77</v>
      </c>
      <c r="Q503" s="1" t="str">
        <v/>
      </c>
      <c r="R503" s="1" t="str">
        <v/>
      </c>
      <c r="S503" s="3">
        <v>0</v>
      </c>
      <c r="T503" s="3">
        <v>0</v>
      </c>
    </row>
    <row r="504" spans="1:20" x14ac:dyDescent="0.25">
      <c r="A504" t="s">
        <v>78</v>
      </c>
      <c r="B504" t="s">
        <v>79</v>
      </c>
      <c r="C504" t="s">
        <v>729</v>
      </c>
      <c r="D504" t="s">
        <v>730</v>
      </c>
      <c r="E504">
        <v>633.29999999999995</v>
      </c>
      <c r="F504">
        <v>639.9</v>
      </c>
      <c r="G504">
        <v>642</v>
      </c>
      <c r="H504">
        <v>625.5</v>
      </c>
      <c r="I504" s="1">
        <v>628.54999999999995</v>
      </c>
      <c r="J504">
        <v>9778792.6500000004</v>
      </c>
      <c r="K504">
        <v>15506</v>
      </c>
      <c r="L504" t="s">
        <v>78</v>
      </c>
      <c r="M504" t="s">
        <v>17</v>
      </c>
      <c r="N504">
        <v>628</v>
      </c>
      <c r="O504">
        <v>743.2</v>
      </c>
      <c r="P504">
        <v>329.9</v>
      </c>
      <c r="Q504" s="1">
        <v>226.7</v>
      </c>
      <c r="R504" s="1" t="str">
        <v/>
      </c>
      <c r="S504" s="3">
        <v>8.8697834848883828E-2</v>
      </c>
      <c r="T504" s="3">
        <v>0</v>
      </c>
    </row>
    <row r="505" spans="1:20" x14ac:dyDescent="0.25">
      <c r="A505" t="s">
        <v>78</v>
      </c>
      <c r="B505" t="s">
        <v>79</v>
      </c>
      <c r="C505" t="s">
        <v>731</v>
      </c>
      <c r="D505" t="s">
        <v>732</v>
      </c>
      <c r="E505">
        <v>263.5</v>
      </c>
      <c r="F505">
        <v>263.5</v>
      </c>
      <c r="G505">
        <v>264.14999999999998</v>
      </c>
      <c r="H505">
        <v>256</v>
      </c>
      <c r="I505" s="1">
        <v>257.25</v>
      </c>
      <c r="J505">
        <v>12326526.699999999</v>
      </c>
      <c r="K505">
        <v>47540</v>
      </c>
      <c r="L505" t="s">
        <v>78</v>
      </c>
      <c r="M505" t="s">
        <v>17</v>
      </c>
      <c r="N505">
        <v>4553</v>
      </c>
      <c r="O505">
        <v>319.45</v>
      </c>
      <c r="P505">
        <v>225.5</v>
      </c>
      <c r="Q505" s="1">
        <v>487.05</v>
      </c>
      <c r="R505" s="1" t="str">
        <v/>
      </c>
      <c r="S505" s="3">
        <v>-5.1803197825449954E-2</v>
      </c>
      <c r="T505" s="3">
        <v>0</v>
      </c>
    </row>
    <row r="506" spans="1:20" x14ac:dyDescent="0.25">
      <c r="A506" t="s">
        <v>78</v>
      </c>
      <c r="B506" t="s">
        <v>79</v>
      </c>
      <c r="C506" t="s">
        <v>733</v>
      </c>
      <c r="D506" t="s">
        <v>734</v>
      </c>
      <c r="E506">
        <v>689</v>
      </c>
      <c r="F506">
        <v>691.05</v>
      </c>
      <c r="G506">
        <v>709.9</v>
      </c>
      <c r="H506">
        <v>665.35</v>
      </c>
      <c r="I506" s="1">
        <v>695.65</v>
      </c>
      <c r="J506">
        <v>37022203.350000001</v>
      </c>
      <c r="K506">
        <v>53539</v>
      </c>
      <c r="L506" t="s">
        <v>78</v>
      </c>
      <c r="M506" t="s">
        <v>17</v>
      </c>
      <c r="N506">
        <v>5610</v>
      </c>
      <c r="O506">
        <v>744</v>
      </c>
      <c r="P506">
        <v>310</v>
      </c>
      <c r="Q506" s="1">
        <v>174.05</v>
      </c>
      <c r="R506" s="1">
        <v>165.15</v>
      </c>
      <c r="S506" s="3">
        <v>0.12238812585247461</v>
      </c>
      <c r="T506" s="3">
        <v>7.4505171411931581E-2</v>
      </c>
    </row>
    <row r="507" spans="1:20" x14ac:dyDescent="0.25">
      <c r="A507" t="s">
        <v>78</v>
      </c>
      <c r="B507" t="s">
        <v>79</v>
      </c>
      <c r="C507" t="s">
        <v>6220</v>
      </c>
      <c r="D507" t="s">
        <v>6219</v>
      </c>
      <c r="E507">
        <v>530.5</v>
      </c>
      <c r="F507">
        <v>529.95000000000005</v>
      </c>
      <c r="G507">
        <v>535</v>
      </c>
      <c r="H507">
        <v>517</v>
      </c>
      <c r="I507" s="1">
        <v>532.35</v>
      </c>
      <c r="J507">
        <v>93067372.200000003</v>
      </c>
      <c r="K507">
        <v>176825</v>
      </c>
      <c r="L507" t="s">
        <v>78</v>
      </c>
      <c r="M507" t="s">
        <v>17</v>
      </c>
      <c r="N507">
        <v>7773</v>
      </c>
      <c r="O507">
        <v>633.9</v>
      </c>
      <c r="P507">
        <v>402.8</v>
      </c>
      <c r="Q507" s="1" t="str">
        <v/>
      </c>
      <c r="R507" s="1" t="str">
        <v/>
      </c>
      <c r="S507" s="3">
        <v>0</v>
      </c>
      <c r="T507" s="3">
        <v>0</v>
      </c>
    </row>
    <row r="508" spans="1:20" x14ac:dyDescent="0.25">
      <c r="A508" t="s">
        <v>78</v>
      </c>
      <c r="B508" t="s">
        <v>79</v>
      </c>
      <c r="C508" t="s">
        <v>735</v>
      </c>
      <c r="D508" t="s">
        <v>736</v>
      </c>
      <c r="E508">
        <v>1212.0999999999999</v>
      </c>
      <c r="F508">
        <v>1215</v>
      </c>
      <c r="G508">
        <v>1244.8499999999999</v>
      </c>
      <c r="H508">
        <v>1190</v>
      </c>
      <c r="I508" s="1">
        <v>1220</v>
      </c>
      <c r="J508">
        <v>6461896512.9499998</v>
      </c>
      <c r="K508">
        <v>5291350</v>
      </c>
      <c r="L508" t="s">
        <v>78</v>
      </c>
      <c r="M508" t="s">
        <v>17</v>
      </c>
      <c r="N508">
        <v>144971</v>
      </c>
      <c r="O508">
        <v>1275</v>
      </c>
      <c r="P508">
        <v>347.9</v>
      </c>
      <c r="Q508" s="1">
        <v>132.75</v>
      </c>
      <c r="R508" s="1">
        <v>192.15</v>
      </c>
      <c r="S508" s="3">
        <v>0.20303180309827273</v>
      </c>
      <c r="T508" s="3">
        <v>9.6766032990802664E-2</v>
      </c>
    </row>
    <row r="509" spans="1:20" x14ac:dyDescent="0.25">
      <c r="A509" t="s">
        <v>78</v>
      </c>
      <c r="B509" t="s">
        <v>79</v>
      </c>
      <c r="C509" t="s">
        <v>6218</v>
      </c>
      <c r="D509" t="s">
        <v>6217</v>
      </c>
      <c r="E509">
        <v>1397.6</v>
      </c>
      <c r="F509">
        <v>1397.6</v>
      </c>
      <c r="G509">
        <v>1415</v>
      </c>
      <c r="H509">
        <v>1382</v>
      </c>
      <c r="I509" s="1">
        <v>1393.65</v>
      </c>
      <c r="J509">
        <v>6231988.3499999996</v>
      </c>
      <c r="K509">
        <v>4474</v>
      </c>
      <c r="L509" t="s">
        <v>78</v>
      </c>
      <c r="M509" t="s">
        <v>17</v>
      </c>
      <c r="N509">
        <v>1225</v>
      </c>
      <c r="O509">
        <v>1626.7</v>
      </c>
      <c r="P509">
        <v>1130</v>
      </c>
      <c r="Q509" s="1" t="str">
        <v/>
      </c>
      <c r="R509" s="1" t="str">
        <v/>
      </c>
      <c r="S509" s="3">
        <v>0</v>
      </c>
      <c r="T509" s="3">
        <v>0</v>
      </c>
    </row>
    <row r="510" spans="1:20" x14ac:dyDescent="0.25">
      <c r="A510" t="s">
        <v>78</v>
      </c>
      <c r="B510" t="s">
        <v>79</v>
      </c>
      <c r="C510" t="s">
        <v>6216</v>
      </c>
      <c r="D510" t="s">
        <v>6215</v>
      </c>
      <c r="E510">
        <v>385.3</v>
      </c>
      <c r="F510">
        <v>386.9</v>
      </c>
      <c r="G510">
        <v>388.4</v>
      </c>
      <c r="H510">
        <v>381</v>
      </c>
      <c r="I510" s="1">
        <v>386.55</v>
      </c>
      <c r="J510">
        <v>140279558.69999999</v>
      </c>
      <c r="K510">
        <v>363525</v>
      </c>
      <c r="L510" t="s">
        <v>78</v>
      </c>
      <c r="M510" t="s">
        <v>17</v>
      </c>
      <c r="N510">
        <v>6628</v>
      </c>
      <c r="O510">
        <v>568.5</v>
      </c>
      <c r="P510">
        <v>243.85</v>
      </c>
      <c r="Q510" s="1" t="str">
        <v/>
      </c>
      <c r="R510" s="1" t="str">
        <v/>
      </c>
      <c r="S510" s="3">
        <v>0</v>
      </c>
      <c r="T510" s="3">
        <v>0</v>
      </c>
    </row>
    <row r="511" spans="1:20" x14ac:dyDescent="0.25">
      <c r="A511" t="s">
        <v>78</v>
      </c>
      <c r="B511" t="s">
        <v>79</v>
      </c>
      <c r="C511" t="s">
        <v>739</v>
      </c>
      <c r="D511" t="s">
        <v>740</v>
      </c>
      <c r="E511">
        <v>1490.05</v>
      </c>
      <c r="F511">
        <v>1490.4</v>
      </c>
      <c r="G511">
        <v>1518.15</v>
      </c>
      <c r="H511">
        <v>1490.05</v>
      </c>
      <c r="I511" s="1">
        <v>1494.85</v>
      </c>
      <c r="J511">
        <v>214221008.55000001</v>
      </c>
      <c r="K511">
        <v>142662</v>
      </c>
      <c r="L511" t="s">
        <v>78</v>
      </c>
      <c r="M511" t="s">
        <v>17</v>
      </c>
      <c r="N511">
        <v>30091</v>
      </c>
      <c r="O511">
        <v>1649.8</v>
      </c>
      <c r="P511">
        <v>885.1</v>
      </c>
      <c r="Q511" s="1">
        <v>632.65</v>
      </c>
      <c r="R511" s="1">
        <v>475.3</v>
      </c>
      <c r="S511" s="3">
        <v>7.4284992082192858E-2</v>
      </c>
      <c r="T511" s="3">
        <v>5.8931491238569889E-2</v>
      </c>
    </row>
    <row r="512" spans="1:20" x14ac:dyDescent="0.25">
      <c r="A512" t="s">
        <v>78</v>
      </c>
      <c r="B512" t="s">
        <v>79</v>
      </c>
      <c r="C512" t="s">
        <v>6214</v>
      </c>
      <c r="D512" t="s">
        <v>6213</v>
      </c>
      <c r="E512">
        <v>612.54999999999995</v>
      </c>
      <c r="F512">
        <v>612.54999999999995</v>
      </c>
      <c r="G512">
        <v>614.75</v>
      </c>
      <c r="H512">
        <v>600</v>
      </c>
      <c r="I512" s="1">
        <v>606.65</v>
      </c>
      <c r="J512">
        <v>156003839.19999999</v>
      </c>
      <c r="K512">
        <v>257087</v>
      </c>
      <c r="L512" t="s">
        <v>78</v>
      </c>
      <c r="M512" t="s">
        <v>17</v>
      </c>
      <c r="N512">
        <v>16221</v>
      </c>
      <c r="O512">
        <v>622.4</v>
      </c>
      <c r="P512">
        <v>406.8</v>
      </c>
      <c r="Q512" s="1" t="str">
        <v/>
      </c>
      <c r="R512" s="1" t="str">
        <v/>
      </c>
      <c r="S512" s="3">
        <v>0</v>
      </c>
      <c r="T512" s="3">
        <v>0</v>
      </c>
    </row>
    <row r="513" spans="1:20" x14ac:dyDescent="0.25">
      <c r="A513" t="s">
        <v>78</v>
      </c>
      <c r="B513" t="s">
        <v>79</v>
      </c>
      <c r="C513" t="s">
        <v>741</v>
      </c>
      <c r="D513" t="s">
        <v>742</v>
      </c>
      <c r="E513">
        <v>1355.25</v>
      </c>
      <c r="F513">
        <v>1349.95</v>
      </c>
      <c r="G513">
        <v>1355.45</v>
      </c>
      <c r="H513">
        <v>1346.6</v>
      </c>
      <c r="I513" s="1">
        <v>1348.3</v>
      </c>
      <c r="J513">
        <v>116626957.90000001</v>
      </c>
      <c r="K513">
        <v>86371</v>
      </c>
      <c r="L513" t="s">
        <v>78</v>
      </c>
      <c r="M513" t="s">
        <v>17</v>
      </c>
      <c r="N513">
        <v>2158</v>
      </c>
      <c r="O513">
        <v>1415</v>
      </c>
      <c r="P513">
        <v>758.05</v>
      </c>
      <c r="Q513" s="1">
        <v>635.6</v>
      </c>
      <c r="R513" s="1">
        <v>291</v>
      </c>
      <c r="S513" s="3">
        <v>6.4674585197116885E-2</v>
      </c>
      <c r="T513" s="3">
        <v>7.9633728137931792E-2</v>
      </c>
    </row>
    <row r="514" spans="1:20" x14ac:dyDescent="0.25">
      <c r="A514" t="s">
        <v>78</v>
      </c>
      <c r="B514" t="s">
        <v>79</v>
      </c>
      <c r="C514" t="s">
        <v>743</v>
      </c>
      <c r="D514" t="s">
        <v>744</v>
      </c>
      <c r="E514">
        <v>140.72999999999999</v>
      </c>
      <c r="F514">
        <v>141</v>
      </c>
      <c r="G514">
        <v>143.18</v>
      </c>
      <c r="H514">
        <v>139.21</v>
      </c>
      <c r="I514" s="1">
        <v>140.53</v>
      </c>
      <c r="J514">
        <v>3461010.26</v>
      </c>
      <c r="K514">
        <v>24563</v>
      </c>
      <c r="L514" t="s">
        <v>78</v>
      </c>
      <c r="M514" t="s">
        <v>17</v>
      </c>
      <c r="N514">
        <v>592</v>
      </c>
      <c r="O514">
        <v>150.79</v>
      </c>
      <c r="P514">
        <v>112.8</v>
      </c>
      <c r="Q514" s="1">
        <v>48</v>
      </c>
      <c r="R514" s="1">
        <v>33.299999999999997</v>
      </c>
      <c r="S514" s="3">
        <v>9.3647381344227343E-2</v>
      </c>
      <c r="T514" s="3">
        <v>7.4605645511698793E-2</v>
      </c>
    </row>
    <row r="515" spans="1:20" x14ac:dyDescent="0.25">
      <c r="A515" t="s">
        <v>78</v>
      </c>
      <c r="B515" t="s">
        <v>79</v>
      </c>
      <c r="C515" t="s">
        <v>3084</v>
      </c>
      <c r="D515" t="s">
        <v>3085</v>
      </c>
      <c r="E515">
        <v>18.16</v>
      </c>
      <c r="F515">
        <v>18.2</v>
      </c>
      <c r="G515">
        <v>18.739999999999998</v>
      </c>
      <c r="H515">
        <v>18.16</v>
      </c>
      <c r="I515" s="1">
        <v>18.18</v>
      </c>
      <c r="J515">
        <v>706592.3</v>
      </c>
      <c r="K515">
        <v>38408</v>
      </c>
      <c r="L515" t="s">
        <v>78</v>
      </c>
      <c r="M515" t="s">
        <v>17</v>
      </c>
      <c r="N515">
        <v>153</v>
      </c>
      <c r="O515">
        <v>25.25</v>
      </c>
      <c r="P515">
        <v>12.8</v>
      </c>
      <c r="Q515" s="1">
        <v>17</v>
      </c>
      <c r="R515" s="1">
        <v>4.95</v>
      </c>
      <c r="S515" s="3">
        <v>5.6080620252536573E-3</v>
      </c>
      <c r="T515" s="3">
        <v>6.7170873208606041E-2</v>
      </c>
    </row>
    <row r="516" spans="1:20" x14ac:dyDescent="0.25">
      <c r="A516" t="s">
        <v>78</v>
      </c>
      <c r="B516" t="s">
        <v>79</v>
      </c>
      <c r="C516" t="s">
        <v>745</v>
      </c>
      <c r="D516" t="s">
        <v>746</v>
      </c>
      <c r="E516">
        <v>1476.2</v>
      </c>
      <c r="F516">
        <v>1475</v>
      </c>
      <c r="G516">
        <v>1500.75</v>
      </c>
      <c r="H516">
        <v>1441.1</v>
      </c>
      <c r="I516" s="1">
        <v>1479.1</v>
      </c>
      <c r="J516">
        <v>193812416.44999999</v>
      </c>
      <c r="K516">
        <v>131914</v>
      </c>
      <c r="L516" t="s">
        <v>78</v>
      </c>
      <c r="M516" t="s">
        <v>17</v>
      </c>
      <c r="N516">
        <v>15002</v>
      </c>
      <c r="O516">
        <v>1622</v>
      </c>
      <c r="P516">
        <v>1243</v>
      </c>
      <c r="Q516" s="1">
        <v>1555.05</v>
      </c>
      <c r="R516" s="1" t="str">
        <v/>
      </c>
      <c r="S516" s="3">
        <v>-4.1641312580081857E-3</v>
      </c>
      <c r="T516" s="3">
        <v>0</v>
      </c>
    </row>
    <row r="517" spans="1:20" x14ac:dyDescent="0.25">
      <c r="A517" t="s">
        <v>78</v>
      </c>
      <c r="B517" t="s">
        <v>79</v>
      </c>
      <c r="C517" t="s">
        <v>747</v>
      </c>
      <c r="D517" t="s">
        <v>748</v>
      </c>
      <c r="E517">
        <v>89.92</v>
      </c>
      <c r="F517">
        <v>90.11</v>
      </c>
      <c r="G517">
        <v>96.2</v>
      </c>
      <c r="H517">
        <v>86.51</v>
      </c>
      <c r="I517" s="1">
        <v>95.26</v>
      </c>
      <c r="J517">
        <v>48345277.079999998</v>
      </c>
      <c r="K517">
        <v>521732</v>
      </c>
      <c r="L517" t="s">
        <v>78</v>
      </c>
      <c r="M517" t="s">
        <v>17</v>
      </c>
      <c r="N517">
        <v>4239</v>
      </c>
      <c r="O517">
        <v>114</v>
      </c>
      <c r="P517">
        <v>63.8</v>
      </c>
      <c r="Q517" s="1">
        <v>140</v>
      </c>
      <c r="R517" s="1">
        <v>94.15</v>
      </c>
      <c r="S517" s="3">
        <v>-3.157674038424807E-2</v>
      </c>
      <c r="T517" s="3">
        <v>5.8588763831735058E-4</v>
      </c>
    </row>
    <row r="518" spans="1:20" x14ac:dyDescent="0.25">
      <c r="A518" t="s">
        <v>78</v>
      </c>
      <c r="B518" t="s">
        <v>79</v>
      </c>
      <c r="C518" t="s">
        <v>751</v>
      </c>
      <c r="D518" t="s">
        <v>752</v>
      </c>
      <c r="E518">
        <v>216.82</v>
      </c>
      <c r="F518">
        <v>217.82</v>
      </c>
      <c r="G518">
        <v>218.79</v>
      </c>
      <c r="H518">
        <v>213.01</v>
      </c>
      <c r="I518" s="1">
        <v>214.75</v>
      </c>
      <c r="J518">
        <v>13469203.119999999</v>
      </c>
      <c r="K518">
        <v>62573</v>
      </c>
      <c r="L518" t="s">
        <v>78</v>
      </c>
      <c r="M518" t="s">
        <v>17</v>
      </c>
      <c r="N518">
        <v>3307</v>
      </c>
      <c r="O518">
        <v>269.95</v>
      </c>
      <c r="P518">
        <v>166.25</v>
      </c>
      <c r="Q518" s="1">
        <v>145.15</v>
      </c>
      <c r="R518" s="1" t="str">
        <v/>
      </c>
      <c r="S518" s="3">
        <v>3.3180841508627212E-2</v>
      </c>
      <c r="T518" s="3">
        <v>0</v>
      </c>
    </row>
    <row r="519" spans="1:20" x14ac:dyDescent="0.25">
      <c r="A519" t="s">
        <v>78</v>
      </c>
      <c r="B519" t="s">
        <v>287</v>
      </c>
      <c r="C519" t="s">
        <v>6212</v>
      </c>
      <c r="D519" t="s">
        <v>6211</v>
      </c>
      <c r="E519">
        <v>44.95</v>
      </c>
      <c r="F519">
        <v>44.25</v>
      </c>
      <c r="G519">
        <v>44.7</v>
      </c>
      <c r="H519">
        <v>43.65</v>
      </c>
      <c r="I519" s="1">
        <v>43.8</v>
      </c>
      <c r="J519">
        <v>970500</v>
      </c>
      <c r="K519">
        <v>22000</v>
      </c>
      <c r="L519" t="s">
        <v>78</v>
      </c>
      <c r="M519" t="s">
        <v>17</v>
      </c>
      <c r="N519">
        <v>11</v>
      </c>
      <c r="O519">
        <v>51.95</v>
      </c>
      <c r="P519">
        <v>36.5</v>
      </c>
      <c r="Q519" s="1" t="str">
        <v/>
      </c>
      <c r="R519" s="1" t="str">
        <v/>
      </c>
      <c r="S519" s="3">
        <v>0</v>
      </c>
      <c r="T519" s="3">
        <v>0</v>
      </c>
    </row>
    <row r="520" spans="1:20" x14ac:dyDescent="0.25">
      <c r="A520" t="s">
        <v>78</v>
      </c>
      <c r="B520" t="s">
        <v>287</v>
      </c>
      <c r="C520" t="s">
        <v>6210</v>
      </c>
      <c r="D520" t="s">
        <v>6209</v>
      </c>
      <c r="E520">
        <v>70</v>
      </c>
      <c r="F520">
        <v>71.8</v>
      </c>
      <c r="G520">
        <v>71.8</v>
      </c>
      <c r="H520">
        <v>67.5</v>
      </c>
      <c r="I520" s="1">
        <v>69.95</v>
      </c>
      <c r="J520">
        <v>1877925</v>
      </c>
      <c r="K520">
        <v>27000</v>
      </c>
      <c r="L520" t="s">
        <v>78</v>
      </c>
      <c r="M520" t="s">
        <v>17</v>
      </c>
      <c r="N520">
        <v>18</v>
      </c>
      <c r="O520">
        <v>114.65</v>
      </c>
      <c r="P520">
        <v>55</v>
      </c>
      <c r="Q520" s="1" t="str">
        <v/>
      </c>
      <c r="R520" s="1" t="str">
        <v/>
      </c>
      <c r="S520" s="3">
        <v>0</v>
      </c>
      <c r="T520" s="3">
        <v>0</v>
      </c>
    </row>
    <row r="521" spans="1:20" x14ac:dyDescent="0.25">
      <c r="A521" t="s">
        <v>78</v>
      </c>
      <c r="B521" t="s">
        <v>287</v>
      </c>
      <c r="C521" t="s">
        <v>6208</v>
      </c>
      <c r="D521" t="s">
        <v>6207</v>
      </c>
      <c r="E521">
        <v>145.80000000000001</v>
      </c>
      <c r="F521">
        <v>148.75</v>
      </c>
      <c r="G521">
        <v>148.75</v>
      </c>
      <c r="H521">
        <v>138.55000000000001</v>
      </c>
      <c r="I521" s="1">
        <v>138.55000000000001</v>
      </c>
      <c r="J521">
        <v>2132720</v>
      </c>
      <c r="K521">
        <v>15200</v>
      </c>
      <c r="L521" t="s">
        <v>78</v>
      </c>
      <c r="M521" t="s">
        <v>17</v>
      </c>
      <c r="N521">
        <v>18</v>
      </c>
      <c r="O521">
        <v>205</v>
      </c>
      <c r="P521">
        <v>102.9</v>
      </c>
      <c r="Q521" s="1" t="str">
        <v/>
      </c>
      <c r="R521" s="1" t="str">
        <v/>
      </c>
      <c r="S521" s="3">
        <v>0</v>
      </c>
      <c r="T521" s="3">
        <v>0</v>
      </c>
    </row>
    <row r="522" spans="1:20" x14ac:dyDescent="0.25">
      <c r="A522" t="s">
        <v>78</v>
      </c>
      <c r="B522" t="s">
        <v>79</v>
      </c>
      <c r="C522" t="s">
        <v>6206</v>
      </c>
      <c r="D522" t="s">
        <v>6205</v>
      </c>
      <c r="E522">
        <v>529.9</v>
      </c>
      <c r="F522">
        <v>527.85</v>
      </c>
      <c r="G522">
        <v>527.85</v>
      </c>
      <c r="H522">
        <v>513.1</v>
      </c>
      <c r="I522" s="1">
        <v>515.95000000000005</v>
      </c>
      <c r="J522">
        <v>220120305.05000001</v>
      </c>
      <c r="K522">
        <v>424798</v>
      </c>
      <c r="L522" t="s">
        <v>78</v>
      </c>
      <c r="M522" t="s">
        <v>17</v>
      </c>
      <c r="N522">
        <v>21040</v>
      </c>
      <c r="O522">
        <v>536.9</v>
      </c>
      <c r="P522">
        <v>341.3</v>
      </c>
      <c r="Q522" s="1" t="str">
        <v/>
      </c>
      <c r="R522" s="1" t="str">
        <v/>
      </c>
      <c r="S522" s="3">
        <v>0</v>
      </c>
      <c r="T522" s="3">
        <v>0</v>
      </c>
    </row>
    <row r="523" spans="1:20" x14ac:dyDescent="0.25">
      <c r="A523" t="s">
        <v>78</v>
      </c>
      <c r="B523" t="s">
        <v>79</v>
      </c>
      <c r="C523" t="s">
        <v>6204</v>
      </c>
      <c r="D523" t="s">
        <v>6203</v>
      </c>
      <c r="E523">
        <v>246.48</v>
      </c>
      <c r="F523">
        <v>262.99</v>
      </c>
      <c r="G523">
        <v>294.85000000000002</v>
      </c>
      <c r="H523">
        <v>255.2</v>
      </c>
      <c r="I523" s="1">
        <v>274.77</v>
      </c>
      <c r="J523">
        <v>396807000.19</v>
      </c>
      <c r="K523">
        <v>1409140</v>
      </c>
      <c r="L523" t="s">
        <v>78</v>
      </c>
      <c r="M523" t="s">
        <v>17</v>
      </c>
      <c r="N523">
        <v>32199</v>
      </c>
      <c r="O523">
        <v>354.15</v>
      </c>
      <c r="P523">
        <v>208.5</v>
      </c>
      <c r="Q523" s="1" t="str">
        <v/>
      </c>
      <c r="R523" s="1" t="str">
        <v/>
      </c>
      <c r="S523" s="3">
        <v>0</v>
      </c>
      <c r="T523" s="3">
        <v>0</v>
      </c>
    </row>
    <row r="524" spans="1:20" x14ac:dyDescent="0.25">
      <c r="A524" t="s">
        <v>78</v>
      </c>
      <c r="B524" t="s">
        <v>79</v>
      </c>
      <c r="C524" t="s">
        <v>755</v>
      </c>
      <c r="D524" t="s">
        <v>756</v>
      </c>
      <c r="E524">
        <v>2743.35</v>
      </c>
      <c r="F524">
        <v>2740</v>
      </c>
      <c r="G524">
        <v>2740</v>
      </c>
      <c r="H524">
        <v>2611</v>
      </c>
      <c r="I524" s="1">
        <v>2622.45</v>
      </c>
      <c r="J524">
        <v>7308474390.0500002</v>
      </c>
      <c r="K524">
        <v>2767426</v>
      </c>
      <c r="L524" t="s">
        <v>78</v>
      </c>
      <c r="M524" t="s">
        <v>17</v>
      </c>
      <c r="N524">
        <v>163235</v>
      </c>
      <c r="O524">
        <v>2979.45</v>
      </c>
      <c r="P524">
        <v>629.70000000000005</v>
      </c>
      <c r="Q524" s="1">
        <v>380</v>
      </c>
      <c r="R524" s="1">
        <v>357.4</v>
      </c>
      <c r="S524" s="3">
        <v>0.17465491895469998</v>
      </c>
      <c r="T524" s="3">
        <v>0.10472436509993299</v>
      </c>
    </row>
    <row r="525" spans="1:20" x14ac:dyDescent="0.25">
      <c r="A525" t="s">
        <v>78</v>
      </c>
      <c r="B525" t="s">
        <v>79</v>
      </c>
      <c r="C525" t="s">
        <v>757</v>
      </c>
      <c r="D525" t="s">
        <v>758</v>
      </c>
      <c r="E525">
        <v>52.77</v>
      </c>
      <c r="F525">
        <v>52.85</v>
      </c>
      <c r="G525">
        <v>52.85</v>
      </c>
      <c r="H525">
        <v>51.2</v>
      </c>
      <c r="I525" s="1">
        <v>51.33</v>
      </c>
      <c r="J525">
        <v>108049259.47</v>
      </c>
      <c r="K525">
        <v>2087939</v>
      </c>
      <c r="L525" t="s">
        <v>78</v>
      </c>
      <c r="M525" t="s">
        <v>17</v>
      </c>
      <c r="N525">
        <v>11730</v>
      </c>
      <c r="O525">
        <v>74.650000000000006</v>
      </c>
      <c r="P525">
        <v>29</v>
      </c>
      <c r="Q525" s="1">
        <v>42.6</v>
      </c>
      <c r="R525" s="1">
        <v>200.1</v>
      </c>
      <c r="S525" s="3">
        <v>1.5656390480201843E-2</v>
      </c>
      <c r="T525" s="3">
        <v>-6.573003292862567E-2</v>
      </c>
    </row>
    <row r="526" spans="1:20" x14ac:dyDescent="0.25">
      <c r="A526" t="s">
        <v>78</v>
      </c>
      <c r="B526" t="s">
        <v>79</v>
      </c>
      <c r="C526" t="s">
        <v>759</v>
      </c>
      <c r="D526" t="s">
        <v>760</v>
      </c>
      <c r="E526">
        <v>5896.9</v>
      </c>
      <c r="F526">
        <v>5900</v>
      </c>
      <c r="G526">
        <v>6043.65</v>
      </c>
      <c r="H526">
        <v>5805.1</v>
      </c>
      <c r="I526" s="1">
        <v>5997.6</v>
      </c>
      <c r="J526">
        <v>4028695333.6999998</v>
      </c>
      <c r="K526">
        <v>675683</v>
      </c>
      <c r="L526" t="s">
        <v>78</v>
      </c>
      <c r="M526" t="s">
        <v>17</v>
      </c>
      <c r="N526">
        <v>67925</v>
      </c>
      <c r="O526">
        <v>6847.45</v>
      </c>
      <c r="P526">
        <v>4287.25</v>
      </c>
      <c r="Q526" s="1">
        <v>4505</v>
      </c>
      <c r="R526" s="1" t="str">
        <v/>
      </c>
      <c r="S526" s="3">
        <v>2.413425338569386E-2</v>
      </c>
      <c r="T526" s="3">
        <v>0</v>
      </c>
    </row>
    <row r="527" spans="1:20" x14ac:dyDescent="0.25">
      <c r="A527" t="s">
        <v>78</v>
      </c>
      <c r="B527" t="s">
        <v>287</v>
      </c>
      <c r="C527" t="s">
        <v>6202</v>
      </c>
      <c r="D527" t="s">
        <v>6201</v>
      </c>
      <c r="E527">
        <v>57.1</v>
      </c>
      <c r="F527">
        <v>58</v>
      </c>
      <c r="G527">
        <v>58</v>
      </c>
      <c r="H527">
        <v>56.5</v>
      </c>
      <c r="I527" s="1">
        <v>56.55</v>
      </c>
      <c r="J527">
        <v>545840</v>
      </c>
      <c r="K527">
        <v>9600</v>
      </c>
      <c r="L527" t="s">
        <v>78</v>
      </c>
      <c r="M527" t="s">
        <v>17</v>
      </c>
      <c r="N527">
        <v>6</v>
      </c>
      <c r="O527">
        <v>87</v>
      </c>
      <c r="P527">
        <v>49.15</v>
      </c>
      <c r="Q527" s="1" t="str">
        <v/>
      </c>
      <c r="R527" s="1" t="str">
        <v/>
      </c>
      <c r="S527" s="3">
        <v>0</v>
      </c>
      <c r="T527" s="3">
        <v>0</v>
      </c>
    </row>
    <row r="528" spans="1:20" x14ac:dyDescent="0.25">
      <c r="A528" t="s">
        <v>78</v>
      </c>
      <c r="B528" t="s">
        <v>79</v>
      </c>
      <c r="C528" t="s">
        <v>3086</v>
      </c>
      <c r="D528" t="s">
        <v>3087</v>
      </c>
      <c r="E528">
        <v>33</v>
      </c>
      <c r="F528">
        <v>35.700000000000003</v>
      </c>
      <c r="G528">
        <v>37.380000000000003</v>
      </c>
      <c r="H528">
        <v>33.200000000000003</v>
      </c>
      <c r="I528" s="1">
        <v>34.58</v>
      </c>
      <c r="J528">
        <v>134184763.28</v>
      </c>
      <c r="K528">
        <v>3779412</v>
      </c>
      <c r="L528" t="s">
        <v>78</v>
      </c>
      <c r="M528" t="s">
        <v>17</v>
      </c>
      <c r="N528">
        <v>17796</v>
      </c>
      <c r="O528">
        <v>43.6</v>
      </c>
      <c r="P528">
        <v>19.350000000000001</v>
      </c>
      <c r="Q528" s="1">
        <v>15.25</v>
      </c>
      <c r="R528" s="1">
        <v>8</v>
      </c>
      <c r="S528" s="3">
        <v>7.0605808866175845E-2</v>
      </c>
      <c r="T528" s="3">
        <v>7.5893644930257409E-2</v>
      </c>
    </row>
    <row r="529" spans="1:20" x14ac:dyDescent="0.25">
      <c r="A529" t="s">
        <v>78</v>
      </c>
      <c r="B529" t="s">
        <v>79</v>
      </c>
      <c r="C529" t="s">
        <v>6200</v>
      </c>
      <c r="D529" t="s">
        <v>6199</v>
      </c>
      <c r="E529">
        <v>77.930000000000007</v>
      </c>
      <c r="F529">
        <v>78.3</v>
      </c>
      <c r="G529">
        <v>78.599999999999994</v>
      </c>
      <c r="H529">
        <v>75.599999999999994</v>
      </c>
      <c r="I529" s="1">
        <v>76.84</v>
      </c>
      <c r="J529">
        <v>3956518.33</v>
      </c>
      <c r="K529">
        <v>51586</v>
      </c>
      <c r="L529" t="s">
        <v>78</v>
      </c>
      <c r="M529" t="s">
        <v>17</v>
      </c>
      <c r="N529">
        <v>871</v>
      </c>
      <c r="O529">
        <v>111.8</v>
      </c>
      <c r="P529">
        <v>58</v>
      </c>
      <c r="Q529" s="1" t="str">
        <v/>
      </c>
      <c r="R529" s="1" t="str">
        <v/>
      </c>
      <c r="S529" s="3">
        <v>0</v>
      </c>
      <c r="T529" s="3">
        <v>0</v>
      </c>
    </row>
    <row r="530" spans="1:20" x14ac:dyDescent="0.25">
      <c r="A530" t="s">
        <v>78</v>
      </c>
      <c r="B530" t="s">
        <v>79</v>
      </c>
      <c r="C530" t="s">
        <v>208</v>
      </c>
      <c r="D530" t="s">
        <v>209</v>
      </c>
      <c r="E530">
        <v>1047.8499999999999</v>
      </c>
      <c r="F530">
        <v>1061</v>
      </c>
      <c r="G530">
        <v>1063</v>
      </c>
      <c r="H530">
        <v>1030</v>
      </c>
      <c r="I530" s="1">
        <v>1039.7</v>
      </c>
      <c r="J530">
        <v>6052767086.8500004</v>
      </c>
      <c r="K530">
        <v>5805768</v>
      </c>
      <c r="L530" t="s">
        <v>78</v>
      </c>
      <c r="M530" t="s">
        <v>17</v>
      </c>
      <c r="N530">
        <v>134925</v>
      </c>
      <c r="O530">
        <v>1180</v>
      </c>
      <c r="P530">
        <v>645.9</v>
      </c>
      <c r="Q530" s="1">
        <v>652</v>
      </c>
      <c r="R530" s="1">
        <v>531.45000000000005</v>
      </c>
      <c r="S530" s="3">
        <v>3.9652903266330641E-2</v>
      </c>
      <c r="T530" s="3">
        <v>3.4104198042461675E-2</v>
      </c>
    </row>
    <row r="531" spans="1:20" x14ac:dyDescent="0.25">
      <c r="A531" t="s">
        <v>78</v>
      </c>
      <c r="B531" t="s">
        <v>79</v>
      </c>
      <c r="C531" t="s">
        <v>6198</v>
      </c>
      <c r="D531" t="s">
        <v>6197</v>
      </c>
      <c r="E531">
        <v>1701.85</v>
      </c>
      <c r="F531">
        <v>1701.85</v>
      </c>
      <c r="G531">
        <v>1705.95</v>
      </c>
      <c r="H531">
        <v>1680.05</v>
      </c>
      <c r="I531" s="1">
        <v>1696.2</v>
      </c>
      <c r="J531">
        <v>57336378.899999999</v>
      </c>
      <c r="K531">
        <v>33841</v>
      </c>
      <c r="L531" t="s">
        <v>78</v>
      </c>
      <c r="M531" t="s">
        <v>17</v>
      </c>
      <c r="N531">
        <v>6276</v>
      </c>
      <c r="O531">
        <v>1799</v>
      </c>
      <c r="P531">
        <v>900.05</v>
      </c>
      <c r="Q531" s="1" t="str">
        <v/>
      </c>
      <c r="R531" s="1" t="str">
        <v/>
      </c>
      <c r="S531" s="3">
        <v>0</v>
      </c>
      <c r="T531" s="3">
        <v>0</v>
      </c>
    </row>
    <row r="532" spans="1:20" x14ac:dyDescent="0.25">
      <c r="A532" t="s">
        <v>78</v>
      </c>
      <c r="B532" t="s">
        <v>79</v>
      </c>
      <c r="C532" t="s">
        <v>763</v>
      </c>
      <c r="D532" t="s">
        <v>764</v>
      </c>
      <c r="E532">
        <v>83.61</v>
      </c>
      <c r="F532">
        <v>84.4</v>
      </c>
      <c r="G532">
        <v>84.4</v>
      </c>
      <c r="H532">
        <v>81.3</v>
      </c>
      <c r="I532" s="1">
        <v>81.56</v>
      </c>
      <c r="J532">
        <v>66075179.700000003</v>
      </c>
      <c r="K532">
        <v>805327</v>
      </c>
      <c r="L532" t="s">
        <v>78</v>
      </c>
      <c r="M532" t="s">
        <v>17</v>
      </c>
      <c r="N532">
        <v>6938</v>
      </c>
      <c r="O532">
        <v>120</v>
      </c>
      <c r="P532">
        <v>62.55</v>
      </c>
      <c r="Q532" s="1">
        <v>61.25</v>
      </c>
      <c r="R532" s="1">
        <v>30.5</v>
      </c>
      <c r="S532" s="3">
        <v>2.4151629518431639E-2</v>
      </c>
      <c r="T532" s="3">
        <v>5.0381760566482692E-2</v>
      </c>
    </row>
    <row r="533" spans="1:20" x14ac:dyDescent="0.25">
      <c r="A533" t="s">
        <v>78</v>
      </c>
      <c r="B533" t="s">
        <v>79</v>
      </c>
      <c r="C533" t="s">
        <v>765</v>
      </c>
      <c r="D533" t="s">
        <v>766</v>
      </c>
      <c r="E533">
        <v>197.22</v>
      </c>
      <c r="F533">
        <v>196.25</v>
      </c>
      <c r="G533">
        <v>201.77</v>
      </c>
      <c r="H533">
        <v>196.25</v>
      </c>
      <c r="I533" s="1">
        <v>197.35</v>
      </c>
      <c r="J533">
        <v>3403441.94</v>
      </c>
      <c r="K533">
        <v>17168</v>
      </c>
      <c r="L533" t="s">
        <v>78</v>
      </c>
      <c r="M533" t="s">
        <v>17</v>
      </c>
      <c r="N533">
        <v>1038</v>
      </c>
      <c r="O533">
        <v>346.95</v>
      </c>
      <c r="P533">
        <v>152.6</v>
      </c>
      <c r="Q533" s="1">
        <v>129</v>
      </c>
      <c r="R533" s="1">
        <v>30.75</v>
      </c>
      <c r="S533" s="3">
        <v>3.6065673404880316E-2</v>
      </c>
      <c r="T533" s="3">
        <v>9.7355873010824823E-2</v>
      </c>
    </row>
    <row r="534" spans="1:20" x14ac:dyDescent="0.25">
      <c r="A534" t="s">
        <v>78</v>
      </c>
      <c r="B534" t="s">
        <v>287</v>
      </c>
      <c r="C534" t="s">
        <v>767</v>
      </c>
      <c r="D534" t="s">
        <v>768</v>
      </c>
      <c r="E534">
        <v>30.6</v>
      </c>
      <c r="F534">
        <v>31.25</v>
      </c>
      <c r="G534">
        <v>32.1</v>
      </c>
      <c r="H534">
        <v>31.25</v>
      </c>
      <c r="I534" s="1">
        <v>32.1</v>
      </c>
      <c r="J534">
        <v>639102.75</v>
      </c>
      <c r="K534">
        <v>19998</v>
      </c>
      <c r="L534" t="s">
        <v>78</v>
      </c>
      <c r="M534" t="s">
        <v>17</v>
      </c>
      <c r="N534">
        <v>6</v>
      </c>
      <c r="O534">
        <v>34.4</v>
      </c>
      <c r="P534">
        <v>17.95</v>
      </c>
      <c r="Q534" s="1">
        <v>6.35</v>
      </c>
      <c r="R534" s="1" t="str">
        <v/>
      </c>
      <c r="S534" s="3">
        <v>0.1445750523143694</v>
      </c>
      <c r="T534" s="3">
        <v>0</v>
      </c>
    </row>
    <row r="535" spans="1:20" x14ac:dyDescent="0.25">
      <c r="A535" t="s">
        <v>78</v>
      </c>
      <c r="B535" t="s">
        <v>79</v>
      </c>
      <c r="C535" t="s">
        <v>769</v>
      </c>
      <c r="D535" t="s">
        <v>770</v>
      </c>
      <c r="E535">
        <v>805.5</v>
      </c>
      <c r="F535">
        <v>806</v>
      </c>
      <c r="G535">
        <v>826.45</v>
      </c>
      <c r="H535">
        <v>800</v>
      </c>
      <c r="I535" s="1">
        <v>819.85</v>
      </c>
      <c r="J535">
        <v>40907413.399999999</v>
      </c>
      <c r="K535">
        <v>50651</v>
      </c>
      <c r="L535" t="s">
        <v>78</v>
      </c>
      <c r="M535" t="s">
        <v>17</v>
      </c>
      <c r="N535">
        <v>4717</v>
      </c>
      <c r="O535">
        <v>1080</v>
      </c>
      <c r="P535">
        <v>628</v>
      </c>
      <c r="Q535" s="1">
        <v>372.55</v>
      </c>
      <c r="R535" s="1">
        <v>194</v>
      </c>
      <c r="S535" s="3">
        <v>6.7937457369705134E-2</v>
      </c>
      <c r="T535" s="3">
        <v>7.4680810303721312E-2</v>
      </c>
    </row>
    <row r="536" spans="1:20" x14ac:dyDescent="0.25">
      <c r="A536" t="s">
        <v>78</v>
      </c>
      <c r="B536" t="s">
        <v>287</v>
      </c>
      <c r="C536" t="s">
        <v>6196</v>
      </c>
      <c r="D536" t="s">
        <v>6195</v>
      </c>
      <c r="E536">
        <v>340</v>
      </c>
      <c r="F536">
        <v>323</v>
      </c>
      <c r="G536">
        <v>337.95</v>
      </c>
      <c r="H536">
        <v>323</v>
      </c>
      <c r="I536" s="1">
        <v>332</v>
      </c>
      <c r="J536">
        <v>571737.5</v>
      </c>
      <c r="K536">
        <v>1750</v>
      </c>
      <c r="L536" t="s">
        <v>78</v>
      </c>
      <c r="M536" t="s">
        <v>17</v>
      </c>
      <c r="N536">
        <v>7</v>
      </c>
      <c r="O536">
        <v>639.9</v>
      </c>
      <c r="P536">
        <v>310</v>
      </c>
      <c r="Q536" s="1" t="str">
        <v/>
      </c>
      <c r="R536" s="1" t="str">
        <v/>
      </c>
      <c r="S536" s="3">
        <v>0</v>
      </c>
      <c r="T536" s="3">
        <v>0</v>
      </c>
    </row>
    <row r="537" spans="1:20" x14ac:dyDescent="0.25">
      <c r="A537" t="s">
        <v>78</v>
      </c>
      <c r="B537" t="s">
        <v>79</v>
      </c>
      <c r="C537" t="s">
        <v>771</v>
      </c>
      <c r="D537" t="s">
        <v>772</v>
      </c>
      <c r="E537">
        <v>57.7</v>
      </c>
      <c r="F537">
        <v>57.1</v>
      </c>
      <c r="G537">
        <v>58</v>
      </c>
      <c r="H537">
        <v>56.13</v>
      </c>
      <c r="I537" s="1">
        <v>56.53</v>
      </c>
      <c r="J537">
        <v>4241180.66</v>
      </c>
      <c r="K537">
        <v>74244</v>
      </c>
      <c r="L537" t="s">
        <v>78</v>
      </c>
      <c r="M537" t="s">
        <v>17</v>
      </c>
      <c r="N537">
        <v>1605</v>
      </c>
      <c r="O537">
        <v>74.5</v>
      </c>
      <c r="P537">
        <v>34.35</v>
      </c>
      <c r="Q537" s="1">
        <v>51.75</v>
      </c>
      <c r="R537" s="1">
        <v>13.3</v>
      </c>
      <c r="S537" s="3">
        <v>7.3894212296712336E-3</v>
      </c>
      <c r="T537" s="3">
        <v>7.4989344507561562E-2</v>
      </c>
    </row>
    <row r="538" spans="1:20" x14ac:dyDescent="0.25">
      <c r="A538" t="s">
        <v>78</v>
      </c>
      <c r="B538" t="s">
        <v>79</v>
      </c>
      <c r="C538" t="s">
        <v>775</v>
      </c>
      <c r="D538" t="s">
        <v>776</v>
      </c>
      <c r="E538">
        <v>1584</v>
      </c>
      <c r="F538">
        <v>1591.5</v>
      </c>
      <c r="G538">
        <v>1603</v>
      </c>
      <c r="H538">
        <v>1576.55</v>
      </c>
      <c r="I538" s="1">
        <v>1593.25</v>
      </c>
      <c r="J538">
        <v>711633286.5</v>
      </c>
      <c r="K538">
        <v>447469</v>
      </c>
      <c r="L538" t="s">
        <v>78</v>
      </c>
      <c r="M538" t="s">
        <v>17</v>
      </c>
      <c r="N538">
        <v>29695</v>
      </c>
      <c r="O538">
        <v>1688.45</v>
      </c>
      <c r="P538">
        <v>942</v>
      </c>
      <c r="Q538" s="1">
        <v>854.9</v>
      </c>
      <c r="R538" s="1">
        <v>369.1</v>
      </c>
      <c r="S538" s="3">
        <v>5.3248180392683642E-2</v>
      </c>
      <c r="T538" s="3">
        <v>7.5819972194146379E-2</v>
      </c>
    </row>
    <row r="539" spans="1:20" x14ac:dyDescent="0.25">
      <c r="A539" t="s">
        <v>78</v>
      </c>
      <c r="B539" t="s">
        <v>79</v>
      </c>
      <c r="C539" t="s">
        <v>6194</v>
      </c>
      <c r="D539" t="s">
        <v>6193</v>
      </c>
      <c r="E539">
        <v>833.35</v>
      </c>
      <c r="F539">
        <v>835</v>
      </c>
      <c r="G539">
        <v>894</v>
      </c>
      <c r="H539">
        <v>810</v>
      </c>
      <c r="I539" s="1">
        <v>874.4</v>
      </c>
      <c r="J539">
        <v>198042410.59999999</v>
      </c>
      <c r="K539">
        <v>228043</v>
      </c>
      <c r="L539" t="s">
        <v>78</v>
      </c>
      <c r="M539" t="s">
        <v>17</v>
      </c>
      <c r="N539">
        <v>15080</v>
      </c>
      <c r="O539">
        <v>929.05</v>
      </c>
      <c r="P539">
        <v>451.5</v>
      </c>
      <c r="Q539" s="1" t="str">
        <v/>
      </c>
      <c r="R539" s="1" t="str">
        <v/>
      </c>
      <c r="S539" s="3">
        <v>0</v>
      </c>
      <c r="T539" s="3">
        <v>0</v>
      </c>
    </row>
    <row r="540" spans="1:20" x14ac:dyDescent="0.25">
      <c r="A540" t="s">
        <v>78</v>
      </c>
      <c r="B540" t="s">
        <v>79</v>
      </c>
      <c r="C540" t="s">
        <v>3088</v>
      </c>
      <c r="D540" t="s">
        <v>6192</v>
      </c>
      <c r="E540">
        <v>6.72</v>
      </c>
      <c r="F540">
        <v>6.72</v>
      </c>
      <c r="G540">
        <v>6.84</v>
      </c>
      <c r="H540">
        <v>6.16</v>
      </c>
      <c r="I540" s="1">
        <v>6.57</v>
      </c>
      <c r="J540">
        <v>2773471.41</v>
      </c>
      <c r="K540">
        <v>421327</v>
      </c>
      <c r="L540" t="s">
        <v>78</v>
      </c>
      <c r="M540" t="s">
        <v>17</v>
      </c>
      <c r="N540">
        <v>828</v>
      </c>
      <c r="O540">
        <v>7.33</v>
      </c>
      <c r="P540">
        <v>3.9</v>
      </c>
      <c r="Q540" s="1">
        <v>2.85</v>
      </c>
      <c r="R540" s="1">
        <v>2.1</v>
      </c>
      <c r="S540" s="3">
        <v>7.2078802617560056E-2</v>
      </c>
      <c r="T540" s="3">
        <v>5.8653262034739528E-2</v>
      </c>
    </row>
    <row r="541" spans="1:20" x14ac:dyDescent="0.25">
      <c r="A541" t="s">
        <v>78</v>
      </c>
      <c r="B541" t="s">
        <v>287</v>
      </c>
      <c r="C541" t="s">
        <v>6191</v>
      </c>
      <c r="D541" t="s">
        <v>6190</v>
      </c>
      <c r="E541">
        <v>306.5</v>
      </c>
      <c r="F541">
        <v>315.89999999999998</v>
      </c>
      <c r="G541">
        <v>315.89999999999998</v>
      </c>
      <c r="H541">
        <v>315.85000000000002</v>
      </c>
      <c r="I541" s="1">
        <v>315.85000000000002</v>
      </c>
      <c r="J541">
        <v>379050</v>
      </c>
      <c r="K541">
        <v>1200</v>
      </c>
      <c r="L541" t="s">
        <v>78</v>
      </c>
      <c r="M541" t="s">
        <v>17</v>
      </c>
      <c r="N541">
        <v>2</v>
      </c>
      <c r="O541">
        <v>495</v>
      </c>
      <c r="P541">
        <v>247.05</v>
      </c>
      <c r="Q541" s="1" t="str">
        <v/>
      </c>
      <c r="R541" s="1" t="str">
        <v/>
      </c>
      <c r="S541" s="3">
        <v>0</v>
      </c>
      <c r="T541" s="3">
        <v>0</v>
      </c>
    </row>
    <row r="542" spans="1:20" x14ac:dyDescent="0.25">
      <c r="A542" t="s">
        <v>78</v>
      </c>
      <c r="B542" t="s">
        <v>79</v>
      </c>
      <c r="C542" t="s">
        <v>779</v>
      </c>
      <c r="D542" t="s">
        <v>780</v>
      </c>
      <c r="E542">
        <v>5340.8</v>
      </c>
      <c r="F542">
        <v>5370</v>
      </c>
      <c r="G542">
        <v>5372</v>
      </c>
      <c r="H542">
        <v>5178.75</v>
      </c>
      <c r="I542" s="1">
        <v>5201.45</v>
      </c>
      <c r="J542">
        <v>146818182.30000001</v>
      </c>
      <c r="K542">
        <v>28048</v>
      </c>
      <c r="L542" t="s">
        <v>78</v>
      </c>
      <c r="M542" t="s">
        <v>17</v>
      </c>
      <c r="N542">
        <v>6489</v>
      </c>
      <c r="O542">
        <v>5840</v>
      </c>
      <c r="P542">
        <v>3782.05</v>
      </c>
      <c r="Q542" s="1">
        <v>2071.6</v>
      </c>
      <c r="R542" s="1" t="str">
        <v/>
      </c>
      <c r="S542" s="3">
        <v>7.9737563421070412E-2</v>
      </c>
      <c r="T542" s="3">
        <v>0</v>
      </c>
    </row>
    <row r="543" spans="1:20" x14ac:dyDescent="0.25">
      <c r="A543" t="s">
        <v>78</v>
      </c>
      <c r="B543" t="s">
        <v>287</v>
      </c>
      <c r="C543" t="s">
        <v>6189</v>
      </c>
      <c r="D543" t="s">
        <v>6188</v>
      </c>
      <c r="E543">
        <v>134</v>
      </c>
      <c r="F543">
        <v>132.19999999999999</v>
      </c>
      <c r="G543">
        <v>133</v>
      </c>
      <c r="H543">
        <v>128.05000000000001</v>
      </c>
      <c r="I543" s="1">
        <v>129.80000000000001</v>
      </c>
      <c r="J543">
        <v>3666200</v>
      </c>
      <c r="K543">
        <v>28000</v>
      </c>
      <c r="L543" t="s">
        <v>78</v>
      </c>
      <c r="M543" t="s">
        <v>17</v>
      </c>
      <c r="N543">
        <v>28</v>
      </c>
      <c r="O543">
        <v>259</v>
      </c>
      <c r="P543">
        <v>106.65</v>
      </c>
      <c r="Q543" s="1" t="str">
        <v/>
      </c>
      <c r="R543" s="1" t="str">
        <v/>
      </c>
      <c r="S543" s="3">
        <v>0</v>
      </c>
      <c r="T543" s="3">
        <v>0</v>
      </c>
    </row>
    <row r="544" spans="1:20" x14ac:dyDescent="0.25">
      <c r="A544" t="s">
        <v>78</v>
      </c>
      <c r="B544" t="s">
        <v>79</v>
      </c>
      <c r="C544" t="s">
        <v>781</v>
      </c>
      <c r="D544" t="s">
        <v>6187</v>
      </c>
      <c r="E544">
        <v>756.5</v>
      </c>
      <c r="F544">
        <v>756</v>
      </c>
      <c r="G544">
        <v>764.2</v>
      </c>
      <c r="H544">
        <v>736.5</v>
      </c>
      <c r="I544" s="1">
        <v>749.95</v>
      </c>
      <c r="J544">
        <v>24095557.100000001</v>
      </c>
      <c r="K544">
        <v>32172</v>
      </c>
      <c r="L544" t="s">
        <v>78</v>
      </c>
      <c r="M544" t="s">
        <v>17</v>
      </c>
      <c r="N544">
        <v>2965</v>
      </c>
      <c r="O544">
        <v>915</v>
      </c>
      <c r="P544">
        <v>493.4</v>
      </c>
      <c r="Q544" s="1">
        <v>207.1</v>
      </c>
      <c r="R544" s="1">
        <v>73</v>
      </c>
      <c r="S544" s="3">
        <v>0.11319441186177692</v>
      </c>
      <c r="T544" s="3">
        <v>0.12346040173342354</v>
      </c>
    </row>
    <row r="545" spans="1:20" x14ac:dyDescent="0.25">
      <c r="A545" t="s">
        <v>78</v>
      </c>
      <c r="B545" t="s">
        <v>79</v>
      </c>
      <c r="C545" t="s">
        <v>786</v>
      </c>
      <c r="D545" t="s">
        <v>787</v>
      </c>
      <c r="E545">
        <v>1277.8</v>
      </c>
      <c r="F545">
        <v>1284.9000000000001</v>
      </c>
      <c r="G545">
        <v>1313.65</v>
      </c>
      <c r="H545">
        <v>1282</v>
      </c>
      <c r="I545" s="1">
        <v>1297.1500000000001</v>
      </c>
      <c r="J545">
        <v>579858699.85000002</v>
      </c>
      <c r="K545">
        <v>447357</v>
      </c>
      <c r="L545" t="s">
        <v>78</v>
      </c>
      <c r="M545" t="s">
        <v>17</v>
      </c>
      <c r="N545">
        <v>26765</v>
      </c>
      <c r="O545">
        <v>1796</v>
      </c>
      <c r="P545">
        <v>1190.0999999999999</v>
      </c>
      <c r="Q545" s="1">
        <v>715</v>
      </c>
      <c r="R545" s="1">
        <v>503</v>
      </c>
      <c r="S545" s="3">
        <v>5.0889404158509066E-2</v>
      </c>
      <c r="T545" s="3">
        <v>4.8479262375884513E-2</v>
      </c>
    </row>
    <row r="546" spans="1:20" x14ac:dyDescent="0.25">
      <c r="A546" t="s">
        <v>78</v>
      </c>
      <c r="B546" t="s">
        <v>79</v>
      </c>
      <c r="C546" t="s">
        <v>788</v>
      </c>
      <c r="D546" t="s">
        <v>789</v>
      </c>
      <c r="E546">
        <v>407.95</v>
      </c>
      <c r="F546">
        <v>405</v>
      </c>
      <c r="G546">
        <v>437</v>
      </c>
      <c r="H546">
        <v>404.5</v>
      </c>
      <c r="I546" s="1">
        <v>414.85</v>
      </c>
      <c r="J546">
        <v>86673041.049999997</v>
      </c>
      <c r="K546">
        <v>205643</v>
      </c>
      <c r="L546" t="s">
        <v>78</v>
      </c>
      <c r="M546" t="s">
        <v>17</v>
      </c>
      <c r="N546">
        <v>10416</v>
      </c>
      <c r="O546">
        <v>525</v>
      </c>
      <c r="P546">
        <v>211.35</v>
      </c>
      <c r="Q546" s="1">
        <v>134</v>
      </c>
      <c r="R546" s="1">
        <v>93.05</v>
      </c>
      <c r="S546" s="3">
        <v>9.8749923907205606E-2</v>
      </c>
      <c r="T546" s="3">
        <v>7.7558755366247345E-2</v>
      </c>
    </row>
    <row r="547" spans="1:20" x14ac:dyDescent="0.25">
      <c r="A547" t="s">
        <v>78</v>
      </c>
      <c r="B547" t="s">
        <v>79</v>
      </c>
      <c r="C547" t="s">
        <v>790</v>
      </c>
      <c r="D547" t="s">
        <v>791</v>
      </c>
      <c r="E547">
        <v>4460.6499999999996</v>
      </c>
      <c r="F547">
        <v>4431</v>
      </c>
      <c r="G547">
        <v>4447.95</v>
      </c>
      <c r="H547">
        <v>4289.5</v>
      </c>
      <c r="I547" s="1">
        <v>4304.3</v>
      </c>
      <c r="J547">
        <v>520410895.80000001</v>
      </c>
      <c r="K547">
        <v>119799</v>
      </c>
      <c r="L547" t="s">
        <v>78</v>
      </c>
      <c r="M547" t="s">
        <v>17</v>
      </c>
      <c r="N547">
        <v>34648</v>
      </c>
      <c r="O547">
        <v>5268.5</v>
      </c>
      <c r="P547">
        <v>3660.7</v>
      </c>
      <c r="Q547" s="1">
        <v>2739</v>
      </c>
      <c r="R547" s="1">
        <v>1343.55</v>
      </c>
      <c r="S547" s="3">
        <v>3.8386918763925193E-2</v>
      </c>
      <c r="T547" s="3">
        <v>5.9909022683300339E-2</v>
      </c>
    </row>
    <row r="548" spans="1:20" x14ac:dyDescent="0.25">
      <c r="A548" t="s">
        <v>78</v>
      </c>
      <c r="B548" t="s">
        <v>79</v>
      </c>
      <c r="C548" t="s">
        <v>792</v>
      </c>
      <c r="D548" t="s">
        <v>793</v>
      </c>
      <c r="E548">
        <v>431.25</v>
      </c>
      <c r="F548">
        <v>432.45</v>
      </c>
      <c r="G548">
        <v>432.55</v>
      </c>
      <c r="H548">
        <v>416</v>
      </c>
      <c r="I548" s="1">
        <v>431.75</v>
      </c>
      <c r="J548">
        <v>2045689506.75</v>
      </c>
      <c r="K548">
        <v>4799194</v>
      </c>
      <c r="L548" t="s">
        <v>78</v>
      </c>
      <c r="M548" t="s">
        <v>17</v>
      </c>
      <c r="N548">
        <v>68224</v>
      </c>
      <c r="O548">
        <v>441.95</v>
      </c>
      <c r="P548">
        <v>261.25</v>
      </c>
      <c r="Q548" s="1">
        <v>460.05</v>
      </c>
      <c r="R548" s="1">
        <v>228</v>
      </c>
      <c r="S548" s="3">
        <v>-5.2767340527000162E-3</v>
      </c>
      <c r="T548" s="3">
        <v>3.2422074951740987E-2</v>
      </c>
    </row>
    <row r="549" spans="1:20" x14ac:dyDescent="0.25">
      <c r="A549" t="s">
        <v>78</v>
      </c>
      <c r="B549" t="s">
        <v>79</v>
      </c>
      <c r="C549" t="s">
        <v>794</v>
      </c>
      <c r="D549" t="s">
        <v>795</v>
      </c>
      <c r="E549">
        <v>360.35</v>
      </c>
      <c r="F549">
        <v>361</v>
      </c>
      <c r="G549">
        <v>367.2</v>
      </c>
      <c r="H549">
        <v>360.35</v>
      </c>
      <c r="I549" s="1">
        <v>361.8</v>
      </c>
      <c r="J549">
        <v>112861383.75</v>
      </c>
      <c r="K549">
        <v>310009</v>
      </c>
      <c r="L549" t="s">
        <v>78</v>
      </c>
      <c r="M549" t="s">
        <v>17</v>
      </c>
      <c r="N549">
        <v>11275</v>
      </c>
      <c r="O549">
        <v>422.25</v>
      </c>
      <c r="P549">
        <v>282.5</v>
      </c>
      <c r="Q549" s="1">
        <v>340.6</v>
      </c>
      <c r="R549" s="1" t="str">
        <v/>
      </c>
      <c r="S549" s="3">
        <v>5.0445816665507515E-3</v>
      </c>
      <c r="T549" s="3">
        <v>0</v>
      </c>
    </row>
    <row r="550" spans="1:20" x14ac:dyDescent="0.25">
      <c r="A550" t="s">
        <v>78</v>
      </c>
      <c r="B550" t="s">
        <v>79</v>
      </c>
      <c r="C550" t="s">
        <v>6186</v>
      </c>
      <c r="D550" t="s">
        <v>6185</v>
      </c>
      <c r="E550">
        <v>478.3</v>
      </c>
      <c r="F550">
        <v>481.7</v>
      </c>
      <c r="G550">
        <v>481.7</v>
      </c>
      <c r="H550">
        <v>460.5</v>
      </c>
      <c r="I550" s="1">
        <v>462.35</v>
      </c>
      <c r="J550">
        <v>11770121.449999999</v>
      </c>
      <c r="K550">
        <v>25156</v>
      </c>
      <c r="L550" t="s">
        <v>78</v>
      </c>
      <c r="M550" t="s">
        <v>17</v>
      </c>
      <c r="N550">
        <v>3603</v>
      </c>
      <c r="O550">
        <v>517.70000000000005</v>
      </c>
      <c r="P550">
        <v>288.3</v>
      </c>
      <c r="Q550" s="1" t="str">
        <v/>
      </c>
      <c r="R550" s="1" t="str">
        <v/>
      </c>
      <c r="S550" s="3">
        <v>0</v>
      </c>
      <c r="T550" s="3">
        <v>0</v>
      </c>
    </row>
    <row r="551" spans="1:20" x14ac:dyDescent="0.25">
      <c r="A551" t="s">
        <v>78</v>
      </c>
      <c r="B551" t="s">
        <v>79</v>
      </c>
      <c r="C551" t="s">
        <v>798</v>
      </c>
      <c r="D551" t="s">
        <v>799</v>
      </c>
      <c r="E551">
        <v>159.57</v>
      </c>
      <c r="F551">
        <v>159.57</v>
      </c>
      <c r="G551">
        <v>161.22999999999999</v>
      </c>
      <c r="H551">
        <v>157.6</v>
      </c>
      <c r="I551" s="1">
        <v>158.86000000000001</v>
      </c>
      <c r="J551">
        <v>312818213.22000003</v>
      </c>
      <c r="K551">
        <v>1963715</v>
      </c>
      <c r="L551" t="s">
        <v>78</v>
      </c>
      <c r="M551" t="s">
        <v>17</v>
      </c>
      <c r="N551">
        <v>18296</v>
      </c>
      <c r="O551">
        <v>174.75</v>
      </c>
      <c r="P551">
        <v>120.05</v>
      </c>
      <c r="Q551" s="1">
        <v>157.5</v>
      </c>
      <c r="R551" s="1">
        <v>198.5</v>
      </c>
      <c r="S551" s="3">
        <v>7.1674448359893006E-4</v>
      </c>
      <c r="T551" s="3">
        <v>-1.1070456082182045E-2</v>
      </c>
    </row>
    <row r="552" spans="1:20" x14ac:dyDescent="0.25">
      <c r="A552" t="s">
        <v>78</v>
      </c>
      <c r="B552" t="s">
        <v>79</v>
      </c>
      <c r="C552" t="s">
        <v>800</v>
      </c>
      <c r="D552" t="s">
        <v>801</v>
      </c>
      <c r="E552">
        <v>3869.1</v>
      </c>
      <c r="F552">
        <v>3854</v>
      </c>
      <c r="G552">
        <v>3860</v>
      </c>
      <c r="H552">
        <v>3760</v>
      </c>
      <c r="I552" s="1">
        <v>3796.85</v>
      </c>
      <c r="J552">
        <v>3129005496.5</v>
      </c>
      <c r="K552">
        <v>826073</v>
      </c>
      <c r="L552" t="s">
        <v>78</v>
      </c>
      <c r="M552" t="s">
        <v>17</v>
      </c>
      <c r="N552">
        <v>81500</v>
      </c>
      <c r="O552">
        <v>4171.8999999999996</v>
      </c>
      <c r="P552">
        <v>1653.3</v>
      </c>
      <c r="Q552" s="1">
        <v>846.2</v>
      </c>
      <c r="R552" s="1">
        <v>725.75</v>
      </c>
      <c r="S552" s="3">
        <v>0.1332590647356009</v>
      </c>
      <c r="T552" s="3">
        <v>8.6205861105635551E-2</v>
      </c>
    </row>
    <row r="553" spans="1:20" x14ac:dyDescent="0.25">
      <c r="A553" t="s">
        <v>78</v>
      </c>
      <c r="B553" t="s">
        <v>79</v>
      </c>
      <c r="C553" t="s">
        <v>804</v>
      </c>
      <c r="D553" t="s">
        <v>805</v>
      </c>
      <c r="E553">
        <v>27.09</v>
      </c>
      <c r="F553">
        <v>27.87</v>
      </c>
      <c r="G553">
        <v>27.87</v>
      </c>
      <c r="H553">
        <v>25.6</v>
      </c>
      <c r="I553" s="1">
        <v>25.63</v>
      </c>
      <c r="J553">
        <v>1871436.91</v>
      </c>
      <c r="K553">
        <v>70486</v>
      </c>
      <c r="L553" t="s">
        <v>78</v>
      </c>
      <c r="M553" t="s">
        <v>17</v>
      </c>
      <c r="N553">
        <v>745</v>
      </c>
      <c r="O553">
        <v>44</v>
      </c>
      <c r="P553">
        <v>17.600000000000001</v>
      </c>
      <c r="Q553" s="1">
        <v>12.75</v>
      </c>
      <c r="R553" s="1" t="str">
        <v/>
      </c>
      <c r="S553" s="3">
        <v>5.9912144771094633E-2</v>
      </c>
      <c r="T553" s="3">
        <v>0</v>
      </c>
    </row>
    <row r="554" spans="1:20" x14ac:dyDescent="0.25">
      <c r="A554" t="s">
        <v>78</v>
      </c>
      <c r="B554" t="s">
        <v>79</v>
      </c>
      <c r="C554" t="s">
        <v>806</v>
      </c>
      <c r="D554" t="s">
        <v>807</v>
      </c>
      <c r="E554">
        <v>201.27</v>
      </c>
      <c r="F554">
        <v>201.01</v>
      </c>
      <c r="G554">
        <v>206.5</v>
      </c>
      <c r="H554">
        <v>191.67</v>
      </c>
      <c r="I554" s="1">
        <v>200.72</v>
      </c>
      <c r="J554">
        <v>177743718.06999999</v>
      </c>
      <c r="K554">
        <v>889543</v>
      </c>
      <c r="L554" t="s">
        <v>78</v>
      </c>
      <c r="M554" t="s">
        <v>17</v>
      </c>
      <c r="N554">
        <v>25909</v>
      </c>
      <c r="O554">
        <v>215.4</v>
      </c>
      <c r="P554">
        <v>129</v>
      </c>
      <c r="Q554" s="1">
        <v>190.75</v>
      </c>
      <c r="R554" s="1">
        <v>45.8</v>
      </c>
      <c r="S554" s="3">
        <v>4.2546279969115641E-3</v>
      </c>
      <c r="T554" s="3">
        <v>7.6635477403359298E-2</v>
      </c>
    </row>
    <row r="555" spans="1:20" x14ac:dyDescent="0.25">
      <c r="A555" t="s">
        <v>78</v>
      </c>
      <c r="B555" t="s">
        <v>79</v>
      </c>
      <c r="C555" t="s">
        <v>808</v>
      </c>
      <c r="D555" t="s">
        <v>809</v>
      </c>
      <c r="E555">
        <v>1842.05</v>
      </c>
      <c r="F555">
        <v>1840</v>
      </c>
      <c r="G555">
        <v>1859</v>
      </c>
      <c r="H555">
        <v>1802</v>
      </c>
      <c r="I555" s="1">
        <v>1849.85</v>
      </c>
      <c r="J555">
        <v>1219184148.45</v>
      </c>
      <c r="K555">
        <v>661739</v>
      </c>
      <c r="L555" t="s">
        <v>78</v>
      </c>
      <c r="M555" t="s">
        <v>17</v>
      </c>
      <c r="N555">
        <v>29792</v>
      </c>
      <c r="O555">
        <v>2458.9499999999998</v>
      </c>
      <c r="P555">
        <v>1420.1</v>
      </c>
      <c r="Q555" s="1">
        <v>1000</v>
      </c>
      <c r="R555" s="1">
        <v>468</v>
      </c>
      <c r="S555" s="3">
        <v>5.2595178004078313E-2</v>
      </c>
      <c r="T555" s="3">
        <v>7.1095485493888111E-2</v>
      </c>
    </row>
    <row r="556" spans="1:20" x14ac:dyDescent="0.25">
      <c r="A556" t="s">
        <v>78</v>
      </c>
      <c r="B556" t="s">
        <v>79</v>
      </c>
      <c r="C556" t="s">
        <v>6184</v>
      </c>
      <c r="D556" t="s">
        <v>6183</v>
      </c>
      <c r="E556">
        <v>782.15</v>
      </c>
      <c r="F556">
        <v>780</v>
      </c>
      <c r="G556">
        <v>799</v>
      </c>
      <c r="H556">
        <v>770.1</v>
      </c>
      <c r="I556" s="1">
        <v>791.5</v>
      </c>
      <c r="J556">
        <v>555710413.54999995</v>
      </c>
      <c r="K556">
        <v>706855</v>
      </c>
      <c r="L556" t="s">
        <v>78</v>
      </c>
      <c r="M556" t="s">
        <v>17</v>
      </c>
      <c r="N556">
        <v>26690</v>
      </c>
      <c r="O556">
        <v>883.8</v>
      </c>
      <c r="P556">
        <v>450.05</v>
      </c>
      <c r="Q556" s="1" t="str">
        <v/>
      </c>
      <c r="R556" s="1" t="str">
        <v/>
      </c>
      <c r="S556" s="3">
        <v>0</v>
      </c>
      <c r="T556" s="3">
        <v>0</v>
      </c>
    </row>
    <row r="557" spans="1:20" x14ac:dyDescent="0.25">
      <c r="A557" t="s">
        <v>78</v>
      </c>
      <c r="B557" t="s">
        <v>79</v>
      </c>
      <c r="C557" t="s">
        <v>812</v>
      </c>
      <c r="D557" t="s">
        <v>813</v>
      </c>
      <c r="E557">
        <v>1915.9</v>
      </c>
      <c r="F557">
        <v>1915.9</v>
      </c>
      <c r="G557">
        <v>1925.8</v>
      </c>
      <c r="H557">
        <v>1888</v>
      </c>
      <c r="I557" s="1">
        <v>1916.85</v>
      </c>
      <c r="J557">
        <v>615452107.35000002</v>
      </c>
      <c r="K557">
        <v>321681</v>
      </c>
      <c r="L557" t="s">
        <v>78</v>
      </c>
      <c r="M557" t="s">
        <v>17</v>
      </c>
      <c r="N557">
        <v>22435</v>
      </c>
      <c r="O557">
        <v>2430.6999999999998</v>
      </c>
      <c r="P557">
        <v>1651.4</v>
      </c>
      <c r="Q557" s="1">
        <v>2205.25</v>
      </c>
      <c r="R557" s="1">
        <v>986</v>
      </c>
      <c r="S557" s="3">
        <v>-1.161186147044535E-2</v>
      </c>
      <c r="T557" s="3">
        <v>3.3778879569392739E-2</v>
      </c>
    </row>
    <row r="558" spans="1:20" x14ac:dyDescent="0.25">
      <c r="A558" t="s">
        <v>78</v>
      </c>
      <c r="B558" t="s">
        <v>79</v>
      </c>
      <c r="C558" t="s">
        <v>814</v>
      </c>
      <c r="D558" t="s">
        <v>815</v>
      </c>
      <c r="E558">
        <v>411.6</v>
      </c>
      <c r="F558">
        <v>412.9</v>
      </c>
      <c r="G558">
        <v>413.2</v>
      </c>
      <c r="H558">
        <v>406.45</v>
      </c>
      <c r="I558" s="1">
        <v>409</v>
      </c>
      <c r="J558">
        <v>30176470.75</v>
      </c>
      <c r="K558">
        <v>73653</v>
      </c>
      <c r="L558" t="s">
        <v>78</v>
      </c>
      <c r="M558" t="s">
        <v>17</v>
      </c>
      <c r="N558">
        <v>6154</v>
      </c>
      <c r="O558">
        <v>490</v>
      </c>
      <c r="P558">
        <v>338.05</v>
      </c>
      <c r="Q558" s="1">
        <v>454</v>
      </c>
      <c r="R558" s="1">
        <v>97.85</v>
      </c>
      <c r="S558" s="3">
        <v>-8.6607809740560926E-3</v>
      </c>
      <c r="T558" s="3">
        <v>7.4091092750506515E-2</v>
      </c>
    </row>
    <row r="559" spans="1:20" x14ac:dyDescent="0.25">
      <c r="A559" t="s">
        <v>78</v>
      </c>
      <c r="B559" t="s">
        <v>79</v>
      </c>
      <c r="C559" t="s">
        <v>816</v>
      </c>
      <c r="D559" t="s">
        <v>817</v>
      </c>
      <c r="E559">
        <v>50.82</v>
      </c>
      <c r="F559">
        <v>51.39</v>
      </c>
      <c r="G559">
        <v>51.8</v>
      </c>
      <c r="H559">
        <v>50.2</v>
      </c>
      <c r="I559" s="1">
        <v>50.95</v>
      </c>
      <c r="J559">
        <v>2088562.39</v>
      </c>
      <c r="K559">
        <v>40998</v>
      </c>
      <c r="L559" t="s">
        <v>78</v>
      </c>
      <c r="M559" t="s">
        <v>17</v>
      </c>
      <c r="N559">
        <v>898</v>
      </c>
      <c r="O559">
        <v>68.599999999999994</v>
      </c>
      <c r="P559">
        <v>41.1</v>
      </c>
      <c r="Q559" s="1">
        <v>49.35</v>
      </c>
      <c r="R559" s="1">
        <v>30.3</v>
      </c>
      <c r="S559" s="3">
        <v>2.6624542017477104E-3</v>
      </c>
      <c r="T559" s="3">
        <v>2.6310796948722848E-2</v>
      </c>
    </row>
    <row r="560" spans="1:20" x14ac:dyDescent="0.25">
      <c r="A560" t="s">
        <v>78</v>
      </c>
      <c r="B560" t="s">
        <v>79</v>
      </c>
      <c r="C560" t="s">
        <v>3094</v>
      </c>
      <c r="D560" t="s">
        <v>3095</v>
      </c>
      <c r="E560">
        <v>7.47</v>
      </c>
      <c r="F560">
        <v>7.55</v>
      </c>
      <c r="G560">
        <v>7.57</v>
      </c>
      <c r="H560">
        <v>7.4</v>
      </c>
      <c r="I560" s="1">
        <v>7.41</v>
      </c>
      <c r="J560">
        <v>1719672.24</v>
      </c>
      <c r="K560">
        <v>230208</v>
      </c>
      <c r="L560" t="s">
        <v>78</v>
      </c>
      <c r="M560" t="s">
        <v>17</v>
      </c>
      <c r="N560">
        <v>465</v>
      </c>
      <c r="O560">
        <v>14.75</v>
      </c>
      <c r="P560">
        <v>7.25</v>
      </c>
      <c r="Q560" s="1">
        <v>181</v>
      </c>
      <c r="R560" s="1">
        <v>148</v>
      </c>
      <c r="S560" s="3">
        <v>-0.23379502168685062</v>
      </c>
      <c r="T560" s="3">
        <v>-0.13897961492721955</v>
      </c>
    </row>
    <row r="561" spans="1:20" x14ac:dyDescent="0.25">
      <c r="A561" t="s">
        <v>78</v>
      </c>
      <c r="B561" t="s">
        <v>79</v>
      </c>
      <c r="C561" t="s">
        <v>818</v>
      </c>
      <c r="D561" t="s">
        <v>819</v>
      </c>
      <c r="E561">
        <v>657.15</v>
      </c>
      <c r="F561">
        <v>653.5</v>
      </c>
      <c r="G561">
        <v>653.5</v>
      </c>
      <c r="H561">
        <v>634.1</v>
      </c>
      <c r="I561" s="1">
        <v>637.6</v>
      </c>
      <c r="J561">
        <v>72852039.150000006</v>
      </c>
      <c r="K561">
        <v>113311</v>
      </c>
      <c r="L561" t="s">
        <v>78</v>
      </c>
      <c r="M561" t="s">
        <v>17</v>
      </c>
      <c r="N561">
        <v>7483</v>
      </c>
      <c r="O561">
        <v>791.5</v>
      </c>
      <c r="P561">
        <v>450</v>
      </c>
      <c r="Q561" s="1">
        <v>240.45</v>
      </c>
      <c r="R561" s="1">
        <v>78.5</v>
      </c>
      <c r="S561" s="3">
        <v>8.466000667175777E-2</v>
      </c>
      <c r="T561" s="3">
        <v>0.11034776706602956</v>
      </c>
    </row>
    <row r="562" spans="1:20" x14ac:dyDescent="0.25">
      <c r="A562" t="s">
        <v>78</v>
      </c>
      <c r="B562" t="s">
        <v>79</v>
      </c>
      <c r="C562" t="s">
        <v>6182</v>
      </c>
      <c r="D562" t="s">
        <v>6181</v>
      </c>
      <c r="E562">
        <v>3304.4</v>
      </c>
      <c r="F562">
        <v>3306.95</v>
      </c>
      <c r="G562">
        <v>3319.85</v>
      </c>
      <c r="H562">
        <v>3135.25</v>
      </c>
      <c r="I562" s="1">
        <v>3152.45</v>
      </c>
      <c r="J562">
        <v>1106046156.2</v>
      </c>
      <c r="K562">
        <v>345290</v>
      </c>
      <c r="L562" t="s">
        <v>78</v>
      </c>
      <c r="M562" t="s">
        <v>17</v>
      </c>
      <c r="N562">
        <v>40895</v>
      </c>
      <c r="O562">
        <v>3655</v>
      </c>
      <c r="P562">
        <v>1735</v>
      </c>
      <c r="Q562" s="1" t="str">
        <v/>
      </c>
      <c r="R562" s="1" t="str">
        <v/>
      </c>
      <c r="S562" s="3">
        <v>0</v>
      </c>
      <c r="T562" s="3">
        <v>0</v>
      </c>
    </row>
    <row r="563" spans="1:20" x14ac:dyDescent="0.25">
      <c r="A563" t="s">
        <v>78</v>
      </c>
      <c r="B563" t="s">
        <v>79</v>
      </c>
      <c r="C563" t="s">
        <v>6180</v>
      </c>
      <c r="D563" t="s">
        <v>6179</v>
      </c>
      <c r="E563">
        <v>8.57</v>
      </c>
      <c r="F563">
        <v>8.56</v>
      </c>
      <c r="G563">
        <v>8.73</v>
      </c>
      <c r="H563">
        <v>8.3800000000000008</v>
      </c>
      <c r="I563" s="1">
        <v>8.4499999999999993</v>
      </c>
      <c r="J563">
        <v>70726239.719999999</v>
      </c>
      <c r="K563">
        <v>8298822</v>
      </c>
      <c r="L563" t="s">
        <v>78</v>
      </c>
      <c r="M563" t="s">
        <v>17</v>
      </c>
      <c r="N563">
        <v>9924</v>
      </c>
      <c r="O563">
        <v>115</v>
      </c>
      <c r="P563">
        <v>8.26</v>
      </c>
      <c r="Q563" s="1" t="str">
        <v/>
      </c>
      <c r="R563" s="1" t="str">
        <v/>
      </c>
      <c r="S563" s="3">
        <v>0</v>
      </c>
      <c r="T563" s="3">
        <v>0</v>
      </c>
    </row>
    <row r="564" spans="1:20" x14ac:dyDescent="0.25">
      <c r="A564" t="s">
        <v>78</v>
      </c>
      <c r="B564" t="s">
        <v>79</v>
      </c>
      <c r="C564" t="s">
        <v>820</v>
      </c>
      <c r="D564" t="s">
        <v>821</v>
      </c>
      <c r="E564">
        <v>368.25</v>
      </c>
      <c r="F564">
        <v>368.25</v>
      </c>
      <c r="G564">
        <v>383.45</v>
      </c>
      <c r="H564">
        <v>360</v>
      </c>
      <c r="I564" s="1">
        <v>362.75</v>
      </c>
      <c r="J564">
        <v>329015710.25</v>
      </c>
      <c r="K564">
        <v>884484</v>
      </c>
      <c r="L564" t="s">
        <v>78</v>
      </c>
      <c r="M564" t="s">
        <v>17</v>
      </c>
      <c r="N564">
        <v>17554</v>
      </c>
      <c r="O564">
        <v>403.9</v>
      </c>
      <c r="P564">
        <v>183</v>
      </c>
      <c r="Q564" s="1">
        <v>110.1</v>
      </c>
      <c r="R564" s="1">
        <v>157.55000000000001</v>
      </c>
      <c r="S564" s="3">
        <v>0.10446428118556716</v>
      </c>
      <c r="T564" s="3">
        <v>4.2556338721545073E-2</v>
      </c>
    </row>
    <row r="565" spans="1:20" x14ac:dyDescent="0.25">
      <c r="A565" t="s">
        <v>78</v>
      </c>
      <c r="B565" t="s">
        <v>79</v>
      </c>
      <c r="C565" t="s">
        <v>822</v>
      </c>
      <c r="D565" t="s">
        <v>823</v>
      </c>
      <c r="E565">
        <v>531.85</v>
      </c>
      <c r="F565">
        <v>535.85</v>
      </c>
      <c r="G565">
        <v>542</v>
      </c>
      <c r="H565">
        <v>520.20000000000005</v>
      </c>
      <c r="I565" s="1">
        <v>523.20000000000005</v>
      </c>
      <c r="J565">
        <v>182522326.19999999</v>
      </c>
      <c r="K565">
        <v>345567</v>
      </c>
      <c r="L565" t="s">
        <v>78</v>
      </c>
      <c r="M565" t="s">
        <v>17</v>
      </c>
      <c r="N565">
        <v>11804</v>
      </c>
      <c r="O565">
        <v>564</v>
      </c>
      <c r="P565">
        <v>237.1</v>
      </c>
      <c r="Q565" s="1">
        <v>569</v>
      </c>
      <c r="R565" s="1">
        <v>403</v>
      </c>
      <c r="S565" s="3">
        <v>-6.9686583351139531E-3</v>
      </c>
      <c r="T565" s="3">
        <v>1.3129661284643213E-2</v>
      </c>
    </row>
    <row r="566" spans="1:20" x14ac:dyDescent="0.25">
      <c r="A566" t="s">
        <v>78</v>
      </c>
      <c r="B566" t="s">
        <v>79</v>
      </c>
      <c r="C566" t="s">
        <v>6178</v>
      </c>
      <c r="D566" t="s">
        <v>6177</v>
      </c>
      <c r="E566">
        <v>138.97999999999999</v>
      </c>
      <c r="F566">
        <v>139.69999999999999</v>
      </c>
      <c r="G566">
        <v>140.18</v>
      </c>
      <c r="H566">
        <v>135.91</v>
      </c>
      <c r="I566" s="1">
        <v>137.41</v>
      </c>
      <c r="J566">
        <v>17315345.050000001</v>
      </c>
      <c r="K566">
        <v>125573</v>
      </c>
      <c r="L566" t="s">
        <v>78</v>
      </c>
      <c r="M566" t="s">
        <v>17</v>
      </c>
      <c r="N566">
        <v>3338</v>
      </c>
      <c r="O566">
        <v>188.5</v>
      </c>
      <c r="P566">
        <v>112.4</v>
      </c>
      <c r="Q566" s="1" t="str">
        <v/>
      </c>
      <c r="R566" s="1" t="str">
        <v/>
      </c>
      <c r="S566" s="3">
        <v>0</v>
      </c>
      <c r="T566" s="3">
        <v>0</v>
      </c>
    </row>
    <row r="567" spans="1:20" x14ac:dyDescent="0.25">
      <c r="A567" t="s">
        <v>78</v>
      </c>
      <c r="B567" t="s">
        <v>79</v>
      </c>
      <c r="C567" t="s">
        <v>824</v>
      </c>
      <c r="D567" t="s">
        <v>6176</v>
      </c>
      <c r="E567">
        <v>202.76</v>
      </c>
      <c r="F567">
        <v>203</v>
      </c>
      <c r="G567">
        <v>211.7</v>
      </c>
      <c r="H567">
        <v>201.95</v>
      </c>
      <c r="I567" s="1">
        <v>207.07</v>
      </c>
      <c r="J567">
        <v>809765382.69000006</v>
      </c>
      <c r="K567">
        <v>3915439</v>
      </c>
      <c r="L567" t="s">
        <v>78</v>
      </c>
      <c r="M567" t="s">
        <v>17</v>
      </c>
      <c r="N567">
        <v>34695</v>
      </c>
      <c r="O567">
        <v>284.89999999999998</v>
      </c>
      <c r="P567">
        <v>72.95</v>
      </c>
      <c r="Q567" s="1">
        <v>28.95</v>
      </c>
      <c r="R567" s="1">
        <v>9.8000000000000007</v>
      </c>
      <c r="S567" s="3">
        <v>0.17816391769323414</v>
      </c>
      <c r="T567" s="3">
        <v>0.16468444932741333</v>
      </c>
    </row>
    <row r="568" spans="1:20" x14ac:dyDescent="0.25">
      <c r="A568" t="s">
        <v>78</v>
      </c>
      <c r="B568" t="s">
        <v>79</v>
      </c>
      <c r="C568" t="s">
        <v>3096</v>
      </c>
      <c r="D568" t="s">
        <v>3097</v>
      </c>
      <c r="E568">
        <v>46.1</v>
      </c>
      <c r="F568">
        <v>47.59</v>
      </c>
      <c r="G568">
        <v>47.59</v>
      </c>
      <c r="H568">
        <v>44.5</v>
      </c>
      <c r="I568" s="1">
        <v>45.27</v>
      </c>
      <c r="J568">
        <v>966504.07</v>
      </c>
      <c r="K568">
        <v>21206</v>
      </c>
      <c r="L568" t="s">
        <v>78</v>
      </c>
      <c r="M568" t="s">
        <v>17</v>
      </c>
      <c r="N568">
        <v>573</v>
      </c>
      <c r="O568">
        <v>67.75</v>
      </c>
      <c r="P568">
        <v>23.3</v>
      </c>
      <c r="Q568" s="1">
        <v>14.6</v>
      </c>
      <c r="R568" s="1">
        <v>11.5</v>
      </c>
      <c r="S568" s="3">
        <v>9.8891472485266751E-2</v>
      </c>
      <c r="T568" s="3">
        <v>7.0876374108914453E-2</v>
      </c>
    </row>
    <row r="569" spans="1:20" x14ac:dyDescent="0.25">
      <c r="A569" t="s">
        <v>78</v>
      </c>
      <c r="B569" t="s">
        <v>79</v>
      </c>
      <c r="C569" t="s">
        <v>826</v>
      </c>
      <c r="D569" t="s">
        <v>827</v>
      </c>
      <c r="E569">
        <v>167.95</v>
      </c>
      <c r="F569">
        <v>167.95</v>
      </c>
      <c r="G569">
        <v>169.04</v>
      </c>
      <c r="H569">
        <v>163</v>
      </c>
      <c r="I569" s="1">
        <v>164.07</v>
      </c>
      <c r="J569">
        <v>55948024.609999999</v>
      </c>
      <c r="K569">
        <v>339336</v>
      </c>
      <c r="L569" t="s">
        <v>78</v>
      </c>
      <c r="M569" t="s">
        <v>17</v>
      </c>
      <c r="N569">
        <v>7534</v>
      </c>
      <c r="O569">
        <v>283</v>
      </c>
      <c r="P569">
        <v>133</v>
      </c>
      <c r="Q569" s="1">
        <v>210.1</v>
      </c>
      <c r="R569" s="1">
        <v>205</v>
      </c>
      <c r="S569" s="3">
        <v>-2.0396652617379885E-2</v>
      </c>
      <c r="T569" s="3">
        <v>-1.1068035724138059E-2</v>
      </c>
    </row>
    <row r="570" spans="1:20" x14ac:dyDescent="0.25">
      <c r="A570" t="s">
        <v>78</v>
      </c>
      <c r="B570" t="s">
        <v>79</v>
      </c>
      <c r="C570" t="s">
        <v>828</v>
      </c>
      <c r="D570" t="s">
        <v>829</v>
      </c>
      <c r="E570">
        <v>134.66</v>
      </c>
      <c r="F570">
        <v>135</v>
      </c>
      <c r="G570">
        <v>138.18</v>
      </c>
      <c r="H570">
        <v>134.19</v>
      </c>
      <c r="I570" s="1">
        <v>135.46</v>
      </c>
      <c r="J570">
        <v>212840251.65000001</v>
      </c>
      <c r="K570">
        <v>1566631</v>
      </c>
      <c r="L570" t="s">
        <v>78</v>
      </c>
      <c r="M570" t="s">
        <v>17</v>
      </c>
      <c r="N570">
        <v>11874</v>
      </c>
      <c r="O570">
        <v>163.44999999999999</v>
      </c>
      <c r="P570">
        <v>109.9</v>
      </c>
      <c r="Q570" s="1">
        <v>106.15</v>
      </c>
      <c r="R570" s="1">
        <v>192.6</v>
      </c>
      <c r="S570" s="3">
        <v>2.0526428436880018E-2</v>
      </c>
      <c r="T570" s="3">
        <v>-1.7433564202104512E-2</v>
      </c>
    </row>
    <row r="571" spans="1:20" x14ac:dyDescent="0.25">
      <c r="A571" t="s">
        <v>78</v>
      </c>
      <c r="B571" t="s">
        <v>79</v>
      </c>
      <c r="C571" t="s">
        <v>830</v>
      </c>
      <c r="D571" t="s">
        <v>831</v>
      </c>
      <c r="E571">
        <v>399.52</v>
      </c>
      <c r="F571">
        <v>419.49</v>
      </c>
      <c r="G571">
        <v>419.49</v>
      </c>
      <c r="H571">
        <v>379.54</v>
      </c>
      <c r="I571" s="1">
        <v>379.54</v>
      </c>
      <c r="J571">
        <v>51633534.109999999</v>
      </c>
      <c r="K571">
        <v>131854</v>
      </c>
      <c r="L571" t="s">
        <v>78</v>
      </c>
      <c r="M571" t="s">
        <v>17</v>
      </c>
      <c r="N571">
        <v>2873</v>
      </c>
      <c r="O571">
        <v>419.49</v>
      </c>
      <c r="P571">
        <v>142.05000000000001</v>
      </c>
      <c r="Q571" s="1">
        <v>54.4</v>
      </c>
      <c r="R571" s="1" t="str">
        <v/>
      </c>
      <c r="S571" s="3">
        <v>0.1757226579722071</v>
      </c>
      <c r="T571" s="3">
        <v>0</v>
      </c>
    </row>
    <row r="572" spans="1:20" x14ac:dyDescent="0.25">
      <c r="A572" t="s">
        <v>78</v>
      </c>
      <c r="B572" t="s">
        <v>79</v>
      </c>
      <c r="C572" t="s">
        <v>3098</v>
      </c>
      <c r="D572" t="s">
        <v>6175</v>
      </c>
      <c r="E572">
        <v>93.23</v>
      </c>
      <c r="F572">
        <v>93</v>
      </c>
      <c r="G572">
        <v>106.1</v>
      </c>
      <c r="H572">
        <v>92.12</v>
      </c>
      <c r="I572" s="1">
        <v>99.92</v>
      </c>
      <c r="J572">
        <v>155130552.19</v>
      </c>
      <c r="K572">
        <v>1517850</v>
      </c>
      <c r="L572" t="s">
        <v>78</v>
      </c>
      <c r="M572" t="s">
        <v>17</v>
      </c>
      <c r="N572">
        <v>14056</v>
      </c>
      <c r="O572">
        <v>106.1</v>
      </c>
      <c r="P572">
        <v>66.7</v>
      </c>
      <c r="Q572" s="1">
        <v>40.549999999999997</v>
      </c>
      <c r="R572" s="1">
        <v>24.05</v>
      </c>
      <c r="S572" s="3">
        <v>7.8048907760792874E-2</v>
      </c>
      <c r="T572" s="3">
        <v>7.3766697353282007E-2</v>
      </c>
    </row>
    <row r="573" spans="1:20" x14ac:dyDescent="0.25">
      <c r="A573" t="s">
        <v>78</v>
      </c>
      <c r="B573" t="s">
        <v>79</v>
      </c>
      <c r="C573" t="s">
        <v>832</v>
      </c>
      <c r="D573" t="s">
        <v>833</v>
      </c>
      <c r="E573">
        <v>6.27</v>
      </c>
      <c r="F573">
        <v>6.27</v>
      </c>
      <c r="G573">
        <v>6.55</v>
      </c>
      <c r="H573">
        <v>6.01</v>
      </c>
      <c r="I573" s="1">
        <v>6.16</v>
      </c>
      <c r="J573">
        <v>222351.82</v>
      </c>
      <c r="K573">
        <v>35909</v>
      </c>
      <c r="L573" t="s">
        <v>78</v>
      </c>
      <c r="M573" t="s">
        <v>17</v>
      </c>
      <c r="N573">
        <v>188</v>
      </c>
      <c r="O573">
        <v>7.45</v>
      </c>
      <c r="P573">
        <v>4.0999999999999996</v>
      </c>
      <c r="Q573" s="1">
        <v>3.75</v>
      </c>
      <c r="R573" s="1" t="str">
        <v/>
      </c>
      <c r="S573" s="3">
        <v>4.2227321253081929E-2</v>
      </c>
      <c r="T573" s="3">
        <v>0</v>
      </c>
    </row>
    <row r="574" spans="1:20" x14ac:dyDescent="0.25">
      <c r="A574" t="s">
        <v>78</v>
      </c>
      <c r="B574" t="s">
        <v>79</v>
      </c>
      <c r="C574" t="s">
        <v>836</v>
      </c>
      <c r="D574" t="s">
        <v>837</v>
      </c>
      <c r="E574">
        <v>1007.35</v>
      </c>
      <c r="F574">
        <v>1007.35</v>
      </c>
      <c r="G574">
        <v>1018</v>
      </c>
      <c r="H574">
        <v>997.1</v>
      </c>
      <c r="I574" s="1">
        <v>1005.6</v>
      </c>
      <c r="J574">
        <v>45490922.200000003</v>
      </c>
      <c r="K574">
        <v>45196</v>
      </c>
      <c r="L574" t="s">
        <v>78</v>
      </c>
      <c r="M574" t="s">
        <v>17</v>
      </c>
      <c r="N574">
        <v>7742</v>
      </c>
      <c r="O574">
        <v>1175</v>
      </c>
      <c r="P574">
        <v>826.3</v>
      </c>
      <c r="Q574" s="1">
        <v>1020.2</v>
      </c>
      <c r="R574" s="1">
        <v>496.25</v>
      </c>
      <c r="S574" s="3">
        <v>-1.2004712083062419E-3</v>
      </c>
      <c r="T574" s="3">
        <v>3.5923865540346434E-2</v>
      </c>
    </row>
    <row r="575" spans="1:20" x14ac:dyDescent="0.25">
      <c r="A575" t="s">
        <v>78</v>
      </c>
      <c r="B575" t="s">
        <v>79</v>
      </c>
      <c r="C575" t="s">
        <v>6174</v>
      </c>
      <c r="D575" t="s">
        <v>6173</v>
      </c>
      <c r="E575">
        <v>224.91</v>
      </c>
      <c r="F575">
        <v>226</v>
      </c>
      <c r="G575">
        <v>226.6</v>
      </c>
      <c r="H575">
        <v>220.55</v>
      </c>
      <c r="I575" s="1">
        <v>221.2</v>
      </c>
      <c r="J575">
        <v>31290042.82</v>
      </c>
      <c r="K575">
        <v>140623</v>
      </c>
      <c r="L575" t="s">
        <v>78</v>
      </c>
      <c r="M575" t="s">
        <v>17</v>
      </c>
      <c r="N575">
        <v>4922</v>
      </c>
      <c r="O575">
        <v>242.5</v>
      </c>
      <c r="P575">
        <v>87.5</v>
      </c>
      <c r="Q575" s="1" t="str">
        <v/>
      </c>
      <c r="R575" s="1" t="str">
        <v/>
      </c>
      <c r="S575" s="3">
        <v>0</v>
      </c>
      <c r="T575" s="3">
        <v>0</v>
      </c>
    </row>
    <row r="576" spans="1:20" x14ac:dyDescent="0.25">
      <c r="A576" t="s">
        <v>78</v>
      </c>
      <c r="B576" t="s">
        <v>79</v>
      </c>
      <c r="C576" t="s">
        <v>838</v>
      </c>
      <c r="D576" t="s">
        <v>839</v>
      </c>
      <c r="E576">
        <v>53.9</v>
      </c>
      <c r="F576">
        <v>54</v>
      </c>
      <c r="G576">
        <v>54.09</v>
      </c>
      <c r="H576">
        <v>52.12</v>
      </c>
      <c r="I576" s="1">
        <v>52.46</v>
      </c>
      <c r="J576">
        <v>86366316.5</v>
      </c>
      <c r="K576">
        <v>1636632</v>
      </c>
      <c r="L576" t="s">
        <v>78</v>
      </c>
      <c r="M576" t="s">
        <v>17</v>
      </c>
      <c r="N576">
        <v>9252</v>
      </c>
      <c r="O576">
        <v>72.400000000000006</v>
      </c>
      <c r="P576">
        <v>43.2</v>
      </c>
      <c r="Q576" s="1">
        <v>39.450000000000003</v>
      </c>
      <c r="R576" s="1">
        <v>15.05</v>
      </c>
      <c r="S576" s="3">
        <v>2.4035721816788369E-2</v>
      </c>
      <c r="T576" s="3">
        <v>6.4387437553949045E-2</v>
      </c>
    </row>
    <row r="577" spans="1:20" x14ac:dyDescent="0.25">
      <c r="A577" t="s">
        <v>78</v>
      </c>
      <c r="B577" t="s">
        <v>79</v>
      </c>
      <c r="C577" t="s">
        <v>840</v>
      </c>
      <c r="D577" t="s">
        <v>841</v>
      </c>
      <c r="E577">
        <v>664.9</v>
      </c>
      <c r="F577">
        <v>680</v>
      </c>
      <c r="G577">
        <v>680</v>
      </c>
      <c r="H577">
        <v>651.5</v>
      </c>
      <c r="I577" s="1">
        <v>660.1</v>
      </c>
      <c r="J577">
        <v>8109570.8499999996</v>
      </c>
      <c r="K577">
        <v>12256</v>
      </c>
      <c r="L577" t="s">
        <v>78</v>
      </c>
      <c r="M577" t="s">
        <v>17</v>
      </c>
      <c r="N577">
        <v>1452</v>
      </c>
      <c r="O577">
        <v>735</v>
      </c>
      <c r="P577">
        <v>469.6</v>
      </c>
      <c r="Q577" s="1">
        <v>660</v>
      </c>
      <c r="R577" s="1">
        <v>363</v>
      </c>
      <c r="S577" s="3">
        <v>1.2625385887421459E-5</v>
      </c>
      <c r="T577" s="3">
        <v>3.0334030318144078E-2</v>
      </c>
    </row>
    <row r="578" spans="1:20" x14ac:dyDescent="0.25">
      <c r="A578" t="s">
        <v>78</v>
      </c>
      <c r="B578" t="s">
        <v>79</v>
      </c>
      <c r="C578" t="s">
        <v>6172</v>
      </c>
      <c r="D578" t="s">
        <v>6171</v>
      </c>
      <c r="E578">
        <v>370</v>
      </c>
      <c r="F578">
        <v>373.9</v>
      </c>
      <c r="G578">
        <v>377</v>
      </c>
      <c r="H578">
        <v>357.4</v>
      </c>
      <c r="I578" s="1">
        <v>360.2</v>
      </c>
      <c r="J578">
        <v>221210964.5</v>
      </c>
      <c r="K578">
        <v>606412</v>
      </c>
      <c r="L578" t="s">
        <v>78</v>
      </c>
      <c r="M578" t="s">
        <v>17</v>
      </c>
      <c r="N578">
        <v>18808</v>
      </c>
      <c r="O578">
        <v>400</v>
      </c>
      <c r="P578">
        <v>310</v>
      </c>
      <c r="Q578" s="1" t="str">
        <v/>
      </c>
      <c r="R578" s="1" t="str">
        <v/>
      </c>
      <c r="S578" s="3">
        <v>0</v>
      </c>
      <c r="T578" s="3">
        <v>0</v>
      </c>
    </row>
    <row r="579" spans="1:20" x14ac:dyDescent="0.25">
      <c r="A579" t="s">
        <v>78</v>
      </c>
      <c r="B579" t="s">
        <v>287</v>
      </c>
      <c r="C579" t="s">
        <v>6170</v>
      </c>
      <c r="D579" t="s">
        <v>6169</v>
      </c>
      <c r="E579">
        <v>101.95</v>
      </c>
      <c r="F579">
        <v>100.85</v>
      </c>
      <c r="G579">
        <v>101.4</v>
      </c>
      <c r="H579">
        <v>99.35</v>
      </c>
      <c r="I579" s="1">
        <v>100.75</v>
      </c>
      <c r="J579">
        <v>2210550</v>
      </c>
      <c r="K579">
        <v>22000</v>
      </c>
      <c r="L579" t="s">
        <v>78</v>
      </c>
      <c r="M579" t="s">
        <v>17</v>
      </c>
      <c r="N579">
        <v>20</v>
      </c>
      <c r="O579">
        <v>210</v>
      </c>
      <c r="P579">
        <v>82.5</v>
      </c>
      <c r="Q579" s="1" t="str">
        <v/>
      </c>
      <c r="R579" s="1" t="str">
        <v/>
      </c>
      <c r="S579" s="3">
        <v>0</v>
      </c>
      <c r="T579" s="3">
        <v>0</v>
      </c>
    </row>
    <row r="580" spans="1:20" x14ac:dyDescent="0.25">
      <c r="A580" t="s">
        <v>78</v>
      </c>
      <c r="B580" t="s">
        <v>79</v>
      </c>
      <c r="C580" t="s">
        <v>3100</v>
      </c>
      <c r="D580" t="s">
        <v>6168</v>
      </c>
      <c r="E580">
        <v>769.5</v>
      </c>
      <c r="F580">
        <v>772</v>
      </c>
      <c r="G580">
        <v>773.3</v>
      </c>
      <c r="H580">
        <v>745</v>
      </c>
      <c r="I580" s="1">
        <v>756.25</v>
      </c>
      <c r="J580">
        <v>655391204</v>
      </c>
      <c r="K580">
        <v>863908</v>
      </c>
      <c r="L580" t="s">
        <v>78</v>
      </c>
      <c r="M580" t="s">
        <v>17</v>
      </c>
      <c r="N580">
        <v>32961</v>
      </c>
      <c r="O580">
        <v>804</v>
      </c>
      <c r="P580">
        <v>450</v>
      </c>
      <c r="Q580" s="1">
        <v>405.55</v>
      </c>
      <c r="R580" s="1">
        <v>86</v>
      </c>
      <c r="S580" s="3">
        <v>5.3299185843687313E-2</v>
      </c>
      <c r="T580" s="3">
        <v>0.11476286588025686</v>
      </c>
    </row>
    <row r="581" spans="1:20" x14ac:dyDescent="0.25">
      <c r="A581" t="s">
        <v>78</v>
      </c>
      <c r="B581" t="s">
        <v>79</v>
      </c>
      <c r="C581" t="s">
        <v>842</v>
      </c>
      <c r="D581" t="s">
        <v>843</v>
      </c>
      <c r="E581">
        <v>2799.1</v>
      </c>
      <c r="F581">
        <v>2775.05</v>
      </c>
      <c r="G581">
        <v>2842</v>
      </c>
      <c r="H581">
        <v>2775.05</v>
      </c>
      <c r="I581" s="1">
        <v>2830.3</v>
      </c>
      <c r="J581">
        <v>1426723954.55</v>
      </c>
      <c r="K581">
        <v>505315</v>
      </c>
      <c r="L581" t="s">
        <v>78</v>
      </c>
      <c r="M581" t="s">
        <v>17</v>
      </c>
      <c r="N581">
        <v>34633</v>
      </c>
      <c r="O581">
        <v>2842</v>
      </c>
      <c r="P581">
        <v>1921.85</v>
      </c>
      <c r="Q581" s="1">
        <v>1938.45</v>
      </c>
      <c r="R581" s="1">
        <v>300.5</v>
      </c>
      <c r="S581" s="3">
        <v>3.2043862973275328E-2</v>
      </c>
      <c r="T581" s="3">
        <v>0.11859462914592833</v>
      </c>
    </row>
    <row r="582" spans="1:20" x14ac:dyDescent="0.25">
      <c r="A582" t="s">
        <v>78</v>
      </c>
      <c r="B582" t="s">
        <v>79</v>
      </c>
      <c r="C582" t="s">
        <v>844</v>
      </c>
      <c r="D582" t="s">
        <v>845</v>
      </c>
      <c r="E582">
        <v>185.65</v>
      </c>
      <c r="F582">
        <v>186</v>
      </c>
      <c r="G582">
        <v>188</v>
      </c>
      <c r="H582">
        <v>181.61</v>
      </c>
      <c r="I582" s="1">
        <v>182.28</v>
      </c>
      <c r="J582">
        <v>5610269.4699999997</v>
      </c>
      <c r="K582">
        <v>30436</v>
      </c>
      <c r="L582" t="s">
        <v>78</v>
      </c>
      <c r="M582" t="s">
        <v>17</v>
      </c>
      <c r="N582">
        <v>1938</v>
      </c>
      <c r="O582">
        <v>237</v>
      </c>
      <c r="P582">
        <v>135.30000000000001</v>
      </c>
      <c r="Q582" s="1">
        <v>54.65</v>
      </c>
      <c r="R582" s="1" t="str">
        <v/>
      </c>
      <c r="S582" s="3">
        <v>0.10559416460312754</v>
      </c>
      <c r="T582" s="3">
        <v>0</v>
      </c>
    </row>
    <row r="583" spans="1:20" x14ac:dyDescent="0.25">
      <c r="A583" t="s">
        <v>78</v>
      </c>
      <c r="B583" t="s">
        <v>79</v>
      </c>
      <c r="C583" t="s">
        <v>846</v>
      </c>
      <c r="D583" t="s">
        <v>847</v>
      </c>
      <c r="E583">
        <v>323.3</v>
      </c>
      <c r="F583">
        <v>323</v>
      </c>
      <c r="G583">
        <v>324.55</v>
      </c>
      <c r="H583">
        <v>307.64999999999998</v>
      </c>
      <c r="I583" s="1">
        <v>309.25</v>
      </c>
      <c r="J583">
        <v>63970606.399999999</v>
      </c>
      <c r="K583">
        <v>203873</v>
      </c>
      <c r="L583" t="s">
        <v>78</v>
      </c>
      <c r="M583" t="s">
        <v>17</v>
      </c>
      <c r="N583">
        <v>11979</v>
      </c>
      <c r="O583">
        <v>338.4</v>
      </c>
      <c r="P583">
        <v>209.8</v>
      </c>
      <c r="Q583" s="1">
        <v>95.05</v>
      </c>
      <c r="R583" s="1" t="str">
        <v/>
      </c>
      <c r="S583" s="3">
        <v>0.1033072337116645</v>
      </c>
      <c r="T583" s="3">
        <v>0</v>
      </c>
    </row>
    <row r="584" spans="1:20" x14ac:dyDescent="0.25">
      <c r="A584" t="s">
        <v>78</v>
      </c>
      <c r="B584" t="s">
        <v>287</v>
      </c>
      <c r="C584" t="s">
        <v>6167</v>
      </c>
      <c r="D584" t="s">
        <v>6166</v>
      </c>
      <c r="E584">
        <v>280</v>
      </c>
      <c r="F584">
        <v>272.05</v>
      </c>
      <c r="G584">
        <v>278.95</v>
      </c>
      <c r="H584">
        <v>271.10000000000002</v>
      </c>
      <c r="I584" s="1">
        <v>276.3</v>
      </c>
      <c r="J584">
        <v>3134070</v>
      </c>
      <c r="K584">
        <v>11400</v>
      </c>
      <c r="L584" t="s">
        <v>78</v>
      </c>
      <c r="M584" t="s">
        <v>17</v>
      </c>
      <c r="N584">
        <v>17</v>
      </c>
      <c r="O584">
        <v>336</v>
      </c>
      <c r="P584">
        <v>184.05</v>
      </c>
      <c r="Q584" s="1" t="str">
        <v/>
      </c>
      <c r="R584" s="1" t="str">
        <v/>
      </c>
      <c r="S584" s="3">
        <v>0</v>
      </c>
      <c r="T584" s="3">
        <v>0</v>
      </c>
    </row>
    <row r="585" spans="1:20" x14ac:dyDescent="0.25">
      <c r="A585" t="s">
        <v>78</v>
      </c>
      <c r="B585" t="s">
        <v>79</v>
      </c>
      <c r="C585" t="s">
        <v>6165</v>
      </c>
      <c r="D585" t="s">
        <v>6164</v>
      </c>
      <c r="E585">
        <v>382.7</v>
      </c>
      <c r="F585">
        <v>385</v>
      </c>
      <c r="G585">
        <v>386.1</v>
      </c>
      <c r="H585">
        <v>379.5</v>
      </c>
      <c r="I585" s="1">
        <v>382.05</v>
      </c>
      <c r="J585">
        <v>608467114.54999995</v>
      </c>
      <c r="K585">
        <v>1587994</v>
      </c>
      <c r="L585" t="s">
        <v>78</v>
      </c>
      <c r="M585" t="s">
        <v>17</v>
      </c>
      <c r="N585">
        <v>42294</v>
      </c>
      <c r="O585">
        <v>488</v>
      </c>
      <c r="P585">
        <v>354.2</v>
      </c>
      <c r="Q585" s="1" t="str">
        <v/>
      </c>
      <c r="R585" s="1" t="str">
        <v/>
      </c>
      <c r="S585" s="3">
        <v>0</v>
      </c>
      <c r="T585" s="3">
        <v>0</v>
      </c>
    </row>
    <row r="586" spans="1:20" x14ac:dyDescent="0.25">
      <c r="A586" t="s">
        <v>78</v>
      </c>
      <c r="B586" t="s">
        <v>79</v>
      </c>
      <c r="C586" t="s">
        <v>848</v>
      </c>
      <c r="D586" t="s">
        <v>849</v>
      </c>
      <c r="E586">
        <v>143.58000000000001</v>
      </c>
      <c r="F586">
        <v>143.9</v>
      </c>
      <c r="G586">
        <v>143.9</v>
      </c>
      <c r="H586">
        <v>139</v>
      </c>
      <c r="I586" s="1">
        <v>139.43</v>
      </c>
      <c r="J586">
        <v>404946288.52999997</v>
      </c>
      <c r="K586">
        <v>2883812</v>
      </c>
      <c r="L586" t="s">
        <v>78</v>
      </c>
      <c r="M586" t="s">
        <v>17</v>
      </c>
      <c r="N586">
        <v>23800</v>
      </c>
      <c r="O586">
        <v>204.45</v>
      </c>
      <c r="P586">
        <v>104.45</v>
      </c>
      <c r="Q586" s="1">
        <v>179.3</v>
      </c>
      <c r="R586" s="1">
        <v>155</v>
      </c>
      <c r="S586" s="3">
        <v>-2.0740045887014835E-2</v>
      </c>
      <c r="T586" s="3">
        <v>-5.2762543471485124E-3</v>
      </c>
    </row>
    <row r="587" spans="1:20" x14ac:dyDescent="0.25">
      <c r="A587" t="s">
        <v>78</v>
      </c>
      <c r="B587" t="s">
        <v>79</v>
      </c>
      <c r="C587" t="s">
        <v>3102</v>
      </c>
      <c r="D587" t="s">
        <v>3103</v>
      </c>
      <c r="E587">
        <v>96.15</v>
      </c>
      <c r="F587">
        <v>98.09</v>
      </c>
      <c r="G587">
        <v>98.09</v>
      </c>
      <c r="H587">
        <v>95.01</v>
      </c>
      <c r="I587" s="1">
        <v>95.77</v>
      </c>
      <c r="J587">
        <v>276600.59000000003</v>
      </c>
      <c r="K587">
        <v>2891</v>
      </c>
      <c r="L587" t="s">
        <v>78</v>
      </c>
      <c r="M587" t="s">
        <v>17</v>
      </c>
      <c r="N587">
        <v>135</v>
      </c>
      <c r="O587">
        <v>111.8</v>
      </c>
      <c r="P587">
        <v>85.6</v>
      </c>
      <c r="Q587" s="1">
        <v>52.7</v>
      </c>
      <c r="R587" s="1">
        <v>39.1</v>
      </c>
      <c r="S587" s="3">
        <v>5.1037567374405235E-2</v>
      </c>
      <c r="T587" s="3">
        <v>4.5783976678697824E-2</v>
      </c>
    </row>
    <row r="588" spans="1:20" x14ac:dyDescent="0.25">
      <c r="A588" t="s">
        <v>78</v>
      </c>
      <c r="B588" t="s">
        <v>79</v>
      </c>
      <c r="C588" t="s">
        <v>850</v>
      </c>
      <c r="D588" t="s">
        <v>851</v>
      </c>
      <c r="E588">
        <v>54.44</v>
      </c>
      <c r="F588">
        <v>54.99</v>
      </c>
      <c r="G588">
        <v>54.99</v>
      </c>
      <c r="H588">
        <v>53.12</v>
      </c>
      <c r="I588" s="1">
        <v>53.25</v>
      </c>
      <c r="J588">
        <v>130834033.95</v>
      </c>
      <c r="K588">
        <v>2426085</v>
      </c>
      <c r="L588" t="s">
        <v>78</v>
      </c>
      <c r="M588" t="s">
        <v>17</v>
      </c>
      <c r="N588">
        <v>15792</v>
      </c>
      <c r="O588">
        <v>69.400000000000006</v>
      </c>
      <c r="P588">
        <v>33.65</v>
      </c>
      <c r="Q588" s="1">
        <v>53.6</v>
      </c>
      <c r="R588" s="1">
        <v>49.1</v>
      </c>
      <c r="S588" s="3">
        <v>-5.4578962656026686E-4</v>
      </c>
      <c r="T588" s="3">
        <v>4.0629482124177052E-3</v>
      </c>
    </row>
    <row r="589" spans="1:20" x14ac:dyDescent="0.25">
      <c r="A589" t="s">
        <v>78</v>
      </c>
      <c r="B589" t="s">
        <v>287</v>
      </c>
      <c r="C589" t="s">
        <v>6163</v>
      </c>
      <c r="D589" t="s">
        <v>6162</v>
      </c>
      <c r="E589">
        <v>200.1</v>
      </c>
      <c r="F589">
        <v>200</v>
      </c>
      <c r="G589">
        <v>203</v>
      </c>
      <c r="H589">
        <v>199</v>
      </c>
      <c r="I589" s="1">
        <v>202.9</v>
      </c>
      <c r="J589">
        <v>3613590</v>
      </c>
      <c r="K589">
        <v>18000</v>
      </c>
      <c r="L589" t="s">
        <v>78</v>
      </c>
      <c r="M589" t="s">
        <v>17</v>
      </c>
      <c r="N589">
        <v>24</v>
      </c>
      <c r="O589">
        <v>279</v>
      </c>
      <c r="P589">
        <v>180.5</v>
      </c>
      <c r="Q589" s="1" t="str">
        <v/>
      </c>
      <c r="R589" s="1" t="str">
        <v/>
      </c>
      <c r="S589" s="3">
        <v>0</v>
      </c>
      <c r="T589" s="3">
        <v>0</v>
      </c>
    </row>
    <row r="590" spans="1:20" x14ac:dyDescent="0.25">
      <c r="A590" t="s">
        <v>78</v>
      </c>
      <c r="B590" t="s">
        <v>79</v>
      </c>
      <c r="C590" t="s">
        <v>852</v>
      </c>
      <c r="D590" t="s">
        <v>853</v>
      </c>
      <c r="E590">
        <v>1893.8</v>
      </c>
      <c r="F590">
        <v>1893.8</v>
      </c>
      <c r="G590">
        <v>1955</v>
      </c>
      <c r="H590">
        <v>1880.05</v>
      </c>
      <c r="I590" s="1">
        <v>1910.4</v>
      </c>
      <c r="J590">
        <v>80276948.5</v>
      </c>
      <c r="K590">
        <v>41941</v>
      </c>
      <c r="L590" t="s">
        <v>78</v>
      </c>
      <c r="M590" t="s">
        <v>17</v>
      </c>
      <c r="N590">
        <v>7468</v>
      </c>
      <c r="O590">
        <v>2336.9499999999998</v>
      </c>
      <c r="P590">
        <v>1293.2</v>
      </c>
      <c r="Q590" s="1">
        <v>365.25</v>
      </c>
      <c r="R590" s="1">
        <v>219.05</v>
      </c>
      <c r="S590" s="3">
        <v>0.1478307109727075</v>
      </c>
      <c r="T590" s="3">
        <v>0.11430299386523979</v>
      </c>
    </row>
    <row r="591" spans="1:20" x14ac:dyDescent="0.25">
      <c r="A591" t="s">
        <v>78</v>
      </c>
      <c r="B591" t="s">
        <v>287</v>
      </c>
      <c r="C591" t="s">
        <v>6161</v>
      </c>
      <c r="D591" t="s">
        <v>6160</v>
      </c>
      <c r="E591">
        <v>583.04999999999995</v>
      </c>
      <c r="F591">
        <v>580</v>
      </c>
      <c r="G591">
        <v>580</v>
      </c>
      <c r="H591">
        <v>564</v>
      </c>
      <c r="I591" s="1">
        <v>567.70000000000005</v>
      </c>
      <c r="J591">
        <v>11689562.5</v>
      </c>
      <c r="K591">
        <v>20500</v>
      </c>
      <c r="L591" t="s">
        <v>78</v>
      </c>
      <c r="M591" t="s">
        <v>17</v>
      </c>
      <c r="N591">
        <v>69</v>
      </c>
      <c r="O591">
        <v>730</v>
      </c>
      <c r="P591">
        <v>357.05</v>
      </c>
      <c r="Q591" s="1" t="str">
        <v/>
      </c>
      <c r="R591" s="1" t="str">
        <v/>
      </c>
      <c r="S591" s="3">
        <v>0</v>
      </c>
      <c r="T591" s="3">
        <v>0</v>
      </c>
    </row>
    <row r="592" spans="1:20" x14ac:dyDescent="0.25">
      <c r="A592" t="s">
        <v>78</v>
      </c>
      <c r="B592" t="s">
        <v>287</v>
      </c>
      <c r="C592" t="s">
        <v>6159</v>
      </c>
      <c r="D592" t="s">
        <v>6158</v>
      </c>
      <c r="E592">
        <v>33.4</v>
      </c>
      <c r="F592">
        <v>32.950000000000003</v>
      </c>
      <c r="G592">
        <v>32.950000000000003</v>
      </c>
      <c r="H592">
        <v>31.75</v>
      </c>
      <c r="I592" s="1">
        <v>31.75</v>
      </c>
      <c r="J592">
        <v>1054350</v>
      </c>
      <c r="K592">
        <v>33000</v>
      </c>
      <c r="L592" t="s">
        <v>78</v>
      </c>
      <c r="M592" t="s">
        <v>17</v>
      </c>
      <c r="N592">
        <v>9</v>
      </c>
      <c r="O592">
        <v>40.549999999999997</v>
      </c>
      <c r="P592">
        <v>27.15</v>
      </c>
      <c r="Q592" s="1" t="str">
        <v/>
      </c>
      <c r="R592" s="1" t="str">
        <v/>
      </c>
      <c r="S592" s="3">
        <v>0</v>
      </c>
      <c r="T592" s="3">
        <v>0</v>
      </c>
    </row>
    <row r="593" spans="1:20" x14ac:dyDescent="0.25">
      <c r="A593" t="s">
        <v>78</v>
      </c>
      <c r="B593" t="s">
        <v>79</v>
      </c>
      <c r="C593" t="s">
        <v>6157</v>
      </c>
      <c r="D593" t="s">
        <v>6156</v>
      </c>
      <c r="E593">
        <v>144.16</v>
      </c>
      <c r="F593">
        <v>145</v>
      </c>
      <c r="G593">
        <v>151</v>
      </c>
      <c r="H593">
        <v>139</v>
      </c>
      <c r="I593" s="1">
        <v>147.08000000000001</v>
      </c>
      <c r="J593">
        <v>54671547.619999997</v>
      </c>
      <c r="K593">
        <v>375114</v>
      </c>
      <c r="L593" t="s">
        <v>78</v>
      </c>
      <c r="M593" t="s">
        <v>17</v>
      </c>
      <c r="N593">
        <v>6624</v>
      </c>
      <c r="O593">
        <v>174.75</v>
      </c>
      <c r="P593">
        <v>94</v>
      </c>
      <c r="Q593" s="1" t="str">
        <v/>
      </c>
      <c r="R593" s="1">
        <v>80</v>
      </c>
      <c r="S593" s="3">
        <v>0</v>
      </c>
      <c r="T593" s="3">
        <v>3.0898576887024909E-2</v>
      </c>
    </row>
    <row r="594" spans="1:20" x14ac:dyDescent="0.25">
      <c r="A594" t="s">
        <v>78</v>
      </c>
      <c r="B594" t="s">
        <v>79</v>
      </c>
      <c r="C594" t="s">
        <v>6155</v>
      </c>
      <c r="D594" t="s">
        <v>6154</v>
      </c>
      <c r="E594">
        <v>174.37</v>
      </c>
      <c r="F594">
        <v>175.5</v>
      </c>
      <c r="G594">
        <v>177.8</v>
      </c>
      <c r="H594">
        <v>170.88</v>
      </c>
      <c r="I594" s="1">
        <v>176.08</v>
      </c>
      <c r="J594">
        <v>562245471.33000004</v>
      </c>
      <c r="K594">
        <v>3208562</v>
      </c>
      <c r="L594" t="s">
        <v>78</v>
      </c>
      <c r="M594" t="s">
        <v>17</v>
      </c>
      <c r="N594">
        <v>59541</v>
      </c>
      <c r="O594">
        <v>227.5</v>
      </c>
      <c r="P594">
        <v>142.25</v>
      </c>
      <c r="Q594" s="1" t="str">
        <v/>
      </c>
      <c r="R594" s="1" t="str">
        <v/>
      </c>
      <c r="S594" s="3">
        <v>0</v>
      </c>
      <c r="T594" s="3">
        <v>0</v>
      </c>
    </row>
    <row r="595" spans="1:20" x14ac:dyDescent="0.25">
      <c r="A595" t="s">
        <v>78</v>
      </c>
      <c r="B595" t="s">
        <v>79</v>
      </c>
      <c r="C595" t="s">
        <v>856</v>
      </c>
      <c r="D595" t="s">
        <v>857</v>
      </c>
      <c r="E595">
        <v>223.54</v>
      </c>
      <c r="F595">
        <v>224</v>
      </c>
      <c r="G595">
        <v>225</v>
      </c>
      <c r="H595">
        <v>221</v>
      </c>
      <c r="I595" s="1">
        <v>222.39</v>
      </c>
      <c r="J595">
        <v>77253777.099999994</v>
      </c>
      <c r="K595">
        <v>346822</v>
      </c>
      <c r="L595" t="s">
        <v>78</v>
      </c>
      <c r="M595" t="s">
        <v>17</v>
      </c>
      <c r="N595">
        <v>10234</v>
      </c>
      <c r="O595">
        <v>325.75</v>
      </c>
      <c r="P595">
        <v>191.1</v>
      </c>
      <c r="Q595" s="1">
        <v>357</v>
      </c>
      <c r="R595" s="1">
        <v>171.3</v>
      </c>
      <c r="S595" s="3">
        <v>-3.8674225400513573E-2</v>
      </c>
      <c r="T595" s="3">
        <v>1.3129102030120077E-2</v>
      </c>
    </row>
    <row r="596" spans="1:20" x14ac:dyDescent="0.25">
      <c r="A596" t="s">
        <v>78</v>
      </c>
      <c r="B596" t="s">
        <v>79</v>
      </c>
      <c r="C596" t="s">
        <v>858</v>
      </c>
      <c r="D596" t="s">
        <v>859</v>
      </c>
      <c r="E596">
        <v>42.32</v>
      </c>
      <c r="F596">
        <v>42</v>
      </c>
      <c r="G596">
        <v>42.25</v>
      </c>
      <c r="H596">
        <v>41.31</v>
      </c>
      <c r="I596" s="1">
        <v>41.34</v>
      </c>
      <c r="J596">
        <v>29971028.57</v>
      </c>
      <c r="K596">
        <v>719770</v>
      </c>
      <c r="L596" t="s">
        <v>78</v>
      </c>
      <c r="M596" t="s">
        <v>17</v>
      </c>
      <c r="N596">
        <v>3640</v>
      </c>
      <c r="O596">
        <v>59</v>
      </c>
      <c r="P596">
        <v>20.350000000000001</v>
      </c>
      <c r="Q596" s="1">
        <v>17.5</v>
      </c>
      <c r="R596" s="1">
        <v>15.8</v>
      </c>
      <c r="S596" s="3">
        <v>7.4264032415002568E-2</v>
      </c>
      <c r="T596" s="3">
        <v>4.9238532453616424E-2</v>
      </c>
    </row>
    <row r="597" spans="1:20" x14ac:dyDescent="0.25">
      <c r="A597" t="s">
        <v>78</v>
      </c>
      <c r="B597" t="s">
        <v>79</v>
      </c>
      <c r="C597" t="s">
        <v>860</v>
      </c>
      <c r="D597" t="s">
        <v>861</v>
      </c>
      <c r="E597">
        <v>60.83</v>
      </c>
      <c r="F597">
        <v>60.1</v>
      </c>
      <c r="G597">
        <v>60.1</v>
      </c>
      <c r="H597">
        <v>57.1</v>
      </c>
      <c r="I597" s="1">
        <v>57.37</v>
      </c>
      <c r="J597">
        <v>319227128.66000003</v>
      </c>
      <c r="K597">
        <v>5493274</v>
      </c>
      <c r="L597" t="s">
        <v>78</v>
      </c>
      <c r="M597" t="s">
        <v>17</v>
      </c>
      <c r="N597">
        <v>23568</v>
      </c>
      <c r="O597">
        <v>62.26</v>
      </c>
      <c r="P597">
        <v>37</v>
      </c>
      <c r="Q597" s="1">
        <v>207</v>
      </c>
      <c r="R597" s="1" t="str">
        <v/>
      </c>
      <c r="S597" s="3">
        <v>-0.10141421922147276</v>
      </c>
      <c r="T597" s="3">
        <v>0</v>
      </c>
    </row>
    <row r="598" spans="1:20" x14ac:dyDescent="0.25">
      <c r="A598" t="s">
        <v>78</v>
      </c>
      <c r="B598" t="s">
        <v>79</v>
      </c>
      <c r="C598" t="s">
        <v>865</v>
      </c>
      <c r="D598" t="s">
        <v>866</v>
      </c>
      <c r="E598">
        <v>1683.55</v>
      </c>
      <c r="F598">
        <v>1683.6</v>
      </c>
      <c r="G598">
        <v>1700</v>
      </c>
      <c r="H598">
        <v>1661.05</v>
      </c>
      <c r="I598" s="1">
        <v>1691.35</v>
      </c>
      <c r="J598">
        <v>30922353.949999999</v>
      </c>
      <c r="K598">
        <v>18377</v>
      </c>
      <c r="L598" t="s">
        <v>78</v>
      </c>
      <c r="M598" t="s">
        <v>17</v>
      </c>
      <c r="N598">
        <v>4486</v>
      </c>
      <c r="O598">
        <v>1803.95</v>
      </c>
      <c r="P598">
        <v>703.35</v>
      </c>
      <c r="Q598" s="1">
        <v>979.9</v>
      </c>
      <c r="R598" s="1">
        <v>382</v>
      </c>
      <c r="S598" s="3">
        <v>4.6536333812392083E-2</v>
      </c>
      <c r="T598" s="3">
        <v>7.7186278588937007E-2</v>
      </c>
    </row>
    <row r="599" spans="1:20" x14ac:dyDescent="0.25">
      <c r="A599" t="s">
        <v>78</v>
      </c>
      <c r="B599" t="s">
        <v>79</v>
      </c>
      <c r="C599" t="s">
        <v>6153</v>
      </c>
      <c r="D599" t="s">
        <v>6152</v>
      </c>
      <c r="E599">
        <v>296.75</v>
      </c>
      <c r="F599">
        <v>296.95</v>
      </c>
      <c r="G599">
        <v>320.89999999999998</v>
      </c>
      <c r="H599">
        <v>296.94</v>
      </c>
      <c r="I599" s="1">
        <v>307.88</v>
      </c>
      <c r="J599">
        <v>223872911.52000001</v>
      </c>
      <c r="K599">
        <v>716846</v>
      </c>
      <c r="L599" t="s">
        <v>78</v>
      </c>
      <c r="M599" t="s">
        <v>17</v>
      </c>
      <c r="N599">
        <v>27383</v>
      </c>
      <c r="O599">
        <v>328.46</v>
      </c>
      <c r="P599">
        <v>165.65</v>
      </c>
      <c r="Q599" s="1" t="str">
        <v/>
      </c>
      <c r="R599" s="1" t="str">
        <v/>
      </c>
      <c r="S599" s="3">
        <v>0</v>
      </c>
      <c r="T599" s="3">
        <v>0</v>
      </c>
    </row>
    <row r="600" spans="1:20" x14ac:dyDescent="0.25">
      <c r="A600" t="s">
        <v>78</v>
      </c>
      <c r="B600" t="s">
        <v>287</v>
      </c>
      <c r="C600" t="s">
        <v>6151</v>
      </c>
      <c r="D600" t="s">
        <v>6150</v>
      </c>
      <c r="E600">
        <v>123</v>
      </c>
      <c r="F600">
        <v>123</v>
      </c>
      <c r="G600">
        <v>123</v>
      </c>
      <c r="H600">
        <v>116.85</v>
      </c>
      <c r="I600" s="1">
        <v>120.5</v>
      </c>
      <c r="J600">
        <v>1142000</v>
      </c>
      <c r="K600">
        <v>9600</v>
      </c>
      <c r="L600" t="s">
        <v>78</v>
      </c>
      <c r="M600" t="s">
        <v>17</v>
      </c>
      <c r="N600">
        <v>12</v>
      </c>
      <c r="O600">
        <v>288.2</v>
      </c>
      <c r="P600">
        <v>116.85</v>
      </c>
      <c r="Q600" s="1" t="str">
        <v/>
      </c>
      <c r="R600" s="1" t="str">
        <v/>
      </c>
      <c r="S600" s="3">
        <v>0</v>
      </c>
      <c r="T600" s="3">
        <v>0</v>
      </c>
    </row>
    <row r="601" spans="1:20" x14ac:dyDescent="0.25">
      <c r="A601" t="s">
        <v>78</v>
      </c>
      <c r="B601" t="s">
        <v>79</v>
      </c>
      <c r="C601" t="s">
        <v>869</v>
      </c>
      <c r="D601" t="s">
        <v>870</v>
      </c>
      <c r="E601">
        <v>1314.6</v>
      </c>
      <c r="F601">
        <v>1331.6</v>
      </c>
      <c r="G601">
        <v>1365</v>
      </c>
      <c r="H601">
        <v>1305</v>
      </c>
      <c r="I601" s="1">
        <v>1314.5</v>
      </c>
      <c r="J601">
        <v>2860135.55</v>
      </c>
      <c r="K601">
        <v>2158</v>
      </c>
      <c r="L601" t="s">
        <v>78</v>
      </c>
      <c r="M601" t="s">
        <v>17</v>
      </c>
      <c r="N601">
        <v>579</v>
      </c>
      <c r="O601">
        <v>1631</v>
      </c>
      <c r="P601">
        <v>679</v>
      </c>
      <c r="Q601" s="1">
        <v>631.25</v>
      </c>
      <c r="R601" s="1">
        <v>206</v>
      </c>
      <c r="S601" s="3">
        <v>6.303264091381422E-2</v>
      </c>
      <c r="T601" s="3">
        <v>9.7040418578503873E-2</v>
      </c>
    </row>
    <row r="602" spans="1:20" x14ac:dyDescent="0.25">
      <c r="A602" t="s">
        <v>78</v>
      </c>
      <c r="B602" t="s">
        <v>79</v>
      </c>
      <c r="C602" t="s">
        <v>6149</v>
      </c>
      <c r="D602" t="s">
        <v>6148</v>
      </c>
      <c r="E602">
        <v>594.15</v>
      </c>
      <c r="F602">
        <v>593.75</v>
      </c>
      <c r="G602">
        <v>605.95000000000005</v>
      </c>
      <c r="H602">
        <v>586.25</v>
      </c>
      <c r="I602" s="1">
        <v>590.4</v>
      </c>
      <c r="J602">
        <v>8059590.9000000004</v>
      </c>
      <c r="K602">
        <v>13579</v>
      </c>
      <c r="L602" t="s">
        <v>78</v>
      </c>
      <c r="M602" t="s">
        <v>17</v>
      </c>
      <c r="N602">
        <v>1912</v>
      </c>
      <c r="O602">
        <v>693.4</v>
      </c>
      <c r="P602">
        <v>446.1</v>
      </c>
      <c r="Q602" s="1" t="str">
        <v/>
      </c>
      <c r="R602" s="1" t="str">
        <v/>
      </c>
      <c r="S602" s="3">
        <v>0</v>
      </c>
      <c r="T602" s="3">
        <v>0</v>
      </c>
    </row>
    <row r="603" spans="1:20" x14ac:dyDescent="0.25">
      <c r="A603" t="s">
        <v>78</v>
      </c>
      <c r="B603" t="s">
        <v>79</v>
      </c>
      <c r="C603" t="s">
        <v>871</v>
      </c>
      <c r="D603" t="s">
        <v>872</v>
      </c>
      <c r="E603">
        <v>904</v>
      </c>
      <c r="F603">
        <v>902</v>
      </c>
      <c r="G603">
        <v>914.1</v>
      </c>
      <c r="H603">
        <v>892.35</v>
      </c>
      <c r="I603" s="1">
        <v>900.15</v>
      </c>
      <c r="J603">
        <v>14278521.5</v>
      </c>
      <c r="K603">
        <v>15791</v>
      </c>
      <c r="L603" t="s">
        <v>78</v>
      </c>
      <c r="M603" t="s">
        <v>17</v>
      </c>
      <c r="N603">
        <v>2289</v>
      </c>
      <c r="O603">
        <v>1450</v>
      </c>
      <c r="P603">
        <v>746.7</v>
      </c>
      <c r="Q603" s="1">
        <v>743.35</v>
      </c>
      <c r="R603" s="1">
        <v>750</v>
      </c>
      <c r="S603" s="3">
        <v>1.6077407684935263E-2</v>
      </c>
      <c r="T603" s="3">
        <v>9.1611220807941152E-3</v>
      </c>
    </row>
    <row r="604" spans="1:20" x14ac:dyDescent="0.25">
      <c r="A604" t="s">
        <v>78</v>
      </c>
      <c r="B604" t="s">
        <v>79</v>
      </c>
      <c r="C604" t="s">
        <v>873</v>
      </c>
      <c r="D604" t="s">
        <v>874</v>
      </c>
      <c r="E604">
        <v>536.25</v>
      </c>
      <c r="F604">
        <v>555</v>
      </c>
      <c r="G604">
        <v>560</v>
      </c>
      <c r="H604">
        <v>532.5</v>
      </c>
      <c r="I604" s="1">
        <v>541.75</v>
      </c>
      <c r="J604">
        <v>14333055.550000001</v>
      </c>
      <c r="K604">
        <v>26170</v>
      </c>
      <c r="L604" t="s">
        <v>78</v>
      </c>
      <c r="M604" t="s">
        <v>17</v>
      </c>
      <c r="N604">
        <v>2961</v>
      </c>
      <c r="O604">
        <v>579</v>
      </c>
      <c r="P604">
        <v>410.5</v>
      </c>
      <c r="Q604" s="1">
        <v>480.2</v>
      </c>
      <c r="R604" s="1">
        <v>303</v>
      </c>
      <c r="S604" s="3">
        <v>1.0100835554501586E-2</v>
      </c>
      <c r="T604" s="3">
        <v>2.9463384632337775E-2</v>
      </c>
    </row>
    <row r="605" spans="1:20" x14ac:dyDescent="0.25">
      <c r="A605" t="s">
        <v>78</v>
      </c>
      <c r="B605" t="s">
        <v>79</v>
      </c>
      <c r="C605" t="s">
        <v>6147</v>
      </c>
      <c r="D605" t="s">
        <v>6146</v>
      </c>
      <c r="E605">
        <v>7.49</v>
      </c>
      <c r="F605">
        <v>7.57</v>
      </c>
      <c r="G605">
        <v>7.57</v>
      </c>
      <c r="H605">
        <v>7.3</v>
      </c>
      <c r="I605" s="1">
        <v>7.34</v>
      </c>
      <c r="J605">
        <v>5935384.6699999999</v>
      </c>
      <c r="K605">
        <v>804413</v>
      </c>
      <c r="L605" t="s">
        <v>78</v>
      </c>
      <c r="M605" t="s">
        <v>17</v>
      </c>
      <c r="N605">
        <v>1999</v>
      </c>
      <c r="O605">
        <v>11.85</v>
      </c>
      <c r="P605">
        <v>6.95</v>
      </c>
      <c r="Q605" s="1" t="str">
        <v/>
      </c>
      <c r="R605" s="1" t="str">
        <v/>
      </c>
      <c r="S605" s="3">
        <v>0</v>
      </c>
      <c r="T605" s="3">
        <v>0</v>
      </c>
    </row>
    <row r="606" spans="1:20" x14ac:dyDescent="0.25">
      <c r="A606" t="s">
        <v>78</v>
      </c>
      <c r="B606" t="s">
        <v>79</v>
      </c>
      <c r="C606" t="s">
        <v>875</v>
      </c>
      <c r="D606" t="s">
        <v>876</v>
      </c>
      <c r="E606">
        <v>15.22</v>
      </c>
      <c r="F606">
        <v>15.16</v>
      </c>
      <c r="G606">
        <v>15.25</v>
      </c>
      <c r="H606">
        <v>14.93</v>
      </c>
      <c r="I606" s="1">
        <v>15.02</v>
      </c>
      <c r="J606">
        <v>178872252.25999999</v>
      </c>
      <c r="K606">
        <v>11907390</v>
      </c>
      <c r="L606" t="s">
        <v>78</v>
      </c>
      <c r="M606" t="s">
        <v>17</v>
      </c>
      <c r="N606">
        <v>13454</v>
      </c>
      <c r="O606">
        <v>26.05</v>
      </c>
      <c r="P606">
        <v>12.85</v>
      </c>
      <c r="Q606" s="1">
        <v>14.15</v>
      </c>
      <c r="R606" s="1">
        <v>29.15</v>
      </c>
      <c r="S606" s="3">
        <v>4.9847177607640347E-3</v>
      </c>
      <c r="T606" s="3">
        <v>-3.2592491316817296E-2</v>
      </c>
    </row>
    <row r="607" spans="1:20" x14ac:dyDescent="0.25">
      <c r="A607" t="s">
        <v>78</v>
      </c>
      <c r="B607" t="s">
        <v>79</v>
      </c>
      <c r="C607" t="s">
        <v>6145</v>
      </c>
      <c r="D607" t="s">
        <v>6144</v>
      </c>
      <c r="E607">
        <v>707.15</v>
      </c>
      <c r="F607">
        <v>706.6</v>
      </c>
      <c r="G607">
        <v>714</v>
      </c>
      <c r="H607">
        <v>692.35</v>
      </c>
      <c r="I607" s="1">
        <v>698.1</v>
      </c>
      <c r="J607">
        <v>16187258.9</v>
      </c>
      <c r="K607">
        <v>23148</v>
      </c>
      <c r="L607" t="s">
        <v>78</v>
      </c>
      <c r="M607" t="s">
        <v>17</v>
      </c>
      <c r="N607">
        <v>3011</v>
      </c>
      <c r="O607">
        <v>1150</v>
      </c>
      <c r="P607">
        <v>639.15</v>
      </c>
      <c r="Q607" s="1" t="str">
        <v/>
      </c>
      <c r="R607" s="1" t="str">
        <v/>
      </c>
      <c r="S607" s="3">
        <v>0</v>
      </c>
      <c r="T607" s="3">
        <v>0</v>
      </c>
    </row>
    <row r="608" spans="1:20" x14ac:dyDescent="0.25">
      <c r="A608" t="s">
        <v>78</v>
      </c>
      <c r="B608" t="s">
        <v>79</v>
      </c>
      <c r="C608" t="s">
        <v>877</v>
      </c>
      <c r="D608" t="s">
        <v>878</v>
      </c>
      <c r="E608">
        <v>12551.8</v>
      </c>
      <c r="F608">
        <v>12480</v>
      </c>
      <c r="G608">
        <v>12480</v>
      </c>
      <c r="H608">
        <v>11650.15</v>
      </c>
      <c r="I608" s="1">
        <v>11945.85</v>
      </c>
      <c r="J608">
        <v>9197252767</v>
      </c>
      <c r="K608">
        <v>768679</v>
      </c>
      <c r="L608" t="s">
        <v>78</v>
      </c>
      <c r="M608" t="s">
        <v>17</v>
      </c>
      <c r="N608">
        <v>126113</v>
      </c>
      <c r="O608">
        <v>12879</v>
      </c>
      <c r="P608">
        <v>3953</v>
      </c>
      <c r="Q608" s="1">
        <v>4530</v>
      </c>
      <c r="R608" s="1">
        <v>2171.8000000000002</v>
      </c>
      <c r="S608" s="3">
        <v>8.4159645390724069E-2</v>
      </c>
      <c r="T608" s="3">
        <v>8.8929059480475248E-2</v>
      </c>
    </row>
    <row r="609" spans="1:20" x14ac:dyDescent="0.25">
      <c r="A609" t="s">
        <v>78</v>
      </c>
      <c r="B609" t="s">
        <v>287</v>
      </c>
      <c r="C609" t="s">
        <v>6143</v>
      </c>
      <c r="D609" t="s">
        <v>6142</v>
      </c>
      <c r="E609">
        <v>79</v>
      </c>
      <c r="F609">
        <v>74.25</v>
      </c>
      <c r="G609">
        <v>78</v>
      </c>
      <c r="H609">
        <v>74.25</v>
      </c>
      <c r="I609" s="1">
        <v>78</v>
      </c>
      <c r="J609">
        <v>228375</v>
      </c>
      <c r="K609">
        <v>3000</v>
      </c>
      <c r="L609" t="s">
        <v>78</v>
      </c>
      <c r="M609" t="s">
        <v>17</v>
      </c>
      <c r="N609">
        <v>2</v>
      </c>
      <c r="O609">
        <v>104.7</v>
      </c>
      <c r="P609">
        <v>53.9</v>
      </c>
      <c r="Q609" s="1" t="str">
        <v/>
      </c>
      <c r="R609" s="1" t="str">
        <v/>
      </c>
      <c r="S609" s="3">
        <v>0</v>
      </c>
      <c r="T609" s="3">
        <v>0</v>
      </c>
    </row>
    <row r="610" spans="1:20" x14ac:dyDescent="0.25">
      <c r="A610" t="s">
        <v>78</v>
      </c>
      <c r="B610" t="s">
        <v>79</v>
      </c>
      <c r="C610" t="s">
        <v>879</v>
      </c>
      <c r="D610" t="s">
        <v>880</v>
      </c>
      <c r="E610">
        <v>629.75</v>
      </c>
      <c r="F610">
        <v>629.75</v>
      </c>
      <c r="G610">
        <v>636.25</v>
      </c>
      <c r="H610">
        <v>602.1</v>
      </c>
      <c r="I610" s="1">
        <v>612.35</v>
      </c>
      <c r="J610">
        <v>194925552.84999999</v>
      </c>
      <c r="K610">
        <v>317361</v>
      </c>
      <c r="L610" t="s">
        <v>78</v>
      </c>
      <c r="M610" t="s">
        <v>17</v>
      </c>
      <c r="N610">
        <v>13017</v>
      </c>
      <c r="O610">
        <v>683.95</v>
      </c>
      <c r="P610">
        <v>255.1</v>
      </c>
      <c r="Q610" s="1">
        <v>158.19999999999999</v>
      </c>
      <c r="R610" s="1">
        <v>87</v>
      </c>
      <c r="S610" s="3">
        <v>0.11939347293123692</v>
      </c>
      <c r="T610" s="3">
        <v>0.10242947844976436</v>
      </c>
    </row>
    <row r="611" spans="1:20" x14ac:dyDescent="0.25">
      <c r="A611" t="s">
        <v>78</v>
      </c>
      <c r="B611" t="s">
        <v>79</v>
      </c>
      <c r="C611" t="s">
        <v>6141</v>
      </c>
      <c r="D611" t="s">
        <v>6140</v>
      </c>
      <c r="E611">
        <v>308.7</v>
      </c>
      <c r="F611">
        <v>309.89999999999998</v>
      </c>
      <c r="G611">
        <v>311.5</v>
      </c>
      <c r="H611">
        <v>301.5</v>
      </c>
      <c r="I611" s="1">
        <v>304</v>
      </c>
      <c r="J611">
        <v>5008522.9000000004</v>
      </c>
      <c r="K611">
        <v>16378</v>
      </c>
      <c r="L611" t="s">
        <v>78</v>
      </c>
      <c r="M611" t="s">
        <v>17</v>
      </c>
      <c r="N611">
        <v>934</v>
      </c>
      <c r="O611">
        <v>380</v>
      </c>
      <c r="P611">
        <v>245.25</v>
      </c>
      <c r="Q611" s="1" t="str">
        <v/>
      </c>
      <c r="R611" s="1" t="str">
        <v/>
      </c>
      <c r="S611" s="3">
        <v>0</v>
      </c>
      <c r="T611" s="3">
        <v>0</v>
      </c>
    </row>
    <row r="612" spans="1:20" x14ac:dyDescent="0.25">
      <c r="A612" t="s">
        <v>78</v>
      </c>
      <c r="B612" t="s">
        <v>79</v>
      </c>
      <c r="C612" t="s">
        <v>881</v>
      </c>
      <c r="D612" t="s">
        <v>882</v>
      </c>
      <c r="E612">
        <v>5.33</v>
      </c>
      <c r="F612">
        <v>5.48</v>
      </c>
      <c r="G612">
        <v>5.58</v>
      </c>
      <c r="H612">
        <v>5.14</v>
      </c>
      <c r="I612" s="1">
        <v>5.39</v>
      </c>
      <c r="J612">
        <v>1762529.89</v>
      </c>
      <c r="K612">
        <v>330094</v>
      </c>
      <c r="L612" t="s">
        <v>78</v>
      </c>
      <c r="M612" t="s">
        <v>17</v>
      </c>
      <c r="N612">
        <v>966</v>
      </c>
      <c r="O612">
        <v>6.8</v>
      </c>
      <c r="P612">
        <v>2.75</v>
      </c>
      <c r="Q612" s="1">
        <v>2.65</v>
      </c>
      <c r="R612" s="1">
        <v>0.5</v>
      </c>
      <c r="S612" s="3">
        <v>6.0950791018720363E-2</v>
      </c>
      <c r="T612" s="3">
        <v>0.12616665128867433</v>
      </c>
    </row>
    <row r="613" spans="1:20" x14ac:dyDescent="0.25">
      <c r="A613" t="s">
        <v>78</v>
      </c>
      <c r="B613" t="s">
        <v>79</v>
      </c>
      <c r="C613" t="s">
        <v>883</v>
      </c>
      <c r="D613" t="s">
        <v>884</v>
      </c>
      <c r="E613">
        <v>1213.2</v>
      </c>
      <c r="F613">
        <v>1219.5999999999999</v>
      </c>
      <c r="G613">
        <v>1238</v>
      </c>
      <c r="H613">
        <v>1173</v>
      </c>
      <c r="I613" s="1">
        <v>1207.7</v>
      </c>
      <c r="J613">
        <v>169239380.44999999</v>
      </c>
      <c r="K613">
        <v>140193</v>
      </c>
      <c r="L613" t="s">
        <v>78</v>
      </c>
      <c r="M613" t="s">
        <v>17</v>
      </c>
      <c r="N613">
        <v>18806</v>
      </c>
      <c r="O613">
        <v>1238</v>
      </c>
      <c r="P613">
        <v>614.9</v>
      </c>
      <c r="Q613" s="1">
        <v>586.5</v>
      </c>
      <c r="R613" s="1" t="str">
        <v/>
      </c>
      <c r="S613" s="3">
        <v>6.2040114387139855E-2</v>
      </c>
      <c r="T613" s="3">
        <v>0</v>
      </c>
    </row>
    <row r="614" spans="1:20" x14ac:dyDescent="0.25">
      <c r="A614" t="s">
        <v>78</v>
      </c>
      <c r="B614" t="s">
        <v>79</v>
      </c>
      <c r="C614" t="s">
        <v>6139</v>
      </c>
      <c r="D614" t="s">
        <v>6138</v>
      </c>
      <c r="E614">
        <v>130.13999999999999</v>
      </c>
      <c r="F614">
        <v>130.13999999999999</v>
      </c>
      <c r="G614">
        <v>130.76</v>
      </c>
      <c r="H614">
        <v>119.93</v>
      </c>
      <c r="I614" s="1">
        <v>125.01</v>
      </c>
      <c r="J614">
        <v>78774278.939999998</v>
      </c>
      <c r="K614">
        <v>626618</v>
      </c>
      <c r="L614" t="s">
        <v>78</v>
      </c>
      <c r="M614" t="s">
        <v>17</v>
      </c>
      <c r="N614">
        <v>10159</v>
      </c>
      <c r="O614">
        <v>169.15</v>
      </c>
      <c r="P614">
        <v>43.4</v>
      </c>
      <c r="Q614" s="1" t="str">
        <v/>
      </c>
      <c r="R614" s="1" t="str">
        <v/>
      </c>
      <c r="S614" s="3">
        <v>0</v>
      </c>
      <c r="T614" s="3">
        <v>0</v>
      </c>
    </row>
    <row r="615" spans="1:20" x14ac:dyDescent="0.25">
      <c r="A615" t="s">
        <v>78</v>
      </c>
      <c r="B615" t="s">
        <v>79</v>
      </c>
      <c r="C615" t="s">
        <v>887</v>
      </c>
      <c r="D615" t="s">
        <v>888</v>
      </c>
      <c r="E615">
        <v>531.9</v>
      </c>
      <c r="F615">
        <v>531.9</v>
      </c>
      <c r="G615">
        <v>531.9</v>
      </c>
      <c r="H615">
        <v>514.1</v>
      </c>
      <c r="I615" s="1">
        <v>516.45000000000005</v>
      </c>
      <c r="J615">
        <v>34496778.100000001</v>
      </c>
      <c r="K615">
        <v>66216</v>
      </c>
      <c r="L615" t="s">
        <v>78</v>
      </c>
      <c r="M615" t="s">
        <v>17</v>
      </c>
      <c r="N615">
        <v>3612</v>
      </c>
      <c r="O615">
        <v>659.95</v>
      </c>
      <c r="P615">
        <v>358</v>
      </c>
      <c r="Q615" s="1">
        <v>311.05</v>
      </c>
      <c r="R615" s="1">
        <v>223</v>
      </c>
      <c r="S615" s="3">
        <v>4.3157391471243756E-2</v>
      </c>
      <c r="T615" s="3">
        <v>4.2860417901020798E-2</v>
      </c>
    </row>
    <row r="616" spans="1:20" x14ac:dyDescent="0.25">
      <c r="A616" t="s">
        <v>78</v>
      </c>
      <c r="B616" t="s">
        <v>287</v>
      </c>
      <c r="C616" t="s">
        <v>6137</v>
      </c>
      <c r="D616" t="s">
        <v>6136</v>
      </c>
      <c r="E616">
        <v>39.700000000000003</v>
      </c>
      <c r="F616">
        <v>41.5</v>
      </c>
      <c r="G616">
        <v>41.5</v>
      </c>
      <c r="H616">
        <v>38</v>
      </c>
      <c r="I616" s="1">
        <v>38.65</v>
      </c>
      <c r="J616">
        <v>1735800</v>
      </c>
      <c r="K616">
        <v>44000</v>
      </c>
      <c r="L616" t="s">
        <v>78</v>
      </c>
      <c r="M616" t="s">
        <v>17</v>
      </c>
      <c r="N616">
        <v>11</v>
      </c>
      <c r="O616">
        <v>57.9</v>
      </c>
      <c r="P616">
        <v>32.15</v>
      </c>
      <c r="Q616" s="1" t="str">
        <v/>
      </c>
      <c r="R616" s="1" t="str">
        <v/>
      </c>
      <c r="S616" s="3">
        <v>0</v>
      </c>
      <c r="T616" s="3">
        <v>0</v>
      </c>
    </row>
    <row r="617" spans="1:20" x14ac:dyDescent="0.25">
      <c r="A617" t="s">
        <v>78</v>
      </c>
      <c r="B617" t="s">
        <v>79</v>
      </c>
      <c r="C617" t="s">
        <v>6135</v>
      </c>
      <c r="D617" t="s">
        <v>6134</v>
      </c>
      <c r="E617">
        <v>2315.4</v>
      </c>
      <c r="F617">
        <v>2309.9</v>
      </c>
      <c r="G617">
        <v>2340</v>
      </c>
      <c r="H617">
        <v>2259.15</v>
      </c>
      <c r="I617" s="1">
        <v>2320.0500000000002</v>
      </c>
      <c r="J617">
        <v>192725400.19999999</v>
      </c>
      <c r="K617">
        <v>83076</v>
      </c>
      <c r="L617" t="s">
        <v>78</v>
      </c>
      <c r="M617" t="s">
        <v>17</v>
      </c>
      <c r="N617">
        <v>15974</v>
      </c>
      <c r="O617">
        <v>2365</v>
      </c>
      <c r="P617">
        <v>1225.5999999999999</v>
      </c>
      <c r="Q617" s="1" t="str">
        <v/>
      </c>
      <c r="R617" s="1" t="str">
        <v/>
      </c>
      <c r="S617" s="3">
        <v>0</v>
      </c>
      <c r="T617" s="3">
        <v>0</v>
      </c>
    </row>
    <row r="618" spans="1:20" x14ac:dyDescent="0.25">
      <c r="A618" t="s">
        <v>78</v>
      </c>
      <c r="B618" t="s">
        <v>79</v>
      </c>
      <c r="C618" t="s">
        <v>889</v>
      </c>
      <c r="D618" t="s">
        <v>890</v>
      </c>
      <c r="E618">
        <v>136.74</v>
      </c>
      <c r="F618">
        <v>138.80000000000001</v>
      </c>
      <c r="G618">
        <v>139.75</v>
      </c>
      <c r="H618">
        <v>130.30000000000001</v>
      </c>
      <c r="I618" s="1">
        <v>134.72</v>
      </c>
      <c r="J618">
        <v>60735317.170000002</v>
      </c>
      <c r="K618">
        <v>452286</v>
      </c>
      <c r="L618" t="s">
        <v>78</v>
      </c>
      <c r="M618" t="s">
        <v>17</v>
      </c>
      <c r="N618">
        <v>11237</v>
      </c>
      <c r="O618">
        <v>146.19999999999999</v>
      </c>
      <c r="P618">
        <v>87.3</v>
      </c>
      <c r="Q618" s="1">
        <v>51.9</v>
      </c>
      <c r="R618" s="1">
        <v>26.15</v>
      </c>
      <c r="S618" s="3">
        <v>8.2734710502355258E-2</v>
      </c>
      <c r="T618" s="3">
        <v>8.5371775915874526E-2</v>
      </c>
    </row>
    <row r="619" spans="1:20" x14ac:dyDescent="0.25">
      <c r="A619" t="s">
        <v>78</v>
      </c>
      <c r="B619" t="s">
        <v>79</v>
      </c>
      <c r="C619" t="s">
        <v>891</v>
      </c>
      <c r="D619" t="s">
        <v>892</v>
      </c>
      <c r="E619">
        <v>1346.85</v>
      </c>
      <c r="F619">
        <v>1335.95</v>
      </c>
      <c r="G619">
        <v>1411.8</v>
      </c>
      <c r="H619">
        <v>1310.1500000000001</v>
      </c>
      <c r="I619" s="1">
        <v>1391.8</v>
      </c>
      <c r="J619">
        <v>111912904</v>
      </c>
      <c r="K619">
        <v>81329</v>
      </c>
      <c r="L619" t="s">
        <v>78</v>
      </c>
      <c r="M619" t="s">
        <v>17</v>
      </c>
      <c r="N619">
        <v>7230</v>
      </c>
      <c r="O619">
        <v>1454.05</v>
      </c>
      <c r="P619">
        <v>255</v>
      </c>
      <c r="Q619" s="1">
        <v>175</v>
      </c>
      <c r="R619" s="1" t="str">
        <v/>
      </c>
      <c r="S619" s="3">
        <v>0.18862510459480286</v>
      </c>
      <c r="T619" s="3">
        <v>0</v>
      </c>
    </row>
    <row r="620" spans="1:20" x14ac:dyDescent="0.25">
      <c r="A620" t="s">
        <v>78</v>
      </c>
      <c r="B620" t="s">
        <v>287</v>
      </c>
      <c r="C620" t="s">
        <v>6133</v>
      </c>
      <c r="D620" t="s">
        <v>6132</v>
      </c>
      <c r="E620">
        <v>110.7</v>
      </c>
      <c r="F620">
        <v>113.5</v>
      </c>
      <c r="G620">
        <v>116.4</v>
      </c>
      <c r="H620">
        <v>105</v>
      </c>
      <c r="I620" s="1">
        <v>110.4</v>
      </c>
      <c r="J620">
        <v>25126650</v>
      </c>
      <c r="K620">
        <v>228000</v>
      </c>
      <c r="L620" t="s">
        <v>78</v>
      </c>
      <c r="M620" t="s">
        <v>17</v>
      </c>
      <c r="N620">
        <v>68</v>
      </c>
      <c r="O620">
        <v>162.75</v>
      </c>
      <c r="P620">
        <v>105</v>
      </c>
      <c r="Q620" s="1" t="str">
        <v/>
      </c>
      <c r="R620" s="1" t="str">
        <v/>
      </c>
      <c r="S620" s="3">
        <v>0</v>
      </c>
      <c r="T620" s="3">
        <v>0</v>
      </c>
    </row>
    <row r="621" spans="1:20" x14ac:dyDescent="0.25">
      <c r="A621" t="s">
        <v>78</v>
      </c>
      <c r="B621" t="s">
        <v>79</v>
      </c>
      <c r="C621" t="s">
        <v>893</v>
      </c>
      <c r="D621" t="s">
        <v>894</v>
      </c>
      <c r="E621">
        <v>21.13</v>
      </c>
      <c r="F621">
        <v>22</v>
      </c>
      <c r="G621">
        <v>22.4</v>
      </c>
      <c r="H621">
        <v>20.79</v>
      </c>
      <c r="I621" s="1">
        <v>20.92</v>
      </c>
      <c r="J621">
        <v>79999887.140000001</v>
      </c>
      <c r="K621">
        <v>3716062</v>
      </c>
      <c r="L621" t="s">
        <v>78</v>
      </c>
      <c r="M621" t="s">
        <v>17</v>
      </c>
      <c r="N621">
        <v>13033</v>
      </c>
      <c r="O621">
        <v>28.05</v>
      </c>
      <c r="P621">
        <v>11.8</v>
      </c>
      <c r="Q621" s="1">
        <v>16.45</v>
      </c>
      <c r="R621" s="1">
        <v>9.5</v>
      </c>
      <c r="S621" s="3">
        <v>2.0233660685954336E-2</v>
      </c>
      <c r="T621" s="3">
        <v>4.0237524581760997E-2</v>
      </c>
    </row>
    <row r="622" spans="1:20" x14ac:dyDescent="0.25">
      <c r="A622" t="s">
        <v>78</v>
      </c>
      <c r="B622" t="s">
        <v>79</v>
      </c>
      <c r="C622" t="s">
        <v>895</v>
      </c>
      <c r="D622" t="s">
        <v>896</v>
      </c>
      <c r="E622">
        <v>453.25</v>
      </c>
      <c r="F622">
        <v>454.6</v>
      </c>
      <c r="G622">
        <v>454.85</v>
      </c>
      <c r="H622">
        <v>445.1</v>
      </c>
      <c r="I622" s="1">
        <v>449.05</v>
      </c>
      <c r="J622">
        <v>7141622.8499999996</v>
      </c>
      <c r="K622">
        <v>15880</v>
      </c>
      <c r="L622" t="s">
        <v>78</v>
      </c>
      <c r="M622" t="s">
        <v>17</v>
      </c>
      <c r="N622">
        <v>1566</v>
      </c>
      <c r="O622">
        <v>724.95</v>
      </c>
      <c r="P622">
        <v>416.05</v>
      </c>
      <c r="Q622" s="1">
        <v>187</v>
      </c>
      <c r="R622" s="1" t="str">
        <v/>
      </c>
      <c r="S622" s="3">
        <v>7.5732833894304852E-2</v>
      </c>
      <c r="T622" s="3">
        <v>0</v>
      </c>
    </row>
    <row r="623" spans="1:20" x14ac:dyDescent="0.25">
      <c r="A623" t="s">
        <v>78</v>
      </c>
      <c r="B623" t="s">
        <v>79</v>
      </c>
      <c r="C623" t="s">
        <v>6131</v>
      </c>
      <c r="D623" t="s">
        <v>6130</v>
      </c>
      <c r="E623">
        <v>472.05</v>
      </c>
      <c r="F623">
        <v>470.15</v>
      </c>
      <c r="G623">
        <v>475</v>
      </c>
      <c r="H623">
        <v>467</v>
      </c>
      <c r="I623" s="1">
        <v>472.85</v>
      </c>
      <c r="J623">
        <v>73988459.599999994</v>
      </c>
      <c r="K623">
        <v>157247</v>
      </c>
      <c r="L623" t="s">
        <v>78</v>
      </c>
      <c r="M623" t="s">
        <v>17</v>
      </c>
      <c r="N623">
        <v>11882</v>
      </c>
      <c r="O623">
        <v>847</v>
      </c>
      <c r="P623">
        <v>440</v>
      </c>
      <c r="Q623" s="1" t="str">
        <v/>
      </c>
      <c r="R623" s="1" t="str">
        <v/>
      </c>
      <c r="S623" s="3">
        <v>0</v>
      </c>
      <c r="T623" s="3">
        <v>0</v>
      </c>
    </row>
    <row r="624" spans="1:20" x14ac:dyDescent="0.25">
      <c r="A624" t="s">
        <v>78</v>
      </c>
      <c r="B624" t="s">
        <v>287</v>
      </c>
      <c r="C624" t="s">
        <v>6129</v>
      </c>
      <c r="D624" t="s">
        <v>6128</v>
      </c>
      <c r="E624">
        <v>126</v>
      </c>
      <c r="F624">
        <v>123</v>
      </c>
      <c r="G624">
        <v>123</v>
      </c>
      <c r="H624">
        <v>123</v>
      </c>
      <c r="I624" s="1">
        <v>123</v>
      </c>
      <c r="J624">
        <v>98400</v>
      </c>
      <c r="K624">
        <v>800</v>
      </c>
      <c r="L624" t="s">
        <v>78</v>
      </c>
      <c r="M624" t="s">
        <v>17</v>
      </c>
      <c r="N624">
        <v>1</v>
      </c>
      <c r="O624">
        <v>151.1</v>
      </c>
      <c r="P624">
        <v>118.4</v>
      </c>
      <c r="Q624" s="1" t="str">
        <v/>
      </c>
      <c r="R624" s="1">
        <v>76</v>
      </c>
      <c r="S624" s="3">
        <v>0</v>
      </c>
      <c r="T624" s="3">
        <v>2.4351129291329432E-2</v>
      </c>
    </row>
    <row r="625" spans="1:20" x14ac:dyDescent="0.25">
      <c r="A625" t="s">
        <v>78</v>
      </c>
      <c r="B625" t="s">
        <v>79</v>
      </c>
      <c r="C625" t="s">
        <v>901</v>
      </c>
      <c r="D625" t="s">
        <v>902</v>
      </c>
      <c r="E625">
        <v>1313.65</v>
      </c>
      <c r="F625">
        <v>1300</v>
      </c>
      <c r="G625">
        <v>1309</v>
      </c>
      <c r="H625">
        <v>1265</v>
      </c>
      <c r="I625" s="1">
        <v>1282.25</v>
      </c>
      <c r="J625">
        <v>30360381.5</v>
      </c>
      <c r="K625">
        <v>23578</v>
      </c>
      <c r="L625" t="s">
        <v>78</v>
      </c>
      <c r="M625" t="s">
        <v>17</v>
      </c>
      <c r="N625">
        <v>2948</v>
      </c>
      <c r="O625">
        <v>1468.8</v>
      </c>
      <c r="P625">
        <v>515.1</v>
      </c>
      <c r="Q625" s="1">
        <v>148.65</v>
      </c>
      <c r="R625" s="1">
        <v>26.5</v>
      </c>
      <c r="S625" s="3">
        <v>0.19669639531140004</v>
      </c>
      <c r="T625" s="3">
        <v>0.21392040068010076</v>
      </c>
    </row>
    <row r="626" spans="1:20" x14ac:dyDescent="0.25">
      <c r="A626" t="s">
        <v>78</v>
      </c>
      <c r="B626" t="s">
        <v>79</v>
      </c>
      <c r="C626" t="s">
        <v>903</v>
      </c>
      <c r="D626" t="s">
        <v>904</v>
      </c>
      <c r="E626">
        <v>220.91</v>
      </c>
      <c r="F626">
        <v>221.15</v>
      </c>
      <c r="G626">
        <v>224.02</v>
      </c>
      <c r="H626">
        <v>218.3</v>
      </c>
      <c r="I626" s="1">
        <v>220.67</v>
      </c>
      <c r="J626">
        <v>2730091.81</v>
      </c>
      <c r="K626">
        <v>12396</v>
      </c>
      <c r="L626" t="s">
        <v>78</v>
      </c>
      <c r="M626" t="s">
        <v>17</v>
      </c>
      <c r="N626">
        <v>428</v>
      </c>
      <c r="O626">
        <v>275</v>
      </c>
      <c r="P626">
        <v>174.9</v>
      </c>
      <c r="Q626" s="1">
        <v>504.1</v>
      </c>
      <c r="R626" s="1">
        <v>179.35</v>
      </c>
      <c r="S626" s="3">
        <v>-6.65260206533973E-2</v>
      </c>
      <c r="T626" s="3">
        <v>1.0414640045523615E-2</v>
      </c>
    </row>
    <row r="627" spans="1:20" x14ac:dyDescent="0.25">
      <c r="A627" t="s">
        <v>78</v>
      </c>
      <c r="B627" t="s">
        <v>287</v>
      </c>
      <c r="C627" t="s">
        <v>6127</v>
      </c>
      <c r="D627" t="s">
        <v>6126</v>
      </c>
      <c r="E627">
        <v>224</v>
      </c>
      <c r="F627">
        <v>240</v>
      </c>
      <c r="G627">
        <v>242.45</v>
      </c>
      <c r="H627">
        <v>200.6</v>
      </c>
      <c r="I627" s="1">
        <v>207.2</v>
      </c>
      <c r="J627">
        <v>45181080</v>
      </c>
      <c r="K627">
        <v>196800</v>
      </c>
      <c r="L627" t="s">
        <v>78</v>
      </c>
      <c r="M627" t="s">
        <v>17</v>
      </c>
      <c r="N627">
        <v>157</v>
      </c>
      <c r="O627">
        <v>264.60000000000002</v>
      </c>
      <c r="P627">
        <v>194.1</v>
      </c>
      <c r="Q627" s="1" t="str">
        <v/>
      </c>
      <c r="R627" s="1" t="str">
        <v/>
      </c>
      <c r="S627" s="3">
        <v>0</v>
      </c>
      <c r="T627" s="3">
        <v>0</v>
      </c>
    </row>
    <row r="628" spans="1:20" x14ac:dyDescent="0.25">
      <c r="A628" t="s">
        <v>78</v>
      </c>
      <c r="B628" t="s">
        <v>287</v>
      </c>
      <c r="C628" t="s">
        <v>6125</v>
      </c>
      <c r="D628" t="s">
        <v>6124</v>
      </c>
      <c r="E628">
        <v>70</v>
      </c>
      <c r="F628">
        <v>72</v>
      </c>
      <c r="G628">
        <v>77</v>
      </c>
      <c r="H628">
        <v>70</v>
      </c>
      <c r="I628" s="1">
        <v>71.8</v>
      </c>
      <c r="J628">
        <v>30630000</v>
      </c>
      <c r="K628">
        <v>425000</v>
      </c>
      <c r="L628" t="s">
        <v>78</v>
      </c>
      <c r="M628" t="s">
        <v>17</v>
      </c>
      <c r="N628">
        <v>166</v>
      </c>
      <c r="O628">
        <v>90.45</v>
      </c>
      <c r="P628">
        <v>37.049999999999997</v>
      </c>
      <c r="Q628" s="1" t="str">
        <v/>
      </c>
      <c r="R628" s="1" t="str">
        <v/>
      </c>
      <c r="S628" s="3">
        <v>0</v>
      </c>
      <c r="T628" s="3">
        <v>0</v>
      </c>
    </row>
    <row r="629" spans="1:20" x14ac:dyDescent="0.25">
      <c r="A629" t="s">
        <v>78</v>
      </c>
      <c r="B629" t="s">
        <v>287</v>
      </c>
      <c r="C629" t="s">
        <v>6123</v>
      </c>
      <c r="D629" t="s">
        <v>6122</v>
      </c>
      <c r="E629">
        <v>78.599999999999994</v>
      </c>
      <c r="F629">
        <v>79.5</v>
      </c>
      <c r="G629">
        <v>79.5</v>
      </c>
      <c r="H629">
        <v>77</v>
      </c>
      <c r="I629" s="1">
        <v>78.099999999999994</v>
      </c>
      <c r="J629">
        <v>19381400</v>
      </c>
      <c r="K629">
        <v>248000</v>
      </c>
      <c r="L629" t="s">
        <v>78</v>
      </c>
      <c r="M629" t="s">
        <v>17</v>
      </c>
      <c r="N629">
        <v>109</v>
      </c>
      <c r="O629">
        <v>109</v>
      </c>
      <c r="P629">
        <v>77</v>
      </c>
      <c r="Q629" s="1" t="str">
        <v/>
      </c>
      <c r="R629" s="1" t="str">
        <v/>
      </c>
      <c r="S629" s="3">
        <v>0</v>
      </c>
      <c r="T629" s="3">
        <v>0</v>
      </c>
    </row>
    <row r="630" spans="1:20" x14ac:dyDescent="0.25">
      <c r="A630" t="s">
        <v>78</v>
      </c>
      <c r="B630" t="s">
        <v>79</v>
      </c>
      <c r="C630" t="s">
        <v>905</v>
      </c>
      <c r="D630" t="s">
        <v>906</v>
      </c>
      <c r="E630">
        <v>374.8</v>
      </c>
      <c r="F630">
        <v>375.2</v>
      </c>
      <c r="G630">
        <v>392.6</v>
      </c>
      <c r="H630">
        <v>370.4</v>
      </c>
      <c r="I630" s="1">
        <v>383.3</v>
      </c>
      <c r="J630">
        <v>56599417.850000001</v>
      </c>
      <c r="K630">
        <v>148137</v>
      </c>
      <c r="L630" t="s">
        <v>78</v>
      </c>
      <c r="M630" t="s">
        <v>17</v>
      </c>
      <c r="N630">
        <v>11300</v>
      </c>
      <c r="O630">
        <v>558.70000000000005</v>
      </c>
      <c r="P630">
        <v>247.35</v>
      </c>
      <c r="Q630" s="1">
        <v>296.14999999999998</v>
      </c>
      <c r="R630" s="1">
        <v>80.150000000000006</v>
      </c>
      <c r="S630" s="3">
        <v>2.1728694019900185E-2</v>
      </c>
      <c r="T630" s="3">
        <v>8.1342206891827029E-2</v>
      </c>
    </row>
    <row r="631" spans="1:20" x14ac:dyDescent="0.25">
      <c r="A631" t="s">
        <v>78</v>
      </c>
      <c r="B631" t="s">
        <v>79</v>
      </c>
      <c r="C631" t="s">
        <v>907</v>
      </c>
      <c r="D631" t="s">
        <v>908</v>
      </c>
      <c r="E631">
        <v>76.14</v>
      </c>
      <c r="F631">
        <v>76.25</v>
      </c>
      <c r="G631">
        <v>76.3</v>
      </c>
      <c r="H631">
        <v>74.7</v>
      </c>
      <c r="I631" s="1">
        <v>75.319999999999993</v>
      </c>
      <c r="J631">
        <v>99267177.769999996</v>
      </c>
      <c r="K631">
        <v>1317436</v>
      </c>
      <c r="L631" t="s">
        <v>78</v>
      </c>
      <c r="M631" t="s">
        <v>17</v>
      </c>
      <c r="N631">
        <v>9793</v>
      </c>
      <c r="O631">
        <v>109.8</v>
      </c>
      <c r="P631">
        <v>62</v>
      </c>
      <c r="Q631" s="1">
        <v>73.599999999999994</v>
      </c>
      <c r="R631" s="1">
        <v>23.9</v>
      </c>
      <c r="S631" s="3">
        <v>1.9269106153481097E-3</v>
      </c>
      <c r="T631" s="3">
        <v>5.9039040149066802E-2</v>
      </c>
    </row>
    <row r="632" spans="1:20" x14ac:dyDescent="0.25">
      <c r="A632" t="s">
        <v>78</v>
      </c>
      <c r="B632" t="s">
        <v>79</v>
      </c>
      <c r="C632" t="s">
        <v>6121</v>
      </c>
      <c r="D632" t="s">
        <v>6120</v>
      </c>
      <c r="E632">
        <v>605</v>
      </c>
      <c r="F632">
        <v>619.6</v>
      </c>
      <c r="G632">
        <v>619.6</v>
      </c>
      <c r="H632">
        <v>586</v>
      </c>
      <c r="I632" s="1">
        <v>590.70000000000005</v>
      </c>
      <c r="J632">
        <v>53560148.149999999</v>
      </c>
      <c r="K632">
        <v>89200</v>
      </c>
      <c r="L632" t="s">
        <v>78</v>
      </c>
      <c r="M632" t="s">
        <v>17</v>
      </c>
      <c r="N632">
        <v>5394</v>
      </c>
      <c r="O632">
        <v>680</v>
      </c>
      <c r="P632">
        <v>337.55</v>
      </c>
      <c r="Q632" s="1" t="str">
        <v/>
      </c>
      <c r="R632" s="1" t="str">
        <v/>
      </c>
      <c r="S632" s="3">
        <v>0</v>
      </c>
      <c r="T632" s="3">
        <v>0</v>
      </c>
    </row>
    <row r="633" spans="1:20" x14ac:dyDescent="0.25">
      <c r="A633" t="s">
        <v>78</v>
      </c>
      <c r="B633" t="s">
        <v>79</v>
      </c>
      <c r="C633" t="s">
        <v>909</v>
      </c>
      <c r="D633" t="s">
        <v>910</v>
      </c>
      <c r="E633">
        <v>6844.25</v>
      </c>
      <c r="F633">
        <v>6844.25</v>
      </c>
      <c r="G633">
        <v>6941.65</v>
      </c>
      <c r="H633">
        <v>6700</v>
      </c>
      <c r="I633" s="1">
        <v>6910.45</v>
      </c>
      <c r="J633">
        <v>159005611.15000001</v>
      </c>
      <c r="K633">
        <v>23114</v>
      </c>
      <c r="L633" t="s">
        <v>78</v>
      </c>
      <c r="M633" t="s">
        <v>17</v>
      </c>
      <c r="N633">
        <v>3093</v>
      </c>
      <c r="O633">
        <v>9082.9</v>
      </c>
      <c r="P633">
        <v>3600</v>
      </c>
      <c r="Q633" s="1">
        <v>1580</v>
      </c>
      <c r="R633" s="1">
        <v>1293</v>
      </c>
      <c r="S633" s="3">
        <v>0.13084765947333943</v>
      </c>
      <c r="T633" s="3">
        <v>8.7365271875089467E-2</v>
      </c>
    </row>
    <row r="634" spans="1:20" x14ac:dyDescent="0.25">
      <c r="A634" t="s">
        <v>78</v>
      </c>
      <c r="B634" t="s">
        <v>287</v>
      </c>
      <c r="C634" t="s">
        <v>6119</v>
      </c>
      <c r="D634" t="s">
        <v>6118</v>
      </c>
      <c r="E634">
        <v>303.55</v>
      </c>
      <c r="F634">
        <v>288.39999999999998</v>
      </c>
      <c r="G634">
        <v>288.39999999999998</v>
      </c>
      <c r="H634">
        <v>288.39999999999998</v>
      </c>
      <c r="I634" s="1">
        <v>288.39999999999998</v>
      </c>
      <c r="J634">
        <v>3172400</v>
      </c>
      <c r="K634">
        <v>11000</v>
      </c>
      <c r="L634" t="s">
        <v>78</v>
      </c>
      <c r="M634" t="s">
        <v>17</v>
      </c>
      <c r="N634">
        <v>11</v>
      </c>
      <c r="O634">
        <v>339.95</v>
      </c>
      <c r="P634">
        <v>27.9</v>
      </c>
      <c r="Q634" s="1" t="str">
        <v/>
      </c>
      <c r="R634" s="1" t="str">
        <v/>
      </c>
      <c r="S634" s="3">
        <v>0</v>
      </c>
      <c r="T634" s="3">
        <v>0</v>
      </c>
    </row>
    <row r="635" spans="1:20" x14ac:dyDescent="0.25">
      <c r="A635" t="s">
        <v>78</v>
      </c>
      <c r="B635" t="s">
        <v>79</v>
      </c>
      <c r="C635" t="s">
        <v>913</v>
      </c>
      <c r="D635" t="s">
        <v>914</v>
      </c>
      <c r="E635">
        <v>1611.55</v>
      </c>
      <c r="F635">
        <v>1692.1</v>
      </c>
      <c r="G635">
        <v>1692.1</v>
      </c>
      <c r="H635">
        <v>1692.1</v>
      </c>
      <c r="I635" s="1">
        <v>1692.1</v>
      </c>
      <c r="J635">
        <v>242706363.5</v>
      </c>
      <c r="K635">
        <v>143435</v>
      </c>
      <c r="L635" t="s">
        <v>78</v>
      </c>
      <c r="M635" t="s">
        <v>17</v>
      </c>
      <c r="N635">
        <v>2481</v>
      </c>
      <c r="O635">
        <v>2000</v>
      </c>
      <c r="P635">
        <v>321.2</v>
      </c>
      <c r="Q635" s="1">
        <v>42</v>
      </c>
      <c r="R635" s="1">
        <v>40</v>
      </c>
      <c r="S635" s="3">
        <v>0.36070734136087035</v>
      </c>
      <c r="T635" s="3">
        <v>0.20579580368680994</v>
      </c>
    </row>
    <row r="636" spans="1:20" x14ac:dyDescent="0.25">
      <c r="A636" t="s">
        <v>78</v>
      </c>
      <c r="B636" t="s">
        <v>79</v>
      </c>
      <c r="C636" t="s">
        <v>915</v>
      </c>
      <c r="D636" t="s">
        <v>916</v>
      </c>
      <c r="E636">
        <v>41.2</v>
      </c>
      <c r="F636">
        <v>41.1</v>
      </c>
      <c r="G636">
        <v>41.16</v>
      </c>
      <c r="H636">
        <v>40.6</v>
      </c>
      <c r="I636" s="1">
        <v>40.659999999999997</v>
      </c>
      <c r="J636">
        <v>177112332.13</v>
      </c>
      <c r="K636">
        <v>4336618</v>
      </c>
      <c r="L636" t="s">
        <v>78</v>
      </c>
      <c r="M636" t="s">
        <v>17</v>
      </c>
      <c r="N636">
        <v>20289</v>
      </c>
      <c r="O636">
        <v>54</v>
      </c>
      <c r="P636">
        <v>37</v>
      </c>
      <c r="Q636" s="1">
        <v>418</v>
      </c>
      <c r="R636" s="1" t="str">
        <v/>
      </c>
      <c r="S636" s="3">
        <v>-0.17649559920089564</v>
      </c>
      <c r="T636" s="3">
        <v>0</v>
      </c>
    </row>
    <row r="637" spans="1:20" x14ac:dyDescent="0.25">
      <c r="A637" t="s">
        <v>78</v>
      </c>
      <c r="B637" t="s">
        <v>79</v>
      </c>
      <c r="C637" t="s">
        <v>3114</v>
      </c>
      <c r="D637" t="s">
        <v>3115</v>
      </c>
      <c r="E637">
        <v>2497.5</v>
      </c>
      <c r="F637">
        <v>2475</v>
      </c>
      <c r="G637">
        <v>2503.65</v>
      </c>
      <c r="H637">
        <v>2441</v>
      </c>
      <c r="I637" s="1">
        <v>2476.1999999999998</v>
      </c>
      <c r="J637">
        <v>157356842.84999999</v>
      </c>
      <c r="K637">
        <v>63574</v>
      </c>
      <c r="L637" t="s">
        <v>78</v>
      </c>
      <c r="M637" t="s">
        <v>17</v>
      </c>
      <c r="N637">
        <v>5710</v>
      </c>
      <c r="O637">
        <v>2828</v>
      </c>
      <c r="P637">
        <v>1582</v>
      </c>
      <c r="Q637" s="1">
        <v>2220.0500000000002</v>
      </c>
      <c r="R637" s="1">
        <v>630</v>
      </c>
      <c r="S637" s="3">
        <v>9.1411447882607799E-3</v>
      </c>
      <c r="T637" s="3">
        <v>7.0794128726319849E-2</v>
      </c>
    </row>
    <row r="638" spans="1:20" x14ac:dyDescent="0.25">
      <c r="A638" t="s">
        <v>78</v>
      </c>
      <c r="B638" t="s">
        <v>79</v>
      </c>
      <c r="C638" t="s">
        <v>919</v>
      </c>
      <c r="D638" t="s">
        <v>920</v>
      </c>
      <c r="E638">
        <v>64.2</v>
      </c>
      <c r="F638">
        <v>64</v>
      </c>
      <c r="G638">
        <v>64.37</v>
      </c>
      <c r="H638">
        <v>62.73</v>
      </c>
      <c r="I638" s="1">
        <v>63.03</v>
      </c>
      <c r="J638">
        <v>158855162.18000001</v>
      </c>
      <c r="K638">
        <v>2515961</v>
      </c>
      <c r="L638" t="s">
        <v>78</v>
      </c>
      <c r="M638" t="s">
        <v>17</v>
      </c>
      <c r="N638">
        <v>28309</v>
      </c>
      <c r="O638">
        <v>87.8</v>
      </c>
      <c r="P638">
        <v>43.7</v>
      </c>
      <c r="Q638" s="1">
        <v>89.35</v>
      </c>
      <c r="R638" s="1">
        <v>151.6</v>
      </c>
      <c r="S638" s="3">
        <v>-2.8660471753206407E-2</v>
      </c>
      <c r="T638" s="3">
        <v>-4.2909860076127737E-2</v>
      </c>
    </row>
    <row r="639" spans="1:20" x14ac:dyDescent="0.25">
      <c r="A639" t="s">
        <v>78</v>
      </c>
      <c r="B639" t="s">
        <v>287</v>
      </c>
      <c r="C639" t="s">
        <v>6117</v>
      </c>
      <c r="D639" t="s">
        <v>6116</v>
      </c>
      <c r="E639">
        <v>223.25</v>
      </c>
      <c r="F639">
        <v>220</v>
      </c>
      <c r="G639">
        <v>220</v>
      </c>
      <c r="H639">
        <v>211.5</v>
      </c>
      <c r="I639" s="1">
        <v>213.25</v>
      </c>
      <c r="J639">
        <v>5312920</v>
      </c>
      <c r="K639">
        <v>24800</v>
      </c>
      <c r="L639" t="s">
        <v>78</v>
      </c>
      <c r="M639" t="s">
        <v>17</v>
      </c>
      <c r="N639">
        <v>31</v>
      </c>
      <c r="O639">
        <v>260</v>
      </c>
      <c r="P639">
        <v>112</v>
      </c>
      <c r="Q639" s="1" t="str">
        <v/>
      </c>
      <c r="R639" s="1" t="str">
        <v/>
      </c>
      <c r="S639" s="3">
        <v>0</v>
      </c>
      <c r="T639" s="3">
        <v>0</v>
      </c>
    </row>
    <row r="640" spans="1:20" x14ac:dyDescent="0.25">
      <c r="A640" t="s">
        <v>78</v>
      </c>
      <c r="B640" t="s">
        <v>287</v>
      </c>
      <c r="C640" t="s">
        <v>6115</v>
      </c>
      <c r="D640" t="s">
        <v>6114</v>
      </c>
      <c r="E640">
        <v>75.400000000000006</v>
      </c>
      <c r="F640">
        <v>75.95</v>
      </c>
      <c r="G640">
        <v>76.45</v>
      </c>
      <c r="H640">
        <v>74.400000000000006</v>
      </c>
      <c r="I640" s="1">
        <v>75.099999999999994</v>
      </c>
      <c r="J640">
        <v>3713400</v>
      </c>
      <c r="K640">
        <v>49200</v>
      </c>
      <c r="L640" t="s">
        <v>78</v>
      </c>
      <c r="M640" t="s">
        <v>17</v>
      </c>
      <c r="N640">
        <v>37</v>
      </c>
      <c r="O640">
        <v>152</v>
      </c>
      <c r="P640">
        <v>70.75</v>
      </c>
      <c r="Q640" s="1" t="str">
        <v/>
      </c>
      <c r="R640" s="1" t="str">
        <v/>
      </c>
      <c r="S640" s="3">
        <v>0</v>
      </c>
      <c r="T640" s="3">
        <v>0</v>
      </c>
    </row>
    <row r="641" spans="1:20" x14ac:dyDescent="0.25">
      <c r="A641" t="s">
        <v>78</v>
      </c>
      <c r="B641" t="s">
        <v>79</v>
      </c>
      <c r="C641" t="s">
        <v>921</v>
      </c>
      <c r="D641" t="s">
        <v>922</v>
      </c>
      <c r="E641">
        <v>793.75</v>
      </c>
      <c r="F641">
        <v>793.6</v>
      </c>
      <c r="G641">
        <v>804.95</v>
      </c>
      <c r="H641">
        <v>783.05</v>
      </c>
      <c r="I641" s="1">
        <v>796.3</v>
      </c>
      <c r="J641">
        <v>719241653.29999995</v>
      </c>
      <c r="K641">
        <v>904153</v>
      </c>
      <c r="L641" t="s">
        <v>78</v>
      </c>
      <c r="M641" t="s">
        <v>17</v>
      </c>
      <c r="N641">
        <v>20209</v>
      </c>
      <c r="O641">
        <v>833</v>
      </c>
      <c r="P641">
        <v>452.7</v>
      </c>
      <c r="Q641" s="1">
        <v>411.15</v>
      </c>
      <c r="R641" s="1">
        <v>157.55000000000001</v>
      </c>
      <c r="S641" s="3">
        <v>5.6630238464147942E-2</v>
      </c>
      <c r="T641" s="3">
        <v>8.4335428366079324E-2</v>
      </c>
    </row>
    <row r="642" spans="1:20" x14ac:dyDescent="0.25">
      <c r="A642" t="s">
        <v>78</v>
      </c>
      <c r="B642" t="s">
        <v>79</v>
      </c>
      <c r="C642" t="s">
        <v>6113</v>
      </c>
      <c r="D642" t="s">
        <v>6112</v>
      </c>
      <c r="E642">
        <v>150.94</v>
      </c>
      <c r="F642">
        <v>153.25</v>
      </c>
      <c r="G642">
        <v>154.03</v>
      </c>
      <c r="H642">
        <v>149.22</v>
      </c>
      <c r="I642" s="1">
        <v>151.65</v>
      </c>
      <c r="J642">
        <v>9444262.0299999993</v>
      </c>
      <c r="K642">
        <v>62673</v>
      </c>
      <c r="L642" t="s">
        <v>78</v>
      </c>
      <c r="M642" t="s">
        <v>17</v>
      </c>
      <c r="N642">
        <v>1926</v>
      </c>
      <c r="O642">
        <v>168.85</v>
      </c>
      <c r="P642">
        <v>124</v>
      </c>
      <c r="Q642" s="1" t="str">
        <v/>
      </c>
      <c r="R642" s="1">
        <v>111.8</v>
      </c>
      <c r="S642" s="3">
        <v>0</v>
      </c>
      <c r="T642" s="3">
        <v>1.5351477512857814E-2</v>
      </c>
    </row>
    <row r="643" spans="1:20" x14ac:dyDescent="0.25">
      <c r="A643" t="s">
        <v>78</v>
      </c>
      <c r="B643" t="s">
        <v>79</v>
      </c>
      <c r="C643" t="s">
        <v>923</v>
      </c>
      <c r="D643" t="s">
        <v>924</v>
      </c>
      <c r="E643">
        <v>917.5</v>
      </c>
      <c r="F643">
        <v>917.5</v>
      </c>
      <c r="G643">
        <v>928.95</v>
      </c>
      <c r="H643">
        <v>884.7</v>
      </c>
      <c r="I643" s="1">
        <v>887.45</v>
      </c>
      <c r="J643">
        <v>46503815.950000003</v>
      </c>
      <c r="K643">
        <v>51816</v>
      </c>
      <c r="L643" t="s">
        <v>78</v>
      </c>
      <c r="M643" t="s">
        <v>17</v>
      </c>
      <c r="N643">
        <v>5196</v>
      </c>
      <c r="O643">
        <v>992.45</v>
      </c>
      <c r="P643">
        <v>413.8</v>
      </c>
      <c r="Q643" s="1">
        <v>332.5</v>
      </c>
      <c r="R643" s="1">
        <v>305</v>
      </c>
      <c r="S643" s="3">
        <v>8.52488984055777E-2</v>
      </c>
      <c r="T643" s="3">
        <v>5.4822783296592625E-2</v>
      </c>
    </row>
    <row r="644" spans="1:20" x14ac:dyDescent="0.25">
      <c r="A644" t="s">
        <v>78</v>
      </c>
      <c r="B644" t="s">
        <v>79</v>
      </c>
      <c r="C644" t="s">
        <v>925</v>
      </c>
      <c r="D644" t="s">
        <v>926</v>
      </c>
      <c r="E644">
        <v>414.5</v>
      </c>
      <c r="F644">
        <v>418.65</v>
      </c>
      <c r="G644">
        <v>420</v>
      </c>
      <c r="H644">
        <v>407.6</v>
      </c>
      <c r="I644" s="1">
        <v>410.2</v>
      </c>
      <c r="J644">
        <v>195883935.94999999</v>
      </c>
      <c r="K644">
        <v>475134</v>
      </c>
      <c r="L644" t="s">
        <v>78</v>
      </c>
      <c r="M644" t="s">
        <v>17</v>
      </c>
      <c r="N644">
        <v>22053</v>
      </c>
      <c r="O644">
        <v>502.2</v>
      </c>
      <c r="P644">
        <v>205.05</v>
      </c>
      <c r="Q644" s="1">
        <v>113.2</v>
      </c>
      <c r="R644" s="1">
        <v>165.6</v>
      </c>
      <c r="S644" s="3">
        <v>0.11325785746062511</v>
      </c>
      <c r="T644" s="3">
        <v>4.6371685689768238E-2</v>
      </c>
    </row>
    <row r="645" spans="1:20" x14ac:dyDescent="0.25">
      <c r="A645" t="s">
        <v>78</v>
      </c>
      <c r="B645" t="s">
        <v>79</v>
      </c>
      <c r="C645" t="s">
        <v>3116</v>
      </c>
      <c r="D645" t="s">
        <v>3117</v>
      </c>
      <c r="E645">
        <v>156.93</v>
      </c>
      <c r="F645">
        <v>156.6</v>
      </c>
      <c r="G645">
        <v>156.6</v>
      </c>
      <c r="H645">
        <v>148.9</v>
      </c>
      <c r="I645" s="1">
        <v>151.54</v>
      </c>
      <c r="J645">
        <v>233715080.68000001</v>
      </c>
      <c r="K645">
        <v>1540654</v>
      </c>
      <c r="L645" t="s">
        <v>78</v>
      </c>
      <c r="M645" t="s">
        <v>17</v>
      </c>
      <c r="N645">
        <v>28867</v>
      </c>
      <c r="O645">
        <v>179</v>
      </c>
      <c r="P645">
        <v>107</v>
      </c>
      <c r="Q645" s="1">
        <v>96.4</v>
      </c>
      <c r="R645" s="1">
        <v>19.7</v>
      </c>
      <c r="S645" s="3">
        <v>3.8414763667235396E-2</v>
      </c>
      <c r="T645" s="3">
        <v>0.10733439680276802</v>
      </c>
    </row>
    <row r="646" spans="1:20" x14ac:dyDescent="0.25">
      <c r="A646" t="s">
        <v>78</v>
      </c>
      <c r="B646" t="s">
        <v>79</v>
      </c>
      <c r="C646" t="s">
        <v>6111</v>
      </c>
      <c r="D646" t="s">
        <v>6110</v>
      </c>
      <c r="E646">
        <v>1009.5</v>
      </c>
      <c r="F646">
        <v>1010.15</v>
      </c>
      <c r="G646">
        <v>1029.6500000000001</v>
      </c>
      <c r="H646">
        <v>977.7</v>
      </c>
      <c r="I646" s="1">
        <v>986.75</v>
      </c>
      <c r="J646">
        <v>1598973.15</v>
      </c>
      <c r="K646">
        <v>1598</v>
      </c>
      <c r="L646" t="s">
        <v>78</v>
      </c>
      <c r="M646" t="s">
        <v>17</v>
      </c>
      <c r="N646">
        <v>420</v>
      </c>
      <c r="O646">
        <v>1175</v>
      </c>
      <c r="P646">
        <v>668.6</v>
      </c>
      <c r="Q646" s="1" t="str">
        <v/>
      </c>
      <c r="R646" s="1" t="str">
        <v/>
      </c>
      <c r="S646" s="3">
        <v>0</v>
      </c>
      <c r="T646" s="3">
        <v>0</v>
      </c>
    </row>
    <row r="647" spans="1:20" x14ac:dyDescent="0.25">
      <c r="A647" t="s">
        <v>78</v>
      </c>
      <c r="B647" t="s">
        <v>79</v>
      </c>
      <c r="C647" t="s">
        <v>929</v>
      </c>
      <c r="D647" t="s">
        <v>930</v>
      </c>
      <c r="E647">
        <v>1305.8</v>
      </c>
      <c r="F647">
        <v>1092.05</v>
      </c>
      <c r="G647">
        <v>1318</v>
      </c>
      <c r="H647">
        <v>1092.05</v>
      </c>
      <c r="I647" s="1">
        <v>1280.7</v>
      </c>
      <c r="J647">
        <v>3555054755.4000001</v>
      </c>
      <c r="K647">
        <v>2867273</v>
      </c>
      <c r="L647" t="s">
        <v>78</v>
      </c>
      <c r="M647" t="s">
        <v>17</v>
      </c>
      <c r="N647">
        <v>142634</v>
      </c>
      <c r="O647">
        <v>1409</v>
      </c>
      <c r="P647">
        <v>692.15</v>
      </c>
      <c r="Q647" s="1">
        <v>137</v>
      </c>
      <c r="R647" s="1">
        <v>38.5</v>
      </c>
      <c r="S647" s="3">
        <v>0.20474159068803854</v>
      </c>
      <c r="T647" s="3">
        <v>0.19140017230276962</v>
      </c>
    </row>
    <row r="648" spans="1:20" x14ac:dyDescent="0.25">
      <c r="A648" t="s">
        <v>78</v>
      </c>
      <c r="B648" t="s">
        <v>79</v>
      </c>
      <c r="C648" t="s">
        <v>931</v>
      </c>
      <c r="D648" t="s">
        <v>932</v>
      </c>
      <c r="E648">
        <v>194.06</v>
      </c>
      <c r="F648">
        <v>194</v>
      </c>
      <c r="G648">
        <v>194</v>
      </c>
      <c r="H648">
        <v>186</v>
      </c>
      <c r="I648" s="1">
        <v>188.49</v>
      </c>
      <c r="J648">
        <v>520858828.56</v>
      </c>
      <c r="K648">
        <v>2746321</v>
      </c>
      <c r="L648" t="s">
        <v>78</v>
      </c>
      <c r="M648" t="s">
        <v>17</v>
      </c>
      <c r="N648">
        <v>25282</v>
      </c>
      <c r="O648">
        <v>208</v>
      </c>
      <c r="P648">
        <v>54.15</v>
      </c>
      <c r="Q648" s="1">
        <v>37</v>
      </c>
      <c r="R648" s="1">
        <v>14.8</v>
      </c>
      <c r="S648" s="3">
        <v>0.14531218847919725</v>
      </c>
      <c r="T648" s="3">
        <v>0.13558872490994522</v>
      </c>
    </row>
    <row r="649" spans="1:20" x14ac:dyDescent="0.25">
      <c r="A649" t="s">
        <v>78</v>
      </c>
      <c r="B649" t="s">
        <v>79</v>
      </c>
      <c r="C649" t="s">
        <v>935</v>
      </c>
      <c r="D649" t="s">
        <v>936</v>
      </c>
      <c r="E649">
        <v>701.85</v>
      </c>
      <c r="F649">
        <v>702</v>
      </c>
      <c r="G649">
        <v>704.55</v>
      </c>
      <c r="H649">
        <v>678.15</v>
      </c>
      <c r="I649" s="1">
        <v>680.6</v>
      </c>
      <c r="J649">
        <v>104365265.8</v>
      </c>
      <c r="K649">
        <v>152161</v>
      </c>
      <c r="L649" t="s">
        <v>78</v>
      </c>
      <c r="M649" t="s">
        <v>17</v>
      </c>
      <c r="N649">
        <v>13141</v>
      </c>
      <c r="O649">
        <v>798.95</v>
      </c>
      <c r="P649">
        <v>463</v>
      </c>
      <c r="Q649" s="1">
        <v>208.1</v>
      </c>
      <c r="R649" s="1">
        <v>259.10000000000002</v>
      </c>
      <c r="S649" s="3">
        <v>0.10378627289631814</v>
      </c>
      <c r="T649" s="3">
        <v>4.9445142746449955E-2</v>
      </c>
    </row>
    <row r="650" spans="1:20" x14ac:dyDescent="0.25">
      <c r="A650" t="s">
        <v>78</v>
      </c>
      <c r="B650" t="s">
        <v>79</v>
      </c>
      <c r="C650" t="s">
        <v>6109</v>
      </c>
      <c r="D650" t="s">
        <v>6108</v>
      </c>
      <c r="E650">
        <v>200.7</v>
      </c>
      <c r="F650">
        <v>200.7</v>
      </c>
      <c r="G650">
        <v>200.7</v>
      </c>
      <c r="H650">
        <v>193.51</v>
      </c>
      <c r="I650" s="1">
        <v>194.25</v>
      </c>
      <c r="J650">
        <v>45778304.350000001</v>
      </c>
      <c r="K650">
        <v>233162</v>
      </c>
      <c r="L650" t="s">
        <v>78</v>
      </c>
      <c r="M650" t="s">
        <v>17</v>
      </c>
      <c r="N650">
        <v>7989</v>
      </c>
      <c r="O650">
        <v>221.8</v>
      </c>
      <c r="P650">
        <v>129.30000000000001</v>
      </c>
      <c r="Q650" s="1" t="str">
        <v/>
      </c>
      <c r="R650" s="1" t="str">
        <v/>
      </c>
      <c r="S650" s="3">
        <v>0</v>
      </c>
      <c r="T650" s="3">
        <v>0</v>
      </c>
    </row>
    <row r="651" spans="1:20" x14ac:dyDescent="0.25">
      <c r="A651" t="s">
        <v>78</v>
      </c>
      <c r="B651" t="s">
        <v>79</v>
      </c>
      <c r="C651" t="s">
        <v>939</v>
      </c>
      <c r="D651" t="s">
        <v>940</v>
      </c>
      <c r="E651">
        <v>773.2</v>
      </c>
      <c r="F651">
        <v>779</v>
      </c>
      <c r="G651">
        <v>812.7</v>
      </c>
      <c r="H651">
        <v>771.85</v>
      </c>
      <c r="I651" s="1">
        <v>791.9</v>
      </c>
      <c r="J651">
        <v>2236957205</v>
      </c>
      <c r="K651">
        <v>2796690</v>
      </c>
      <c r="L651" t="s">
        <v>78</v>
      </c>
      <c r="M651" t="s">
        <v>17</v>
      </c>
      <c r="N651">
        <v>109455</v>
      </c>
      <c r="O651">
        <v>812.7</v>
      </c>
      <c r="P651">
        <v>410</v>
      </c>
      <c r="Q651" s="1">
        <v>532.25</v>
      </c>
      <c r="R651" s="1">
        <v>318</v>
      </c>
      <c r="S651" s="3">
        <v>3.36643926059772E-2</v>
      </c>
      <c r="T651" s="3">
        <v>4.6649598335631648E-2</v>
      </c>
    </row>
    <row r="652" spans="1:20" x14ac:dyDescent="0.25">
      <c r="A652" t="s">
        <v>78</v>
      </c>
      <c r="B652" t="s">
        <v>79</v>
      </c>
      <c r="C652" t="s">
        <v>941</v>
      </c>
      <c r="D652" t="s">
        <v>942</v>
      </c>
      <c r="E652">
        <v>143.71</v>
      </c>
      <c r="F652">
        <v>144.9</v>
      </c>
      <c r="G652">
        <v>146.9</v>
      </c>
      <c r="H652">
        <v>136.4</v>
      </c>
      <c r="I652" s="1">
        <v>141.09</v>
      </c>
      <c r="J652">
        <v>23854741.350000001</v>
      </c>
      <c r="K652">
        <v>167246</v>
      </c>
      <c r="L652" t="s">
        <v>78</v>
      </c>
      <c r="M652" t="s">
        <v>17</v>
      </c>
      <c r="N652">
        <v>2337</v>
      </c>
      <c r="O652">
        <v>151.9</v>
      </c>
      <c r="P652">
        <v>100.55</v>
      </c>
      <c r="Q652" s="1">
        <v>160</v>
      </c>
      <c r="R652" s="1">
        <v>67.900000000000006</v>
      </c>
      <c r="S652" s="3">
        <v>-1.0426581598867113E-2</v>
      </c>
      <c r="T652" s="3">
        <v>3.7224163390811915E-2</v>
      </c>
    </row>
    <row r="653" spans="1:20" x14ac:dyDescent="0.25">
      <c r="A653" t="s">
        <v>78</v>
      </c>
      <c r="B653" t="s">
        <v>79</v>
      </c>
      <c r="C653" t="s">
        <v>943</v>
      </c>
      <c r="D653" t="s">
        <v>944</v>
      </c>
      <c r="E653">
        <v>98.83</v>
      </c>
      <c r="F653">
        <v>99.16</v>
      </c>
      <c r="G653">
        <v>99.24</v>
      </c>
      <c r="H653">
        <v>97.17</v>
      </c>
      <c r="I653" s="1">
        <v>97.53</v>
      </c>
      <c r="J653">
        <v>3404901.39</v>
      </c>
      <c r="K653">
        <v>34809</v>
      </c>
      <c r="L653" t="s">
        <v>78</v>
      </c>
      <c r="M653" t="s">
        <v>17</v>
      </c>
      <c r="N653">
        <v>587</v>
      </c>
      <c r="O653">
        <v>152.15</v>
      </c>
      <c r="P653">
        <v>64</v>
      </c>
      <c r="Q653" s="1">
        <v>80.8</v>
      </c>
      <c r="R653" s="1">
        <v>52.65</v>
      </c>
      <c r="S653" s="3">
        <v>1.5805528069475772E-2</v>
      </c>
      <c r="T653" s="3">
        <v>3.1287279910287014E-2</v>
      </c>
    </row>
    <row r="654" spans="1:20" x14ac:dyDescent="0.25">
      <c r="A654" t="s">
        <v>78</v>
      </c>
      <c r="B654" t="s">
        <v>618</v>
      </c>
      <c r="C654" t="s">
        <v>945</v>
      </c>
      <c r="D654" t="s">
        <v>946</v>
      </c>
      <c r="E654">
        <v>361.98</v>
      </c>
      <c r="F654">
        <v>361.75</v>
      </c>
      <c r="G654">
        <v>365.5</v>
      </c>
      <c r="H654">
        <v>359.7</v>
      </c>
      <c r="I654" s="1">
        <v>364.37</v>
      </c>
      <c r="J654">
        <v>726663365.60000002</v>
      </c>
      <c r="K654">
        <v>2005131</v>
      </c>
      <c r="L654" t="s">
        <v>78</v>
      </c>
      <c r="M654" t="s">
        <v>17</v>
      </c>
      <c r="N654">
        <v>9631</v>
      </c>
      <c r="O654">
        <v>399</v>
      </c>
      <c r="P654">
        <v>284</v>
      </c>
      <c r="Q654" s="1">
        <v>354.4</v>
      </c>
      <c r="R654" s="1">
        <v>370.2</v>
      </c>
      <c r="S654" s="3">
        <v>2.3146426716200708E-3</v>
      </c>
      <c r="T654" s="3">
        <v>-7.9292907421535386E-4</v>
      </c>
    </row>
    <row r="655" spans="1:20" x14ac:dyDescent="0.25">
      <c r="A655" t="s">
        <v>78</v>
      </c>
      <c r="B655" t="s">
        <v>79</v>
      </c>
      <c r="C655" t="s">
        <v>6107</v>
      </c>
      <c r="D655" t="s">
        <v>6106</v>
      </c>
      <c r="E655">
        <v>138.05000000000001</v>
      </c>
      <c r="F655">
        <v>138.1</v>
      </c>
      <c r="G655">
        <v>138.19999999999999</v>
      </c>
      <c r="H655">
        <v>134.21</v>
      </c>
      <c r="I655" s="1">
        <v>134.72</v>
      </c>
      <c r="J655">
        <v>606210392.94000006</v>
      </c>
      <c r="K655">
        <v>4476651</v>
      </c>
      <c r="L655" t="s">
        <v>78</v>
      </c>
      <c r="M655" t="s">
        <v>17</v>
      </c>
      <c r="N655">
        <v>24821</v>
      </c>
      <c r="O655">
        <v>164.36</v>
      </c>
      <c r="P655">
        <v>61.7</v>
      </c>
      <c r="Q655" s="1" t="str">
        <v/>
      </c>
      <c r="R655" s="1" t="str">
        <v/>
      </c>
      <c r="S655" s="3">
        <v>0</v>
      </c>
      <c r="T655" s="3">
        <v>0</v>
      </c>
    </row>
    <row r="656" spans="1:20" x14ac:dyDescent="0.25">
      <c r="A656" t="s">
        <v>78</v>
      </c>
      <c r="B656" t="s">
        <v>79</v>
      </c>
      <c r="C656" t="s">
        <v>6105</v>
      </c>
      <c r="D656" t="s">
        <v>6104</v>
      </c>
      <c r="E656">
        <v>1362.35</v>
      </c>
      <c r="F656">
        <v>1360.05</v>
      </c>
      <c r="G656">
        <v>1379</v>
      </c>
      <c r="H656">
        <v>1349.5</v>
      </c>
      <c r="I656" s="1">
        <v>1368.5</v>
      </c>
      <c r="J656">
        <v>421286420.39999998</v>
      </c>
      <c r="K656">
        <v>309066</v>
      </c>
      <c r="L656" t="s">
        <v>78</v>
      </c>
      <c r="M656" t="s">
        <v>17</v>
      </c>
      <c r="N656">
        <v>23510</v>
      </c>
      <c r="O656">
        <v>1408.7</v>
      </c>
      <c r="P656">
        <v>1325.05</v>
      </c>
      <c r="Q656" s="1" t="str">
        <v/>
      </c>
      <c r="R656" s="1" t="str">
        <v/>
      </c>
      <c r="S656" s="3">
        <v>0</v>
      </c>
      <c r="T656" s="3">
        <v>0</v>
      </c>
    </row>
    <row r="657" spans="1:20" x14ac:dyDescent="0.25">
      <c r="A657" t="s">
        <v>78</v>
      </c>
      <c r="B657" t="s">
        <v>79</v>
      </c>
      <c r="C657" t="s">
        <v>6103</v>
      </c>
      <c r="D657" t="s">
        <v>6102</v>
      </c>
      <c r="E657">
        <v>222.75</v>
      </c>
      <c r="F657">
        <v>222.69</v>
      </c>
      <c r="G657">
        <v>227.6</v>
      </c>
      <c r="H657">
        <v>218.34</v>
      </c>
      <c r="I657" s="1">
        <v>223.08</v>
      </c>
      <c r="J657">
        <v>97870114.75</v>
      </c>
      <c r="K657">
        <v>436822</v>
      </c>
      <c r="L657" t="s">
        <v>78</v>
      </c>
      <c r="M657" t="s">
        <v>17</v>
      </c>
      <c r="N657">
        <v>10665</v>
      </c>
      <c r="O657">
        <v>262</v>
      </c>
      <c r="P657">
        <v>88.5</v>
      </c>
      <c r="Q657" s="1" t="str">
        <v/>
      </c>
      <c r="R657" s="1" t="str">
        <v/>
      </c>
      <c r="S657" s="3">
        <v>0</v>
      </c>
      <c r="T657" s="3">
        <v>0</v>
      </c>
    </row>
    <row r="658" spans="1:20" x14ac:dyDescent="0.25">
      <c r="A658" t="s">
        <v>78</v>
      </c>
      <c r="B658" t="s">
        <v>287</v>
      </c>
      <c r="C658" t="s">
        <v>949</v>
      </c>
      <c r="D658" t="s">
        <v>950</v>
      </c>
      <c r="E658">
        <v>884</v>
      </c>
      <c r="F658">
        <v>910.85</v>
      </c>
      <c r="G658">
        <v>910.85</v>
      </c>
      <c r="H658">
        <v>884</v>
      </c>
      <c r="I658" s="1">
        <v>884</v>
      </c>
      <c r="J658">
        <v>538455</v>
      </c>
      <c r="K658">
        <v>600</v>
      </c>
      <c r="L658" t="s">
        <v>78</v>
      </c>
      <c r="M658" t="s">
        <v>17</v>
      </c>
      <c r="N658">
        <v>2</v>
      </c>
      <c r="O658">
        <v>1111</v>
      </c>
      <c r="P658">
        <v>360</v>
      </c>
      <c r="Q658" s="1">
        <v>177.35</v>
      </c>
      <c r="R658" s="1" t="str">
        <v/>
      </c>
      <c r="S658" s="3">
        <v>0.14323388779070534</v>
      </c>
      <c r="T658" s="3">
        <v>0</v>
      </c>
    </row>
    <row r="659" spans="1:20" x14ac:dyDescent="0.25">
      <c r="A659" t="s">
        <v>78</v>
      </c>
      <c r="B659" t="s">
        <v>79</v>
      </c>
      <c r="C659" t="s">
        <v>951</v>
      </c>
      <c r="D659" t="s">
        <v>952</v>
      </c>
      <c r="E659">
        <v>108.34</v>
      </c>
      <c r="F659">
        <v>108.34</v>
      </c>
      <c r="G659">
        <v>109.8</v>
      </c>
      <c r="H659">
        <v>106.02</v>
      </c>
      <c r="I659" s="1">
        <v>106.99</v>
      </c>
      <c r="J659">
        <v>16257310.560000001</v>
      </c>
      <c r="K659">
        <v>150702</v>
      </c>
      <c r="L659" t="s">
        <v>78</v>
      </c>
      <c r="M659" t="s">
        <v>17</v>
      </c>
      <c r="N659">
        <v>2690</v>
      </c>
      <c r="O659">
        <v>138.80000000000001</v>
      </c>
      <c r="P659">
        <v>82.85</v>
      </c>
      <c r="Q659" s="1">
        <v>106.2</v>
      </c>
      <c r="R659" s="1">
        <v>139</v>
      </c>
      <c r="S659" s="3">
        <v>6.1779603596545662E-4</v>
      </c>
      <c r="T659" s="3">
        <v>-1.2994592713577724E-2</v>
      </c>
    </row>
    <row r="660" spans="1:20" x14ac:dyDescent="0.25">
      <c r="A660" t="s">
        <v>78</v>
      </c>
      <c r="B660" t="s">
        <v>287</v>
      </c>
      <c r="C660" t="s">
        <v>6101</v>
      </c>
      <c r="D660" t="s">
        <v>6100</v>
      </c>
      <c r="E660">
        <v>348.05</v>
      </c>
      <c r="F660">
        <v>355.5</v>
      </c>
      <c r="G660">
        <v>355.5</v>
      </c>
      <c r="H660">
        <v>337.95</v>
      </c>
      <c r="I660" s="1">
        <v>342.2</v>
      </c>
      <c r="J660">
        <v>10696000</v>
      </c>
      <c r="K660">
        <v>31000</v>
      </c>
      <c r="L660" t="s">
        <v>78</v>
      </c>
      <c r="M660" t="s">
        <v>17</v>
      </c>
      <c r="N660">
        <v>30</v>
      </c>
      <c r="O660">
        <v>467.8</v>
      </c>
      <c r="P660">
        <v>290</v>
      </c>
      <c r="Q660" s="1" t="str">
        <v/>
      </c>
      <c r="R660" s="1" t="str">
        <v/>
      </c>
      <c r="S660" s="3">
        <v>0</v>
      </c>
      <c r="T660" s="3">
        <v>0</v>
      </c>
    </row>
    <row r="661" spans="1:20" x14ac:dyDescent="0.25">
      <c r="A661" t="s">
        <v>78</v>
      </c>
      <c r="B661" t="s">
        <v>79</v>
      </c>
      <c r="C661" t="s">
        <v>6099</v>
      </c>
      <c r="D661" t="s">
        <v>6098</v>
      </c>
      <c r="E661">
        <v>674.65</v>
      </c>
      <c r="F661">
        <v>675</v>
      </c>
      <c r="G661">
        <v>675</v>
      </c>
      <c r="H661">
        <v>646.04999999999995</v>
      </c>
      <c r="I661" s="1">
        <v>655.25</v>
      </c>
      <c r="J661">
        <v>203122841.65000001</v>
      </c>
      <c r="K661">
        <v>309228</v>
      </c>
      <c r="L661" t="s">
        <v>78</v>
      </c>
      <c r="M661" t="s">
        <v>17</v>
      </c>
      <c r="N661">
        <v>17554</v>
      </c>
      <c r="O661">
        <v>713</v>
      </c>
      <c r="P661">
        <v>246.5</v>
      </c>
      <c r="Q661" s="1" t="str">
        <v/>
      </c>
      <c r="R661" s="1" t="str">
        <v/>
      </c>
      <c r="S661" s="3">
        <v>0</v>
      </c>
      <c r="T661" s="3">
        <v>0</v>
      </c>
    </row>
    <row r="662" spans="1:20" x14ac:dyDescent="0.25">
      <c r="A662" t="s">
        <v>78</v>
      </c>
      <c r="B662" t="s">
        <v>79</v>
      </c>
      <c r="C662" t="s">
        <v>6097</v>
      </c>
      <c r="D662" t="s">
        <v>6096</v>
      </c>
      <c r="E662">
        <v>886.8</v>
      </c>
      <c r="F662">
        <v>880</v>
      </c>
      <c r="G662">
        <v>884.95</v>
      </c>
      <c r="H662">
        <v>865</v>
      </c>
      <c r="I662" s="1">
        <v>869.6</v>
      </c>
      <c r="J662">
        <v>138502319.59999999</v>
      </c>
      <c r="K662">
        <v>158903</v>
      </c>
      <c r="L662" t="s">
        <v>78</v>
      </c>
      <c r="M662" t="s">
        <v>17</v>
      </c>
      <c r="N662">
        <v>11208</v>
      </c>
      <c r="O662">
        <v>921</v>
      </c>
      <c r="P662">
        <v>415</v>
      </c>
      <c r="Q662" s="1" t="str">
        <v/>
      </c>
      <c r="R662" s="1" t="str">
        <v/>
      </c>
      <c r="S662" s="3">
        <v>0</v>
      </c>
      <c r="T662" s="3">
        <v>0</v>
      </c>
    </row>
    <row r="663" spans="1:20" x14ac:dyDescent="0.25">
      <c r="A663" t="s">
        <v>78</v>
      </c>
      <c r="B663" t="s">
        <v>79</v>
      </c>
      <c r="C663" t="s">
        <v>953</v>
      </c>
      <c r="D663" t="s">
        <v>954</v>
      </c>
      <c r="E663">
        <v>2577.35</v>
      </c>
      <c r="F663">
        <v>2589.9</v>
      </c>
      <c r="G663">
        <v>2758</v>
      </c>
      <c r="H663">
        <v>2545</v>
      </c>
      <c r="I663" s="1">
        <v>2668.3</v>
      </c>
      <c r="J663">
        <v>1174823396.95</v>
      </c>
      <c r="K663">
        <v>439076</v>
      </c>
      <c r="L663" t="s">
        <v>78</v>
      </c>
      <c r="M663" t="s">
        <v>17</v>
      </c>
      <c r="N663">
        <v>61638</v>
      </c>
      <c r="O663">
        <v>3061.3</v>
      </c>
      <c r="P663">
        <v>1540.05</v>
      </c>
      <c r="Q663" s="1">
        <v>1613</v>
      </c>
      <c r="R663" s="1">
        <v>950</v>
      </c>
      <c r="S663" s="3">
        <v>4.2837622247039242E-2</v>
      </c>
      <c r="T663" s="3">
        <v>5.2963389124205396E-2</v>
      </c>
    </row>
    <row r="664" spans="1:20" x14ac:dyDescent="0.25">
      <c r="A664" t="s">
        <v>78</v>
      </c>
      <c r="B664" t="s">
        <v>79</v>
      </c>
      <c r="C664" t="s">
        <v>955</v>
      </c>
      <c r="D664" t="s">
        <v>956</v>
      </c>
      <c r="E664">
        <v>25.29</v>
      </c>
      <c r="F664">
        <v>25.45</v>
      </c>
      <c r="G664">
        <v>25.98</v>
      </c>
      <c r="H664">
        <v>24.71</v>
      </c>
      <c r="I664" s="1">
        <v>25.26</v>
      </c>
      <c r="J664">
        <v>3645345.83</v>
      </c>
      <c r="K664">
        <v>144404</v>
      </c>
      <c r="L664" t="s">
        <v>78</v>
      </c>
      <c r="M664" t="s">
        <v>17</v>
      </c>
      <c r="N664">
        <v>1152</v>
      </c>
      <c r="O664">
        <v>36.799999999999997</v>
      </c>
      <c r="P664">
        <v>15.6</v>
      </c>
      <c r="Q664" s="1">
        <v>11.65</v>
      </c>
      <c r="R664" s="1">
        <v>5.6</v>
      </c>
      <c r="S664" s="3">
        <v>6.6618106284045187E-2</v>
      </c>
      <c r="T664" s="3">
        <v>7.8187645809891571E-2</v>
      </c>
    </row>
    <row r="665" spans="1:20" x14ac:dyDescent="0.25">
      <c r="A665" t="s">
        <v>78</v>
      </c>
      <c r="B665" t="s">
        <v>79</v>
      </c>
      <c r="C665" t="s">
        <v>957</v>
      </c>
      <c r="D665" t="s">
        <v>958</v>
      </c>
      <c r="E665">
        <v>281.45</v>
      </c>
      <c r="F665">
        <v>281.45</v>
      </c>
      <c r="G665">
        <v>283.39999999999998</v>
      </c>
      <c r="H665">
        <v>267.05</v>
      </c>
      <c r="I665" s="1">
        <v>268.2</v>
      </c>
      <c r="J665">
        <v>2618866969.6500001</v>
      </c>
      <c r="K665">
        <v>9658187</v>
      </c>
      <c r="L665" t="s">
        <v>78</v>
      </c>
      <c r="M665" t="s">
        <v>17</v>
      </c>
      <c r="N665">
        <v>81234</v>
      </c>
      <c r="O665">
        <v>303.89999999999998</v>
      </c>
      <c r="P665">
        <v>116.45</v>
      </c>
      <c r="Q665" s="1">
        <v>76.599999999999994</v>
      </c>
      <c r="R665" s="1">
        <v>104.3</v>
      </c>
      <c r="S665" s="3">
        <v>0.1100754557589918</v>
      </c>
      <c r="T665" s="3">
        <v>4.8328738988927977E-2</v>
      </c>
    </row>
    <row r="666" spans="1:20" x14ac:dyDescent="0.25">
      <c r="A666" t="s">
        <v>78</v>
      </c>
      <c r="B666" t="s">
        <v>79</v>
      </c>
      <c r="C666" t="s">
        <v>959</v>
      </c>
      <c r="D666" t="s">
        <v>960</v>
      </c>
      <c r="E666">
        <v>245.4</v>
      </c>
      <c r="F666">
        <v>245</v>
      </c>
      <c r="G666">
        <v>247.83</v>
      </c>
      <c r="H666">
        <v>238</v>
      </c>
      <c r="I666" s="1">
        <v>246.21</v>
      </c>
      <c r="J666">
        <v>11457831.76</v>
      </c>
      <c r="K666">
        <v>47065</v>
      </c>
      <c r="L666" t="s">
        <v>78</v>
      </c>
      <c r="M666" t="s">
        <v>17</v>
      </c>
      <c r="N666">
        <v>2919</v>
      </c>
      <c r="O666">
        <v>358.8</v>
      </c>
      <c r="P666">
        <v>132.5</v>
      </c>
      <c r="Q666" s="1">
        <v>184.05</v>
      </c>
      <c r="R666" s="1">
        <v>395.25</v>
      </c>
      <c r="S666" s="3">
        <v>2.4544490401243957E-2</v>
      </c>
      <c r="T666" s="3">
        <v>-2.3376164800958055E-2</v>
      </c>
    </row>
    <row r="667" spans="1:20" x14ac:dyDescent="0.25">
      <c r="A667" t="s">
        <v>78</v>
      </c>
      <c r="B667" t="s">
        <v>287</v>
      </c>
      <c r="C667" t="s">
        <v>6095</v>
      </c>
      <c r="D667" t="s">
        <v>6094</v>
      </c>
      <c r="E667">
        <v>203.2</v>
      </c>
      <c r="F667">
        <v>210.4</v>
      </c>
      <c r="G667">
        <v>213.35</v>
      </c>
      <c r="H667">
        <v>206.5</v>
      </c>
      <c r="I667" s="1">
        <v>213.3</v>
      </c>
      <c r="J667">
        <v>27915900</v>
      </c>
      <c r="K667">
        <v>132000</v>
      </c>
      <c r="L667" t="s">
        <v>78</v>
      </c>
      <c r="M667" t="s">
        <v>17</v>
      </c>
      <c r="N667">
        <v>60</v>
      </c>
      <c r="O667">
        <v>213.35</v>
      </c>
      <c r="P667">
        <v>62</v>
      </c>
      <c r="Q667" s="1" t="str">
        <v/>
      </c>
      <c r="R667" s="1" t="str">
        <v/>
      </c>
      <c r="S667" s="3">
        <v>0</v>
      </c>
      <c r="T667" s="3">
        <v>0</v>
      </c>
    </row>
    <row r="668" spans="1:20" x14ac:dyDescent="0.25">
      <c r="A668" t="s">
        <v>78</v>
      </c>
      <c r="B668" t="s">
        <v>79</v>
      </c>
      <c r="C668" t="s">
        <v>6093</v>
      </c>
      <c r="D668" t="s">
        <v>6092</v>
      </c>
      <c r="E668">
        <v>1145.8</v>
      </c>
      <c r="F668">
        <v>1135</v>
      </c>
      <c r="G668">
        <v>1156</v>
      </c>
      <c r="H668">
        <v>1129.7</v>
      </c>
      <c r="I668" s="1">
        <v>1150.3</v>
      </c>
      <c r="J668">
        <v>36624251.600000001</v>
      </c>
      <c r="K668">
        <v>31959</v>
      </c>
      <c r="L668" t="s">
        <v>78</v>
      </c>
      <c r="M668" t="s">
        <v>17</v>
      </c>
      <c r="N668">
        <v>3841</v>
      </c>
      <c r="O668">
        <v>1258</v>
      </c>
      <c r="P668">
        <v>970</v>
      </c>
      <c r="Q668" s="1" t="str">
        <v/>
      </c>
      <c r="R668" s="1" t="str">
        <v/>
      </c>
      <c r="S668" s="3">
        <v>0</v>
      </c>
      <c r="T668" s="3">
        <v>0</v>
      </c>
    </row>
    <row r="669" spans="1:20" x14ac:dyDescent="0.25">
      <c r="A669" t="s">
        <v>78</v>
      </c>
      <c r="B669" t="s">
        <v>79</v>
      </c>
      <c r="C669" t="s">
        <v>6091</v>
      </c>
      <c r="D669" t="s">
        <v>6090</v>
      </c>
      <c r="E669">
        <v>252.29</v>
      </c>
      <c r="F669">
        <v>253.89</v>
      </c>
      <c r="G669">
        <v>257.38</v>
      </c>
      <c r="H669">
        <v>250</v>
      </c>
      <c r="I669" s="1">
        <v>253.61</v>
      </c>
      <c r="J669">
        <v>133537576.04000001</v>
      </c>
      <c r="K669">
        <v>526185</v>
      </c>
      <c r="L669" t="s">
        <v>78</v>
      </c>
      <c r="M669" t="s">
        <v>17</v>
      </c>
      <c r="N669">
        <v>7686</v>
      </c>
      <c r="O669">
        <v>269.27999999999997</v>
      </c>
      <c r="P669">
        <v>150.6</v>
      </c>
      <c r="Q669" s="1" t="str">
        <v/>
      </c>
      <c r="R669" s="1" t="str">
        <v/>
      </c>
      <c r="S669" s="3">
        <v>0</v>
      </c>
      <c r="T669" s="3">
        <v>0</v>
      </c>
    </row>
    <row r="670" spans="1:20" x14ac:dyDescent="0.25">
      <c r="A670" t="s">
        <v>78</v>
      </c>
      <c r="B670" t="s">
        <v>79</v>
      </c>
      <c r="C670" t="s">
        <v>6089</v>
      </c>
      <c r="D670" t="s">
        <v>6088</v>
      </c>
      <c r="E670">
        <v>1442.85</v>
      </c>
      <c r="F670">
        <v>1433</v>
      </c>
      <c r="G670">
        <v>1470</v>
      </c>
      <c r="H670">
        <v>1422.5</v>
      </c>
      <c r="I670" s="1">
        <v>1436.55</v>
      </c>
      <c r="J670">
        <v>83550149.400000006</v>
      </c>
      <c r="K670">
        <v>58001</v>
      </c>
      <c r="L670" t="s">
        <v>78</v>
      </c>
      <c r="M670" t="s">
        <v>17</v>
      </c>
      <c r="N670">
        <v>7561</v>
      </c>
      <c r="O670">
        <v>1584</v>
      </c>
      <c r="P670">
        <v>862.05</v>
      </c>
      <c r="Q670" s="1" t="str">
        <v/>
      </c>
      <c r="R670" s="1" t="str">
        <v/>
      </c>
      <c r="S670" s="3">
        <v>0</v>
      </c>
      <c r="T670" s="3">
        <v>0</v>
      </c>
    </row>
    <row r="671" spans="1:20" x14ac:dyDescent="0.25">
      <c r="A671" t="s">
        <v>78</v>
      </c>
      <c r="B671" t="s">
        <v>79</v>
      </c>
      <c r="C671" t="s">
        <v>961</v>
      </c>
      <c r="D671" t="s">
        <v>962</v>
      </c>
      <c r="E671">
        <v>232.24</v>
      </c>
      <c r="F671">
        <v>233.1</v>
      </c>
      <c r="G671">
        <v>238.78</v>
      </c>
      <c r="H671">
        <v>222.2</v>
      </c>
      <c r="I671" s="1">
        <v>224.17</v>
      </c>
      <c r="J671">
        <v>345913606.81999999</v>
      </c>
      <c r="K671">
        <v>1504290</v>
      </c>
      <c r="L671" t="s">
        <v>78</v>
      </c>
      <c r="M671" t="s">
        <v>17</v>
      </c>
      <c r="N671">
        <v>25641</v>
      </c>
      <c r="O671">
        <v>241.9</v>
      </c>
      <c r="P671">
        <v>169.6</v>
      </c>
      <c r="Q671" s="1">
        <v>244</v>
      </c>
      <c r="R671" s="1" t="str">
        <v/>
      </c>
      <c r="S671" s="3">
        <v>-7.0387389434694025E-3</v>
      </c>
      <c r="T671" s="3">
        <v>0</v>
      </c>
    </row>
    <row r="672" spans="1:20" x14ac:dyDescent="0.25">
      <c r="A672" t="s">
        <v>78</v>
      </c>
      <c r="B672" t="s">
        <v>79</v>
      </c>
      <c r="C672" t="s">
        <v>965</v>
      </c>
      <c r="D672" t="s">
        <v>966</v>
      </c>
      <c r="E672">
        <v>91.47</v>
      </c>
      <c r="F672">
        <v>91.47</v>
      </c>
      <c r="G672">
        <v>91.94</v>
      </c>
      <c r="H672">
        <v>89.74</v>
      </c>
      <c r="I672" s="1">
        <v>90.11</v>
      </c>
      <c r="J672">
        <v>380577781.16000003</v>
      </c>
      <c r="K672">
        <v>4220988</v>
      </c>
      <c r="L672" t="s">
        <v>78</v>
      </c>
      <c r="M672" t="s">
        <v>17</v>
      </c>
      <c r="N672">
        <v>39414</v>
      </c>
      <c r="O672">
        <v>116.5</v>
      </c>
      <c r="P672">
        <v>82.1</v>
      </c>
      <c r="Q672" s="1">
        <v>65.25</v>
      </c>
      <c r="R672" s="1" t="str">
        <v/>
      </c>
      <c r="S672" s="3">
        <v>2.7265507711407677E-2</v>
      </c>
      <c r="T672" s="3">
        <v>0</v>
      </c>
    </row>
    <row r="673" spans="1:20" x14ac:dyDescent="0.25">
      <c r="A673" t="s">
        <v>78</v>
      </c>
      <c r="B673" t="s">
        <v>79</v>
      </c>
      <c r="C673" t="s">
        <v>967</v>
      </c>
      <c r="D673" t="s">
        <v>968</v>
      </c>
      <c r="E673">
        <v>1015.45</v>
      </c>
      <c r="F673">
        <v>1027.75</v>
      </c>
      <c r="G673">
        <v>1039.8499999999999</v>
      </c>
      <c r="H673">
        <v>1014.05</v>
      </c>
      <c r="I673" s="1">
        <v>1026.5999999999999</v>
      </c>
      <c r="J673">
        <v>257605301.19999999</v>
      </c>
      <c r="K673">
        <v>250685</v>
      </c>
      <c r="L673" t="s">
        <v>78</v>
      </c>
      <c r="M673" t="s">
        <v>17</v>
      </c>
      <c r="N673">
        <v>14523</v>
      </c>
      <c r="O673">
        <v>1090</v>
      </c>
      <c r="P673">
        <v>714</v>
      </c>
      <c r="Q673" s="1">
        <v>752.3</v>
      </c>
      <c r="R673" s="1">
        <v>419.05</v>
      </c>
      <c r="S673" s="3">
        <v>2.624451711546727E-2</v>
      </c>
      <c r="T673" s="3">
        <v>4.5793926564384524E-2</v>
      </c>
    </row>
    <row r="674" spans="1:20" x14ac:dyDescent="0.25">
      <c r="A674" t="s">
        <v>78</v>
      </c>
      <c r="B674" t="s">
        <v>79</v>
      </c>
      <c r="C674" t="s">
        <v>969</v>
      </c>
      <c r="D674" t="s">
        <v>970</v>
      </c>
      <c r="E674">
        <v>18.96</v>
      </c>
      <c r="F674">
        <v>18.899999999999999</v>
      </c>
      <c r="G674">
        <v>19.170000000000002</v>
      </c>
      <c r="H674">
        <v>18.690000000000001</v>
      </c>
      <c r="I674" s="1">
        <v>18.850000000000001</v>
      </c>
      <c r="J674">
        <v>6373791.7300000004</v>
      </c>
      <c r="K674">
        <v>337251</v>
      </c>
      <c r="L674" t="s">
        <v>78</v>
      </c>
      <c r="M674" t="s">
        <v>17</v>
      </c>
      <c r="N674">
        <v>1642</v>
      </c>
      <c r="O674">
        <v>29.4</v>
      </c>
      <c r="P674">
        <v>17</v>
      </c>
      <c r="Q674" s="1">
        <v>23.8</v>
      </c>
      <c r="R674" s="1">
        <v>14.25</v>
      </c>
      <c r="S674" s="3">
        <v>-1.9243489438997785E-2</v>
      </c>
      <c r="T674" s="3">
        <v>1.4078319151481722E-2</v>
      </c>
    </row>
    <row r="675" spans="1:20" x14ac:dyDescent="0.25">
      <c r="A675" t="s">
        <v>78</v>
      </c>
      <c r="B675" t="s">
        <v>79</v>
      </c>
      <c r="C675" t="s">
        <v>971</v>
      </c>
      <c r="D675" t="s">
        <v>972</v>
      </c>
      <c r="E675">
        <v>6316.85</v>
      </c>
      <c r="F675">
        <v>6330</v>
      </c>
      <c r="G675">
        <v>6999</v>
      </c>
      <c r="H675">
        <v>6316.85</v>
      </c>
      <c r="I675" s="1">
        <v>6634.5</v>
      </c>
      <c r="J675">
        <v>805136152.14999998</v>
      </c>
      <c r="K675">
        <v>118967</v>
      </c>
      <c r="L675" t="s">
        <v>78</v>
      </c>
      <c r="M675" t="s">
        <v>17</v>
      </c>
      <c r="N675">
        <v>34333</v>
      </c>
      <c r="O675">
        <v>6999</v>
      </c>
      <c r="P675">
        <v>4349.95</v>
      </c>
      <c r="Q675" s="1">
        <v>1895</v>
      </c>
      <c r="R675" s="1">
        <v>1045</v>
      </c>
      <c r="S675" s="3">
        <v>0.11006884845773368</v>
      </c>
      <c r="T675" s="3">
        <v>9.6762558199203763E-2</v>
      </c>
    </row>
    <row r="676" spans="1:20" x14ac:dyDescent="0.25">
      <c r="A676" t="s">
        <v>78</v>
      </c>
      <c r="B676" t="s">
        <v>79</v>
      </c>
      <c r="C676" t="s">
        <v>6087</v>
      </c>
      <c r="D676" t="s">
        <v>6086</v>
      </c>
      <c r="E676">
        <v>51.64</v>
      </c>
      <c r="F676">
        <v>51.7</v>
      </c>
      <c r="G676">
        <v>52.42</v>
      </c>
      <c r="H676">
        <v>51.41</v>
      </c>
      <c r="I676" s="1">
        <v>51.54</v>
      </c>
      <c r="J676">
        <v>47465219.670000002</v>
      </c>
      <c r="K676">
        <v>917068</v>
      </c>
      <c r="L676" t="s">
        <v>78</v>
      </c>
      <c r="M676" t="s">
        <v>17</v>
      </c>
      <c r="N676">
        <v>10923</v>
      </c>
      <c r="O676">
        <v>82.4</v>
      </c>
      <c r="P676">
        <v>49</v>
      </c>
      <c r="Q676" s="1" t="str">
        <v/>
      </c>
      <c r="R676" s="1" t="str">
        <v/>
      </c>
      <c r="S676" s="3">
        <v>0</v>
      </c>
      <c r="T676" s="3">
        <v>0</v>
      </c>
    </row>
    <row r="677" spans="1:20" x14ac:dyDescent="0.25">
      <c r="A677" t="s">
        <v>78</v>
      </c>
      <c r="B677" t="s">
        <v>79</v>
      </c>
      <c r="C677" t="s">
        <v>973</v>
      </c>
      <c r="D677" t="s">
        <v>6085</v>
      </c>
      <c r="E677">
        <v>4025.6</v>
      </c>
      <c r="F677">
        <v>4040</v>
      </c>
      <c r="G677">
        <v>4050.95</v>
      </c>
      <c r="H677">
        <v>3885.3</v>
      </c>
      <c r="I677" s="1">
        <v>3993.05</v>
      </c>
      <c r="J677">
        <v>1787578501.0999999</v>
      </c>
      <c r="K677">
        <v>453179</v>
      </c>
      <c r="L677" t="s">
        <v>78</v>
      </c>
      <c r="M677" t="s">
        <v>17</v>
      </c>
      <c r="N677">
        <v>41070</v>
      </c>
      <c r="O677">
        <v>4409.55</v>
      </c>
      <c r="P677">
        <v>2310.3000000000002</v>
      </c>
      <c r="Q677" s="1">
        <v>1184.4000000000001</v>
      </c>
      <c r="R677" s="1">
        <v>505.4</v>
      </c>
      <c r="S677" s="3">
        <v>0.10658266477539513</v>
      </c>
      <c r="T677" s="3">
        <v>0.10881449677143262</v>
      </c>
    </row>
    <row r="678" spans="1:20" x14ac:dyDescent="0.25">
      <c r="A678" t="s">
        <v>78</v>
      </c>
      <c r="B678" t="s">
        <v>287</v>
      </c>
      <c r="C678" t="s">
        <v>6084</v>
      </c>
      <c r="D678" t="s">
        <v>6083</v>
      </c>
      <c r="E678">
        <v>162.6</v>
      </c>
      <c r="F678">
        <v>162.6</v>
      </c>
      <c r="G678">
        <v>162.6</v>
      </c>
      <c r="H678">
        <v>158.1</v>
      </c>
      <c r="I678" s="1">
        <v>159.94999999999999</v>
      </c>
      <c r="J678">
        <v>8945520</v>
      </c>
      <c r="K678">
        <v>55800</v>
      </c>
      <c r="L678" t="s">
        <v>78</v>
      </c>
      <c r="M678" t="s">
        <v>17</v>
      </c>
      <c r="N678">
        <v>67</v>
      </c>
      <c r="O678">
        <v>247.85</v>
      </c>
      <c r="P678">
        <v>124.05</v>
      </c>
      <c r="Q678" s="1" t="str">
        <v/>
      </c>
      <c r="R678" s="1" t="str">
        <v/>
      </c>
      <c r="S678" s="3">
        <v>0</v>
      </c>
      <c r="T678" s="3">
        <v>0</v>
      </c>
    </row>
    <row r="679" spans="1:20" x14ac:dyDescent="0.25">
      <c r="A679" t="s">
        <v>78</v>
      </c>
      <c r="B679" t="s">
        <v>79</v>
      </c>
      <c r="C679" t="s">
        <v>975</v>
      </c>
      <c r="D679" t="s">
        <v>976</v>
      </c>
      <c r="E679">
        <v>111.42</v>
      </c>
      <c r="F679">
        <v>111.5</v>
      </c>
      <c r="G679">
        <v>112.01</v>
      </c>
      <c r="H679">
        <v>107.01</v>
      </c>
      <c r="I679" s="1">
        <v>109.48</v>
      </c>
      <c r="J679">
        <v>24258691.649999999</v>
      </c>
      <c r="K679">
        <v>221673</v>
      </c>
      <c r="L679" t="s">
        <v>78</v>
      </c>
      <c r="M679" t="s">
        <v>17</v>
      </c>
      <c r="N679">
        <v>4818</v>
      </c>
      <c r="O679">
        <v>132.44999999999999</v>
      </c>
      <c r="P679">
        <v>81.900000000000006</v>
      </c>
      <c r="Q679" s="1">
        <v>143.05000000000001</v>
      </c>
      <c r="R679" s="1">
        <v>26.9</v>
      </c>
      <c r="S679" s="3">
        <v>-2.2041158912291969E-2</v>
      </c>
      <c r="T679" s="3">
        <v>7.2660859065663663E-2</v>
      </c>
    </row>
    <row r="680" spans="1:20" x14ac:dyDescent="0.25">
      <c r="A680" t="s">
        <v>78</v>
      </c>
      <c r="B680" t="s">
        <v>79</v>
      </c>
      <c r="C680" t="s">
        <v>6082</v>
      </c>
      <c r="D680" t="s">
        <v>6081</v>
      </c>
      <c r="E680">
        <v>2820.8</v>
      </c>
      <c r="F680">
        <v>2831.9</v>
      </c>
      <c r="G680">
        <v>2865.9</v>
      </c>
      <c r="H680">
        <v>2755</v>
      </c>
      <c r="I680" s="1">
        <v>2838.2</v>
      </c>
      <c r="J680">
        <v>74937106.25</v>
      </c>
      <c r="K680">
        <v>26587</v>
      </c>
      <c r="L680" t="s">
        <v>78</v>
      </c>
      <c r="M680" t="s">
        <v>17</v>
      </c>
      <c r="N680">
        <v>5392</v>
      </c>
      <c r="O680">
        <v>3044</v>
      </c>
      <c r="P680">
        <v>1385.1</v>
      </c>
      <c r="Q680" s="1" t="str">
        <v/>
      </c>
      <c r="R680" s="1" t="str">
        <v/>
      </c>
      <c r="S680" s="3">
        <v>0</v>
      </c>
      <c r="T680" s="3">
        <v>0</v>
      </c>
    </row>
    <row r="681" spans="1:20" x14ac:dyDescent="0.25">
      <c r="A681" t="s">
        <v>78</v>
      </c>
      <c r="B681" t="s">
        <v>287</v>
      </c>
      <c r="C681" t="s">
        <v>6080</v>
      </c>
      <c r="D681" t="s">
        <v>6079</v>
      </c>
      <c r="E681">
        <v>205</v>
      </c>
      <c r="F681">
        <v>201</v>
      </c>
      <c r="G681">
        <v>201</v>
      </c>
      <c r="H681">
        <v>200</v>
      </c>
      <c r="I681" s="1">
        <v>200.5</v>
      </c>
      <c r="J681">
        <v>2203650</v>
      </c>
      <c r="K681">
        <v>11000</v>
      </c>
      <c r="L681" t="s">
        <v>78</v>
      </c>
      <c r="M681" t="s">
        <v>17</v>
      </c>
      <c r="N681">
        <v>10</v>
      </c>
      <c r="O681">
        <v>230</v>
      </c>
      <c r="P681">
        <v>117.65</v>
      </c>
      <c r="Q681" s="1" t="str">
        <v/>
      </c>
      <c r="R681" s="1" t="str">
        <v/>
      </c>
      <c r="S681" s="3">
        <v>0</v>
      </c>
      <c r="T681" s="3">
        <v>0</v>
      </c>
    </row>
    <row r="682" spans="1:20" x14ac:dyDescent="0.25">
      <c r="A682" t="s">
        <v>78</v>
      </c>
      <c r="B682" t="s">
        <v>79</v>
      </c>
      <c r="C682" t="s">
        <v>3120</v>
      </c>
      <c r="D682" t="s">
        <v>6078</v>
      </c>
      <c r="E682">
        <v>15.65</v>
      </c>
      <c r="F682">
        <v>14.91</v>
      </c>
      <c r="G682">
        <v>15.77</v>
      </c>
      <c r="H682">
        <v>14.86</v>
      </c>
      <c r="I682" s="1">
        <v>15.04</v>
      </c>
      <c r="J682">
        <v>204731.72</v>
      </c>
      <c r="K682">
        <v>13568</v>
      </c>
      <c r="L682" t="s">
        <v>78</v>
      </c>
      <c r="M682" t="s">
        <v>17</v>
      </c>
      <c r="N682">
        <v>68</v>
      </c>
      <c r="O682">
        <v>22.05</v>
      </c>
      <c r="P682">
        <v>10</v>
      </c>
      <c r="Q682" s="1">
        <v>8.85</v>
      </c>
      <c r="R682" s="1">
        <v>12</v>
      </c>
      <c r="S682" s="3">
        <v>4.5182301737306974E-2</v>
      </c>
      <c r="T682" s="3">
        <v>1.1348056514480787E-2</v>
      </c>
    </row>
    <row r="683" spans="1:20" x14ac:dyDescent="0.25">
      <c r="A683" t="s">
        <v>78</v>
      </c>
      <c r="B683" t="s">
        <v>79</v>
      </c>
      <c r="C683" t="s">
        <v>977</v>
      </c>
      <c r="D683" t="s">
        <v>978</v>
      </c>
      <c r="E683">
        <v>378.25</v>
      </c>
      <c r="F683">
        <v>378.3</v>
      </c>
      <c r="G683">
        <v>407.9</v>
      </c>
      <c r="H683">
        <v>375</v>
      </c>
      <c r="I683" s="1">
        <v>402.6</v>
      </c>
      <c r="J683">
        <v>492488319.94999999</v>
      </c>
      <c r="K683">
        <v>1246191</v>
      </c>
      <c r="L683" t="s">
        <v>78</v>
      </c>
      <c r="M683" t="s">
        <v>17</v>
      </c>
      <c r="N683">
        <v>32015</v>
      </c>
      <c r="O683">
        <v>441.9</v>
      </c>
      <c r="P683">
        <v>295.05</v>
      </c>
      <c r="Q683" s="1">
        <v>308</v>
      </c>
      <c r="R683" s="1">
        <v>69.25</v>
      </c>
      <c r="S683" s="3">
        <v>2.2571272694901223E-2</v>
      </c>
      <c r="T683" s="3">
        <v>9.1947522229591128E-2</v>
      </c>
    </row>
    <row r="684" spans="1:20" x14ac:dyDescent="0.25">
      <c r="A684" t="s">
        <v>78</v>
      </c>
      <c r="B684" t="s">
        <v>79</v>
      </c>
      <c r="C684" t="s">
        <v>979</v>
      </c>
      <c r="D684" t="s">
        <v>980</v>
      </c>
      <c r="E684">
        <v>1243.55</v>
      </c>
      <c r="F684">
        <v>1240</v>
      </c>
      <c r="G684">
        <v>1244.8499999999999</v>
      </c>
      <c r="H684">
        <v>1185.55</v>
      </c>
      <c r="I684" s="1">
        <v>1199.7</v>
      </c>
      <c r="J684">
        <v>27926669.399999999</v>
      </c>
      <c r="K684">
        <v>23190</v>
      </c>
      <c r="L684" t="s">
        <v>78</v>
      </c>
      <c r="M684" t="s">
        <v>17</v>
      </c>
      <c r="N684">
        <v>3577</v>
      </c>
      <c r="O684">
        <v>1450.95</v>
      </c>
      <c r="P684">
        <v>840</v>
      </c>
      <c r="Q684" s="1">
        <v>406</v>
      </c>
      <c r="R684" s="1">
        <v>355</v>
      </c>
      <c r="S684" s="3">
        <v>9.4491060630209622E-2</v>
      </c>
      <c r="T684" s="3">
        <v>6.2741730641753701E-2</v>
      </c>
    </row>
    <row r="685" spans="1:20" x14ac:dyDescent="0.25">
      <c r="A685" t="s">
        <v>78</v>
      </c>
      <c r="B685" t="s">
        <v>79</v>
      </c>
      <c r="C685" t="s">
        <v>981</v>
      </c>
      <c r="D685" t="s">
        <v>982</v>
      </c>
      <c r="E685">
        <v>1153.8499999999999</v>
      </c>
      <c r="F685">
        <v>1177</v>
      </c>
      <c r="G685">
        <v>1184.7</v>
      </c>
      <c r="H685">
        <v>1126.25</v>
      </c>
      <c r="I685" s="1">
        <v>1134.45</v>
      </c>
      <c r="J685">
        <v>78904643.5</v>
      </c>
      <c r="K685">
        <v>68694</v>
      </c>
      <c r="L685" t="s">
        <v>78</v>
      </c>
      <c r="M685" t="s">
        <v>17</v>
      </c>
      <c r="N685">
        <v>8983</v>
      </c>
      <c r="O685">
        <v>1264.2</v>
      </c>
      <c r="P685">
        <v>699.8</v>
      </c>
      <c r="Q685" s="1">
        <v>1200</v>
      </c>
      <c r="R685" s="1">
        <v>877.1</v>
      </c>
      <c r="S685" s="3">
        <v>-4.6701943036135951E-3</v>
      </c>
      <c r="T685" s="3">
        <v>1.294007346898951E-2</v>
      </c>
    </row>
    <row r="686" spans="1:20" x14ac:dyDescent="0.25">
      <c r="A686" t="s">
        <v>78</v>
      </c>
      <c r="B686" t="s">
        <v>79</v>
      </c>
      <c r="C686" t="s">
        <v>983</v>
      </c>
      <c r="D686" t="s">
        <v>984</v>
      </c>
      <c r="E686">
        <v>556.6</v>
      </c>
      <c r="F686">
        <v>556.6</v>
      </c>
      <c r="G686">
        <v>557.35</v>
      </c>
      <c r="H686">
        <v>547.54999999999995</v>
      </c>
      <c r="I686" s="1">
        <v>555.70000000000005</v>
      </c>
      <c r="J686">
        <v>1809958153.9000001</v>
      </c>
      <c r="K686">
        <v>3274009</v>
      </c>
      <c r="L686" t="s">
        <v>78</v>
      </c>
      <c r="M686" t="s">
        <v>17</v>
      </c>
      <c r="N686">
        <v>64493</v>
      </c>
      <c r="O686">
        <v>620.35</v>
      </c>
      <c r="P686">
        <v>241.7</v>
      </c>
      <c r="Q686" s="1">
        <v>181.15</v>
      </c>
      <c r="R686" s="1">
        <v>186.4</v>
      </c>
      <c r="S686" s="3">
        <v>9.7910246368108078E-2</v>
      </c>
      <c r="T686" s="3">
        <v>5.6104114120222093E-2</v>
      </c>
    </row>
    <row r="687" spans="1:20" x14ac:dyDescent="0.25">
      <c r="A687" t="s">
        <v>78</v>
      </c>
      <c r="B687" t="s">
        <v>79</v>
      </c>
      <c r="C687" t="s">
        <v>3124</v>
      </c>
      <c r="D687" t="s">
        <v>3125</v>
      </c>
      <c r="E687">
        <v>1287.55</v>
      </c>
      <c r="F687">
        <v>1287</v>
      </c>
      <c r="G687">
        <v>1309.5</v>
      </c>
      <c r="H687">
        <v>1264.5</v>
      </c>
      <c r="I687" s="1">
        <v>1269.7</v>
      </c>
      <c r="J687">
        <v>16091433.949999999</v>
      </c>
      <c r="K687">
        <v>12540</v>
      </c>
      <c r="L687" t="s">
        <v>78</v>
      </c>
      <c r="M687" t="s">
        <v>17</v>
      </c>
      <c r="N687">
        <v>2378</v>
      </c>
      <c r="O687">
        <v>1777.2</v>
      </c>
      <c r="P687">
        <v>1145.9000000000001</v>
      </c>
      <c r="Q687" s="1">
        <v>1200.95</v>
      </c>
      <c r="R687" s="1">
        <v>366</v>
      </c>
      <c r="S687" s="3">
        <v>4.6497552048887503E-3</v>
      </c>
      <c r="T687" s="3">
        <v>6.4133729906501458E-2</v>
      </c>
    </row>
    <row r="688" spans="1:20" x14ac:dyDescent="0.25">
      <c r="A688" t="s">
        <v>78</v>
      </c>
      <c r="B688" t="s">
        <v>79</v>
      </c>
      <c r="C688" t="s">
        <v>6077</v>
      </c>
      <c r="D688" t="s">
        <v>6076</v>
      </c>
      <c r="E688">
        <v>91.69</v>
      </c>
      <c r="F688">
        <v>91.61</v>
      </c>
      <c r="G688">
        <v>92.2</v>
      </c>
      <c r="H688">
        <v>90.74</v>
      </c>
      <c r="I688" s="1">
        <v>91.14</v>
      </c>
      <c r="J688">
        <v>3341671.67</v>
      </c>
      <c r="K688">
        <v>36591</v>
      </c>
      <c r="L688" t="s">
        <v>78</v>
      </c>
      <c r="M688" t="s">
        <v>17</v>
      </c>
      <c r="N688">
        <v>1105</v>
      </c>
      <c r="O688">
        <v>152</v>
      </c>
      <c r="P688">
        <v>82.2</v>
      </c>
      <c r="Q688" s="1" t="str">
        <v/>
      </c>
      <c r="R688" s="1" t="str">
        <v/>
      </c>
      <c r="S688" s="3">
        <v>0</v>
      </c>
      <c r="T688" s="3">
        <v>0</v>
      </c>
    </row>
    <row r="689" spans="1:20" x14ac:dyDescent="0.25">
      <c r="A689" t="s">
        <v>78</v>
      </c>
      <c r="B689" t="s">
        <v>79</v>
      </c>
      <c r="C689" t="s">
        <v>985</v>
      </c>
      <c r="D689" t="s">
        <v>986</v>
      </c>
      <c r="E689">
        <v>1113.4000000000001</v>
      </c>
      <c r="F689">
        <v>1113.4000000000001</v>
      </c>
      <c r="G689">
        <v>1113.4000000000001</v>
      </c>
      <c r="H689">
        <v>1063.6500000000001</v>
      </c>
      <c r="I689" s="1">
        <v>1074.05</v>
      </c>
      <c r="J689">
        <v>793653944.95000005</v>
      </c>
      <c r="K689">
        <v>734482</v>
      </c>
      <c r="L689" t="s">
        <v>78</v>
      </c>
      <c r="M689" t="s">
        <v>17</v>
      </c>
      <c r="N689">
        <v>25963</v>
      </c>
      <c r="O689">
        <v>1187</v>
      </c>
      <c r="P689">
        <v>413.15</v>
      </c>
      <c r="Q689" s="1">
        <v>136.94999999999999</v>
      </c>
      <c r="R689" s="1">
        <v>36.549999999999997</v>
      </c>
      <c r="S689" s="3">
        <v>0.18724005007993427</v>
      </c>
      <c r="T689" s="3">
        <v>0.18404076542578784</v>
      </c>
    </row>
    <row r="690" spans="1:20" x14ac:dyDescent="0.25">
      <c r="A690" t="s">
        <v>78</v>
      </c>
      <c r="B690" t="s">
        <v>79</v>
      </c>
      <c r="C690" t="s">
        <v>987</v>
      </c>
      <c r="D690" t="s">
        <v>988</v>
      </c>
      <c r="E690">
        <v>1354.45</v>
      </c>
      <c r="F690">
        <v>1350</v>
      </c>
      <c r="G690">
        <v>1380.05</v>
      </c>
      <c r="H690">
        <v>1337.6</v>
      </c>
      <c r="I690" s="1">
        <v>1363.85</v>
      </c>
      <c r="J690">
        <v>20180028.399999999</v>
      </c>
      <c r="K690">
        <v>14837</v>
      </c>
      <c r="L690" t="s">
        <v>78</v>
      </c>
      <c r="M690" t="s">
        <v>17</v>
      </c>
      <c r="N690">
        <v>2995</v>
      </c>
      <c r="O690">
        <v>1553</v>
      </c>
      <c r="P690">
        <v>999</v>
      </c>
      <c r="Q690" s="1">
        <v>1540</v>
      </c>
      <c r="R690" s="1" t="str">
        <v/>
      </c>
      <c r="S690" s="3">
        <v>-1.0071508704728727E-2</v>
      </c>
      <c r="T690" s="3">
        <v>0</v>
      </c>
    </row>
    <row r="691" spans="1:20" x14ac:dyDescent="0.25">
      <c r="A691" t="s">
        <v>78</v>
      </c>
      <c r="B691" t="s">
        <v>287</v>
      </c>
      <c r="C691" t="s">
        <v>6075</v>
      </c>
      <c r="D691" t="s">
        <v>6074</v>
      </c>
      <c r="E691">
        <v>74.25</v>
      </c>
      <c r="F691">
        <v>73.3</v>
      </c>
      <c r="G691">
        <v>75.900000000000006</v>
      </c>
      <c r="H691">
        <v>72</v>
      </c>
      <c r="I691" s="1">
        <v>73.349999999999994</v>
      </c>
      <c r="J691">
        <v>2649360</v>
      </c>
      <c r="K691">
        <v>36000</v>
      </c>
      <c r="L691" t="s">
        <v>78</v>
      </c>
      <c r="M691" t="s">
        <v>17</v>
      </c>
      <c r="N691">
        <v>30</v>
      </c>
      <c r="O691">
        <v>91.85</v>
      </c>
      <c r="P691">
        <v>72</v>
      </c>
      <c r="Q691" s="1" t="str">
        <v/>
      </c>
      <c r="R691" s="1" t="str">
        <v/>
      </c>
      <c r="S691" s="3">
        <v>0</v>
      </c>
      <c r="T691" s="3">
        <v>0</v>
      </c>
    </row>
    <row r="692" spans="1:20" x14ac:dyDescent="0.25">
      <c r="A692" t="s">
        <v>78</v>
      </c>
      <c r="B692" t="s">
        <v>79</v>
      </c>
      <c r="C692" t="s">
        <v>6073</v>
      </c>
      <c r="D692" t="s">
        <v>6072</v>
      </c>
      <c r="E692">
        <v>505.35</v>
      </c>
      <c r="F692">
        <v>505.35</v>
      </c>
      <c r="G692">
        <v>524</v>
      </c>
      <c r="H692">
        <v>491.75</v>
      </c>
      <c r="I692" s="1">
        <v>510.05</v>
      </c>
      <c r="J692">
        <v>34032168.5</v>
      </c>
      <c r="K692">
        <v>66832</v>
      </c>
      <c r="L692" t="s">
        <v>78</v>
      </c>
      <c r="M692" t="s">
        <v>17</v>
      </c>
      <c r="N692">
        <v>5382</v>
      </c>
      <c r="O692">
        <v>545</v>
      </c>
      <c r="P692">
        <v>341.05</v>
      </c>
      <c r="Q692" s="1" t="str">
        <v/>
      </c>
      <c r="R692" s="1" t="str">
        <v/>
      </c>
      <c r="S692" s="3">
        <v>0</v>
      </c>
      <c r="T692" s="3">
        <v>0</v>
      </c>
    </row>
    <row r="693" spans="1:20" x14ac:dyDescent="0.25">
      <c r="A693" t="s">
        <v>78</v>
      </c>
      <c r="B693" t="s">
        <v>79</v>
      </c>
      <c r="C693" t="s">
        <v>989</v>
      </c>
      <c r="D693" t="s">
        <v>990</v>
      </c>
      <c r="E693">
        <v>373.5</v>
      </c>
      <c r="F693">
        <v>373.4</v>
      </c>
      <c r="G693">
        <v>375.35</v>
      </c>
      <c r="H693">
        <v>364.75</v>
      </c>
      <c r="I693" s="1">
        <v>365.95</v>
      </c>
      <c r="J693">
        <v>53372125.700000003</v>
      </c>
      <c r="K693">
        <v>144793</v>
      </c>
      <c r="L693" t="s">
        <v>78</v>
      </c>
      <c r="M693" t="s">
        <v>17</v>
      </c>
      <c r="N693">
        <v>8464</v>
      </c>
      <c r="O693">
        <v>458.85</v>
      </c>
      <c r="P693">
        <v>268.64999999999998</v>
      </c>
      <c r="Q693" s="1">
        <v>95.25</v>
      </c>
      <c r="R693" s="1">
        <v>30</v>
      </c>
      <c r="S693" s="3">
        <v>0.11869852104149081</v>
      </c>
      <c r="T693" s="3">
        <v>0.1331444590654125</v>
      </c>
    </row>
    <row r="694" spans="1:20" x14ac:dyDescent="0.25">
      <c r="A694" t="s">
        <v>78</v>
      </c>
      <c r="B694" t="s">
        <v>79</v>
      </c>
      <c r="C694" t="s">
        <v>3126</v>
      </c>
      <c r="D694" t="s">
        <v>3127</v>
      </c>
      <c r="E694">
        <v>3.97</v>
      </c>
      <c r="F694">
        <v>3.97</v>
      </c>
      <c r="G694">
        <v>4.04</v>
      </c>
      <c r="H694">
        <v>3.9</v>
      </c>
      <c r="I694" s="1">
        <v>3.92</v>
      </c>
      <c r="J694">
        <v>24466702.399999999</v>
      </c>
      <c r="K694">
        <v>6199814</v>
      </c>
      <c r="L694" t="s">
        <v>78</v>
      </c>
      <c r="M694" t="s">
        <v>17</v>
      </c>
      <c r="N694">
        <v>10047</v>
      </c>
      <c r="O694">
        <v>6.65</v>
      </c>
      <c r="P694">
        <v>2.2000000000000002</v>
      </c>
      <c r="Q694" s="1">
        <v>2.2000000000000002</v>
      </c>
      <c r="R694" s="1">
        <v>0.25</v>
      </c>
      <c r="S694" s="3">
        <v>4.9313552781385717E-2</v>
      </c>
      <c r="T694" s="3">
        <v>0.14745211726331187</v>
      </c>
    </row>
    <row r="695" spans="1:20" x14ac:dyDescent="0.25">
      <c r="A695" t="s">
        <v>78</v>
      </c>
      <c r="B695" t="s">
        <v>79</v>
      </c>
      <c r="C695" t="s">
        <v>993</v>
      </c>
      <c r="D695" t="s">
        <v>994</v>
      </c>
      <c r="E695">
        <v>494.7</v>
      </c>
      <c r="F695">
        <v>493</v>
      </c>
      <c r="G695">
        <v>501.7</v>
      </c>
      <c r="H695">
        <v>488</v>
      </c>
      <c r="I695" s="1">
        <v>492.55</v>
      </c>
      <c r="J695">
        <v>60127642.649999999</v>
      </c>
      <c r="K695">
        <v>121590</v>
      </c>
      <c r="L695" t="s">
        <v>78</v>
      </c>
      <c r="M695" t="s">
        <v>17</v>
      </c>
      <c r="N695">
        <v>8857</v>
      </c>
      <c r="O695">
        <v>521.65</v>
      </c>
      <c r="P695">
        <v>325</v>
      </c>
      <c r="Q695" s="1">
        <v>371.85</v>
      </c>
      <c r="R695" s="1">
        <v>155.19999999999999</v>
      </c>
      <c r="S695" s="3">
        <v>2.3701983576728258E-2</v>
      </c>
      <c r="T695" s="3">
        <v>5.9410313459272945E-2</v>
      </c>
    </row>
    <row r="696" spans="1:20" x14ac:dyDescent="0.25">
      <c r="A696" t="s">
        <v>78</v>
      </c>
      <c r="B696" t="s">
        <v>79</v>
      </c>
      <c r="C696" t="s">
        <v>995</v>
      </c>
      <c r="D696" t="s">
        <v>996</v>
      </c>
      <c r="E696">
        <v>195.35</v>
      </c>
      <c r="F696">
        <v>195.34</v>
      </c>
      <c r="G696">
        <v>197.77</v>
      </c>
      <c r="H696">
        <v>195</v>
      </c>
      <c r="I696" s="1">
        <v>196.6</v>
      </c>
      <c r="J696">
        <v>1783938562.1600001</v>
      </c>
      <c r="K696">
        <v>9065610</v>
      </c>
      <c r="L696" t="s">
        <v>78</v>
      </c>
      <c r="M696" t="s">
        <v>17</v>
      </c>
      <c r="N696">
        <v>77006</v>
      </c>
      <c r="O696">
        <v>197.77</v>
      </c>
      <c r="P696">
        <v>129.80000000000001</v>
      </c>
      <c r="Q696" s="1">
        <v>85.8</v>
      </c>
      <c r="R696" s="1">
        <v>98.3</v>
      </c>
      <c r="S696" s="3">
        <v>7.1539089929609112E-2</v>
      </c>
      <c r="T696" s="3">
        <v>3.5245274768178625E-2</v>
      </c>
    </row>
    <row r="697" spans="1:20" x14ac:dyDescent="0.25">
      <c r="A697" t="s">
        <v>78</v>
      </c>
      <c r="B697" t="s">
        <v>79</v>
      </c>
      <c r="C697" t="s">
        <v>6071</v>
      </c>
      <c r="D697" t="s">
        <v>6070</v>
      </c>
      <c r="E697">
        <v>129</v>
      </c>
      <c r="F697">
        <v>128.36000000000001</v>
      </c>
      <c r="G697">
        <v>129.5</v>
      </c>
      <c r="H697">
        <v>126.5</v>
      </c>
      <c r="I697" s="1">
        <v>126.99</v>
      </c>
      <c r="J697">
        <v>28547072.420000002</v>
      </c>
      <c r="K697">
        <v>223400</v>
      </c>
      <c r="L697" t="s">
        <v>78</v>
      </c>
      <c r="M697" t="s">
        <v>17</v>
      </c>
      <c r="N697">
        <v>4462</v>
      </c>
      <c r="O697">
        <v>153.6</v>
      </c>
      <c r="P697">
        <v>108.75</v>
      </c>
      <c r="Q697" s="1" t="str">
        <v/>
      </c>
      <c r="R697" s="1" t="str">
        <v/>
      </c>
      <c r="S697" s="3">
        <v>0</v>
      </c>
      <c r="T697" s="3">
        <v>0</v>
      </c>
    </row>
    <row r="698" spans="1:20" x14ac:dyDescent="0.25">
      <c r="A698" t="s">
        <v>78</v>
      </c>
      <c r="B698" t="s">
        <v>287</v>
      </c>
      <c r="C698" t="s">
        <v>1000</v>
      </c>
      <c r="D698" t="s">
        <v>1001</v>
      </c>
      <c r="E698">
        <v>296.05</v>
      </c>
      <c r="F698">
        <v>301.5</v>
      </c>
      <c r="G698">
        <v>301.5</v>
      </c>
      <c r="H698">
        <v>281.25</v>
      </c>
      <c r="I698" s="1">
        <v>294.60000000000002</v>
      </c>
      <c r="J698">
        <v>11149000</v>
      </c>
      <c r="K698">
        <v>39000</v>
      </c>
      <c r="L698" t="s">
        <v>78</v>
      </c>
      <c r="M698" t="s">
        <v>17</v>
      </c>
      <c r="N698">
        <v>72</v>
      </c>
      <c r="O698">
        <v>454.9</v>
      </c>
      <c r="P698">
        <v>74.25</v>
      </c>
      <c r="Q698" s="1">
        <v>42.55</v>
      </c>
      <c r="R698" s="1" t="str">
        <v/>
      </c>
      <c r="S698" s="3">
        <v>0.17497266960789148</v>
      </c>
      <c r="T698" s="3">
        <v>0</v>
      </c>
    </row>
    <row r="699" spans="1:20" x14ac:dyDescent="0.25">
      <c r="A699" t="s">
        <v>78</v>
      </c>
      <c r="B699" t="s">
        <v>79</v>
      </c>
      <c r="C699" t="s">
        <v>6069</v>
      </c>
      <c r="D699" t="s">
        <v>6068</v>
      </c>
      <c r="E699">
        <v>44.93</v>
      </c>
      <c r="F699">
        <v>45.49</v>
      </c>
      <c r="G699">
        <v>45.69</v>
      </c>
      <c r="H699">
        <v>42.8</v>
      </c>
      <c r="I699" s="1">
        <v>43.15</v>
      </c>
      <c r="J699">
        <v>8996926.7899999991</v>
      </c>
      <c r="K699">
        <v>204513</v>
      </c>
      <c r="L699" t="s">
        <v>78</v>
      </c>
      <c r="M699" t="s">
        <v>17</v>
      </c>
      <c r="N699">
        <v>3175</v>
      </c>
      <c r="O699">
        <v>48.88</v>
      </c>
      <c r="P699">
        <v>27.05</v>
      </c>
      <c r="Q699" s="1" t="str">
        <v/>
      </c>
      <c r="R699" s="1" t="str">
        <v/>
      </c>
      <c r="S699" s="3">
        <v>0</v>
      </c>
      <c r="T699" s="3">
        <v>0</v>
      </c>
    </row>
    <row r="700" spans="1:20" x14ac:dyDescent="0.25">
      <c r="A700" t="s">
        <v>78</v>
      </c>
      <c r="B700" t="s">
        <v>287</v>
      </c>
      <c r="C700" t="s">
        <v>6067</v>
      </c>
      <c r="D700" t="s">
        <v>6066</v>
      </c>
      <c r="E700">
        <v>112</v>
      </c>
      <c r="F700">
        <v>112</v>
      </c>
      <c r="G700">
        <v>113</v>
      </c>
      <c r="H700">
        <v>111</v>
      </c>
      <c r="I700" s="1">
        <v>111.05</v>
      </c>
      <c r="J700">
        <v>893100</v>
      </c>
      <c r="K700">
        <v>8000</v>
      </c>
      <c r="L700" t="s">
        <v>78</v>
      </c>
      <c r="M700" t="s">
        <v>17</v>
      </c>
      <c r="N700">
        <v>8</v>
      </c>
      <c r="O700">
        <v>149.94999999999999</v>
      </c>
      <c r="P700">
        <v>84.5</v>
      </c>
      <c r="Q700" s="1" t="str">
        <v/>
      </c>
      <c r="R700" s="1" t="str">
        <v/>
      </c>
      <c r="S700" s="3">
        <v>0</v>
      </c>
      <c r="T700" s="3">
        <v>0</v>
      </c>
    </row>
    <row r="701" spans="1:20" x14ac:dyDescent="0.25">
      <c r="A701" t="s">
        <v>78</v>
      </c>
      <c r="B701" t="s">
        <v>79</v>
      </c>
      <c r="C701" t="s">
        <v>1002</v>
      </c>
      <c r="D701" t="s">
        <v>1003</v>
      </c>
      <c r="E701">
        <v>1344.95</v>
      </c>
      <c r="F701">
        <v>1365</v>
      </c>
      <c r="G701">
        <v>1405</v>
      </c>
      <c r="H701">
        <v>1333.65</v>
      </c>
      <c r="I701" s="1">
        <v>1383.4</v>
      </c>
      <c r="J701">
        <v>425223369.5</v>
      </c>
      <c r="K701">
        <v>310244</v>
      </c>
      <c r="L701" t="s">
        <v>78</v>
      </c>
      <c r="M701" t="s">
        <v>17</v>
      </c>
      <c r="N701">
        <v>16306</v>
      </c>
      <c r="O701">
        <v>2590</v>
      </c>
      <c r="P701">
        <v>981</v>
      </c>
      <c r="Q701" s="1">
        <v>781.3</v>
      </c>
      <c r="R701" s="1">
        <v>405</v>
      </c>
      <c r="S701" s="3">
        <v>4.8763334204483755E-2</v>
      </c>
      <c r="T701" s="3">
        <v>6.3310320518117136E-2</v>
      </c>
    </row>
    <row r="702" spans="1:20" x14ac:dyDescent="0.25">
      <c r="A702" t="s">
        <v>78</v>
      </c>
      <c r="B702" t="s">
        <v>79</v>
      </c>
      <c r="C702" t="s">
        <v>1004</v>
      </c>
      <c r="D702" t="s">
        <v>1005</v>
      </c>
      <c r="E702">
        <v>59.25</v>
      </c>
      <c r="F702">
        <v>59.8</v>
      </c>
      <c r="G702">
        <v>60.69</v>
      </c>
      <c r="H702">
        <v>57.37</v>
      </c>
      <c r="I702" s="1">
        <v>57.65</v>
      </c>
      <c r="J702">
        <v>186605864.47</v>
      </c>
      <c r="K702">
        <v>3157459</v>
      </c>
      <c r="L702" t="s">
        <v>78</v>
      </c>
      <c r="M702" t="s">
        <v>17</v>
      </c>
      <c r="N702">
        <v>17525</v>
      </c>
      <c r="O702">
        <v>78</v>
      </c>
      <c r="P702">
        <v>37.6</v>
      </c>
      <c r="Q702" s="1">
        <v>105.3</v>
      </c>
      <c r="R702" s="1">
        <v>47.15</v>
      </c>
      <c r="S702" s="3">
        <v>-4.8962638849455065E-2</v>
      </c>
      <c r="T702" s="3">
        <v>1.0097950161048308E-2</v>
      </c>
    </row>
    <row r="703" spans="1:20" x14ac:dyDescent="0.25">
      <c r="A703" t="s">
        <v>78</v>
      </c>
      <c r="B703" t="s">
        <v>79</v>
      </c>
      <c r="C703" t="s">
        <v>6065</v>
      </c>
      <c r="D703" t="s">
        <v>6064</v>
      </c>
      <c r="E703">
        <v>7.65</v>
      </c>
      <c r="F703">
        <v>7.7</v>
      </c>
      <c r="G703">
        <v>7.75</v>
      </c>
      <c r="H703">
        <v>7.31</v>
      </c>
      <c r="I703" s="1">
        <v>7.36</v>
      </c>
      <c r="J703">
        <v>61880422.479999997</v>
      </c>
      <c r="K703">
        <v>8335977</v>
      </c>
      <c r="L703" t="s">
        <v>78</v>
      </c>
      <c r="M703" t="s">
        <v>17</v>
      </c>
      <c r="N703">
        <v>10869</v>
      </c>
      <c r="O703">
        <v>14.3</v>
      </c>
      <c r="P703">
        <v>6.95</v>
      </c>
      <c r="Q703" s="1" t="str">
        <v/>
      </c>
      <c r="R703" s="1" t="str">
        <v/>
      </c>
      <c r="S703" s="3">
        <v>0</v>
      </c>
      <c r="T703" s="3">
        <v>0</v>
      </c>
    </row>
    <row r="704" spans="1:20" x14ac:dyDescent="0.25">
      <c r="A704" t="s">
        <v>78</v>
      </c>
      <c r="B704" t="s">
        <v>79</v>
      </c>
      <c r="C704" t="s">
        <v>1006</v>
      </c>
      <c r="D704" t="s">
        <v>1007</v>
      </c>
      <c r="E704">
        <v>1656.45</v>
      </c>
      <c r="F704">
        <v>1665.6</v>
      </c>
      <c r="G704">
        <v>1667.4</v>
      </c>
      <c r="H704">
        <v>1564.3</v>
      </c>
      <c r="I704" s="1">
        <v>1572.7</v>
      </c>
      <c r="J704">
        <v>484531728.80000001</v>
      </c>
      <c r="K704">
        <v>304840</v>
      </c>
      <c r="L704" t="s">
        <v>78</v>
      </c>
      <c r="M704" t="s">
        <v>17</v>
      </c>
      <c r="N704">
        <v>23881</v>
      </c>
      <c r="O704">
        <v>1700</v>
      </c>
      <c r="P704">
        <v>831.25</v>
      </c>
      <c r="Q704" s="1">
        <v>526.85</v>
      </c>
      <c r="R704" s="1">
        <v>383.95</v>
      </c>
      <c r="S704" s="3">
        <v>9.5418089588738653E-2</v>
      </c>
      <c r="T704" s="3">
        <v>7.300511596627457E-2</v>
      </c>
    </row>
    <row r="705" spans="1:20" x14ac:dyDescent="0.25">
      <c r="A705" t="s">
        <v>78</v>
      </c>
      <c r="B705" t="s">
        <v>79</v>
      </c>
      <c r="C705" t="s">
        <v>1008</v>
      </c>
      <c r="D705" t="s">
        <v>1009</v>
      </c>
      <c r="E705">
        <v>5221.2</v>
      </c>
      <c r="F705">
        <v>5201</v>
      </c>
      <c r="G705">
        <v>5330</v>
      </c>
      <c r="H705">
        <v>5164</v>
      </c>
      <c r="I705" s="1">
        <v>5232.3999999999996</v>
      </c>
      <c r="J705">
        <v>178590534.69999999</v>
      </c>
      <c r="K705">
        <v>34019</v>
      </c>
      <c r="L705" t="s">
        <v>78</v>
      </c>
      <c r="M705" t="s">
        <v>17</v>
      </c>
      <c r="N705">
        <v>9840</v>
      </c>
      <c r="O705">
        <v>5500</v>
      </c>
      <c r="P705">
        <v>4021</v>
      </c>
      <c r="Q705" s="1">
        <v>2905.55</v>
      </c>
      <c r="R705" s="1">
        <v>1393.35</v>
      </c>
      <c r="S705" s="3">
        <v>5.0241999742054011E-2</v>
      </c>
      <c r="T705" s="3">
        <v>6.8356756187650358E-2</v>
      </c>
    </row>
    <row r="706" spans="1:20" x14ac:dyDescent="0.25">
      <c r="A706" t="s">
        <v>78</v>
      </c>
      <c r="B706" t="s">
        <v>79</v>
      </c>
      <c r="C706" t="s">
        <v>6063</v>
      </c>
      <c r="D706" t="s">
        <v>6062</v>
      </c>
      <c r="E706">
        <v>301.64999999999998</v>
      </c>
      <c r="F706">
        <v>302.25</v>
      </c>
      <c r="G706">
        <v>307</v>
      </c>
      <c r="H706">
        <v>298.55</v>
      </c>
      <c r="I706" s="1">
        <v>300.7</v>
      </c>
      <c r="J706">
        <v>35668538.25</v>
      </c>
      <c r="K706">
        <v>117951</v>
      </c>
      <c r="L706" t="s">
        <v>78</v>
      </c>
      <c r="M706" t="s">
        <v>17</v>
      </c>
      <c r="N706">
        <v>5873</v>
      </c>
      <c r="O706">
        <v>384</v>
      </c>
      <c r="P706">
        <v>249.4</v>
      </c>
      <c r="Q706" s="1" t="str">
        <v/>
      </c>
      <c r="R706" s="1" t="str">
        <v/>
      </c>
      <c r="S706" s="3">
        <v>0</v>
      </c>
      <c r="T706" s="3">
        <v>0</v>
      </c>
    </row>
    <row r="707" spans="1:20" x14ac:dyDescent="0.25">
      <c r="A707" t="s">
        <v>78</v>
      </c>
      <c r="B707" t="s">
        <v>79</v>
      </c>
      <c r="C707" t="s">
        <v>1010</v>
      </c>
      <c r="D707" t="s">
        <v>1011</v>
      </c>
      <c r="E707">
        <v>323.39999999999998</v>
      </c>
      <c r="F707">
        <v>325</v>
      </c>
      <c r="G707">
        <v>334</v>
      </c>
      <c r="H707">
        <v>317.10000000000002</v>
      </c>
      <c r="I707" s="1">
        <v>331.7</v>
      </c>
      <c r="J707">
        <v>960180808.85000002</v>
      </c>
      <c r="K707">
        <v>2916691</v>
      </c>
      <c r="L707" t="s">
        <v>78</v>
      </c>
      <c r="M707" t="s">
        <v>17</v>
      </c>
      <c r="N707">
        <v>56747</v>
      </c>
      <c r="O707">
        <v>355.9</v>
      </c>
      <c r="P707">
        <v>176.65</v>
      </c>
      <c r="Q707" s="1">
        <v>175</v>
      </c>
      <c r="R707" s="1">
        <v>515</v>
      </c>
      <c r="S707" s="3">
        <v>5.4732395293730418E-2</v>
      </c>
      <c r="T707" s="3">
        <v>-2.1744847939732193E-2</v>
      </c>
    </row>
    <row r="708" spans="1:20" x14ac:dyDescent="0.25">
      <c r="A708" t="s">
        <v>78</v>
      </c>
      <c r="B708" t="s">
        <v>79</v>
      </c>
      <c r="C708" t="s">
        <v>6061</v>
      </c>
      <c r="D708" t="s">
        <v>6060</v>
      </c>
      <c r="E708">
        <v>780.65</v>
      </c>
      <c r="F708">
        <v>786.85</v>
      </c>
      <c r="G708">
        <v>787.15</v>
      </c>
      <c r="H708">
        <v>760.1</v>
      </c>
      <c r="I708" s="1">
        <v>766.1</v>
      </c>
      <c r="J708">
        <v>570598731.45000005</v>
      </c>
      <c r="K708">
        <v>742057</v>
      </c>
      <c r="L708" t="s">
        <v>78</v>
      </c>
      <c r="M708" t="s">
        <v>17</v>
      </c>
      <c r="N708">
        <v>57098</v>
      </c>
      <c r="O708">
        <v>876.55</v>
      </c>
      <c r="P708">
        <v>600.04999999999995</v>
      </c>
      <c r="Q708" s="1" t="str">
        <v/>
      </c>
      <c r="R708" s="1" t="str">
        <v/>
      </c>
      <c r="S708" s="3">
        <v>0</v>
      </c>
      <c r="T708" s="3">
        <v>0</v>
      </c>
    </row>
    <row r="709" spans="1:20" x14ac:dyDescent="0.25">
      <c r="A709" t="s">
        <v>78</v>
      </c>
      <c r="B709" t="s">
        <v>79</v>
      </c>
      <c r="C709" t="s">
        <v>6059</v>
      </c>
      <c r="D709" t="s">
        <v>6058</v>
      </c>
      <c r="E709">
        <v>318.2</v>
      </c>
      <c r="F709">
        <v>318.14999999999998</v>
      </c>
      <c r="G709">
        <v>318.14999999999998</v>
      </c>
      <c r="H709">
        <v>310.05</v>
      </c>
      <c r="I709" s="1">
        <v>310.60000000000002</v>
      </c>
      <c r="J709">
        <v>31455142.199999999</v>
      </c>
      <c r="K709">
        <v>100170</v>
      </c>
      <c r="L709" t="s">
        <v>78</v>
      </c>
      <c r="M709" t="s">
        <v>17</v>
      </c>
      <c r="N709">
        <v>4575</v>
      </c>
      <c r="O709">
        <v>514.4</v>
      </c>
      <c r="P709">
        <v>246.1</v>
      </c>
      <c r="Q709" s="1" t="str">
        <v/>
      </c>
      <c r="R709" s="1" t="str">
        <v/>
      </c>
      <c r="S709" s="3">
        <v>0</v>
      </c>
      <c r="T709" s="3">
        <v>0</v>
      </c>
    </row>
    <row r="710" spans="1:20" x14ac:dyDescent="0.25">
      <c r="A710" t="s">
        <v>78</v>
      </c>
      <c r="B710" t="s">
        <v>79</v>
      </c>
      <c r="C710" t="s">
        <v>3128</v>
      </c>
      <c r="D710" t="s">
        <v>3129</v>
      </c>
      <c r="E710">
        <v>45.28</v>
      </c>
      <c r="F710">
        <v>47.54</v>
      </c>
      <c r="G710">
        <v>47.54</v>
      </c>
      <c r="H710">
        <v>47.54</v>
      </c>
      <c r="I710" s="1">
        <v>47.54</v>
      </c>
      <c r="J710">
        <v>1060855.1000000001</v>
      </c>
      <c r="K710">
        <v>22315</v>
      </c>
      <c r="L710" t="s">
        <v>78</v>
      </c>
      <c r="M710" t="s">
        <v>17</v>
      </c>
      <c r="N710">
        <v>58</v>
      </c>
      <c r="O710">
        <v>56.5</v>
      </c>
      <c r="P710">
        <v>28.11</v>
      </c>
      <c r="Q710" s="1">
        <v>24</v>
      </c>
      <c r="R710" s="1">
        <v>23</v>
      </c>
      <c r="S710" s="3">
        <v>5.8613256073604791E-2</v>
      </c>
      <c r="T710" s="3">
        <v>3.6950278514081392E-2</v>
      </c>
    </row>
    <row r="711" spans="1:20" x14ac:dyDescent="0.25">
      <c r="A711" t="s">
        <v>78</v>
      </c>
      <c r="B711" t="s">
        <v>79</v>
      </c>
      <c r="C711" t="s">
        <v>1014</v>
      </c>
      <c r="D711" t="s">
        <v>1015</v>
      </c>
      <c r="E711">
        <v>3332.65</v>
      </c>
      <c r="F711">
        <v>3350</v>
      </c>
      <c r="G711">
        <v>3350</v>
      </c>
      <c r="H711">
        <v>3250</v>
      </c>
      <c r="I711" s="1">
        <v>3262.6</v>
      </c>
      <c r="J711">
        <v>187938768.25</v>
      </c>
      <c r="K711">
        <v>57394</v>
      </c>
      <c r="L711" t="s">
        <v>78</v>
      </c>
      <c r="M711" t="s">
        <v>17</v>
      </c>
      <c r="N711">
        <v>9781</v>
      </c>
      <c r="O711">
        <v>3920</v>
      </c>
      <c r="P711">
        <v>2476</v>
      </c>
      <c r="Q711" s="1">
        <v>1436.3</v>
      </c>
      <c r="R711" s="1" t="str">
        <v/>
      </c>
      <c r="S711" s="3">
        <v>7.0762671589627901E-2</v>
      </c>
      <c r="T711" s="3">
        <v>0</v>
      </c>
    </row>
    <row r="712" spans="1:20" x14ac:dyDescent="0.25">
      <c r="A712" t="s">
        <v>78</v>
      </c>
      <c r="B712" t="s">
        <v>79</v>
      </c>
      <c r="C712" t="s">
        <v>1016</v>
      </c>
      <c r="D712" t="s">
        <v>1017</v>
      </c>
      <c r="E712">
        <v>426.15</v>
      </c>
      <c r="F712">
        <v>426.15</v>
      </c>
      <c r="G712">
        <v>428.4</v>
      </c>
      <c r="H712">
        <v>415</v>
      </c>
      <c r="I712" s="1">
        <v>425.9</v>
      </c>
      <c r="J712">
        <v>54948031.299999997</v>
      </c>
      <c r="K712">
        <v>130105</v>
      </c>
      <c r="L712" t="s">
        <v>78</v>
      </c>
      <c r="M712" t="s">
        <v>17</v>
      </c>
      <c r="N712">
        <v>5231</v>
      </c>
      <c r="O712">
        <v>458.6</v>
      </c>
      <c r="P712">
        <v>313.05</v>
      </c>
      <c r="Q712" s="1">
        <v>297.85000000000002</v>
      </c>
      <c r="R712" s="1">
        <v>544.1</v>
      </c>
      <c r="S712" s="3">
        <v>3.0249714793613602E-2</v>
      </c>
      <c r="T712" s="3">
        <v>-1.2165116469922688E-2</v>
      </c>
    </row>
    <row r="713" spans="1:20" x14ac:dyDescent="0.25">
      <c r="A713" t="s">
        <v>78</v>
      </c>
      <c r="B713" t="s">
        <v>79</v>
      </c>
      <c r="C713" t="s">
        <v>1018</v>
      </c>
      <c r="D713" t="s">
        <v>1019</v>
      </c>
      <c r="E713">
        <v>6.84</v>
      </c>
      <c r="F713">
        <v>6.93</v>
      </c>
      <c r="G713">
        <v>6.94</v>
      </c>
      <c r="H713">
        <v>6.49</v>
      </c>
      <c r="I713" s="1">
        <v>6.51</v>
      </c>
      <c r="J713">
        <v>987879.79</v>
      </c>
      <c r="K713">
        <v>148898</v>
      </c>
      <c r="L713" t="s">
        <v>78</v>
      </c>
      <c r="M713" t="s">
        <v>17</v>
      </c>
      <c r="N713">
        <v>455</v>
      </c>
      <c r="O713">
        <v>8.1999999999999993</v>
      </c>
      <c r="P713">
        <v>5.55</v>
      </c>
      <c r="Q713" s="1">
        <v>18.100000000000001</v>
      </c>
      <c r="R713" s="1">
        <v>30.65</v>
      </c>
      <c r="S713" s="3">
        <v>-8.1684599191602758E-2</v>
      </c>
      <c r="T713" s="3">
        <v>-7.4501008975709659E-2</v>
      </c>
    </row>
    <row r="714" spans="1:20" x14ac:dyDescent="0.25">
      <c r="A714" t="s">
        <v>78</v>
      </c>
      <c r="B714" t="s">
        <v>287</v>
      </c>
      <c r="C714" t="s">
        <v>6057</v>
      </c>
      <c r="D714" t="s">
        <v>6056</v>
      </c>
      <c r="E714">
        <v>1023</v>
      </c>
      <c r="F714">
        <v>1025</v>
      </c>
      <c r="G714">
        <v>1035</v>
      </c>
      <c r="H714">
        <v>1025</v>
      </c>
      <c r="I714" s="1">
        <v>1035</v>
      </c>
      <c r="J714">
        <v>3092000</v>
      </c>
      <c r="K714">
        <v>3000</v>
      </c>
      <c r="L714" t="s">
        <v>78</v>
      </c>
      <c r="M714" t="s">
        <v>17</v>
      </c>
      <c r="N714">
        <v>4</v>
      </c>
      <c r="O714">
        <v>1099</v>
      </c>
      <c r="P714">
        <v>670</v>
      </c>
      <c r="Q714" s="1" t="str">
        <v/>
      </c>
      <c r="R714" s="1" t="str">
        <v/>
      </c>
      <c r="S714" s="3">
        <v>0</v>
      </c>
      <c r="T714" s="3">
        <v>0</v>
      </c>
    </row>
    <row r="715" spans="1:20" x14ac:dyDescent="0.25">
      <c r="A715" t="s">
        <v>78</v>
      </c>
      <c r="B715" t="s">
        <v>79</v>
      </c>
      <c r="C715" t="s">
        <v>1020</v>
      </c>
      <c r="D715" t="s">
        <v>1021</v>
      </c>
      <c r="E715">
        <v>143.16999999999999</v>
      </c>
      <c r="F715">
        <v>143.16999999999999</v>
      </c>
      <c r="G715">
        <v>144.1</v>
      </c>
      <c r="H715">
        <v>140</v>
      </c>
      <c r="I715" s="1">
        <v>140.6</v>
      </c>
      <c r="J715">
        <v>108140568.36</v>
      </c>
      <c r="K715">
        <v>758338</v>
      </c>
      <c r="L715" t="s">
        <v>78</v>
      </c>
      <c r="M715" t="s">
        <v>17</v>
      </c>
      <c r="N715">
        <v>9327</v>
      </c>
      <c r="O715">
        <v>898.4</v>
      </c>
      <c r="P715">
        <v>138.53</v>
      </c>
      <c r="Q715" s="1">
        <v>50.45</v>
      </c>
      <c r="R715" s="1">
        <v>142.5</v>
      </c>
      <c r="S715" s="3">
        <v>8.9165005543488496E-2</v>
      </c>
      <c r="T715" s="3">
        <v>-6.7055853909103735E-4</v>
      </c>
    </row>
    <row r="716" spans="1:20" x14ac:dyDescent="0.25">
      <c r="A716" t="s">
        <v>78</v>
      </c>
      <c r="B716" t="s">
        <v>287</v>
      </c>
      <c r="C716" t="s">
        <v>6055</v>
      </c>
      <c r="D716" t="s">
        <v>6054</v>
      </c>
      <c r="E716">
        <v>198</v>
      </c>
      <c r="F716">
        <v>198</v>
      </c>
      <c r="G716">
        <v>217</v>
      </c>
      <c r="H716">
        <v>198</v>
      </c>
      <c r="I716" s="1">
        <v>209.3</v>
      </c>
      <c r="J716">
        <v>39894550</v>
      </c>
      <c r="K716">
        <v>191000</v>
      </c>
      <c r="L716" t="s">
        <v>78</v>
      </c>
      <c r="M716" t="s">
        <v>17</v>
      </c>
      <c r="N716">
        <v>165</v>
      </c>
      <c r="O716">
        <v>217</v>
      </c>
      <c r="P716">
        <v>116</v>
      </c>
      <c r="Q716" s="1" t="str">
        <v/>
      </c>
      <c r="R716" s="1" t="str">
        <v/>
      </c>
      <c r="S716" s="3">
        <v>0</v>
      </c>
      <c r="T716" s="3">
        <v>0</v>
      </c>
    </row>
    <row r="717" spans="1:20" x14ac:dyDescent="0.25">
      <c r="A717" t="s">
        <v>78</v>
      </c>
      <c r="B717" t="s">
        <v>79</v>
      </c>
      <c r="C717" t="s">
        <v>6053</v>
      </c>
      <c r="D717" t="s">
        <v>6052</v>
      </c>
      <c r="E717">
        <v>148.83000000000001</v>
      </c>
      <c r="F717">
        <v>149.30000000000001</v>
      </c>
      <c r="G717">
        <v>149.87</v>
      </c>
      <c r="H717">
        <v>146.86000000000001</v>
      </c>
      <c r="I717" s="1">
        <v>147.46</v>
      </c>
      <c r="J717">
        <v>34581637.490000002</v>
      </c>
      <c r="K717">
        <v>234093</v>
      </c>
      <c r="L717" t="s">
        <v>78</v>
      </c>
      <c r="M717" t="s">
        <v>17</v>
      </c>
      <c r="N717">
        <v>2820</v>
      </c>
      <c r="O717">
        <v>222.2</v>
      </c>
      <c r="P717">
        <v>126.3</v>
      </c>
      <c r="Q717" s="1" t="str">
        <v/>
      </c>
      <c r="R717" s="1" t="str">
        <v/>
      </c>
      <c r="S717" s="3">
        <v>0</v>
      </c>
      <c r="T717" s="3">
        <v>0</v>
      </c>
    </row>
    <row r="718" spans="1:20" x14ac:dyDescent="0.25">
      <c r="A718" t="s">
        <v>78</v>
      </c>
      <c r="B718" t="s">
        <v>79</v>
      </c>
      <c r="C718" t="s">
        <v>1022</v>
      </c>
      <c r="D718" t="s">
        <v>1023</v>
      </c>
      <c r="E718">
        <v>8327.0499999999993</v>
      </c>
      <c r="F718">
        <v>8393</v>
      </c>
      <c r="G718">
        <v>8393</v>
      </c>
      <c r="H718">
        <v>8234.7000000000007</v>
      </c>
      <c r="I718" s="1">
        <v>8273.7000000000007</v>
      </c>
      <c r="J718">
        <v>122558939.09999999</v>
      </c>
      <c r="K718">
        <v>14783</v>
      </c>
      <c r="L718" t="s">
        <v>78</v>
      </c>
      <c r="M718" t="s">
        <v>17</v>
      </c>
      <c r="N718">
        <v>4781</v>
      </c>
      <c r="O718">
        <v>10277.85</v>
      </c>
      <c r="P718">
        <v>2400.1</v>
      </c>
      <c r="Q718" s="1">
        <v>1520</v>
      </c>
      <c r="R718" s="1" t="str">
        <v/>
      </c>
      <c r="S718" s="3">
        <v>0.1516522183069382</v>
      </c>
      <c r="T718" s="3">
        <v>0</v>
      </c>
    </row>
    <row r="719" spans="1:20" x14ac:dyDescent="0.25">
      <c r="A719" t="s">
        <v>78</v>
      </c>
      <c r="B719" t="s">
        <v>79</v>
      </c>
      <c r="C719" t="s">
        <v>1024</v>
      </c>
      <c r="D719" t="s">
        <v>1025</v>
      </c>
      <c r="E719">
        <v>488.9</v>
      </c>
      <c r="F719">
        <v>492</v>
      </c>
      <c r="G719">
        <v>493</v>
      </c>
      <c r="H719">
        <v>482</v>
      </c>
      <c r="I719" s="1">
        <v>488.2</v>
      </c>
      <c r="J719">
        <v>1185484441.25</v>
      </c>
      <c r="K719">
        <v>2431341</v>
      </c>
      <c r="L719" t="s">
        <v>78</v>
      </c>
      <c r="M719" t="s">
        <v>17</v>
      </c>
      <c r="N719">
        <v>122168</v>
      </c>
      <c r="O719">
        <v>509.85</v>
      </c>
      <c r="P719">
        <v>308.5</v>
      </c>
      <c r="Q719" s="1">
        <v>231.75</v>
      </c>
      <c r="R719" s="1">
        <v>128.6</v>
      </c>
      <c r="S719" s="3">
        <v>6.405686012575984E-2</v>
      </c>
      <c r="T719" s="3">
        <v>6.8936670929973465E-2</v>
      </c>
    </row>
    <row r="720" spans="1:20" x14ac:dyDescent="0.25">
      <c r="A720" t="s">
        <v>78</v>
      </c>
      <c r="B720" t="s">
        <v>79</v>
      </c>
      <c r="C720" t="s">
        <v>1026</v>
      </c>
      <c r="D720" t="s">
        <v>1027</v>
      </c>
      <c r="E720">
        <v>4331</v>
      </c>
      <c r="F720">
        <v>4344</v>
      </c>
      <c r="G720">
        <v>4344</v>
      </c>
      <c r="H720">
        <v>4216</v>
      </c>
      <c r="I720" s="1">
        <v>4272.6499999999996</v>
      </c>
      <c r="J720">
        <v>25350379.199999999</v>
      </c>
      <c r="K720">
        <v>5962</v>
      </c>
      <c r="L720" t="s">
        <v>78</v>
      </c>
      <c r="M720" t="s">
        <v>17</v>
      </c>
      <c r="N720">
        <v>1073</v>
      </c>
      <c r="O720">
        <v>4390.5</v>
      </c>
      <c r="P720">
        <v>2610.0500000000002</v>
      </c>
      <c r="Q720" s="1">
        <v>1531.1</v>
      </c>
      <c r="R720" s="1">
        <v>1211.4000000000001</v>
      </c>
      <c r="S720" s="3">
        <v>8.9284055945234808E-2</v>
      </c>
      <c r="T720" s="3">
        <v>6.501444476897511E-2</v>
      </c>
    </row>
    <row r="721" spans="1:20" x14ac:dyDescent="0.25">
      <c r="A721" t="s">
        <v>78</v>
      </c>
      <c r="B721" t="s">
        <v>287</v>
      </c>
      <c r="C721" t="s">
        <v>6051</v>
      </c>
      <c r="D721" t="s">
        <v>6050</v>
      </c>
      <c r="E721">
        <v>364.7</v>
      </c>
      <c r="F721">
        <v>346.5</v>
      </c>
      <c r="G721">
        <v>346.5</v>
      </c>
      <c r="H721">
        <v>346.5</v>
      </c>
      <c r="I721" s="1">
        <v>346.5</v>
      </c>
      <c r="J721">
        <v>6375600</v>
      </c>
      <c r="K721">
        <v>18400</v>
      </c>
      <c r="L721" t="s">
        <v>78</v>
      </c>
      <c r="M721" t="s">
        <v>17</v>
      </c>
      <c r="N721">
        <v>44</v>
      </c>
      <c r="O721">
        <v>400.7</v>
      </c>
      <c r="P721">
        <v>131.5</v>
      </c>
      <c r="Q721" s="1" t="str">
        <v/>
      </c>
      <c r="R721" s="1" t="str">
        <v/>
      </c>
      <c r="S721" s="3">
        <v>0</v>
      </c>
      <c r="T721" s="3">
        <v>0</v>
      </c>
    </row>
    <row r="722" spans="1:20" x14ac:dyDescent="0.25">
      <c r="A722" t="s">
        <v>78</v>
      </c>
      <c r="B722" t="s">
        <v>79</v>
      </c>
      <c r="C722" t="s">
        <v>1030</v>
      </c>
      <c r="D722" t="s">
        <v>1031</v>
      </c>
      <c r="E722">
        <v>254.01</v>
      </c>
      <c r="F722">
        <v>250</v>
      </c>
      <c r="G722">
        <v>258</v>
      </c>
      <c r="H722">
        <v>244</v>
      </c>
      <c r="I722" s="1">
        <v>245.16</v>
      </c>
      <c r="J722">
        <v>835602075.45000005</v>
      </c>
      <c r="K722">
        <v>3355053</v>
      </c>
      <c r="L722" t="s">
        <v>78</v>
      </c>
      <c r="M722" t="s">
        <v>17</v>
      </c>
      <c r="N722">
        <v>52663</v>
      </c>
      <c r="O722">
        <v>258.95</v>
      </c>
      <c r="P722">
        <v>134.30000000000001</v>
      </c>
      <c r="Q722" s="1">
        <v>222.25</v>
      </c>
      <c r="R722" s="1">
        <v>51.2</v>
      </c>
      <c r="S722" s="3">
        <v>8.2091941728437146E-3</v>
      </c>
      <c r="T722" s="3">
        <v>8.1409941412873721E-2</v>
      </c>
    </row>
    <row r="723" spans="1:20" x14ac:dyDescent="0.25">
      <c r="A723" t="s">
        <v>78</v>
      </c>
      <c r="B723" t="s">
        <v>79</v>
      </c>
      <c r="C723" t="s">
        <v>6049</v>
      </c>
      <c r="D723" t="s">
        <v>6048</v>
      </c>
      <c r="E723">
        <v>442.65</v>
      </c>
      <c r="F723">
        <v>440</v>
      </c>
      <c r="G723">
        <v>442.95</v>
      </c>
      <c r="H723">
        <v>438.3</v>
      </c>
      <c r="I723" s="1">
        <v>440.4</v>
      </c>
      <c r="J723">
        <v>35914208.600000001</v>
      </c>
      <c r="K723">
        <v>81575</v>
      </c>
      <c r="L723" t="s">
        <v>78</v>
      </c>
      <c r="M723" t="s">
        <v>17</v>
      </c>
      <c r="N723">
        <v>5498</v>
      </c>
      <c r="O723">
        <v>691</v>
      </c>
      <c r="P723">
        <v>416.2</v>
      </c>
      <c r="Q723" s="1" t="str">
        <v/>
      </c>
      <c r="R723" s="1" t="str">
        <v/>
      </c>
      <c r="S723" s="3">
        <v>0</v>
      </c>
      <c r="T723" s="3">
        <v>0</v>
      </c>
    </row>
    <row r="724" spans="1:20" x14ac:dyDescent="0.25">
      <c r="A724" t="s">
        <v>78</v>
      </c>
      <c r="B724" t="s">
        <v>79</v>
      </c>
      <c r="C724" t="s">
        <v>1032</v>
      </c>
      <c r="D724" t="s">
        <v>1033</v>
      </c>
      <c r="E724">
        <v>497.35</v>
      </c>
      <c r="F724">
        <v>497.35</v>
      </c>
      <c r="G724">
        <v>499.3</v>
      </c>
      <c r="H724">
        <v>485</v>
      </c>
      <c r="I724" s="1">
        <v>489.4</v>
      </c>
      <c r="J724">
        <v>197878056.80000001</v>
      </c>
      <c r="K724">
        <v>404428</v>
      </c>
      <c r="L724" t="s">
        <v>78</v>
      </c>
      <c r="M724" t="s">
        <v>17</v>
      </c>
      <c r="N724">
        <v>23474</v>
      </c>
      <c r="O724">
        <v>517</v>
      </c>
      <c r="P724">
        <v>198.3</v>
      </c>
      <c r="Q724" s="1">
        <v>123.15</v>
      </c>
      <c r="R724" s="1">
        <v>98.15</v>
      </c>
      <c r="S724" s="3">
        <v>0.12185259208960741</v>
      </c>
      <c r="T724" s="3">
        <v>8.3601447336772106E-2</v>
      </c>
    </row>
    <row r="725" spans="1:20" x14ac:dyDescent="0.25">
      <c r="A725" t="s">
        <v>78</v>
      </c>
      <c r="B725" t="s">
        <v>79</v>
      </c>
      <c r="C725" t="s">
        <v>1034</v>
      </c>
      <c r="D725" t="s">
        <v>1035</v>
      </c>
      <c r="E725">
        <v>137.18</v>
      </c>
      <c r="F725">
        <v>139</v>
      </c>
      <c r="G725">
        <v>139.49</v>
      </c>
      <c r="H725">
        <v>136.6</v>
      </c>
      <c r="I725" s="1">
        <v>137.97</v>
      </c>
      <c r="J725">
        <v>152077928.41</v>
      </c>
      <c r="K725">
        <v>1101454</v>
      </c>
      <c r="L725" t="s">
        <v>78</v>
      </c>
      <c r="M725" t="s">
        <v>17</v>
      </c>
      <c r="N725">
        <v>13616</v>
      </c>
      <c r="O725">
        <v>421.2</v>
      </c>
      <c r="P725">
        <v>125</v>
      </c>
      <c r="Q725" s="1">
        <v>181.1</v>
      </c>
      <c r="R725" s="1">
        <v>137</v>
      </c>
      <c r="S725" s="3">
        <v>-2.2412774532783342E-2</v>
      </c>
      <c r="T725" s="3">
        <v>3.5263618987046996E-4</v>
      </c>
    </row>
    <row r="726" spans="1:20" x14ac:dyDescent="0.25">
      <c r="A726" t="s">
        <v>78</v>
      </c>
      <c r="B726" t="s">
        <v>79</v>
      </c>
      <c r="C726" t="s">
        <v>1036</v>
      </c>
      <c r="D726" t="s">
        <v>1037</v>
      </c>
      <c r="E726">
        <v>2902.4</v>
      </c>
      <c r="F726">
        <v>2873</v>
      </c>
      <c r="G726">
        <v>2907.95</v>
      </c>
      <c r="H726">
        <v>2805.15</v>
      </c>
      <c r="I726" s="1">
        <v>2822.2</v>
      </c>
      <c r="J726">
        <v>41286098.75</v>
      </c>
      <c r="K726">
        <v>14490</v>
      </c>
      <c r="L726" t="s">
        <v>78</v>
      </c>
      <c r="M726" t="s">
        <v>17</v>
      </c>
      <c r="N726">
        <v>3645</v>
      </c>
      <c r="O726">
        <v>3208.05</v>
      </c>
      <c r="P726">
        <v>2247</v>
      </c>
      <c r="Q726" s="1">
        <v>3051</v>
      </c>
      <c r="R726" s="1">
        <v>1215.3499999999999</v>
      </c>
      <c r="S726" s="3">
        <v>-6.4750031601201741E-3</v>
      </c>
      <c r="T726" s="3">
        <v>4.2999985320767431E-2</v>
      </c>
    </row>
    <row r="727" spans="1:20" x14ac:dyDescent="0.25">
      <c r="A727" t="s">
        <v>78</v>
      </c>
      <c r="B727" t="s">
        <v>79</v>
      </c>
      <c r="C727" t="s">
        <v>6047</v>
      </c>
      <c r="D727" t="s">
        <v>6046</v>
      </c>
      <c r="E727">
        <v>207.94</v>
      </c>
      <c r="F727">
        <v>207.75</v>
      </c>
      <c r="G727">
        <v>207.75</v>
      </c>
      <c r="H727">
        <v>204</v>
      </c>
      <c r="I727" s="1">
        <v>204.61</v>
      </c>
      <c r="J727">
        <v>57311355.369999997</v>
      </c>
      <c r="K727">
        <v>278665</v>
      </c>
      <c r="L727" t="s">
        <v>78</v>
      </c>
      <c r="M727" t="s">
        <v>17</v>
      </c>
      <c r="N727">
        <v>9560</v>
      </c>
      <c r="O727">
        <v>344.05</v>
      </c>
      <c r="P727">
        <v>182.45</v>
      </c>
      <c r="Q727" s="1" t="str">
        <v/>
      </c>
      <c r="R727" s="1" t="str">
        <v/>
      </c>
      <c r="S727" s="3">
        <v>0</v>
      </c>
      <c r="T727" s="3">
        <v>0</v>
      </c>
    </row>
    <row r="728" spans="1:20" x14ac:dyDescent="0.25">
      <c r="A728" t="s">
        <v>78</v>
      </c>
      <c r="B728" t="s">
        <v>79</v>
      </c>
      <c r="C728" t="s">
        <v>1044</v>
      </c>
      <c r="D728" t="s">
        <v>1045</v>
      </c>
      <c r="E728">
        <v>804.5</v>
      </c>
      <c r="F728">
        <v>800.25</v>
      </c>
      <c r="G728">
        <v>808.65</v>
      </c>
      <c r="H728">
        <v>790.25</v>
      </c>
      <c r="I728" s="1">
        <v>795.05</v>
      </c>
      <c r="J728">
        <v>2516126.6</v>
      </c>
      <c r="K728">
        <v>3151</v>
      </c>
      <c r="L728" t="s">
        <v>78</v>
      </c>
      <c r="M728" t="s">
        <v>17</v>
      </c>
      <c r="N728">
        <v>375</v>
      </c>
      <c r="O728">
        <v>935</v>
      </c>
      <c r="P728">
        <v>601.35</v>
      </c>
      <c r="Q728" s="1">
        <v>445.5</v>
      </c>
      <c r="R728" s="1">
        <v>327</v>
      </c>
      <c r="S728" s="3">
        <v>4.9451150017122192E-2</v>
      </c>
      <c r="T728" s="3">
        <v>4.5398250861389711E-2</v>
      </c>
    </row>
    <row r="729" spans="1:20" x14ac:dyDescent="0.25">
      <c r="A729" t="s">
        <v>78</v>
      </c>
      <c r="B729" t="s">
        <v>79</v>
      </c>
      <c r="C729" t="s">
        <v>1046</v>
      </c>
      <c r="D729" t="s">
        <v>1047</v>
      </c>
      <c r="E729">
        <v>1532.15</v>
      </c>
      <c r="F729">
        <v>1542.75</v>
      </c>
      <c r="G729">
        <v>1554</v>
      </c>
      <c r="H729">
        <v>1479</v>
      </c>
      <c r="I729" s="1">
        <v>1498.8</v>
      </c>
      <c r="J729">
        <v>71874761.349999994</v>
      </c>
      <c r="K729">
        <v>48102</v>
      </c>
      <c r="L729" t="s">
        <v>78</v>
      </c>
      <c r="M729" t="s">
        <v>17</v>
      </c>
      <c r="N729">
        <v>6860</v>
      </c>
      <c r="O729">
        <v>1569.85</v>
      </c>
      <c r="P729">
        <v>811.15</v>
      </c>
      <c r="Q729" s="1">
        <v>496.95</v>
      </c>
      <c r="R729" s="1">
        <v>262</v>
      </c>
      <c r="S729" s="3">
        <v>9.6358485978913722E-2</v>
      </c>
      <c r="T729" s="3">
        <v>9.1066896260797003E-2</v>
      </c>
    </row>
    <row r="730" spans="1:20" x14ac:dyDescent="0.25">
      <c r="A730" t="s">
        <v>78</v>
      </c>
      <c r="B730" t="s">
        <v>79</v>
      </c>
      <c r="C730" t="s">
        <v>6045</v>
      </c>
      <c r="D730" t="s">
        <v>6044</v>
      </c>
      <c r="E730">
        <v>170</v>
      </c>
      <c r="F730">
        <v>171</v>
      </c>
      <c r="G730">
        <v>171</v>
      </c>
      <c r="H730">
        <v>162.35</v>
      </c>
      <c r="I730" s="1">
        <v>164.23</v>
      </c>
      <c r="J730">
        <v>55453647.450000003</v>
      </c>
      <c r="K730">
        <v>334092</v>
      </c>
      <c r="L730" t="s">
        <v>78</v>
      </c>
      <c r="M730" t="s">
        <v>17</v>
      </c>
      <c r="N730">
        <v>9795</v>
      </c>
      <c r="O730">
        <v>217.05</v>
      </c>
      <c r="P730">
        <v>126.95</v>
      </c>
      <c r="Q730" s="1" t="str">
        <v/>
      </c>
      <c r="R730" s="1" t="str">
        <v/>
      </c>
      <c r="S730" s="3">
        <v>0</v>
      </c>
      <c r="T730" s="3">
        <v>0</v>
      </c>
    </row>
    <row r="731" spans="1:20" x14ac:dyDescent="0.25">
      <c r="A731" t="s">
        <v>78</v>
      </c>
      <c r="B731" t="s">
        <v>79</v>
      </c>
      <c r="C731" t="s">
        <v>3134</v>
      </c>
      <c r="D731" t="s">
        <v>3135</v>
      </c>
      <c r="E731">
        <v>955.55</v>
      </c>
      <c r="F731">
        <v>959.95</v>
      </c>
      <c r="G731">
        <v>969.45</v>
      </c>
      <c r="H731">
        <v>925</v>
      </c>
      <c r="I731" s="1">
        <v>928.85</v>
      </c>
      <c r="J731">
        <v>88825009.700000003</v>
      </c>
      <c r="K731">
        <v>94242</v>
      </c>
      <c r="L731" t="s">
        <v>78</v>
      </c>
      <c r="M731" t="s">
        <v>17</v>
      </c>
      <c r="N731">
        <v>9082</v>
      </c>
      <c r="O731">
        <v>1110</v>
      </c>
      <c r="P731">
        <v>361.8</v>
      </c>
      <c r="Q731" s="1">
        <v>124.35</v>
      </c>
      <c r="R731" s="1">
        <v>35.5</v>
      </c>
      <c r="S731" s="3">
        <v>0.18242875602663999</v>
      </c>
      <c r="T731" s="3">
        <v>0.17719129328951566</v>
      </c>
    </row>
    <row r="732" spans="1:20" x14ac:dyDescent="0.25">
      <c r="A732" t="s">
        <v>78</v>
      </c>
      <c r="B732" t="s">
        <v>79</v>
      </c>
      <c r="C732" t="s">
        <v>1050</v>
      </c>
      <c r="D732" t="s">
        <v>1051</v>
      </c>
      <c r="E732">
        <v>175.2</v>
      </c>
      <c r="F732">
        <v>174.06</v>
      </c>
      <c r="G732">
        <v>177.08</v>
      </c>
      <c r="H732">
        <v>168.32</v>
      </c>
      <c r="I732" s="1">
        <v>170.72</v>
      </c>
      <c r="J732">
        <v>1582673.72</v>
      </c>
      <c r="K732">
        <v>9184</v>
      </c>
      <c r="L732" t="s">
        <v>78</v>
      </c>
      <c r="M732" t="s">
        <v>17</v>
      </c>
      <c r="N732">
        <v>398</v>
      </c>
      <c r="O732">
        <v>189</v>
      </c>
      <c r="P732">
        <v>108.35</v>
      </c>
      <c r="Q732" s="1">
        <v>91</v>
      </c>
      <c r="R732" s="1">
        <v>39</v>
      </c>
      <c r="S732" s="3">
        <v>5.3829255256995889E-2</v>
      </c>
      <c r="T732" s="3">
        <v>7.6572871135356824E-2</v>
      </c>
    </row>
    <row r="733" spans="1:20" x14ac:dyDescent="0.25">
      <c r="A733" t="s">
        <v>78</v>
      </c>
      <c r="B733" t="s">
        <v>79</v>
      </c>
      <c r="C733" t="s">
        <v>1052</v>
      </c>
      <c r="D733" t="s">
        <v>1053</v>
      </c>
      <c r="E733">
        <v>3838.9</v>
      </c>
      <c r="F733">
        <v>3851.3</v>
      </c>
      <c r="G733">
        <v>3910.55</v>
      </c>
      <c r="H733">
        <v>3750</v>
      </c>
      <c r="I733" s="1">
        <v>3770.8</v>
      </c>
      <c r="J733">
        <v>35220997</v>
      </c>
      <c r="K733">
        <v>9291</v>
      </c>
      <c r="L733" t="s">
        <v>78</v>
      </c>
      <c r="M733" t="s">
        <v>17</v>
      </c>
      <c r="N733">
        <v>4565</v>
      </c>
      <c r="O733">
        <v>4288.8</v>
      </c>
      <c r="P733">
        <v>3007</v>
      </c>
      <c r="Q733" s="1">
        <v>3302.2</v>
      </c>
      <c r="R733" s="1">
        <v>1151.4000000000001</v>
      </c>
      <c r="S733" s="3">
        <v>1.1119556728750979E-2</v>
      </c>
      <c r="T733" s="3">
        <v>6.1075424848683113E-2</v>
      </c>
    </row>
    <row r="734" spans="1:20" x14ac:dyDescent="0.25">
      <c r="A734" t="s">
        <v>78</v>
      </c>
      <c r="B734" t="s">
        <v>79</v>
      </c>
      <c r="C734" t="s">
        <v>6043</v>
      </c>
      <c r="D734" t="s">
        <v>5141</v>
      </c>
      <c r="E734">
        <v>1.24</v>
      </c>
      <c r="F734">
        <v>1.3</v>
      </c>
      <c r="G734">
        <v>1.3</v>
      </c>
      <c r="H734">
        <v>1.3</v>
      </c>
      <c r="I734" s="1">
        <v>1.3</v>
      </c>
      <c r="J734">
        <v>157591.20000000001</v>
      </c>
      <c r="K734">
        <v>121224</v>
      </c>
      <c r="L734" t="s">
        <v>78</v>
      </c>
      <c r="M734" t="s">
        <v>17</v>
      </c>
      <c r="N734">
        <v>116</v>
      </c>
      <c r="O734">
        <v>2.5499999999999998</v>
      </c>
      <c r="P734">
        <v>1</v>
      </c>
      <c r="Q734" s="1" t="str">
        <v/>
      </c>
      <c r="R734" s="1" t="str">
        <v/>
      </c>
      <c r="S734" s="3">
        <v>0</v>
      </c>
      <c r="T734" s="3">
        <v>0</v>
      </c>
    </row>
    <row r="735" spans="1:20" x14ac:dyDescent="0.25">
      <c r="A735" t="s">
        <v>78</v>
      </c>
      <c r="B735" t="s">
        <v>79</v>
      </c>
      <c r="C735" t="s">
        <v>6042</v>
      </c>
      <c r="D735" t="s">
        <v>6041</v>
      </c>
      <c r="E735">
        <v>110.99</v>
      </c>
      <c r="F735">
        <v>110.96</v>
      </c>
      <c r="G735">
        <v>116.8</v>
      </c>
      <c r="H735">
        <v>110.52</v>
      </c>
      <c r="I735" s="1">
        <v>111.93</v>
      </c>
      <c r="J735">
        <v>352068445.41000003</v>
      </c>
      <c r="K735">
        <v>3089988</v>
      </c>
      <c r="L735" t="s">
        <v>78</v>
      </c>
      <c r="M735" t="s">
        <v>17</v>
      </c>
      <c r="N735">
        <v>32773</v>
      </c>
      <c r="O735">
        <v>121.55</v>
      </c>
      <c r="P735">
        <v>71.650000000000006</v>
      </c>
      <c r="Q735" s="1" t="str">
        <v/>
      </c>
      <c r="R735" s="1" t="str">
        <v/>
      </c>
      <c r="S735" s="3">
        <v>0</v>
      </c>
      <c r="T735" s="3">
        <v>0</v>
      </c>
    </row>
    <row r="736" spans="1:20" x14ac:dyDescent="0.25">
      <c r="A736" t="s">
        <v>78</v>
      </c>
      <c r="B736" t="s">
        <v>79</v>
      </c>
      <c r="C736" t="s">
        <v>1058</v>
      </c>
      <c r="D736" t="s">
        <v>1059</v>
      </c>
      <c r="E736">
        <v>387.1</v>
      </c>
      <c r="F736">
        <v>385</v>
      </c>
      <c r="G736">
        <v>390.6</v>
      </c>
      <c r="H736">
        <v>369.95</v>
      </c>
      <c r="I736" s="1">
        <v>375.05</v>
      </c>
      <c r="J736">
        <v>19757867.949999999</v>
      </c>
      <c r="K736">
        <v>52052</v>
      </c>
      <c r="L736" t="s">
        <v>78</v>
      </c>
      <c r="M736" t="s">
        <v>17</v>
      </c>
      <c r="N736">
        <v>3203</v>
      </c>
      <c r="O736">
        <v>418.45</v>
      </c>
      <c r="P736">
        <v>162.30000000000001</v>
      </c>
      <c r="Q736" s="1">
        <v>175.1</v>
      </c>
      <c r="R736" s="1">
        <v>107.45</v>
      </c>
      <c r="S736" s="3">
        <v>6.553303460330584E-2</v>
      </c>
      <c r="T736" s="3">
        <v>6.4459818300928395E-2</v>
      </c>
    </row>
    <row r="737" spans="1:20" x14ac:dyDescent="0.25">
      <c r="A737" t="s">
        <v>78</v>
      </c>
      <c r="B737" t="s">
        <v>79</v>
      </c>
      <c r="C737" t="s">
        <v>1060</v>
      </c>
      <c r="D737" t="s">
        <v>1061</v>
      </c>
      <c r="E737">
        <v>93.27</v>
      </c>
      <c r="F737">
        <v>94.7</v>
      </c>
      <c r="G737">
        <v>94.7</v>
      </c>
      <c r="H737">
        <v>92.1</v>
      </c>
      <c r="I737" s="1">
        <v>92.98</v>
      </c>
      <c r="J737">
        <v>9307162.8900000006</v>
      </c>
      <c r="K737">
        <v>99883</v>
      </c>
      <c r="L737" t="s">
        <v>78</v>
      </c>
      <c r="M737" t="s">
        <v>17</v>
      </c>
      <c r="N737">
        <v>3206</v>
      </c>
      <c r="O737">
        <v>126.5</v>
      </c>
      <c r="P737">
        <v>73.900000000000006</v>
      </c>
      <c r="Q737" s="1">
        <v>88.5</v>
      </c>
      <c r="R737" s="1" t="str">
        <v/>
      </c>
      <c r="S737" s="3">
        <v>4.1236342324846298E-3</v>
      </c>
      <c r="T737" s="3">
        <v>0</v>
      </c>
    </row>
    <row r="738" spans="1:20" x14ac:dyDescent="0.25">
      <c r="A738" t="s">
        <v>78</v>
      </c>
      <c r="B738" t="s">
        <v>79</v>
      </c>
      <c r="C738" t="s">
        <v>1064</v>
      </c>
      <c r="D738" t="s">
        <v>1065</v>
      </c>
      <c r="E738">
        <v>679.05</v>
      </c>
      <c r="F738">
        <v>675</v>
      </c>
      <c r="G738">
        <v>683</v>
      </c>
      <c r="H738">
        <v>626.95000000000005</v>
      </c>
      <c r="I738" s="1">
        <v>641.25</v>
      </c>
      <c r="J738">
        <v>309885581.30000001</v>
      </c>
      <c r="K738">
        <v>478212</v>
      </c>
      <c r="L738" t="s">
        <v>78</v>
      </c>
      <c r="M738" t="s">
        <v>17</v>
      </c>
      <c r="N738">
        <v>23290</v>
      </c>
      <c r="O738">
        <v>738.9</v>
      </c>
      <c r="P738">
        <v>266</v>
      </c>
      <c r="Q738" s="1">
        <v>165.9</v>
      </c>
      <c r="R738" s="1">
        <v>97.1</v>
      </c>
      <c r="S738" s="3">
        <v>0.11926197432485908</v>
      </c>
      <c r="T738" s="3">
        <v>9.8924761468780043E-2</v>
      </c>
    </row>
    <row r="739" spans="1:20" x14ac:dyDescent="0.25">
      <c r="A739" t="s">
        <v>78</v>
      </c>
      <c r="B739" t="s">
        <v>79</v>
      </c>
      <c r="C739" t="s">
        <v>6040</v>
      </c>
      <c r="D739" t="s">
        <v>6039</v>
      </c>
      <c r="E739">
        <v>976.5</v>
      </c>
      <c r="F739">
        <v>975.95</v>
      </c>
      <c r="G739">
        <v>975.95</v>
      </c>
      <c r="H739">
        <v>955</v>
      </c>
      <c r="I739" s="1">
        <v>958.05</v>
      </c>
      <c r="J739">
        <v>61136106.350000001</v>
      </c>
      <c r="K739">
        <v>63615</v>
      </c>
      <c r="L739" t="s">
        <v>78</v>
      </c>
      <c r="M739" t="s">
        <v>17</v>
      </c>
      <c r="N739">
        <v>4298</v>
      </c>
      <c r="O739">
        <v>2527.0500000000002</v>
      </c>
      <c r="P739">
        <v>708.9</v>
      </c>
      <c r="Q739" s="1" t="str">
        <v/>
      </c>
      <c r="R739" s="1" t="str">
        <v/>
      </c>
      <c r="S739" s="3">
        <v>0</v>
      </c>
      <c r="T739" s="3">
        <v>0</v>
      </c>
    </row>
    <row r="740" spans="1:20" x14ac:dyDescent="0.25">
      <c r="A740" t="s">
        <v>78</v>
      </c>
      <c r="B740" t="s">
        <v>79</v>
      </c>
      <c r="C740" t="s">
        <v>1066</v>
      </c>
      <c r="D740" t="s">
        <v>1067</v>
      </c>
      <c r="E740">
        <v>25.3</v>
      </c>
      <c r="F740">
        <v>25.3</v>
      </c>
      <c r="G740">
        <v>25.45</v>
      </c>
      <c r="H740">
        <v>24.05</v>
      </c>
      <c r="I740" s="1">
        <v>24.16</v>
      </c>
      <c r="J740">
        <v>37036568.759999998</v>
      </c>
      <c r="K740">
        <v>1504024</v>
      </c>
      <c r="L740" t="s">
        <v>78</v>
      </c>
      <c r="M740" t="s">
        <v>17</v>
      </c>
      <c r="N740">
        <v>6497</v>
      </c>
      <c r="O740">
        <v>28.5</v>
      </c>
      <c r="P740">
        <v>15.35</v>
      </c>
      <c r="Q740" s="1">
        <v>12</v>
      </c>
      <c r="R740" s="1">
        <v>4.2</v>
      </c>
      <c r="S740" s="3">
        <v>6.004989411908257E-2</v>
      </c>
      <c r="T740" s="3">
        <v>9.1368904540559903E-2</v>
      </c>
    </row>
    <row r="741" spans="1:20" x14ac:dyDescent="0.25">
      <c r="A741" t="s">
        <v>78</v>
      </c>
      <c r="B741" t="s">
        <v>79</v>
      </c>
      <c r="C741" t="s">
        <v>1068</v>
      </c>
      <c r="D741" t="s">
        <v>1069</v>
      </c>
      <c r="E741">
        <v>358.1</v>
      </c>
      <c r="F741">
        <v>358.95</v>
      </c>
      <c r="G741">
        <v>359.7</v>
      </c>
      <c r="H741">
        <v>348.25</v>
      </c>
      <c r="I741" s="1">
        <v>350.15</v>
      </c>
      <c r="J741">
        <v>292879346.14999998</v>
      </c>
      <c r="K741">
        <v>831028</v>
      </c>
      <c r="L741" t="s">
        <v>78</v>
      </c>
      <c r="M741" t="s">
        <v>17</v>
      </c>
      <c r="N741">
        <v>23649</v>
      </c>
      <c r="O741">
        <v>381</v>
      </c>
      <c r="P741">
        <v>171.6</v>
      </c>
      <c r="Q741" s="1">
        <v>70.3</v>
      </c>
      <c r="R741" s="1">
        <v>16.600000000000001</v>
      </c>
      <c r="S741" s="3">
        <v>0.14316319561929092</v>
      </c>
      <c r="T741" s="3">
        <v>0.16458460308935008</v>
      </c>
    </row>
    <row r="742" spans="1:20" x14ac:dyDescent="0.25">
      <c r="A742" t="s">
        <v>78</v>
      </c>
      <c r="B742" t="s">
        <v>79</v>
      </c>
      <c r="C742" t="s">
        <v>1070</v>
      </c>
      <c r="D742" t="s">
        <v>1071</v>
      </c>
      <c r="E742">
        <v>117.67</v>
      </c>
      <c r="F742">
        <v>118.6</v>
      </c>
      <c r="G742">
        <v>121</v>
      </c>
      <c r="H742">
        <v>115.56</v>
      </c>
      <c r="I742" s="1">
        <v>116.45</v>
      </c>
      <c r="J742">
        <v>312394074.23000002</v>
      </c>
      <c r="K742">
        <v>2657487</v>
      </c>
      <c r="L742" t="s">
        <v>78</v>
      </c>
      <c r="M742" t="s">
        <v>17</v>
      </c>
      <c r="N742">
        <v>27490</v>
      </c>
      <c r="O742">
        <v>125.5</v>
      </c>
      <c r="P742">
        <v>45.8</v>
      </c>
      <c r="Q742" s="1">
        <v>93.2</v>
      </c>
      <c r="R742" s="1">
        <v>28.6</v>
      </c>
      <c r="S742" s="3">
        <v>1.8732821283102385E-2</v>
      </c>
      <c r="T742" s="3">
        <v>7.2684427837069077E-2</v>
      </c>
    </row>
    <row r="743" spans="1:20" x14ac:dyDescent="0.25">
      <c r="A743" t="s">
        <v>78</v>
      </c>
      <c r="B743" t="s">
        <v>79</v>
      </c>
      <c r="C743" t="s">
        <v>1074</v>
      </c>
      <c r="D743" t="s">
        <v>1075</v>
      </c>
      <c r="E743">
        <v>1361.4</v>
      </c>
      <c r="F743">
        <v>1367.7</v>
      </c>
      <c r="G743">
        <v>1379</v>
      </c>
      <c r="H743">
        <v>1317.2</v>
      </c>
      <c r="I743" s="1">
        <v>1337.95</v>
      </c>
      <c r="J743">
        <v>2228927302.4000001</v>
      </c>
      <c r="K743">
        <v>1663998</v>
      </c>
      <c r="L743" t="s">
        <v>78</v>
      </c>
      <c r="M743" t="s">
        <v>17</v>
      </c>
      <c r="N743">
        <v>59910</v>
      </c>
      <c r="O743">
        <v>1543.7</v>
      </c>
      <c r="P743">
        <v>725</v>
      </c>
      <c r="Q743" s="1">
        <v>378.05</v>
      </c>
      <c r="R743" s="1">
        <v>254.6</v>
      </c>
      <c r="S743" s="3">
        <v>0.11106863237534959</v>
      </c>
      <c r="T743" s="3">
        <v>8.6448996404149714E-2</v>
      </c>
    </row>
    <row r="744" spans="1:20" x14ac:dyDescent="0.25">
      <c r="A744" t="s">
        <v>78</v>
      </c>
      <c r="B744" t="s">
        <v>79</v>
      </c>
      <c r="C744" t="s">
        <v>1078</v>
      </c>
      <c r="D744" t="s">
        <v>1079</v>
      </c>
      <c r="E744">
        <v>79.83</v>
      </c>
      <c r="F744">
        <v>79.83</v>
      </c>
      <c r="G744">
        <v>80.17</v>
      </c>
      <c r="H744">
        <v>77.099999999999994</v>
      </c>
      <c r="I744" s="1">
        <v>77.72</v>
      </c>
      <c r="J744">
        <v>6082529.8200000003</v>
      </c>
      <c r="K744">
        <v>77534</v>
      </c>
      <c r="L744" t="s">
        <v>78</v>
      </c>
      <c r="M744" t="s">
        <v>17</v>
      </c>
      <c r="N744">
        <v>2090</v>
      </c>
      <c r="O744">
        <v>118.45</v>
      </c>
      <c r="P744">
        <v>53.7</v>
      </c>
      <c r="Q744" s="1">
        <v>66.099999999999994</v>
      </c>
      <c r="R744" s="1" t="str">
        <v/>
      </c>
      <c r="S744" s="3">
        <v>1.3586796033179027E-2</v>
      </c>
      <c r="T744" s="3">
        <v>0</v>
      </c>
    </row>
    <row r="745" spans="1:20" x14ac:dyDescent="0.25">
      <c r="A745" t="s">
        <v>78</v>
      </c>
      <c r="B745" t="s">
        <v>79</v>
      </c>
      <c r="C745" t="s">
        <v>1080</v>
      </c>
      <c r="D745" t="s">
        <v>1081</v>
      </c>
      <c r="E745">
        <v>552.54999999999995</v>
      </c>
      <c r="F745">
        <v>552.25</v>
      </c>
      <c r="G745">
        <v>557.25</v>
      </c>
      <c r="H745">
        <v>537.6</v>
      </c>
      <c r="I745" s="1">
        <v>540.1</v>
      </c>
      <c r="J745">
        <v>130907968.75</v>
      </c>
      <c r="K745">
        <v>240786</v>
      </c>
      <c r="L745" t="s">
        <v>78</v>
      </c>
      <c r="M745" t="s">
        <v>17</v>
      </c>
      <c r="N745">
        <v>10052</v>
      </c>
      <c r="O745">
        <v>659.9</v>
      </c>
      <c r="P745">
        <v>434.95</v>
      </c>
      <c r="Q745" s="1">
        <v>308.10000000000002</v>
      </c>
      <c r="R745" s="1">
        <v>208.3</v>
      </c>
      <c r="S745" s="3">
        <v>4.7888819316917797E-2</v>
      </c>
      <c r="T745" s="3">
        <v>4.8764347039230493E-2</v>
      </c>
    </row>
    <row r="746" spans="1:20" x14ac:dyDescent="0.25">
      <c r="A746" t="s">
        <v>78</v>
      </c>
      <c r="B746" t="s">
        <v>79</v>
      </c>
      <c r="C746" t="s">
        <v>6038</v>
      </c>
      <c r="D746" t="s">
        <v>6037</v>
      </c>
      <c r="E746">
        <v>91.58</v>
      </c>
      <c r="F746">
        <v>92.39</v>
      </c>
      <c r="G746">
        <v>93.8</v>
      </c>
      <c r="H746">
        <v>90.1</v>
      </c>
      <c r="I746" s="1">
        <v>90.49</v>
      </c>
      <c r="J746">
        <v>32341525.510000002</v>
      </c>
      <c r="K746">
        <v>350822</v>
      </c>
      <c r="L746" t="s">
        <v>78</v>
      </c>
      <c r="M746" t="s">
        <v>17</v>
      </c>
      <c r="N746">
        <v>6493</v>
      </c>
      <c r="O746">
        <v>98.25</v>
      </c>
      <c r="P746">
        <v>68</v>
      </c>
      <c r="Q746" s="1" t="str">
        <v/>
      </c>
      <c r="R746" s="1" t="str">
        <v/>
      </c>
      <c r="S746" s="3">
        <v>0</v>
      </c>
      <c r="T746" s="3">
        <v>0</v>
      </c>
    </row>
    <row r="747" spans="1:20" x14ac:dyDescent="0.25">
      <c r="A747" t="s">
        <v>78</v>
      </c>
      <c r="B747" t="s">
        <v>79</v>
      </c>
      <c r="C747" t="s">
        <v>1082</v>
      </c>
      <c r="D747" t="s">
        <v>1083</v>
      </c>
      <c r="E747">
        <v>259.94</v>
      </c>
      <c r="F747">
        <v>261</v>
      </c>
      <c r="G747">
        <v>268</v>
      </c>
      <c r="H747">
        <v>259.37</v>
      </c>
      <c r="I747" s="1">
        <v>261.83</v>
      </c>
      <c r="J747">
        <v>224692431.22999999</v>
      </c>
      <c r="K747">
        <v>851208</v>
      </c>
      <c r="L747" t="s">
        <v>78</v>
      </c>
      <c r="M747" t="s">
        <v>17</v>
      </c>
      <c r="N747">
        <v>16466</v>
      </c>
      <c r="O747">
        <v>292.39999999999998</v>
      </c>
      <c r="P747">
        <v>174.45</v>
      </c>
      <c r="Q747" s="1">
        <v>181.5</v>
      </c>
      <c r="R747" s="1">
        <v>243.25</v>
      </c>
      <c r="S747" s="3">
        <v>3.1007674455683754E-2</v>
      </c>
      <c r="T747" s="3">
        <v>3.6850435045470142E-3</v>
      </c>
    </row>
    <row r="748" spans="1:20" x14ac:dyDescent="0.25">
      <c r="A748" t="s">
        <v>78</v>
      </c>
      <c r="B748" t="s">
        <v>287</v>
      </c>
      <c r="C748" t="s">
        <v>6036</v>
      </c>
      <c r="D748" t="s">
        <v>6035</v>
      </c>
      <c r="E748">
        <v>63.05</v>
      </c>
      <c r="F748">
        <v>61</v>
      </c>
      <c r="G748">
        <v>63.9</v>
      </c>
      <c r="H748">
        <v>61</v>
      </c>
      <c r="I748" s="1">
        <v>63.7</v>
      </c>
      <c r="J748">
        <v>13166100</v>
      </c>
      <c r="K748">
        <v>207000</v>
      </c>
      <c r="L748" t="s">
        <v>78</v>
      </c>
      <c r="M748" t="s">
        <v>17</v>
      </c>
      <c r="N748">
        <v>8</v>
      </c>
      <c r="O748">
        <v>77.7</v>
      </c>
      <c r="P748">
        <v>34.6</v>
      </c>
      <c r="Q748" s="1" t="str">
        <v/>
      </c>
      <c r="R748" s="1" t="str">
        <v/>
      </c>
      <c r="S748" s="3">
        <v>0</v>
      </c>
      <c r="T748" s="3">
        <v>0</v>
      </c>
    </row>
    <row r="749" spans="1:20" x14ac:dyDescent="0.25">
      <c r="A749" t="s">
        <v>78</v>
      </c>
      <c r="B749" t="s">
        <v>79</v>
      </c>
      <c r="C749" t="s">
        <v>216</v>
      </c>
      <c r="D749" t="s">
        <v>217</v>
      </c>
      <c r="E749">
        <v>417.05</v>
      </c>
      <c r="F749">
        <v>417.1</v>
      </c>
      <c r="G749">
        <v>421.95</v>
      </c>
      <c r="H749">
        <v>405</v>
      </c>
      <c r="I749" s="1">
        <v>406.7</v>
      </c>
      <c r="J749">
        <v>868671880</v>
      </c>
      <c r="K749">
        <v>2109331</v>
      </c>
      <c r="L749" t="s">
        <v>78</v>
      </c>
      <c r="M749" t="s">
        <v>17</v>
      </c>
      <c r="N749">
        <v>42785</v>
      </c>
      <c r="O749">
        <v>467.8</v>
      </c>
      <c r="P749">
        <v>184.1</v>
      </c>
      <c r="Q749" s="1">
        <v>181.8</v>
      </c>
      <c r="R749" s="1">
        <v>216.8</v>
      </c>
      <c r="S749" s="3">
        <v>6.9399617580834461E-2</v>
      </c>
      <c r="T749" s="3">
        <v>3.1937188112576953E-2</v>
      </c>
    </row>
    <row r="750" spans="1:20" x14ac:dyDescent="0.25">
      <c r="A750" t="s">
        <v>78</v>
      </c>
      <c r="B750" t="s">
        <v>79</v>
      </c>
      <c r="C750" t="s">
        <v>1084</v>
      </c>
      <c r="D750" t="s">
        <v>1085</v>
      </c>
      <c r="E750">
        <v>91.72</v>
      </c>
      <c r="F750">
        <v>91.72</v>
      </c>
      <c r="G750">
        <v>93.6</v>
      </c>
      <c r="H750">
        <v>90.91</v>
      </c>
      <c r="I750" s="1">
        <v>92.2</v>
      </c>
      <c r="J750">
        <v>570236.54</v>
      </c>
      <c r="K750">
        <v>6198</v>
      </c>
      <c r="L750" t="s">
        <v>78</v>
      </c>
      <c r="M750" t="s">
        <v>17</v>
      </c>
      <c r="N750">
        <v>234</v>
      </c>
      <c r="O750">
        <v>112</v>
      </c>
      <c r="P750">
        <v>70</v>
      </c>
      <c r="Q750" s="1">
        <v>60</v>
      </c>
      <c r="R750" s="1">
        <v>35.1</v>
      </c>
      <c r="S750" s="3">
        <v>3.6449880702871473E-2</v>
      </c>
      <c r="T750" s="3">
        <v>4.944505493460194E-2</v>
      </c>
    </row>
    <row r="751" spans="1:20" x14ac:dyDescent="0.25">
      <c r="A751" t="s">
        <v>78</v>
      </c>
      <c r="B751" t="s">
        <v>79</v>
      </c>
      <c r="C751" t="s">
        <v>1086</v>
      </c>
      <c r="D751" t="s">
        <v>1087</v>
      </c>
      <c r="E751">
        <v>7732.5</v>
      </c>
      <c r="F751">
        <v>7771.6</v>
      </c>
      <c r="G751">
        <v>8099</v>
      </c>
      <c r="H751">
        <v>7676.05</v>
      </c>
      <c r="I751" s="1">
        <v>7974.45</v>
      </c>
      <c r="J751">
        <v>468735654.30000001</v>
      </c>
      <c r="K751">
        <v>59095</v>
      </c>
      <c r="L751" t="s">
        <v>78</v>
      </c>
      <c r="M751" t="s">
        <v>17</v>
      </c>
      <c r="N751">
        <v>17033</v>
      </c>
      <c r="O751">
        <v>8099</v>
      </c>
      <c r="P751">
        <v>5402.5</v>
      </c>
      <c r="Q751" s="1">
        <v>5953</v>
      </c>
      <c r="R751" s="1">
        <v>6988</v>
      </c>
      <c r="S751" s="3">
        <v>2.4661467284207372E-2</v>
      </c>
      <c r="T751" s="3">
        <v>6.6206186858286387E-3</v>
      </c>
    </row>
    <row r="752" spans="1:20" x14ac:dyDescent="0.25">
      <c r="A752" t="s">
        <v>78</v>
      </c>
      <c r="B752" t="s">
        <v>79</v>
      </c>
      <c r="C752" t="s">
        <v>1088</v>
      </c>
      <c r="D752" t="s">
        <v>1089</v>
      </c>
      <c r="E752">
        <v>30.85</v>
      </c>
      <c r="F752">
        <v>30.86</v>
      </c>
      <c r="G752">
        <v>31.1</v>
      </c>
      <c r="H752">
        <v>30.15</v>
      </c>
      <c r="I752" s="1">
        <v>30.27</v>
      </c>
      <c r="J752">
        <v>3648459.31</v>
      </c>
      <c r="K752">
        <v>119861</v>
      </c>
      <c r="L752" t="s">
        <v>78</v>
      </c>
      <c r="M752" t="s">
        <v>17</v>
      </c>
      <c r="N752">
        <v>1050</v>
      </c>
      <c r="O752">
        <v>40.549999999999997</v>
      </c>
      <c r="P752">
        <v>26</v>
      </c>
      <c r="Q752" s="1">
        <v>37.049999999999997</v>
      </c>
      <c r="R752" s="1">
        <v>8.4</v>
      </c>
      <c r="S752" s="3">
        <v>-1.6701558722331478E-2</v>
      </c>
      <c r="T752" s="3">
        <v>6.6157612400848942E-2</v>
      </c>
    </row>
    <row r="753" spans="1:20" x14ac:dyDescent="0.25">
      <c r="A753" t="s">
        <v>78</v>
      </c>
      <c r="B753" t="s">
        <v>79</v>
      </c>
      <c r="C753" t="s">
        <v>1090</v>
      </c>
      <c r="D753" t="s">
        <v>1091</v>
      </c>
      <c r="E753">
        <v>259.17</v>
      </c>
      <c r="F753">
        <v>257.8</v>
      </c>
      <c r="G753">
        <v>257.8</v>
      </c>
      <c r="H753">
        <v>244.83</v>
      </c>
      <c r="I753" s="1">
        <v>247.59</v>
      </c>
      <c r="J753">
        <v>218765844.44</v>
      </c>
      <c r="K753">
        <v>876542</v>
      </c>
      <c r="L753" t="s">
        <v>78</v>
      </c>
      <c r="M753" t="s">
        <v>17</v>
      </c>
      <c r="N753">
        <v>17846</v>
      </c>
      <c r="O753">
        <v>269.89999999999998</v>
      </c>
      <c r="P753">
        <v>108.05</v>
      </c>
      <c r="Q753" s="1">
        <v>92.1</v>
      </c>
      <c r="R753" s="1">
        <v>70.25</v>
      </c>
      <c r="S753" s="3">
        <v>8.5899056545408081E-2</v>
      </c>
      <c r="T753" s="3">
        <v>6.4974865481035815E-2</v>
      </c>
    </row>
    <row r="754" spans="1:20" x14ac:dyDescent="0.25">
      <c r="A754" t="s">
        <v>78</v>
      </c>
      <c r="B754" t="s">
        <v>287</v>
      </c>
      <c r="C754" t="s">
        <v>1092</v>
      </c>
      <c r="D754" t="s">
        <v>1093</v>
      </c>
      <c r="E754">
        <v>379.15</v>
      </c>
      <c r="F754">
        <v>375</v>
      </c>
      <c r="G754">
        <v>379.15</v>
      </c>
      <c r="H754">
        <v>375</v>
      </c>
      <c r="I754" s="1">
        <v>379.15</v>
      </c>
      <c r="J754">
        <v>188537.5</v>
      </c>
      <c r="K754">
        <v>500</v>
      </c>
      <c r="L754" t="s">
        <v>78</v>
      </c>
      <c r="M754" t="s">
        <v>17</v>
      </c>
      <c r="N754">
        <v>2</v>
      </c>
      <c r="O754">
        <v>2050</v>
      </c>
      <c r="P754">
        <v>260.60000000000002</v>
      </c>
      <c r="Q754" s="1">
        <v>87.25</v>
      </c>
      <c r="R754" s="1">
        <v>23.15</v>
      </c>
      <c r="S754" s="3">
        <v>0.13023946779122819</v>
      </c>
      <c r="T754" s="3">
        <v>0.14995210900415512</v>
      </c>
    </row>
    <row r="755" spans="1:20" x14ac:dyDescent="0.25">
      <c r="A755" t="s">
        <v>78</v>
      </c>
      <c r="B755" t="s">
        <v>79</v>
      </c>
      <c r="C755" t="s">
        <v>1094</v>
      </c>
      <c r="D755" t="s">
        <v>1095</v>
      </c>
      <c r="E755">
        <v>3600.45</v>
      </c>
      <c r="F755">
        <v>3600</v>
      </c>
      <c r="G755">
        <v>3600</v>
      </c>
      <c r="H755">
        <v>3420.45</v>
      </c>
      <c r="I755" s="1">
        <v>3420.45</v>
      </c>
      <c r="J755">
        <v>1626239.95</v>
      </c>
      <c r="K755">
        <v>464</v>
      </c>
      <c r="L755" t="s">
        <v>78</v>
      </c>
      <c r="M755" t="s">
        <v>17</v>
      </c>
      <c r="N755">
        <v>100</v>
      </c>
      <c r="O755">
        <v>3775</v>
      </c>
      <c r="P755">
        <v>1000</v>
      </c>
      <c r="Q755" s="1">
        <v>741.25</v>
      </c>
      <c r="R755" s="1">
        <v>611.20000000000005</v>
      </c>
      <c r="S755" s="3">
        <v>0.1359081397913946</v>
      </c>
      <c r="T755" s="3">
        <v>8.986954223440935E-2</v>
      </c>
    </row>
    <row r="756" spans="1:20" x14ac:dyDescent="0.25">
      <c r="A756" t="s">
        <v>78</v>
      </c>
      <c r="B756" t="s">
        <v>79</v>
      </c>
      <c r="C756" t="s">
        <v>1096</v>
      </c>
      <c r="D756" t="s">
        <v>1097</v>
      </c>
      <c r="E756">
        <v>2051</v>
      </c>
      <c r="F756">
        <v>2066.9499999999998</v>
      </c>
      <c r="G756">
        <v>2066.9499999999998</v>
      </c>
      <c r="H756">
        <v>1990.9</v>
      </c>
      <c r="I756" s="1">
        <v>2009.75</v>
      </c>
      <c r="J756">
        <v>237807945.75</v>
      </c>
      <c r="K756">
        <v>118320</v>
      </c>
      <c r="L756" t="s">
        <v>78</v>
      </c>
      <c r="M756" t="s">
        <v>17</v>
      </c>
      <c r="N756">
        <v>25999</v>
      </c>
      <c r="O756">
        <v>2194</v>
      </c>
      <c r="P756">
        <v>1136.75</v>
      </c>
      <c r="Q756" s="1">
        <v>3835</v>
      </c>
      <c r="R756" s="1" t="str">
        <v/>
      </c>
      <c r="S756" s="3">
        <v>-5.2422538257656859E-2</v>
      </c>
      <c r="T756" s="3">
        <v>0</v>
      </c>
    </row>
    <row r="757" spans="1:20" x14ac:dyDescent="0.25">
      <c r="A757" t="s">
        <v>78</v>
      </c>
      <c r="B757" t="s">
        <v>79</v>
      </c>
      <c r="C757" t="s">
        <v>1098</v>
      </c>
      <c r="D757" t="s">
        <v>1099</v>
      </c>
      <c r="E757">
        <v>2619.75</v>
      </c>
      <c r="F757">
        <v>2620.9499999999998</v>
      </c>
      <c r="G757">
        <v>2650.95</v>
      </c>
      <c r="H757">
        <v>2525</v>
      </c>
      <c r="I757" s="1">
        <v>2563.65</v>
      </c>
      <c r="J757">
        <v>329016530.25</v>
      </c>
      <c r="K757">
        <v>128328</v>
      </c>
      <c r="L757" t="s">
        <v>78</v>
      </c>
      <c r="M757" t="s">
        <v>17</v>
      </c>
      <c r="N757">
        <v>14352</v>
      </c>
      <c r="O757">
        <v>2760</v>
      </c>
      <c r="P757">
        <v>1377.25</v>
      </c>
      <c r="Q757" s="1">
        <v>1548.25</v>
      </c>
      <c r="R757" s="1">
        <v>1154</v>
      </c>
      <c r="S757" s="3">
        <v>4.2921139250073237E-2</v>
      </c>
      <c r="T757" s="3">
        <v>4.0694247744148759E-2</v>
      </c>
    </row>
    <row r="758" spans="1:20" x14ac:dyDescent="0.25">
      <c r="A758" t="s">
        <v>78</v>
      </c>
      <c r="B758" t="s">
        <v>79</v>
      </c>
      <c r="C758" t="s">
        <v>1100</v>
      </c>
      <c r="D758" t="s">
        <v>1101</v>
      </c>
      <c r="E758">
        <v>1410.75</v>
      </c>
      <c r="F758">
        <v>1422</v>
      </c>
      <c r="G758">
        <v>1425</v>
      </c>
      <c r="H758">
        <v>1399.65</v>
      </c>
      <c r="I758" s="1">
        <v>1413.35</v>
      </c>
      <c r="J758">
        <v>1857872917.45</v>
      </c>
      <c r="K758">
        <v>1311262</v>
      </c>
      <c r="L758" t="s">
        <v>78</v>
      </c>
      <c r="M758" t="s">
        <v>17</v>
      </c>
      <c r="N758">
        <v>19443</v>
      </c>
      <c r="O758">
        <v>1427</v>
      </c>
      <c r="P758">
        <v>695</v>
      </c>
      <c r="Q758" s="1">
        <v>676</v>
      </c>
      <c r="R758" s="1">
        <v>431</v>
      </c>
      <c r="S758" s="3">
        <v>6.3388401102285385E-2</v>
      </c>
      <c r="T758" s="3">
        <v>6.1144432109624614E-2</v>
      </c>
    </row>
    <row r="759" spans="1:20" x14ac:dyDescent="0.25">
      <c r="A759" t="s">
        <v>78</v>
      </c>
      <c r="B759" t="s">
        <v>79</v>
      </c>
      <c r="C759" t="s">
        <v>3144</v>
      </c>
      <c r="D759" t="s">
        <v>3145</v>
      </c>
      <c r="E759">
        <v>5.03</v>
      </c>
      <c r="F759">
        <v>5.08</v>
      </c>
      <c r="G759">
        <v>5.08</v>
      </c>
      <c r="H759">
        <v>4.7699999999999996</v>
      </c>
      <c r="I759" s="1">
        <v>4.7699999999999996</v>
      </c>
      <c r="J759">
        <v>60018976.369999997</v>
      </c>
      <c r="K759">
        <v>12370624</v>
      </c>
      <c r="L759" t="s">
        <v>78</v>
      </c>
      <c r="M759" t="s">
        <v>17</v>
      </c>
      <c r="N759">
        <v>6170</v>
      </c>
      <c r="O759">
        <v>5.08</v>
      </c>
      <c r="P759">
        <v>2.7</v>
      </c>
      <c r="Q759" s="1">
        <v>166.65</v>
      </c>
      <c r="R759" s="1" t="str">
        <v/>
      </c>
      <c r="S759" s="3">
        <v>-0.25630860732196836</v>
      </c>
      <c r="T759" s="3">
        <v>0</v>
      </c>
    </row>
    <row r="760" spans="1:20" x14ac:dyDescent="0.25">
      <c r="A760" t="s">
        <v>78</v>
      </c>
      <c r="B760" t="s">
        <v>79</v>
      </c>
      <c r="C760" t="s">
        <v>3146</v>
      </c>
      <c r="D760" t="s">
        <v>3147</v>
      </c>
      <c r="E760">
        <v>857.4</v>
      </c>
      <c r="F760">
        <v>856</v>
      </c>
      <c r="G760">
        <v>859.05</v>
      </c>
      <c r="H760">
        <v>835</v>
      </c>
      <c r="I760" s="1">
        <v>837</v>
      </c>
      <c r="J760">
        <v>74011085.900000006</v>
      </c>
      <c r="K760">
        <v>87458</v>
      </c>
      <c r="L760" t="s">
        <v>78</v>
      </c>
      <c r="M760" t="s">
        <v>17</v>
      </c>
      <c r="N760">
        <v>7911</v>
      </c>
      <c r="O760">
        <v>1270.05</v>
      </c>
      <c r="P760">
        <v>661.3</v>
      </c>
      <c r="Q760" s="1">
        <v>663</v>
      </c>
      <c r="R760" s="1">
        <v>115</v>
      </c>
      <c r="S760" s="3">
        <v>1.9610566345068747E-2</v>
      </c>
      <c r="T760" s="3">
        <v>0.104276364053705</v>
      </c>
    </row>
    <row r="761" spans="1:20" x14ac:dyDescent="0.25">
      <c r="A761" t="s">
        <v>78</v>
      </c>
      <c r="B761" t="s">
        <v>79</v>
      </c>
      <c r="C761" t="s">
        <v>6034</v>
      </c>
      <c r="D761" t="s">
        <v>6033</v>
      </c>
      <c r="E761">
        <v>822.1</v>
      </c>
      <c r="F761">
        <v>826.6</v>
      </c>
      <c r="G761">
        <v>840</v>
      </c>
      <c r="H761">
        <v>819.65</v>
      </c>
      <c r="I761" s="1">
        <v>820.55</v>
      </c>
      <c r="J761">
        <v>1686695.5</v>
      </c>
      <c r="K761">
        <v>2049</v>
      </c>
      <c r="L761" t="s">
        <v>78</v>
      </c>
      <c r="M761" t="s">
        <v>17</v>
      </c>
      <c r="N761">
        <v>278</v>
      </c>
      <c r="O761">
        <v>940.05</v>
      </c>
      <c r="P761">
        <v>799.95</v>
      </c>
      <c r="Q761" s="1" t="str">
        <v/>
      </c>
      <c r="R761" s="1" t="str">
        <v/>
      </c>
      <c r="S761" s="3">
        <v>0</v>
      </c>
      <c r="T761" s="3">
        <v>0</v>
      </c>
    </row>
    <row r="762" spans="1:20" x14ac:dyDescent="0.25">
      <c r="A762" t="s">
        <v>78</v>
      </c>
      <c r="B762" t="s">
        <v>79</v>
      </c>
      <c r="C762" t="s">
        <v>6032</v>
      </c>
      <c r="D762" t="s">
        <v>6031</v>
      </c>
      <c r="E762">
        <v>855.1</v>
      </c>
      <c r="F762">
        <v>855</v>
      </c>
      <c r="G762">
        <v>855</v>
      </c>
      <c r="H762">
        <v>838</v>
      </c>
      <c r="I762" s="1">
        <v>851.35</v>
      </c>
      <c r="J762">
        <v>290931983.89999998</v>
      </c>
      <c r="K762">
        <v>342856</v>
      </c>
      <c r="L762" t="s">
        <v>78</v>
      </c>
      <c r="M762" t="s">
        <v>17</v>
      </c>
      <c r="N762">
        <v>7924</v>
      </c>
      <c r="O762">
        <v>972</v>
      </c>
      <c r="P762">
        <v>587.45000000000005</v>
      </c>
      <c r="Q762" s="1" t="str">
        <v/>
      </c>
      <c r="R762" s="1" t="str">
        <v/>
      </c>
      <c r="S762" s="3">
        <v>0</v>
      </c>
      <c r="T762" s="3">
        <v>0</v>
      </c>
    </row>
    <row r="763" spans="1:20" x14ac:dyDescent="0.25">
      <c r="A763" t="s">
        <v>78</v>
      </c>
      <c r="B763" t="s">
        <v>79</v>
      </c>
      <c r="C763" t="s">
        <v>1108</v>
      </c>
      <c r="D763" t="s">
        <v>1109</v>
      </c>
      <c r="E763">
        <v>837.6</v>
      </c>
      <c r="F763">
        <v>830</v>
      </c>
      <c r="G763">
        <v>833.95</v>
      </c>
      <c r="H763">
        <v>805</v>
      </c>
      <c r="I763" s="1">
        <v>807.75</v>
      </c>
      <c r="J763">
        <v>65000161.100000001</v>
      </c>
      <c r="K763">
        <v>79646</v>
      </c>
      <c r="L763" t="s">
        <v>78</v>
      </c>
      <c r="M763" t="s">
        <v>17</v>
      </c>
      <c r="N763">
        <v>5110</v>
      </c>
      <c r="O763">
        <v>948</v>
      </c>
      <c r="P763">
        <v>571</v>
      </c>
      <c r="Q763" s="1">
        <v>590</v>
      </c>
      <c r="R763" s="1">
        <v>391.5</v>
      </c>
      <c r="S763" s="3">
        <v>2.6523145961099948E-2</v>
      </c>
      <c r="T763" s="3">
        <v>3.6856482027916471E-2</v>
      </c>
    </row>
    <row r="764" spans="1:20" x14ac:dyDescent="0.25">
      <c r="A764" t="s">
        <v>78</v>
      </c>
      <c r="B764" t="s">
        <v>79</v>
      </c>
      <c r="C764" t="s">
        <v>1110</v>
      </c>
      <c r="D764" t="s">
        <v>1111</v>
      </c>
      <c r="E764">
        <v>416.85</v>
      </c>
      <c r="F764">
        <v>416.3</v>
      </c>
      <c r="G764">
        <v>416.3</v>
      </c>
      <c r="H764">
        <v>406.55</v>
      </c>
      <c r="I764" s="1">
        <v>410.7</v>
      </c>
      <c r="J764">
        <v>584426286.95000005</v>
      </c>
      <c r="K764">
        <v>1421497</v>
      </c>
      <c r="L764" t="s">
        <v>78</v>
      </c>
      <c r="M764" t="s">
        <v>17</v>
      </c>
      <c r="N764">
        <v>29223</v>
      </c>
      <c r="O764">
        <v>506</v>
      </c>
      <c r="P764">
        <v>167</v>
      </c>
      <c r="Q764" s="1">
        <v>67.099999999999994</v>
      </c>
      <c r="R764" s="1">
        <v>70.5</v>
      </c>
      <c r="S764" s="3">
        <v>0.16296554610682823</v>
      </c>
      <c r="T764" s="3">
        <v>9.2058296714581322E-2</v>
      </c>
    </row>
    <row r="765" spans="1:20" x14ac:dyDescent="0.25">
      <c r="A765" t="s">
        <v>78</v>
      </c>
      <c r="B765" t="s">
        <v>79</v>
      </c>
      <c r="C765" t="s">
        <v>1112</v>
      </c>
      <c r="D765" t="s">
        <v>1113</v>
      </c>
      <c r="E765">
        <v>1452.75</v>
      </c>
      <c r="F765">
        <v>1440.35</v>
      </c>
      <c r="G765">
        <v>1450.95</v>
      </c>
      <c r="H765">
        <v>1421</v>
      </c>
      <c r="I765" s="1">
        <v>1434.25</v>
      </c>
      <c r="J765">
        <v>149769017.44999999</v>
      </c>
      <c r="K765">
        <v>104353</v>
      </c>
      <c r="L765" t="s">
        <v>78</v>
      </c>
      <c r="M765" t="s">
        <v>17</v>
      </c>
      <c r="N765">
        <v>11632</v>
      </c>
      <c r="O765">
        <v>1897.95</v>
      </c>
      <c r="P765">
        <v>1143.0999999999999</v>
      </c>
      <c r="Q765" s="1">
        <v>4594.25</v>
      </c>
      <c r="R765" s="1">
        <v>1262.2</v>
      </c>
      <c r="S765" s="3">
        <v>-9.2456355988115524E-2</v>
      </c>
      <c r="T765" s="3">
        <v>6.4062252957437504E-3</v>
      </c>
    </row>
    <row r="766" spans="1:20" x14ac:dyDescent="0.25">
      <c r="A766" t="s">
        <v>78</v>
      </c>
      <c r="B766" t="s">
        <v>79</v>
      </c>
      <c r="C766" t="s">
        <v>1114</v>
      </c>
      <c r="D766" t="s">
        <v>6030</v>
      </c>
      <c r="E766">
        <v>96.91</v>
      </c>
      <c r="F766">
        <v>97.02</v>
      </c>
      <c r="G766">
        <v>98</v>
      </c>
      <c r="H766">
        <v>94.75</v>
      </c>
      <c r="I766" s="1">
        <v>95.93</v>
      </c>
      <c r="J766">
        <v>1801680367.97</v>
      </c>
      <c r="K766">
        <v>18804375</v>
      </c>
      <c r="L766" t="s">
        <v>78</v>
      </c>
      <c r="M766" t="s">
        <v>17</v>
      </c>
      <c r="N766">
        <v>60662</v>
      </c>
      <c r="O766">
        <v>101.25</v>
      </c>
      <c r="P766">
        <v>44</v>
      </c>
      <c r="Q766" s="1">
        <v>30.15</v>
      </c>
      <c r="R766" s="1">
        <v>14.6</v>
      </c>
      <c r="S766" s="3">
        <v>0.10125762218487355</v>
      </c>
      <c r="T766" s="3">
        <v>9.8645779417544155E-2</v>
      </c>
    </row>
    <row r="767" spans="1:20" x14ac:dyDescent="0.25">
      <c r="A767" t="s">
        <v>78</v>
      </c>
      <c r="B767" t="s">
        <v>79</v>
      </c>
      <c r="C767" t="s">
        <v>6029</v>
      </c>
      <c r="D767" t="s">
        <v>6028</v>
      </c>
      <c r="E767">
        <v>102.93</v>
      </c>
      <c r="F767">
        <v>105.4</v>
      </c>
      <c r="G767">
        <v>105.76</v>
      </c>
      <c r="H767">
        <v>99.1</v>
      </c>
      <c r="I767" s="1">
        <v>100.86</v>
      </c>
      <c r="J767">
        <v>334693005.73000002</v>
      </c>
      <c r="K767">
        <v>3301028</v>
      </c>
      <c r="L767" t="s">
        <v>78</v>
      </c>
      <c r="M767" t="s">
        <v>17</v>
      </c>
      <c r="N767">
        <v>15369</v>
      </c>
      <c r="O767">
        <v>107.5</v>
      </c>
      <c r="P767">
        <v>18.8</v>
      </c>
      <c r="Q767" s="1" t="str">
        <v/>
      </c>
      <c r="R767" s="1" t="str">
        <v/>
      </c>
      <c r="S767" s="3">
        <v>0</v>
      </c>
      <c r="T767" s="3">
        <v>0</v>
      </c>
    </row>
    <row r="768" spans="1:20" x14ac:dyDescent="0.25">
      <c r="A768" t="s">
        <v>78</v>
      </c>
      <c r="B768" t="s">
        <v>79</v>
      </c>
      <c r="C768" t="s">
        <v>1116</v>
      </c>
      <c r="D768" t="s">
        <v>1117</v>
      </c>
      <c r="E768">
        <v>433.25</v>
      </c>
      <c r="F768">
        <v>432</v>
      </c>
      <c r="G768">
        <v>435.85</v>
      </c>
      <c r="H768">
        <v>416.2</v>
      </c>
      <c r="I768" s="1">
        <v>418.55</v>
      </c>
      <c r="J768">
        <v>56324597.149999999</v>
      </c>
      <c r="K768">
        <v>132621</v>
      </c>
      <c r="L768" t="s">
        <v>78</v>
      </c>
      <c r="M768" t="s">
        <v>17</v>
      </c>
      <c r="N768">
        <v>7770</v>
      </c>
      <c r="O768">
        <v>1064.9000000000001</v>
      </c>
      <c r="P768">
        <v>357.2</v>
      </c>
      <c r="Q768" s="1">
        <v>501.1</v>
      </c>
      <c r="R768" s="1">
        <v>243</v>
      </c>
      <c r="S768" s="3">
        <v>-1.4888825899184943E-2</v>
      </c>
      <c r="T768" s="3">
        <v>2.7544378283899551E-2</v>
      </c>
    </row>
    <row r="769" spans="1:20" x14ac:dyDescent="0.25">
      <c r="A769" t="s">
        <v>78</v>
      </c>
      <c r="B769" t="s">
        <v>79</v>
      </c>
      <c r="C769" t="s">
        <v>1118</v>
      </c>
      <c r="D769" t="s">
        <v>1119</v>
      </c>
      <c r="E769">
        <v>686.4</v>
      </c>
      <c r="F769">
        <v>687</v>
      </c>
      <c r="G769">
        <v>688.45</v>
      </c>
      <c r="H769">
        <v>669.15</v>
      </c>
      <c r="I769" s="1">
        <v>679.6</v>
      </c>
      <c r="J769">
        <v>1295269105.8</v>
      </c>
      <c r="K769">
        <v>1906863</v>
      </c>
      <c r="L769" t="s">
        <v>78</v>
      </c>
      <c r="M769" t="s">
        <v>17</v>
      </c>
      <c r="N769">
        <v>27731</v>
      </c>
      <c r="O769">
        <v>814.9</v>
      </c>
      <c r="P769">
        <v>532</v>
      </c>
      <c r="Q769" s="1">
        <v>358.1</v>
      </c>
      <c r="R769" s="1">
        <v>212</v>
      </c>
      <c r="S769" s="3">
        <v>5.4842017637166673E-2</v>
      </c>
      <c r="T769" s="3">
        <v>5.9941807116095536E-2</v>
      </c>
    </row>
    <row r="770" spans="1:20" x14ac:dyDescent="0.25">
      <c r="A770" t="s">
        <v>78</v>
      </c>
      <c r="B770" t="s">
        <v>79</v>
      </c>
      <c r="C770" t="s">
        <v>3148</v>
      </c>
      <c r="D770" t="s">
        <v>3149</v>
      </c>
      <c r="E770">
        <v>766.85</v>
      </c>
      <c r="F770">
        <v>768.1</v>
      </c>
      <c r="G770">
        <v>770</v>
      </c>
      <c r="H770">
        <v>754.85</v>
      </c>
      <c r="I770" s="1">
        <v>761.55</v>
      </c>
      <c r="J770">
        <v>24802790.399999999</v>
      </c>
      <c r="K770">
        <v>32610</v>
      </c>
      <c r="L770" t="s">
        <v>78</v>
      </c>
      <c r="M770" t="s">
        <v>17</v>
      </c>
      <c r="N770">
        <v>3282</v>
      </c>
      <c r="O770">
        <v>1009</v>
      </c>
      <c r="P770">
        <v>492.25</v>
      </c>
      <c r="Q770" s="1">
        <v>378</v>
      </c>
      <c r="R770" s="1">
        <v>291</v>
      </c>
      <c r="S770" s="3">
        <v>6.0109074042432376E-2</v>
      </c>
      <c r="T770" s="3">
        <v>4.9249645658612229E-2</v>
      </c>
    </row>
    <row r="771" spans="1:20" x14ac:dyDescent="0.25">
      <c r="A771" t="s">
        <v>78</v>
      </c>
      <c r="B771" t="s">
        <v>79</v>
      </c>
      <c r="C771" t="s">
        <v>1120</v>
      </c>
      <c r="D771" t="s">
        <v>1121</v>
      </c>
      <c r="E771">
        <v>465.95</v>
      </c>
      <c r="F771">
        <v>461.5</v>
      </c>
      <c r="G771">
        <v>467.85</v>
      </c>
      <c r="H771">
        <v>452.55</v>
      </c>
      <c r="I771" s="1">
        <v>458.9</v>
      </c>
      <c r="J771">
        <v>36780951</v>
      </c>
      <c r="K771">
        <v>80009</v>
      </c>
      <c r="L771" t="s">
        <v>78</v>
      </c>
      <c r="M771" t="s">
        <v>17</v>
      </c>
      <c r="N771">
        <v>5253</v>
      </c>
      <c r="O771">
        <v>640.85</v>
      </c>
      <c r="P771">
        <v>330</v>
      </c>
      <c r="Q771" s="1">
        <v>269.60000000000002</v>
      </c>
      <c r="R771" s="1">
        <v>222.3</v>
      </c>
      <c r="S771" s="3">
        <v>4.5321414556088735E-2</v>
      </c>
      <c r="T771" s="3">
        <v>3.6884328056012938E-2</v>
      </c>
    </row>
    <row r="772" spans="1:20" x14ac:dyDescent="0.25">
      <c r="A772" t="s">
        <v>78</v>
      </c>
      <c r="B772" t="s">
        <v>79</v>
      </c>
      <c r="C772" t="s">
        <v>6027</v>
      </c>
      <c r="D772" t="s">
        <v>6026</v>
      </c>
      <c r="E772">
        <v>1075.8499999999999</v>
      </c>
      <c r="F772">
        <v>1066.5999999999999</v>
      </c>
      <c r="G772">
        <v>1083.9000000000001</v>
      </c>
      <c r="H772">
        <v>1047.55</v>
      </c>
      <c r="I772" s="1">
        <v>1071.6500000000001</v>
      </c>
      <c r="J772">
        <v>60132044.75</v>
      </c>
      <c r="K772">
        <v>56486</v>
      </c>
      <c r="L772" t="s">
        <v>78</v>
      </c>
      <c r="M772" t="s">
        <v>17</v>
      </c>
      <c r="N772">
        <v>8264</v>
      </c>
      <c r="O772">
        <v>1404.7</v>
      </c>
      <c r="P772">
        <v>933.3</v>
      </c>
      <c r="Q772" s="1" t="str">
        <v/>
      </c>
      <c r="R772" s="1" t="str">
        <v/>
      </c>
      <c r="S772" s="3">
        <v>0</v>
      </c>
      <c r="T772" s="3">
        <v>0</v>
      </c>
    </row>
    <row r="773" spans="1:20" x14ac:dyDescent="0.25">
      <c r="A773" t="s">
        <v>78</v>
      </c>
      <c r="B773" t="s">
        <v>79</v>
      </c>
      <c r="C773" t="s">
        <v>1122</v>
      </c>
      <c r="D773" t="s">
        <v>1123</v>
      </c>
      <c r="E773">
        <v>4439.8500000000004</v>
      </c>
      <c r="F773">
        <v>4420</v>
      </c>
      <c r="G773">
        <v>4435</v>
      </c>
      <c r="H773">
        <v>4260</v>
      </c>
      <c r="I773" s="1">
        <v>4292.25</v>
      </c>
      <c r="J773">
        <v>906335862.70000005</v>
      </c>
      <c r="K773">
        <v>209923</v>
      </c>
      <c r="L773" t="s">
        <v>78</v>
      </c>
      <c r="M773" t="s">
        <v>17</v>
      </c>
      <c r="N773">
        <v>19303</v>
      </c>
      <c r="O773">
        <v>4821.3</v>
      </c>
      <c r="P773">
        <v>1620</v>
      </c>
      <c r="Q773" s="1">
        <v>1026</v>
      </c>
      <c r="R773" s="1">
        <v>758.45</v>
      </c>
      <c r="S773" s="3">
        <v>0.12666500242206813</v>
      </c>
      <c r="T773" s="3">
        <v>9.0478959670521553E-2</v>
      </c>
    </row>
    <row r="774" spans="1:20" x14ac:dyDescent="0.25">
      <c r="A774" t="s">
        <v>78</v>
      </c>
      <c r="B774" t="s">
        <v>79</v>
      </c>
      <c r="C774" t="s">
        <v>6025</v>
      </c>
      <c r="D774" t="s">
        <v>6024</v>
      </c>
      <c r="E774">
        <v>339.4</v>
      </c>
      <c r="F774">
        <v>339.45</v>
      </c>
      <c r="G774">
        <v>346.6</v>
      </c>
      <c r="H774">
        <v>335.45</v>
      </c>
      <c r="I774" s="1">
        <v>340.4</v>
      </c>
      <c r="J774">
        <v>476809198.85000002</v>
      </c>
      <c r="K774">
        <v>1401791</v>
      </c>
      <c r="L774" t="s">
        <v>78</v>
      </c>
      <c r="M774" t="s">
        <v>17</v>
      </c>
      <c r="N774">
        <v>20210</v>
      </c>
      <c r="O774">
        <v>375</v>
      </c>
      <c r="P774">
        <v>278.55</v>
      </c>
      <c r="Q774" s="1" t="str">
        <v/>
      </c>
      <c r="R774" s="1" t="str">
        <v/>
      </c>
      <c r="S774" s="3">
        <v>0</v>
      </c>
      <c r="T774" s="3">
        <v>0</v>
      </c>
    </row>
    <row r="775" spans="1:20" x14ac:dyDescent="0.25">
      <c r="A775" t="s">
        <v>78</v>
      </c>
      <c r="B775" t="s">
        <v>79</v>
      </c>
      <c r="C775" t="s">
        <v>1124</v>
      </c>
      <c r="D775" t="s">
        <v>1125</v>
      </c>
      <c r="E775">
        <v>855.85</v>
      </c>
      <c r="F775">
        <v>853.95</v>
      </c>
      <c r="G775">
        <v>853.95</v>
      </c>
      <c r="H775">
        <v>813.1</v>
      </c>
      <c r="I775" s="1">
        <v>824.25</v>
      </c>
      <c r="J775">
        <v>327985202.89999998</v>
      </c>
      <c r="K775">
        <v>396862</v>
      </c>
      <c r="L775" t="s">
        <v>78</v>
      </c>
      <c r="M775" t="s">
        <v>17</v>
      </c>
      <c r="N775">
        <v>26601</v>
      </c>
      <c r="O775">
        <v>876.7</v>
      </c>
      <c r="P775">
        <v>446.35</v>
      </c>
      <c r="Q775" s="1">
        <v>642.95000000000005</v>
      </c>
      <c r="R775" s="1">
        <v>484.35</v>
      </c>
      <c r="S775" s="3">
        <v>2.0916319805778461E-2</v>
      </c>
      <c r="T775" s="3">
        <v>2.692484241274351E-2</v>
      </c>
    </row>
    <row r="776" spans="1:20" x14ac:dyDescent="0.25">
      <c r="A776" t="s">
        <v>78</v>
      </c>
      <c r="B776" t="s">
        <v>79</v>
      </c>
      <c r="C776" t="s">
        <v>1126</v>
      </c>
      <c r="D776" t="s">
        <v>1127</v>
      </c>
      <c r="E776">
        <v>901</v>
      </c>
      <c r="F776">
        <v>895</v>
      </c>
      <c r="G776">
        <v>902.4</v>
      </c>
      <c r="H776">
        <v>880.8</v>
      </c>
      <c r="I776" s="1">
        <v>885.45</v>
      </c>
      <c r="J776">
        <v>306876227.35000002</v>
      </c>
      <c r="K776">
        <v>344093</v>
      </c>
      <c r="L776" t="s">
        <v>78</v>
      </c>
      <c r="M776" t="s">
        <v>17</v>
      </c>
      <c r="N776">
        <v>11362</v>
      </c>
      <c r="O776">
        <v>990</v>
      </c>
      <c r="P776">
        <v>468.5</v>
      </c>
      <c r="Q776" s="1">
        <v>549</v>
      </c>
      <c r="R776" s="1">
        <v>472.55</v>
      </c>
      <c r="S776" s="3">
        <v>4.0637107621356527E-2</v>
      </c>
      <c r="T776" s="3">
        <v>3.1877983153988154E-2</v>
      </c>
    </row>
    <row r="777" spans="1:20" x14ac:dyDescent="0.25">
      <c r="A777" t="s">
        <v>78</v>
      </c>
      <c r="B777" t="s">
        <v>79</v>
      </c>
      <c r="C777" t="s">
        <v>1128</v>
      </c>
      <c r="D777" t="s">
        <v>1129</v>
      </c>
      <c r="E777">
        <v>3381.4</v>
      </c>
      <c r="F777">
        <v>3381.4</v>
      </c>
      <c r="G777">
        <v>3385</v>
      </c>
      <c r="H777">
        <v>3308.15</v>
      </c>
      <c r="I777" s="1">
        <v>3362.65</v>
      </c>
      <c r="J777">
        <v>872650971.85000002</v>
      </c>
      <c r="K777">
        <v>260503</v>
      </c>
      <c r="L777" t="s">
        <v>78</v>
      </c>
      <c r="M777" t="s">
        <v>17</v>
      </c>
      <c r="N777">
        <v>26906</v>
      </c>
      <c r="O777">
        <v>3402.7</v>
      </c>
      <c r="P777">
        <v>1495.3</v>
      </c>
      <c r="Q777" s="1">
        <v>1548.05</v>
      </c>
      <c r="R777" s="1">
        <v>945.25</v>
      </c>
      <c r="S777" s="3">
        <v>6.6779652700014402E-2</v>
      </c>
      <c r="T777" s="3">
        <v>6.547105916177709E-2</v>
      </c>
    </row>
    <row r="778" spans="1:20" x14ac:dyDescent="0.25">
      <c r="A778" t="s">
        <v>78</v>
      </c>
      <c r="B778" t="s">
        <v>79</v>
      </c>
      <c r="C778" t="s">
        <v>1130</v>
      </c>
      <c r="D778" t="s">
        <v>1131</v>
      </c>
      <c r="E778">
        <v>941.75</v>
      </c>
      <c r="F778">
        <v>947</v>
      </c>
      <c r="G778">
        <v>956.7</v>
      </c>
      <c r="H778">
        <v>931.35</v>
      </c>
      <c r="I778" s="1">
        <v>937.15</v>
      </c>
      <c r="J778">
        <v>103341394</v>
      </c>
      <c r="K778">
        <v>109520</v>
      </c>
      <c r="L778" t="s">
        <v>78</v>
      </c>
      <c r="M778" t="s">
        <v>17</v>
      </c>
      <c r="N778">
        <v>15042</v>
      </c>
      <c r="O778">
        <v>1022.95</v>
      </c>
      <c r="P778">
        <v>482.05</v>
      </c>
      <c r="Q778" s="1">
        <v>197</v>
      </c>
      <c r="R778" s="1">
        <v>88.05</v>
      </c>
      <c r="S778" s="3">
        <v>0.13879418349952921</v>
      </c>
      <c r="T778" s="3">
        <v>0.12544911422927418</v>
      </c>
    </row>
    <row r="779" spans="1:20" x14ac:dyDescent="0.25">
      <c r="A779" t="s">
        <v>78</v>
      </c>
      <c r="B779" t="s">
        <v>79</v>
      </c>
      <c r="C779" t="s">
        <v>1134</v>
      </c>
      <c r="D779" t="s">
        <v>1135</v>
      </c>
      <c r="E779">
        <v>171.12</v>
      </c>
      <c r="F779">
        <v>171.12</v>
      </c>
      <c r="G779">
        <v>174.38</v>
      </c>
      <c r="H779">
        <v>165.79</v>
      </c>
      <c r="I779" s="1">
        <v>171.98</v>
      </c>
      <c r="J779">
        <v>23797955.129999999</v>
      </c>
      <c r="K779">
        <v>140481</v>
      </c>
      <c r="L779" t="s">
        <v>78</v>
      </c>
      <c r="M779" t="s">
        <v>17</v>
      </c>
      <c r="N779">
        <v>8710</v>
      </c>
      <c r="O779">
        <v>184.35</v>
      </c>
      <c r="P779">
        <v>95</v>
      </c>
      <c r="Q779" s="1">
        <v>40.049999999999997</v>
      </c>
      <c r="R779" s="1">
        <v>11.5</v>
      </c>
      <c r="S779" s="3">
        <v>0.12911874839223048</v>
      </c>
      <c r="T779" s="3">
        <v>0.14473994383807609</v>
      </c>
    </row>
    <row r="780" spans="1:20" x14ac:dyDescent="0.25">
      <c r="A780" t="s">
        <v>78</v>
      </c>
      <c r="B780" t="s">
        <v>79</v>
      </c>
      <c r="C780" t="s">
        <v>1136</v>
      </c>
      <c r="D780" t="s">
        <v>1137</v>
      </c>
      <c r="E780">
        <v>172.3</v>
      </c>
      <c r="F780">
        <v>172.35</v>
      </c>
      <c r="G780">
        <v>178</v>
      </c>
      <c r="H780">
        <v>172.35</v>
      </c>
      <c r="I780" s="1">
        <v>176.4</v>
      </c>
      <c r="J780">
        <v>72747185.439999998</v>
      </c>
      <c r="K780">
        <v>413692</v>
      </c>
      <c r="L780" t="s">
        <v>78</v>
      </c>
      <c r="M780" t="s">
        <v>17</v>
      </c>
      <c r="N780">
        <v>6888</v>
      </c>
      <c r="O780">
        <v>216.5</v>
      </c>
      <c r="P780">
        <v>120.25</v>
      </c>
      <c r="Q780" s="1">
        <v>578</v>
      </c>
      <c r="R780" s="1">
        <v>99.2</v>
      </c>
      <c r="S780" s="3">
        <v>-9.4168202146551083E-2</v>
      </c>
      <c r="T780" s="3">
        <v>2.9182754221162455E-2</v>
      </c>
    </row>
    <row r="781" spans="1:20" x14ac:dyDescent="0.25">
      <c r="A781" t="s">
        <v>78</v>
      </c>
      <c r="B781" t="s">
        <v>287</v>
      </c>
      <c r="C781" t="s">
        <v>6023</v>
      </c>
      <c r="D781" t="s">
        <v>6022</v>
      </c>
      <c r="E781">
        <v>13.15</v>
      </c>
      <c r="F781">
        <v>13.15</v>
      </c>
      <c r="G781">
        <v>13.15</v>
      </c>
      <c r="H781">
        <v>12.6</v>
      </c>
      <c r="I781" s="1">
        <v>12.75</v>
      </c>
      <c r="J781">
        <v>1451812.5</v>
      </c>
      <c r="K781">
        <v>112500</v>
      </c>
      <c r="L781" t="s">
        <v>78</v>
      </c>
      <c r="M781" t="s">
        <v>17</v>
      </c>
      <c r="N781">
        <v>10</v>
      </c>
      <c r="O781">
        <v>23.35</v>
      </c>
      <c r="P781">
        <v>4.5</v>
      </c>
      <c r="Q781" s="1" t="str">
        <v/>
      </c>
      <c r="R781" s="1" t="str">
        <v/>
      </c>
      <c r="S781" s="3">
        <v>0</v>
      </c>
      <c r="T781" s="3">
        <v>0</v>
      </c>
    </row>
    <row r="782" spans="1:20" x14ac:dyDescent="0.25">
      <c r="A782" t="s">
        <v>78</v>
      </c>
      <c r="B782" t="s">
        <v>79</v>
      </c>
      <c r="C782" t="s">
        <v>1138</v>
      </c>
      <c r="D782" t="s">
        <v>6021</v>
      </c>
      <c r="E782">
        <v>136.80000000000001</v>
      </c>
      <c r="F782">
        <v>139.97</v>
      </c>
      <c r="G782">
        <v>139.97</v>
      </c>
      <c r="H782">
        <v>132.44999999999999</v>
      </c>
      <c r="I782" s="1">
        <v>133.22</v>
      </c>
      <c r="J782">
        <v>4800187.75</v>
      </c>
      <c r="K782">
        <v>35677</v>
      </c>
      <c r="L782" t="s">
        <v>78</v>
      </c>
      <c r="M782" t="s">
        <v>17</v>
      </c>
      <c r="N782">
        <v>1051</v>
      </c>
      <c r="O782">
        <v>173.7</v>
      </c>
      <c r="P782">
        <v>85.5</v>
      </c>
      <c r="Q782" s="1">
        <v>12.45</v>
      </c>
      <c r="R782" s="1">
        <v>10.25</v>
      </c>
      <c r="S782" s="3">
        <v>0.21838162289854157</v>
      </c>
      <c r="T782" s="3">
        <v>0.136741665279414</v>
      </c>
    </row>
    <row r="783" spans="1:20" x14ac:dyDescent="0.25">
      <c r="A783" t="s">
        <v>78</v>
      </c>
      <c r="B783" t="s">
        <v>79</v>
      </c>
      <c r="C783" t="s">
        <v>1140</v>
      </c>
      <c r="D783" t="s">
        <v>1141</v>
      </c>
      <c r="E783">
        <v>930.7</v>
      </c>
      <c r="F783">
        <v>925.1</v>
      </c>
      <c r="G783">
        <v>930.95</v>
      </c>
      <c r="H783">
        <v>895</v>
      </c>
      <c r="I783" s="1">
        <v>900.65</v>
      </c>
      <c r="J783">
        <v>109227642.15000001</v>
      </c>
      <c r="K783">
        <v>120639</v>
      </c>
      <c r="L783" t="s">
        <v>78</v>
      </c>
      <c r="M783" t="s">
        <v>17</v>
      </c>
      <c r="N783">
        <v>7128</v>
      </c>
      <c r="O783">
        <v>1168.75</v>
      </c>
      <c r="P783">
        <v>450</v>
      </c>
      <c r="Q783" s="1">
        <v>169.05</v>
      </c>
      <c r="R783" s="1">
        <v>61.6</v>
      </c>
      <c r="S783" s="3">
        <v>0.14959554783041584</v>
      </c>
      <c r="T783" s="3">
        <v>0.14344918006651142</v>
      </c>
    </row>
    <row r="784" spans="1:20" x14ac:dyDescent="0.25">
      <c r="A784" t="s">
        <v>78</v>
      </c>
      <c r="B784" t="s">
        <v>79</v>
      </c>
      <c r="C784" t="s">
        <v>6020</v>
      </c>
      <c r="D784" t="s">
        <v>6019</v>
      </c>
      <c r="E784">
        <v>341</v>
      </c>
      <c r="F784">
        <v>343.35</v>
      </c>
      <c r="G784">
        <v>348.6</v>
      </c>
      <c r="H784">
        <v>341</v>
      </c>
      <c r="I784" s="1">
        <v>342.5</v>
      </c>
      <c r="J784">
        <v>107221659.2</v>
      </c>
      <c r="K784">
        <v>311152</v>
      </c>
      <c r="L784" t="s">
        <v>78</v>
      </c>
      <c r="M784" t="s">
        <v>17</v>
      </c>
      <c r="N784">
        <v>8241</v>
      </c>
      <c r="O784">
        <v>392.85</v>
      </c>
      <c r="P784">
        <v>301.05</v>
      </c>
      <c r="Q784" s="1" t="str">
        <v/>
      </c>
      <c r="R784" s="1" t="str">
        <v/>
      </c>
      <c r="S784" s="3">
        <v>0</v>
      </c>
      <c r="T784" s="3">
        <v>0</v>
      </c>
    </row>
    <row r="785" spans="1:20" x14ac:dyDescent="0.25">
      <c r="A785" t="s">
        <v>78</v>
      </c>
      <c r="B785" t="s">
        <v>79</v>
      </c>
      <c r="C785" t="s">
        <v>6018</v>
      </c>
      <c r="D785" t="s">
        <v>6017</v>
      </c>
      <c r="E785">
        <v>9.35</v>
      </c>
      <c r="F785">
        <v>9.35</v>
      </c>
      <c r="G785">
        <v>9.35</v>
      </c>
      <c r="H785">
        <v>9.0500000000000007</v>
      </c>
      <c r="I785" s="1">
        <v>9.1</v>
      </c>
      <c r="J785">
        <v>2789106.74</v>
      </c>
      <c r="K785">
        <v>303017</v>
      </c>
      <c r="L785" t="s">
        <v>78</v>
      </c>
      <c r="M785" t="s">
        <v>17</v>
      </c>
      <c r="N785">
        <v>1940</v>
      </c>
      <c r="O785">
        <v>12.95</v>
      </c>
      <c r="P785">
        <v>7.2</v>
      </c>
      <c r="Q785" s="1" t="str">
        <v/>
      </c>
      <c r="R785" s="1" t="str">
        <v/>
      </c>
      <c r="S785" s="3">
        <v>0</v>
      </c>
      <c r="T785" s="3">
        <v>0</v>
      </c>
    </row>
    <row r="786" spans="1:20" x14ac:dyDescent="0.25">
      <c r="A786" t="s">
        <v>78</v>
      </c>
      <c r="B786" t="s">
        <v>287</v>
      </c>
      <c r="C786" t="s">
        <v>6016</v>
      </c>
      <c r="D786" t="s">
        <v>6015</v>
      </c>
      <c r="E786">
        <v>186.95</v>
      </c>
      <c r="F786">
        <v>178.05</v>
      </c>
      <c r="G786">
        <v>186.65</v>
      </c>
      <c r="H786">
        <v>178.05</v>
      </c>
      <c r="I786" s="1">
        <v>180.65</v>
      </c>
      <c r="J786">
        <v>3374520</v>
      </c>
      <c r="K786">
        <v>18600</v>
      </c>
      <c r="L786" t="s">
        <v>78</v>
      </c>
      <c r="M786" t="s">
        <v>17</v>
      </c>
      <c r="N786">
        <v>27</v>
      </c>
      <c r="O786">
        <v>249</v>
      </c>
      <c r="P786">
        <v>123.5</v>
      </c>
      <c r="Q786" s="1" t="str">
        <v/>
      </c>
      <c r="R786" s="1" t="str">
        <v/>
      </c>
      <c r="S786" s="3">
        <v>0</v>
      </c>
      <c r="T786" s="3">
        <v>0</v>
      </c>
    </row>
    <row r="787" spans="1:20" x14ac:dyDescent="0.25">
      <c r="A787" t="s">
        <v>78</v>
      </c>
      <c r="B787" t="s">
        <v>287</v>
      </c>
      <c r="C787" t="s">
        <v>6014</v>
      </c>
      <c r="D787" t="s">
        <v>6013</v>
      </c>
      <c r="E787">
        <v>413.05</v>
      </c>
      <c r="F787">
        <v>410</v>
      </c>
      <c r="G787">
        <v>419</v>
      </c>
      <c r="H787">
        <v>388.05</v>
      </c>
      <c r="I787" s="1">
        <v>392.75</v>
      </c>
      <c r="J787">
        <v>74483160</v>
      </c>
      <c r="K787">
        <v>186000</v>
      </c>
      <c r="L787" t="s">
        <v>78</v>
      </c>
      <c r="M787" t="s">
        <v>17</v>
      </c>
      <c r="N787">
        <v>150</v>
      </c>
      <c r="O787">
        <v>470</v>
      </c>
      <c r="P787">
        <v>349.95</v>
      </c>
      <c r="Q787" s="1" t="str">
        <v/>
      </c>
      <c r="R787" s="1" t="str">
        <v/>
      </c>
      <c r="S787" s="3">
        <v>0</v>
      </c>
      <c r="T787" s="3">
        <v>0</v>
      </c>
    </row>
    <row r="788" spans="1:20" x14ac:dyDescent="0.25">
      <c r="A788" t="s">
        <v>78</v>
      </c>
      <c r="B788" t="s">
        <v>79</v>
      </c>
      <c r="C788" t="s">
        <v>3154</v>
      </c>
      <c r="D788" t="s">
        <v>3155</v>
      </c>
      <c r="E788">
        <v>1152.8</v>
      </c>
      <c r="F788">
        <v>1143</v>
      </c>
      <c r="G788">
        <v>1151</v>
      </c>
      <c r="H788">
        <v>1112.25</v>
      </c>
      <c r="I788" s="1">
        <v>1127.45</v>
      </c>
      <c r="J788">
        <v>455715888.60000002</v>
      </c>
      <c r="K788">
        <v>402588</v>
      </c>
      <c r="L788" t="s">
        <v>78</v>
      </c>
      <c r="M788" t="s">
        <v>17</v>
      </c>
      <c r="N788">
        <v>23264</v>
      </c>
      <c r="O788">
        <v>1223.95</v>
      </c>
      <c r="P788">
        <v>528</v>
      </c>
      <c r="Q788" s="1">
        <v>1420</v>
      </c>
      <c r="R788" s="1">
        <v>178.2</v>
      </c>
      <c r="S788" s="3">
        <v>-1.9041249618534817E-2</v>
      </c>
      <c r="T788" s="3">
        <v>9.6572981755171261E-2</v>
      </c>
    </row>
    <row r="789" spans="1:20" x14ac:dyDescent="0.25">
      <c r="A789" t="s">
        <v>78</v>
      </c>
      <c r="B789" t="s">
        <v>79</v>
      </c>
      <c r="C789" t="s">
        <v>1144</v>
      </c>
      <c r="D789" t="s">
        <v>1145</v>
      </c>
      <c r="E789">
        <v>224.55</v>
      </c>
      <c r="F789">
        <v>223.55</v>
      </c>
      <c r="G789">
        <v>223.55</v>
      </c>
      <c r="H789">
        <v>216.55</v>
      </c>
      <c r="I789" s="1">
        <v>218.85</v>
      </c>
      <c r="J789">
        <v>899662466</v>
      </c>
      <c r="K789">
        <v>4102835</v>
      </c>
      <c r="L789" t="s">
        <v>78</v>
      </c>
      <c r="M789" t="s">
        <v>17</v>
      </c>
      <c r="N789">
        <v>31878</v>
      </c>
      <c r="O789">
        <v>242.5</v>
      </c>
      <c r="P789">
        <v>115.55</v>
      </c>
      <c r="Q789" s="1">
        <v>105.65</v>
      </c>
      <c r="R789" s="1">
        <v>77.599999999999994</v>
      </c>
      <c r="S789" s="3">
        <v>6.2567236930574532E-2</v>
      </c>
      <c r="T789" s="3">
        <v>5.3178322981626502E-2</v>
      </c>
    </row>
    <row r="790" spans="1:20" x14ac:dyDescent="0.25">
      <c r="A790" t="s">
        <v>78</v>
      </c>
      <c r="B790" t="s">
        <v>79</v>
      </c>
      <c r="C790" t="s">
        <v>6012</v>
      </c>
      <c r="D790" t="s">
        <v>6011</v>
      </c>
      <c r="E790">
        <v>171.72</v>
      </c>
      <c r="F790">
        <v>171.72</v>
      </c>
      <c r="G790">
        <v>180.9</v>
      </c>
      <c r="H790">
        <v>171.72</v>
      </c>
      <c r="I790" s="1">
        <v>175.27</v>
      </c>
      <c r="J790">
        <v>108041180.88</v>
      </c>
      <c r="K790">
        <v>610363</v>
      </c>
      <c r="L790" t="s">
        <v>78</v>
      </c>
      <c r="M790" t="s">
        <v>183</v>
      </c>
      <c r="N790">
        <v>20140</v>
      </c>
      <c r="O790">
        <v>219.9</v>
      </c>
      <c r="P790">
        <v>128.69999999999999</v>
      </c>
      <c r="Q790" s="1" t="str">
        <v/>
      </c>
      <c r="R790" s="1" t="str">
        <v/>
      </c>
      <c r="S790" s="3">
        <v>0</v>
      </c>
      <c r="T790" s="3">
        <v>0</v>
      </c>
    </row>
    <row r="791" spans="1:20" x14ac:dyDescent="0.25">
      <c r="A791" t="s">
        <v>78</v>
      </c>
      <c r="B791" t="s">
        <v>79</v>
      </c>
      <c r="C791" t="s">
        <v>1148</v>
      </c>
      <c r="D791" t="s">
        <v>1149</v>
      </c>
      <c r="E791">
        <v>520.85</v>
      </c>
      <c r="F791">
        <v>520.15</v>
      </c>
      <c r="G791">
        <v>523.5</v>
      </c>
      <c r="H791">
        <v>509.9</v>
      </c>
      <c r="I791" s="1">
        <v>519</v>
      </c>
      <c r="J791">
        <v>699552762.14999998</v>
      </c>
      <c r="K791">
        <v>1350335</v>
      </c>
      <c r="L791" t="s">
        <v>78</v>
      </c>
      <c r="M791" t="s">
        <v>17</v>
      </c>
      <c r="N791">
        <v>17689</v>
      </c>
      <c r="O791">
        <v>530.65</v>
      </c>
      <c r="P791">
        <v>287.7</v>
      </c>
      <c r="Q791" s="1">
        <v>372</v>
      </c>
      <c r="R791" s="1">
        <v>87.5</v>
      </c>
      <c r="S791" s="3">
        <v>2.8139476893025872E-2</v>
      </c>
      <c r="T791" s="3">
        <v>9.3041860101042761E-2</v>
      </c>
    </row>
    <row r="792" spans="1:20" x14ac:dyDescent="0.25">
      <c r="A792" t="s">
        <v>78</v>
      </c>
      <c r="B792" t="s">
        <v>287</v>
      </c>
      <c r="C792" t="s">
        <v>6010</v>
      </c>
      <c r="D792" t="s">
        <v>6009</v>
      </c>
      <c r="E792">
        <v>55.4</v>
      </c>
      <c r="F792">
        <v>58</v>
      </c>
      <c r="G792">
        <v>58.15</v>
      </c>
      <c r="H792">
        <v>56.15</v>
      </c>
      <c r="I792" s="1">
        <v>58.15</v>
      </c>
      <c r="J792">
        <v>4386600</v>
      </c>
      <c r="K792">
        <v>75600</v>
      </c>
      <c r="L792" t="s">
        <v>78</v>
      </c>
      <c r="M792" t="s">
        <v>17</v>
      </c>
      <c r="N792">
        <v>60</v>
      </c>
      <c r="O792">
        <v>112</v>
      </c>
      <c r="P792">
        <v>37.6</v>
      </c>
      <c r="Q792" s="1" t="str">
        <v/>
      </c>
      <c r="R792" s="1" t="str">
        <v/>
      </c>
      <c r="S792" s="3">
        <v>0</v>
      </c>
      <c r="T792" s="3">
        <v>0</v>
      </c>
    </row>
    <row r="793" spans="1:20" x14ac:dyDescent="0.25">
      <c r="A793" t="s">
        <v>78</v>
      </c>
      <c r="B793" t="s">
        <v>79</v>
      </c>
      <c r="C793" t="s">
        <v>1150</v>
      </c>
      <c r="D793" t="s">
        <v>1151</v>
      </c>
      <c r="E793">
        <v>557.54999999999995</v>
      </c>
      <c r="F793">
        <v>562</v>
      </c>
      <c r="G793">
        <v>569.70000000000005</v>
      </c>
      <c r="H793">
        <v>552.5</v>
      </c>
      <c r="I793" s="1">
        <v>554.70000000000005</v>
      </c>
      <c r="J793">
        <v>442937870.05000001</v>
      </c>
      <c r="K793">
        <v>793831</v>
      </c>
      <c r="L793" t="s">
        <v>78</v>
      </c>
      <c r="M793" t="s">
        <v>17</v>
      </c>
      <c r="N793">
        <v>25088</v>
      </c>
      <c r="O793">
        <v>709.4</v>
      </c>
      <c r="P793">
        <v>404.95</v>
      </c>
      <c r="Q793" s="1">
        <v>649.85</v>
      </c>
      <c r="R793" s="1">
        <v>272</v>
      </c>
      <c r="S793" s="3">
        <v>-1.3106200863715944E-2</v>
      </c>
      <c r="T793" s="3">
        <v>3.6253447900277624E-2</v>
      </c>
    </row>
    <row r="794" spans="1:20" x14ac:dyDescent="0.25">
      <c r="A794" t="s">
        <v>78</v>
      </c>
      <c r="B794" t="s">
        <v>79</v>
      </c>
      <c r="C794" t="s">
        <v>1152</v>
      </c>
      <c r="D794" t="s">
        <v>1153</v>
      </c>
      <c r="E794">
        <v>1421.75</v>
      </c>
      <c r="F794">
        <v>1422.05</v>
      </c>
      <c r="G794">
        <v>1429.65</v>
      </c>
      <c r="H794">
        <v>1355.6</v>
      </c>
      <c r="I794" s="1">
        <v>1396.15</v>
      </c>
      <c r="J794">
        <v>171405678.90000001</v>
      </c>
      <c r="K794">
        <v>122683</v>
      </c>
      <c r="L794" t="s">
        <v>78</v>
      </c>
      <c r="M794" t="s">
        <v>17</v>
      </c>
      <c r="N794">
        <v>9508</v>
      </c>
      <c r="O794">
        <v>1635</v>
      </c>
      <c r="P794">
        <v>610</v>
      </c>
      <c r="Q794" s="1">
        <v>171.4</v>
      </c>
      <c r="R794" s="1">
        <v>45.15</v>
      </c>
      <c r="S794" s="3">
        <v>0.1909954580075961</v>
      </c>
      <c r="T794" s="3">
        <v>0.1870606513030959</v>
      </c>
    </row>
    <row r="795" spans="1:20" x14ac:dyDescent="0.25">
      <c r="A795" t="s">
        <v>78</v>
      </c>
      <c r="B795" t="s">
        <v>287</v>
      </c>
      <c r="C795" t="s">
        <v>6008</v>
      </c>
      <c r="D795" t="s">
        <v>6007</v>
      </c>
      <c r="E795">
        <v>365</v>
      </c>
      <c r="F795">
        <v>365</v>
      </c>
      <c r="G795">
        <v>366</v>
      </c>
      <c r="H795">
        <v>365</v>
      </c>
      <c r="I795" s="1">
        <v>366</v>
      </c>
      <c r="J795">
        <v>730500</v>
      </c>
      <c r="K795">
        <v>2000</v>
      </c>
      <c r="L795" t="s">
        <v>78</v>
      </c>
      <c r="M795" t="s">
        <v>17</v>
      </c>
      <c r="N795">
        <v>4</v>
      </c>
      <c r="O795">
        <v>389</v>
      </c>
      <c r="P795">
        <v>143.75</v>
      </c>
      <c r="Q795" s="1" t="str">
        <v/>
      </c>
      <c r="R795" s="1" t="str">
        <v/>
      </c>
      <c r="S795" s="3">
        <v>0</v>
      </c>
      <c r="T795" s="3">
        <v>0</v>
      </c>
    </row>
    <row r="796" spans="1:20" x14ac:dyDescent="0.25">
      <c r="A796" t="s">
        <v>78</v>
      </c>
      <c r="B796" t="s">
        <v>79</v>
      </c>
      <c r="C796" t="s">
        <v>1154</v>
      </c>
      <c r="D796" t="s">
        <v>1155</v>
      </c>
      <c r="E796">
        <v>164.43</v>
      </c>
      <c r="F796">
        <v>163.99</v>
      </c>
      <c r="G796">
        <v>164.99</v>
      </c>
      <c r="H796">
        <v>157.94999999999999</v>
      </c>
      <c r="I796" s="1">
        <v>158.88999999999999</v>
      </c>
      <c r="J796">
        <v>416547238.75</v>
      </c>
      <c r="K796">
        <v>2579441</v>
      </c>
      <c r="L796" t="s">
        <v>78</v>
      </c>
      <c r="M796" t="s">
        <v>17</v>
      </c>
      <c r="N796">
        <v>30728</v>
      </c>
      <c r="O796">
        <v>177</v>
      </c>
      <c r="P796">
        <v>112.05</v>
      </c>
      <c r="Q796" s="1">
        <v>165.6</v>
      </c>
      <c r="R796" s="1">
        <v>136.1</v>
      </c>
      <c r="S796" s="3">
        <v>-3.4409914271635866E-3</v>
      </c>
      <c r="T796" s="3">
        <v>7.7668790116505182E-3</v>
      </c>
    </row>
    <row r="797" spans="1:20" x14ac:dyDescent="0.25">
      <c r="A797" t="s">
        <v>78</v>
      </c>
      <c r="B797" t="s">
        <v>287</v>
      </c>
      <c r="C797" t="s">
        <v>6006</v>
      </c>
      <c r="D797" t="s">
        <v>6005</v>
      </c>
      <c r="E797">
        <v>86.7</v>
      </c>
      <c r="F797">
        <v>87.7</v>
      </c>
      <c r="G797">
        <v>87.7</v>
      </c>
      <c r="H797">
        <v>83.5</v>
      </c>
      <c r="I797" s="1">
        <v>84.1</v>
      </c>
      <c r="J797">
        <v>8110080</v>
      </c>
      <c r="K797">
        <v>95200</v>
      </c>
      <c r="L797" t="s">
        <v>78</v>
      </c>
      <c r="M797" t="s">
        <v>17</v>
      </c>
      <c r="N797">
        <v>98</v>
      </c>
      <c r="O797">
        <v>153</v>
      </c>
      <c r="P797">
        <v>63</v>
      </c>
      <c r="Q797" s="1" t="str">
        <v/>
      </c>
      <c r="R797" s="1" t="str">
        <v/>
      </c>
      <c r="S797" s="3">
        <v>0</v>
      </c>
      <c r="T797" s="3">
        <v>0</v>
      </c>
    </row>
    <row r="798" spans="1:20" x14ac:dyDescent="0.25">
      <c r="A798" t="s">
        <v>78</v>
      </c>
      <c r="B798" t="s">
        <v>79</v>
      </c>
      <c r="C798" t="s">
        <v>1156</v>
      </c>
      <c r="D798" t="s">
        <v>1157</v>
      </c>
      <c r="E798">
        <v>569.6</v>
      </c>
      <c r="F798">
        <v>572.4</v>
      </c>
      <c r="G798">
        <v>574.1</v>
      </c>
      <c r="H798">
        <v>555.4</v>
      </c>
      <c r="I798" s="1">
        <v>561.9</v>
      </c>
      <c r="J798">
        <v>11715572.6</v>
      </c>
      <c r="K798">
        <v>20788</v>
      </c>
      <c r="L798" t="s">
        <v>78</v>
      </c>
      <c r="M798" t="s">
        <v>17</v>
      </c>
      <c r="N798">
        <v>3982</v>
      </c>
      <c r="O798">
        <v>662</v>
      </c>
      <c r="P798">
        <v>388.2</v>
      </c>
      <c r="Q798" s="1">
        <v>1310</v>
      </c>
      <c r="R798" s="1">
        <v>705</v>
      </c>
      <c r="S798" s="3">
        <v>-6.810786860349427E-2</v>
      </c>
      <c r="T798" s="3">
        <v>-1.1273455852884862E-2</v>
      </c>
    </row>
    <row r="799" spans="1:20" x14ac:dyDescent="0.25">
      <c r="A799" t="s">
        <v>78</v>
      </c>
      <c r="B799" t="s">
        <v>79</v>
      </c>
      <c r="C799" t="s">
        <v>3156</v>
      </c>
      <c r="D799" t="s">
        <v>3157</v>
      </c>
      <c r="E799">
        <v>325.5</v>
      </c>
      <c r="F799">
        <v>326.39999999999998</v>
      </c>
      <c r="G799">
        <v>326.5</v>
      </c>
      <c r="H799">
        <v>315.35000000000002</v>
      </c>
      <c r="I799" s="1">
        <v>317.14999999999998</v>
      </c>
      <c r="J799">
        <v>37494904.600000001</v>
      </c>
      <c r="K799">
        <v>116950</v>
      </c>
      <c r="L799" t="s">
        <v>78</v>
      </c>
      <c r="M799" t="s">
        <v>17</v>
      </c>
      <c r="N799">
        <v>7944</v>
      </c>
      <c r="O799">
        <v>449.9</v>
      </c>
      <c r="P799">
        <v>267.95</v>
      </c>
      <c r="Q799" s="1">
        <v>239</v>
      </c>
      <c r="R799" s="1" t="str">
        <v/>
      </c>
      <c r="S799" s="3">
        <v>2.3856050800670436E-2</v>
      </c>
      <c r="T799" s="3">
        <v>0</v>
      </c>
    </row>
    <row r="800" spans="1:20" x14ac:dyDescent="0.25">
      <c r="A800" t="s">
        <v>78</v>
      </c>
      <c r="B800" t="s">
        <v>79</v>
      </c>
      <c r="C800" t="s">
        <v>1158</v>
      </c>
      <c r="D800" t="s">
        <v>1159</v>
      </c>
      <c r="E800">
        <v>325.2</v>
      </c>
      <c r="F800">
        <v>323.8</v>
      </c>
      <c r="G800">
        <v>323.8</v>
      </c>
      <c r="H800">
        <v>314.5</v>
      </c>
      <c r="I800" s="1">
        <v>316.2</v>
      </c>
      <c r="J800">
        <v>65498774.649999999</v>
      </c>
      <c r="K800">
        <v>205764</v>
      </c>
      <c r="L800" t="s">
        <v>78</v>
      </c>
      <c r="M800" t="s">
        <v>17</v>
      </c>
      <c r="N800">
        <v>10689</v>
      </c>
      <c r="O800">
        <v>347</v>
      </c>
      <c r="P800">
        <v>148.85</v>
      </c>
      <c r="Q800" s="1">
        <v>196.45</v>
      </c>
      <c r="R800" s="1">
        <v>123.3</v>
      </c>
      <c r="S800" s="3">
        <v>4.046103197160611E-2</v>
      </c>
      <c r="T800" s="3">
        <v>4.8186930055597266E-2</v>
      </c>
    </row>
    <row r="801" spans="1:20" x14ac:dyDescent="0.25">
      <c r="A801" t="s">
        <v>78</v>
      </c>
      <c r="B801" t="s">
        <v>79</v>
      </c>
      <c r="C801" t="s">
        <v>1160</v>
      </c>
      <c r="D801" t="s">
        <v>1161</v>
      </c>
      <c r="E801">
        <v>21.39</v>
      </c>
      <c r="F801">
        <v>21.39</v>
      </c>
      <c r="G801">
        <v>21.6</v>
      </c>
      <c r="H801">
        <v>20.8</v>
      </c>
      <c r="I801" s="1">
        <v>20.97</v>
      </c>
      <c r="J801">
        <v>96285298.5</v>
      </c>
      <c r="K801">
        <v>4588967</v>
      </c>
      <c r="L801" t="s">
        <v>78</v>
      </c>
      <c r="M801" t="s">
        <v>17</v>
      </c>
      <c r="N801">
        <v>14896</v>
      </c>
      <c r="O801">
        <v>34.450000000000003</v>
      </c>
      <c r="P801">
        <v>17.899999999999999</v>
      </c>
      <c r="Q801" s="1">
        <v>3.4</v>
      </c>
      <c r="R801" s="1">
        <v>4.75</v>
      </c>
      <c r="S801" s="3">
        <v>0.16370605161541385</v>
      </c>
      <c r="T801" s="3">
        <v>7.7029458438131471E-2</v>
      </c>
    </row>
    <row r="802" spans="1:20" x14ac:dyDescent="0.25">
      <c r="A802" t="s">
        <v>78</v>
      </c>
      <c r="B802" t="s">
        <v>79</v>
      </c>
      <c r="C802" t="s">
        <v>1162</v>
      </c>
      <c r="D802" t="s">
        <v>1163</v>
      </c>
      <c r="E802">
        <v>2674.55</v>
      </c>
      <c r="F802">
        <v>2691.1</v>
      </c>
      <c r="G802">
        <v>2722</v>
      </c>
      <c r="H802">
        <v>2620.1</v>
      </c>
      <c r="I802" s="1">
        <v>2649.85</v>
      </c>
      <c r="J802">
        <v>596997095.85000002</v>
      </c>
      <c r="K802">
        <v>225072</v>
      </c>
      <c r="L802" t="s">
        <v>78</v>
      </c>
      <c r="M802" t="s">
        <v>17</v>
      </c>
      <c r="N802">
        <v>24986</v>
      </c>
      <c r="O802">
        <v>2960</v>
      </c>
      <c r="P802">
        <v>1875.2</v>
      </c>
      <c r="Q802" s="1">
        <v>1260</v>
      </c>
      <c r="R802" s="1">
        <v>566</v>
      </c>
      <c r="S802" s="3">
        <v>6.3908377817878392E-2</v>
      </c>
      <c r="T802" s="3">
        <v>8.019431123207843E-2</v>
      </c>
    </row>
    <row r="803" spans="1:20" x14ac:dyDescent="0.25">
      <c r="A803" t="s">
        <v>78</v>
      </c>
      <c r="B803" t="s">
        <v>79</v>
      </c>
      <c r="C803" t="s">
        <v>1164</v>
      </c>
      <c r="D803" t="s">
        <v>1165</v>
      </c>
      <c r="E803">
        <v>1778.45</v>
      </c>
      <c r="F803">
        <v>1785.45</v>
      </c>
      <c r="G803">
        <v>1785.45</v>
      </c>
      <c r="H803">
        <v>1719.15</v>
      </c>
      <c r="I803" s="1">
        <v>1724.75</v>
      </c>
      <c r="J803">
        <v>116334913.95</v>
      </c>
      <c r="K803">
        <v>66988</v>
      </c>
      <c r="L803" t="s">
        <v>78</v>
      </c>
      <c r="M803" t="s">
        <v>17</v>
      </c>
      <c r="N803">
        <v>8341</v>
      </c>
      <c r="O803">
        <v>1860</v>
      </c>
      <c r="P803">
        <v>1024.95</v>
      </c>
      <c r="Q803" s="1">
        <v>1550</v>
      </c>
      <c r="R803" s="1" t="str">
        <v/>
      </c>
      <c r="S803" s="3">
        <v>8.9420081349900205E-3</v>
      </c>
      <c r="T803" s="3">
        <v>0</v>
      </c>
    </row>
    <row r="804" spans="1:20" x14ac:dyDescent="0.25">
      <c r="A804" t="s">
        <v>78</v>
      </c>
      <c r="B804" t="s">
        <v>79</v>
      </c>
      <c r="C804" t="s">
        <v>6004</v>
      </c>
      <c r="D804" t="s">
        <v>6003</v>
      </c>
      <c r="E804">
        <v>207.16</v>
      </c>
      <c r="F804">
        <v>208</v>
      </c>
      <c r="G804">
        <v>210.25</v>
      </c>
      <c r="H804">
        <v>202</v>
      </c>
      <c r="I804" s="1">
        <v>202.58</v>
      </c>
      <c r="J804">
        <v>34622123.810000002</v>
      </c>
      <c r="K804">
        <v>168877</v>
      </c>
      <c r="L804" t="s">
        <v>78</v>
      </c>
      <c r="M804" t="s">
        <v>17</v>
      </c>
      <c r="N804">
        <v>6692</v>
      </c>
      <c r="O804">
        <v>230.4</v>
      </c>
      <c r="P804">
        <v>113</v>
      </c>
      <c r="Q804" s="1" t="str">
        <v/>
      </c>
      <c r="R804" s="1" t="str">
        <v/>
      </c>
      <c r="S804" s="3">
        <v>0</v>
      </c>
      <c r="T804" s="3">
        <v>0</v>
      </c>
    </row>
    <row r="805" spans="1:20" x14ac:dyDescent="0.25">
      <c r="A805" t="s">
        <v>78</v>
      </c>
      <c r="B805" t="s">
        <v>79</v>
      </c>
      <c r="C805" t="s">
        <v>1166</v>
      </c>
      <c r="D805" t="s">
        <v>1167</v>
      </c>
      <c r="E805">
        <v>986.1</v>
      </c>
      <c r="F805">
        <v>985.05</v>
      </c>
      <c r="G805">
        <v>985.05</v>
      </c>
      <c r="H805">
        <v>956</v>
      </c>
      <c r="I805" s="1">
        <v>961.25</v>
      </c>
      <c r="J805">
        <v>426223.65</v>
      </c>
      <c r="K805">
        <v>440</v>
      </c>
      <c r="L805" t="s">
        <v>78</v>
      </c>
      <c r="M805" t="s">
        <v>17</v>
      </c>
      <c r="N805">
        <v>68</v>
      </c>
      <c r="O805">
        <v>1087</v>
      </c>
      <c r="P805">
        <v>745.55</v>
      </c>
      <c r="Q805" s="1">
        <v>1216.45</v>
      </c>
      <c r="R805" s="1">
        <v>275.5</v>
      </c>
      <c r="S805" s="3">
        <v>-1.9430213606710933E-2</v>
      </c>
      <c r="T805" s="3">
        <v>6.4439241253995583E-2</v>
      </c>
    </row>
    <row r="806" spans="1:20" x14ac:dyDescent="0.25">
      <c r="A806" t="s">
        <v>78</v>
      </c>
      <c r="B806" t="s">
        <v>79</v>
      </c>
      <c r="C806" t="s">
        <v>1170</v>
      </c>
      <c r="D806" t="s">
        <v>1171</v>
      </c>
      <c r="E806">
        <v>2562.5500000000002</v>
      </c>
      <c r="F806">
        <v>2589.4499999999998</v>
      </c>
      <c r="G806">
        <v>2618</v>
      </c>
      <c r="H806">
        <v>2442.85</v>
      </c>
      <c r="I806" s="1">
        <v>2532.4499999999998</v>
      </c>
      <c r="J806">
        <v>5464457274.75</v>
      </c>
      <c r="K806">
        <v>2144098</v>
      </c>
      <c r="L806" t="s">
        <v>78</v>
      </c>
      <c r="M806" t="s">
        <v>17</v>
      </c>
      <c r="N806">
        <v>103806</v>
      </c>
      <c r="O806">
        <v>2833.8</v>
      </c>
      <c r="P806">
        <v>577.04999999999995</v>
      </c>
      <c r="Q806" s="1">
        <v>197.5</v>
      </c>
      <c r="R806" s="1">
        <v>131</v>
      </c>
      <c r="S806" s="3">
        <v>0.23689019920030296</v>
      </c>
      <c r="T806" s="3">
        <v>0.15952003806165793</v>
      </c>
    </row>
    <row r="807" spans="1:20" x14ac:dyDescent="0.25">
      <c r="A807" t="s">
        <v>78</v>
      </c>
      <c r="B807" t="s">
        <v>79</v>
      </c>
      <c r="C807" t="s">
        <v>6002</v>
      </c>
      <c r="D807" t="s">
        <v>6001</v>
      </c>
      <c r="E807">
        <v>2401.85</v>
      </c>
      <c r="F807">
        <v>2424.9499999999998</v>
      </c>
      <c r="G807">
        <v>2458.9</v>
      </c>
      <c r="H807">
        <v>2302.9</v>
      </c>
      <c r="I807" s="1">
        <v>2333.35</v>
      </c>
      <c r="J807">
        <v>189010727.80000001</v>
      </c>
      <c r="K807">
        <v>80371</v>
      </c>
      <c r="L807" t="s">
        <v>78</v>
      </c>
      <c r="M807" t="s">
        <v>17</v>
      </c>
      <c r="N807">
        <v>11448</v>
      </c>
      <c r="O807">
        <v>2640</v>
      </c>
      <c r="P807">
        <v>817.75</v>
      </c>
      <c r="Q807" s="1" t="str">
        <v/>
      </c>
      <c r="R807" s="1" t="str">
        <v/>
      </c>
      <c r="S807" s="3">
        <v>0</v>
      </c>
      <c r="T807" s="3">
        <v>0</v>
      </c>
    </row>
    <row r="808" spans="1:20" x14ac:dyDescent="0.25">
      <c r="A808" t="s">
        <v>78</v>
      </c>
      <c r="B808" t="s">
        <v>79</v>
      </c>
      <c r="C808" t="s">
        <v>1174</v>
      </c>
      <c r="D808" t="s">
        <v>1175</v>
      </c>
      <c r="E808">
        <v>251.94</v>
      </c>
      <c r="F808">
        <v>253</v>
      </c>
      <c r="G808">
        <v>253.7</v>
      </c>
      <c r="H808">
        <v>245.1</v>
      </c>
      <c r="I808" s="1">
        <v>248.11</v>
      </c>
      <c r="J808">
        <v>1301355871.1500001</v>
      </c>
      <c r="K808">
        <v>5226666</v>
      </c>
      <c r="L808" t="s">
        <v>78</v>
      </c>
      <c r="M808" t="s">
        <v>17</v>
      </c>
      <c r="N808">
        <v>39265</v>
      </c>
      <c r="O808">
        <v>322.25</v>
      </c>
      <c r="P808">
        <v>146.15</v>
      </c>
      <c r="Q808" s="1">
        <v>113</v>
      </c>
      <c r="R808" s="1">
        <v>86.35</v>
      </c>
      <c r="S808" s="3">
        <v>6.7735835378329501E-2</v>
      </c>
      <c r="T808" s="3">
        <v>5.4160028838742047E-2</v>
      </c>
    </row>
    <row r="809" spans="1:20" x14ac:dyDescent="0.25">
      <c r="A809" t="s">
        <v>78</v>
      </c>
      <c r="B809" t="s">
        <v>79</v>
      </c>
      <c r="C809" t="s">
        <v>6000</v>
      </c>
      <c r="D809" t="s">
        <v>5999</v>
      </c>
      <c r="E809">
        <v>221.92</v>
      </c>
      <c r="F809">
        <v>222.9</v>
      </c>
      <c r="G809">
        <v>226.9</v>
      </c>
      <c r="H809">
        <v>217.21</v>
      </c>
      <c r="I809" s="1">
        <v>218.41</v>
      </c>
      <c r="J809">
        <v>21359041.559999999</v>
      </c>
      <c r="K809">
        <v>96253</v>
      </c>
      <c r="L809" t="s">
        <v>78</v>
      </c>
      <c r="M809" t="s">
        <v>17</v>
      </c>
      <c r="N809">
        <v>4615</v>
      </c>
      <c r="O809">
        <v>333</v>
      </c>
      <c r="P809">
        <v>167.5</v>
      </c>
      <c r="Q809" s="1" t="str">
        <v/>
      </c>
      <c r="R809" s="1" t="str">
        <v/>
      </c>
      <c r="S809" s="3">
        <v>0</v>
      </c>
      <c r="T809" s="3">
        <v>0</v>
      </c>
    </row>
    <row r="810" spans="1:20" x14ac:dyDescent="0.25">
      <c r="A810" t="s">
        <v>78</v>
      </c>
      <c r="B810" t="s">
        <v>79</v>
      </c>
      <c r="C810" t="s">
        <v>1176</v>
      </c>
      <c r="D810" t="s">
        <v>1177</v>
      </c>
      <c r="E810">
        <v>323.85000000000002</v>
      </c>
      <c r="F810">
        <v>326</v>
      </c>
      <c r="G810">
        <v>327.8</v>
      </c>
      <c r="H810">
        <v>318</v>
      </c>
      <c r="I810" s="1">
        <v>320.95</v>
      </c>
      <c r="J810">
        <v>1000026851</v>
      </c>
      <c r="K810">
        <v>3104077</v>
      </c>
      <c r="L810" t="s">
        <v>78</v>
      </c>
      <c r="M810" t="s">
        <v>17</v>
      </c>
      <c r="N810">
        <v>53035</v>
      </c>
      <c r="O810">
        <v>406.75</v>
      </c>
      <c r="P810">
        <v>254.5</v>
      </c>
      <c r="Q810" s="1">
        <v>322.64999999999998</v>
      </c>
      <c r="R810" s="1">
        <v>201.7</v>
      </c>
      <c r="S810" s="3">
        <v>-4.4013616365345953E-4</v>
      </c>
      <c r="T810" s="3">
        <v>2.3483982202707088E-2</v>
      </c>
    </row>
    <row r="811" spans="1:20" x14ac:dyDescent="0.25">
      <c r="A811" t="s">
        <v>78</v>
      </c>
      <c r="B811" t="s">
        <v>287</v>
      </c>
      <c r="C811" t="s">
        <v>5998</v>
      </c>
      <c r="D811" t="s">
        <v>5997</v>
      </c>
      <c r="E811">
        <v>45.9</v>
      </c>
      <c r="F811">
        <v>44.5</v>
      </c>
      <c r="G811">
        <v>48</v>
      </c>
      <c r="H811">
        <v>44</v>
      </c>
      <c r="I811" s="1">
        <v>47.4</v>
      </c>
      <c r="J811">
        <v>3076650</v>
      </c>
      <c r="K811">
        <v>66000</v>
      </c>
      <c r="L811" t="s">
        <v>78</v>
      </c>
      <c r="M811" t="s">
        <v>17</v>
      </c>
      <c r="N811">
        <v>56</v>
      </c>
      <c r="O811">
        <v>134.5</v>
      </c>
      <c r="P811">
        <v>37.1</v>
      </c>
      <c r="Q811" s="1" t="str">
        <v/>
      </c>
      <c r="R811" s="1" t="str">
        <v/>
      </c>
      <c r="S811" s="3">
        <v>0</v>
      </c>
      <c r="T811" s="3">
        <v>0</v>
      </c>
    </row>
    <row r="812" spans="1:20" x14ac:dyDescent="0.25">
      <c r="A812" t="s">
        <v>78</v>
      </c>
      <c r="B812" t="s">
        <v>79</v>
      </c>
      <c r="C812" t="s">
        <v>1182</v>
      </c>
      <c r="D812" t="s">
        <v>1183</v>
      </c>
      <c r="E812">
        <v>2.86</v>
      </c>
      <c r="F812">
        <v>2.77</v>
      </c>
      <c r="G812">
        <v>2.78</v>
      </c>
      <c r="H812">
        <v>2.71</v>
      </c>
      <c r="I812" s="1">
        <v>2.71</v>
      </c>
      <c r="J812">
        <v>318529075.70999998</v>
      </c>
      <c r="K812">
        <v>116517148</v>
      </c>
      <c r="L812" t="s">
        <v>78</v>
      </c>
      <c r="M812" t="s">
        <v>17</v>
      </c>
      <c r="N812">
        <v>68499</v>
      </c>
      <c r="O812">
        <v>4.33</v>
      </c>
      <c r="P812">
        <v>0.7</v>
      </c>
      <c r="Q812" s="1">
        <v>3.15</v>
      </c>
      <c r="R812" s="1">
        <v>0.65</v>
      </c>
      <c r="S812" s="3">
        <v>-1.2459547177309682E-2</v>
      </c>
      <c r="T812" s="3">
        <v>7.3954341956209202E-2</v>
      </c>
    </row>
    <row r="813" spans="1:20" x14ac:dyDescent="0.25">
      <c r="A813" t="s">
        <v>78</v>
      </c>
      <c r="B813" t="s">
        <v>79</v>
      </c>
      <c r="C813" t="s">
        <v>1186</v>
      </c>
      <c r="D813" t="s">
        <v>1187</v>
      </c>
      <c r="E813">
        <v>169.49</v>
      </c>
      <c r="F813">
        <v>170.35</v>
      </c>
      <c r="G813">
        <v>170.79</v>
      </c>
      <c r="H813">
        <v>165.25</v>
      </c>
      <c r="I813" s="1">
        <v>166.37</v>
      </c>
      <c r="J813">
        <v>7122756.5800000001</v>
      </c>
      <c r="K813">
        <v>42548</v>
      </c>
      <c r="L813" t="s">
        <v>78</v>
      </c>
      <c r="M813" t="s">
        <v>17</v>
      </c>
      <c r="N813">
        <v>2458</v>
      </c>
      <c r="O813">
        <v>217.8</v>
      </c>
      <c r="P813">
        <v>118.7</v>
      </c>
      <c r="Q813" s="1">
        <v>180.8</v>
      </c>
      <c r="R813" s="1">
        <v>84.55</v>
      </c>
      <c r="S813" s="3">
        <v>-6.9074683663334913E-3</v>
      </c>
      <c r="T813" s="3">
        <v>3.4403594216869005E-2</v>
      </c>
    </row>
    <row r="814" spans="1:20" x14ac:dyDescent="0.25">
      <c r="A814" t="s">
        <v>78</v>
      </c>
      <c r="B814" t="s">
        <v>79</v>
      </c>
      <c r="C814" t="s">
        <v>1188</v>
      </c>
      <c r="D814" t="s">
        <v>1189</v>
      </c>
      <c r="E814">
        <v>352.2</v>
      </c>
      <c r="F814">
        <v>353.95</v>
      </c>
      <c r="G814">
        <v>354.85</v>
      </c>
      <c r="H814">
        <v>344.1</v>
      </c>
      <c r="I814" s="1">
        <v>350.35</v>
      </c>
      <c r="J814">
        <v>27763608.75</v>
      </c>
      <c r="K814">
        <v>79472</v>
      </c>
      <c r="L814" t="s">
        <v>78</v>
      </c>
      <c r="M814" t="s">
        <v>17</v>
      </c>
      <c r="N814">
        <v>5022</v>
      </c>
      <c r="O814">
        <v>386.95</v>
      </c>
      <c r="P814">
        <v>211</v>
      </c>
      <c r="Q814" s="1">
        <v>178.05</v>
      </c>
      <c r="R814" s="1">
        <v>68.3</v>
      </c>
      <c r="S814" s="3">
        <v>5.8026824506991037E-2</v>
      </c>
      <c r="T814" s="3">
        <v>8.5137138348166497E-2</v>
      </c>
    </row>
    <row r="815" spans="1:20" x14ac:dyDescent="0.25">
      <c r="A815" t="s">
        <v>78</v>
      </c>
      <c r="B815" t="s">
        <v>79</v>
      </c>
      <c r="C815" t="s">
        <v>1190</v>
      </c>
      <c r="D815" t="s">
        <v>1191</v>
      </c>
      <c r="E815">
        <v>776.95</v>
      </c>
      <c r="F815">
        <v>780</v>
      </c>
      <c r="G815">
        <v>780.85</v>
      </c>
      <c r="H815">
        <v>766</v>
      </c>
      <c r="I815" s="1">
        <v>771.2</v>
      </c>
      <c r="J815">
        <v>49112005.25</v>
      </c>
      <c r="K815">
        <v>63711</v>
      </c>
      <c r="L815" t="s">
        <v>78</v>
      </c>
      <c r="M815" t="s">
        <v>17</v>
      </c>
      <c r="N815">
        <v>3799</v>
      </c>
      <c r="O815">
        <v>868.8</v>
      </c>
      <c r="P815">
        <v>623</v>
      </c>
      <c r="Q815" s="1">
        <v>452.05</v>
      </c>
      <c r="R815" s="1">
        <v>450.05</v>
      </c>
      <c r="S815" s="3">
        <v>4.5518476890469506E-2</v>
      </c>
      <c r="T815" s="3">
        <v>2.7280177159814789E-2</v>
      </c>
    </row>
    <row r="816" spans="1:20" x14ac:dyDescent="0.25">
      <c r="A816" t="s">
        <v>78</v>
      </c>
      <c r="B816" t="s">
        <v>79</v>
      </c>
      <c r="C816" t="s">
        <v>1192</v>
      </c>
      <c r="D816" t="s">
        <v>1193</v>
      </c>
      <c r="E816">
        <v>277.02999999999997</v>
      </c>
      <c r="F816">
        <v>280</v>
      </c>
      <c r="G816">
        <v>280</v>
      </c>
      <c r="H816">
        <v>265.62</v>
      </c>
      <c r="I816" s="1">
        <v>273.5</v>
      </c>
      <c r="J816">
        <v>5436764.21</v>
      </c>
      <c r="K816">
        <v>19918</v>
      </c>
      <c r="L816" t="s">
        <v>78</v>
      </c>
      <c r="M816" t="s">
        <v>17</v>
      </c>
      <c r="N816">
        <v>854</v>
      </c>
      <c r="O816">
        <v>281.55</v>
      </c>
      <c r="P816">
        <v>218</v>
      </c>
      <c r="Q816" s="1">
        <v>233.35</v>
      </c>
      <c r="R816" s="1">
        <v>116.25</v>
      </c>
      <c r="S816" s="3">
        <v>1.3318085185183737E-2</v>
      </c>
      <c r="T816" s="3">
        <v>4.3681641375781455E-2</v>
      </c>
    </row>
    <row r="817" spans="1:20" x14ac:dyDescent="0.25">
      <c r="A817" t="s">
        <v>78</v>
      </c>
      <c r="B817" t="s">
        <v>79</v>
      </c>
      <c r="C817" t="s">
        <v>1194</v>
      </c>
      <c r="D817" t="s">
        <v>1195</v>
      </c>
      <c r="E817">
        <v>637.79999999999995</v>
      </c>
      <c r="F817">
        <v>637.79999999999995</v>
      </c>
      <c r="G817">
        <v>646.45000000000005</v>
      </c>
      <c r="H817">
        <v>628.5</v>
      </c>
      <c r="I817" s="1">
        <v>634.4</v>
      </c>
      <c r="J817">
        <v>1049649576.7</v>
      </c>
      <c r="K817">
        <v>1645852</v>
      </c>
      <c r="L817" t="s">
        <v>78</v>
      </c>
      <c r="M817" t="s">
        <v>17</v>
      </c>
      <c r="N817">
        <v>34674</v>
      </c>
      <c r="O817">
        <v>663.4</v>
      </c>
      <c r="P817">
        <v>397.05</v>
      </c>
      <c r="Q817" s="1">
        <v>671</v>
      </c>
      <c r="R817" s="1">
        <v>161.5</v>
      </c>
      <c r="S817" s="3">
        <v>-4.6632155113669471E-3</v>
      </c>
      <c r="T817" s="3">
        <v>7.0762768945463517E-2</v>
      </c>
    </row>
    <row r="818" spans="1:20" x14ac:dyDescent="0.25">
      <c r="A818" t="s">
        <v>78</v>
      </c>
      <c r="B818" t="s">
        <v>79</v>
      </c>
      <c r="C818" t="s">
        <v>3158</v>
      </c>
      <c r="D818" t="s">
        <v>3159</v>
      </c>
      <c r="E818">
        <v>44.2</v>
      </c>
      <c r="F818">
        <v>45.5</v>
      </c>
      <c r="G818">
        <v>48.62</v>
      </c>
      <c r="H818">
        <v>44.15</v>
      </c>
      <c r="I818" s="1">
        <v>48.62</v>
      </c>
      <c r="J818">
        <v>6049351.04</v>
      </c>
      <c r="K818">
        <v>127353</v>
      </c>
      <c r="L818" t="s">
        <v>78</v>
      </c>
      <c r="M818" t="s">
        <v>17</v>
      </c>
      <c r="N818">
        <v>1132</v>
      </c>
      <c r="O818">
        <v>63.4</v>
      </c>
      <c r="P818">
        <v>26.4</v>
      </c>
      <c r="Q818" s="1">
        <v>50.1</v>
      </c>
      <c r="R818" s="1">
        <v>10.3</v>
      </c>
      <c r="S818" s="3">
        <v>-2.495717106968498E-3</v>
      </c>
      <c r="T818" s="3">
        <v>8.0638488389320528E-2</v>
      </c>
    </row>
    <row r="819" spans="1:20" x14ac:dyDescent="0.25">
      <c r="A819" t="s">
        <v>78</v>
      </c>
      <c r="B819" t="s">
        <v>79</v>
      </c>
      <c r="C819" t="s">
        <v>1196</v>
      </c>
      <c r="D819" t="s">
        <v>1197</v>
      </c>
      <c r="E819">
        <v>1216.2</v>
      </c>
      <c r="F819">
        <v>1223</v>
      </c>
      <c r="G819">
        <v>1240.6500000000001</v>
      </c>
      <c r="H819">
        <v>1180</v>
      </c>
      <c r="I819" s="1">
        <v>1186.4000000000001</v>
      </c>
      <c r="J819">
        <v>218332665.80000001</v>
      </c>
      <c r="K819">
        <v>181703</v>
      </c>
      <c r="L819" t="s">
        <v>78</v>
      </c>
      <c r="M819" t="s">
        <v>17</v>
      </c>
      <c r="N819">
        <v>19998</v>
      </c>
      <c r="O819">
        <v>1349</v>
      </c>
      <c r="P819">
        <v>478.15</v>
      </c>
      <c r="Q819" s="1">
        <v>664.65</v>
      </c>
      <c r="R819" s="1">
        <v>799.25</v>
      </c>
      <c r="S819" s="3">
        <v>4.9469554548720041E-2</v>
      </c>
      <c r="T819" s="3">
        <v>1.9935544890762991E-2</v>
      </c>
    </row>
    <row r="820" spans="1:20" x14ac:dyDescent="0.25">
      <c r="A820" t="s">
        <v>78</v>
      </c>
      <c r="B820" t="s">
        <v>79</v>
      </c>
      <c r="C820" t="s">
        <v>1198</v>
      </c>
      <c r="D820" t="s">
        <v>1199</v>
      </c>
      <c r="E820">
        <v>75.459999999999994</v>
      </c>
      <c r="F820">
        <v>75.7</v>
      </c>
      <c r="G820">
        <v>75.900000000000006</v>
      </c>
      <c r="H820">
        <v>73.28</v>
      </c>
      <c r="I820" s="1">
        <v>73.66</v>
      </c>
      <c r="J820">
        <v>23627520.940000001</v>
      </c>
      <c r="K820">
        <v>319128</v>
      </c>
      <c r="L820" t="s">
        <v>78</v>
      </c>
      <c r="M820" t="s">
        <v>17</v>
      </c>
      <c r="N820">
        <v>5766</v>
      </c>
      <c r="O820">
        <v>90.2</v>
      </c>
      <c r="P820">
        <v>38.35</v>
      </c>
      <c r="Q820" s="1">
        <v>65.5</v>
      </c>
      <c r="R820" s="1">
        <v>40.200000000000003</v>
      </c>
      <c r="S820" s="3">
        <v>9.8321686223774574E-3</v>
      </c>
      <c r="T820" s="3">
        <v>3.0725644349985703E-2</v>
      </c>
    </row>
    <row r="821" spans="1:20" x14ac:dyDescent="0.25">
      <c r="A821" t="s">
        <v>78</v>
      </c>
      <c r="B821" t="s">
        <v>79</v>
      </c>
      <c r="C821" t="s">
        <v>3160</v>
      </c>
      <c r="D821" t="s">
        <v>3161</v>
      </c>
      <c r="E821">
        <v>200.75</v>
      </c>
      <c r="F821">
        <v>200.1</v>
      </c>
      <c r="G821">
        <v>201.89</v>
      </c>
      <c r="H821">
        <v>198.91</v>
      </c>
      <c r="I821" s="1">
        <v>199.65</v>
      </c>
      <c r="J821">
        <v>16499539.6</v>
      </c>
      <c r="K821">
        <v>82479</v>
      </c>
      <c r="L821" t="s">
        <v>78</v>
      </c>
      <c r="M821" t="s">
        <v>17</v>
      </c>
      <c r="N821">
        <v>2829</v>
      </c>
      <c r="O821">
        <v>242.3</v>
      </c>
      <c r="P821">
        <v>159.9</v>
      </c>
      <c r="Q821" s="1">
        <v>226.75</v>
      </c>
      <c r="R821" s="1">
        <v>37.15</v>
      </c>
      <c r="S821" s="3">
        <v>-1.0550800303060326E-2</v>
      </c>
      <c r="T821" s="3">
        <v>8.7665935880577806E-2</v>
      </c>
    </row>
    <row r="822" spans="1:20" x14ac:dyDescent="0.25">
      <c r="A822" t="s">
        <v>78</v>
      </c>
      <c r="B822" t="s">
        <v>79</v>
      </c>
      <c r="C822" t="s">
        <v>3614</v>
      </c>
      <c r="D822" t="s">
        <v>3615</v>
      </c>
      <c r="E822">
        <v>9.6300000000000008</v>
      </c>
      <c r="F822">
        <v>9.14</v>
      </c>
      <c r="G822">
        <v>9.14</v>
      </c>
      <c r="H822">
        <v>9.14</v>
      </c>
      <c r="I822" s="1">
        <v>9.14</v>
      </c>
      <c r="J822">
        <v>22707178.359999999</v>
      </c>
      <c r="K822">
        <v>2484374</v>
      </c>
      <c r="L822" t="s">
        <v>78</v>
      </c>
      <c r="M822" t="s">
        <v>17</v>
      </c>
      <c r="N822">
        <v>6513</v>
      </c>
      <c r="O822">
        <v>11.88</v>
      </c>
      <c r="P822">
        <v>9.14</v>
      </c>
      <c r="Q822" s="1">
        <v>2.5</v>
      </c>
      <c r="R822" s="1">
        <v>5.25</v>
      </c>
      <c r="S822" s="3">
        <v>0.11408206356092765</v>
      </c>
      <c r="T822" s="3">
        <v>2.8093826554603574E-2</v>
      </c>
    </row>
    <row r="823" spans="1:20" x14ac:dyDescent="0.25">
      <c r="A823" t="s">
        <v>78</v>
      </c>
      <c r="B823" t="s">
        <v>79</v>
      </c>
      <c r="C823" t="s">
        <v>5996</v>
      </c>
      <c r="D823" t="s">
        <v>5995</v>
      </c>
      <c r="E823">
        <v>13.92</v>
      </c>
      <c r="F823">
        <v>14.59</v>
      </c>
      <c r="G823">
        <v>14.61</v>
      </c>
      <c r="H823">
        <v>14</v>
      </c>
      <c r="I823" s="1">
        <v>14.61</v>
      </c>
      <c r="J823">
        <v>5545651.54</v>
      </c>
      <c r="K823">
        <v>381729</v>
      </c>
      <c r="L823" t="s">
        <v>78</v>
      </c>
      <c r="M823" t="s">
        <v>17</v>
      </c>
      <c r="N823">
        <v>619</v>
      </c>
      <c r="O823">
        <v>18.100000000000001</v>
      </c>
      <c r="P823">
        <v>9.85</v>
      </c>
      <c r="Q823" s="1" t="str">
        <v/>
      </c>
      <c r="R823" s="1" t="str">
        <v/>
      </c>
      <c r="S823" s="3">
        <v>0</v>
      </c>
      <c r="T823" s="3">
        <v>0</v>
      </c>
    </row>
    <row r="824" spans="1:20" x14ac:dyDescent="0.25">
      <c r="A824" t="s">
        <v>78</v>
      </c>
      <c r="B824" t="s">
        <v>79</v>
      </c>
      <c r="C824" t="s">
        <v>1202</v>
      </c>
      <c r="D824" t="s">
        <v>1203</v>
      </c>
      <c r="E824">
        <v>828.1</v>
      </c>
      <c r="F824">
        <v>824</v>
      </c>
      <c r="G824">
        <v>831.95</v>
      </c>
      <c r="H824">
        <v>817</v>
      </c>
      <c r="I824" s="1">
        <v>828.4</v>
      </c>
      <c r="J824">
        <v>803750321.79999995</v>
      </c>
      <c r="K824">
        <v>973743</v>
      </c>
      <c r="L824" t="s">
        <v>78</v>
      </c>
      <c r="M824" t="s">
        <v>17</v>
      </c>
      <c r="N824">
        <v>34318</v>
      </c>
      <c r="O824">
        <v>1020</v>
      </c>
      <c r="P824">
        <v>741</v>
      </c>
      <c r="Q824" s="1">
        <v>1420</v>
      </c>
      <c r="R824" s="1" t="str">
        <v/>
      </c>
      <c r="S824" s="3">
        <v>-4.391615750610034E-2</v>
      </c>
      <c r="T824" s="3">
        <v>0</v>
      </c>
    </row>
    <row r="825" spans="1:20" x14ac:dyDescent="0.25">
      <c r="A825" t="s">
        <v>78</v>
      </c>
      <c r="B825" t="s">
        <v>79</v>
      </c>
      <c r="C825" t="s">
        <v>5994</v>
      </c>
      <c r="D825" t="s">
        <v>5993</v>
      </c>
      <c r="E825">
        <v>1229.9000000000001</v>
      </c>
      <c r="F825">
        <v>1230.05</v>
      </c>
      <c r="G825">
        <v>1257.4000000000001</v>
      </c>
      <c r="H825">
        <v>1215</v>
      </c>
      <c r="I825" s="1">
        <v>1225.05</v>
      </c>
      <c r="J825">
        <v>52593819</v>
      </c>
      <c r="K825">
        <v>42871</v>
      </c>
      <c r="L825" t="s">
        <v>78</v>
      </c>
      <c r="M825" t="s">
        <v>17</v>
      </c>
      <c r="N825">
        <v>6343</v>
      </c>
      <c r="O825">
        <v>1299.95</v>
      </c>
      <c r="P825">
        <v>813.2</v>
      </c>
      <c r="Q825" s="1" t="str">
        <v/>
      </c>
      <c r="R825" s="1" t="str">
        <v/>
      </c>
      <c r="S825" s="3">
        <v>0</v>
      </c>
      <c r="T825" s="3">
        <v>0</v>
      </c>
    </row>
    <row r="826" spans="1:20" x14ac:dyDescent="0.25">
      <c r="A826" t="s">
        <v>78</v>
      </c>
      <c r="B826" t="s">
        <v>79</v>
      </c>
      <c r="C826" t="s">
        <v>5992</v>
      </c>
      <c r="D826" t="s">
        <v>5991</v>
      </c>
      <c r="E826">
        <v>31.3</v>
      </c>
      <c r="F826">
        <v>31.2</v>
      </c>
      <c r="G826">
        <v>31.49</v>
      </c>
      <c r="H826">
        <v>30.72</v>
      </c>
      <c r="I826" s="1">
        <v>30.8</v>
      </c>
      <c r="J826">
        <v>4616295.43</v>
      </c>
      <c r="K826">
        <v>149232</v>
      </c>
      <c r="L826" t="s">
        <v>78</v>
      </c>
      <c r="M826" t="s">
        <v>17</v>
      </c>
      <c r="N826">
        <v>2053</v>
      </c>
      <c r="O826">
        <v>52</v>
      </c>
      <c r="P826">
        <v>26</v>
      </c>
      <c r="Q826" s="1" t="str">
        <v/>
      </c>
      <c r="R826" s="1" t="str">
        <v/>
      </c>
      <c r="S826" s="3">
        <v>0</v>
      </c>
      <c r="T826" s="3">
        <v>0</v>
      </c>
    </row>
    <row r="827" spans="1:20" x14ac:dyDescent="0.25">
      <c r="A827" t="s">
        <v>78</v>
      </c>
      <c r="B827" t="s">
        <v>79</v>
      </c>
      <c r="C827" t="s">
        <v>5990</v>
      </c>
      <c r="D827" t="s">
        <v>5989</v>
      </c>
      <c r="E827">
        <v>705.2</v>
      </c>
      <c r="F827">
        <v>700.9</v>
      </c>
      <c r="G827">
        <v>704.6</v>
      </c>
      <c r="H827">
        <v>676.2</v>
      </c>
      <c r="I827" s="1">
        <v>683.1</v>
      </c>
      <c r="J827">
        <v>93185093.25</v>
      </c>
      <c r="K827">
        <v>135886</v>
      </c>
      <c r="L827" t="s">
        <v>78</v>
      </c>
      <c r="M827" t="s">
        <v>17</v>
      </c>
      <c r="N827">
        <v>11965</v>
      </c>
      <c r="O827">
        <v>742.7</v>
      </c>
      <c r="P827">
        <v>440.05</v>
      </c>
      <c r="Q827" s="1" t="str">
        <v/>
      </c>
      <c r="R827" s="1" t="str">
        <v/>
      </c>
      <c r="S827" s="3">
        <v>0</v>
      </c>
      <c r="T827" s="3">
        <v>0</v>
      </c>
    </row>
    <row r="828" spans="1:20" x14ac:dyDescent="0.25">
      <c r="A828" t="s">
        <v>78</v>
      </c>
      <c r="B828" t="s">
        <v>79</v>
      </c>
      <c r="C828" t="s">
        <v>1204</v>
      </c>
      <c r="D828" t="s">
        <v>1205</v>
      </c>
      <c r="E828">
        <v>240.48</v>
      </c>
      <c r="F828">
        <v>238.9</v>
      </c>
      <c r="G828">
        <v>244.26</v>
      </c>
      <c r="H828">
        <v>229.57</v>
      </c>
      <c r="I828" s="1">
        <v>237.53</v>
      </c>
      <c r="J828">
        <v>24845134.789999999</v>
      </c>
      <c r="K828">
        <v>104519</v>
      </c>
      <c r="L828" t="s">
        <v>78</v>
      </c>
      <c r="M828" t="s">
        <v>17</v>
      </c>
      <c r="N828">
        <v>4388</v>
      </c>
      <c r="O828">
        <v>258.43</v>
      </c>
      <c r="P828">
        <v>129.15</v>
      </c>
      <c r="Q828" s="1">
        <v>214.4</v>
      </c>
      <c r="R828" s="1">
        <v>62.1</v>
      </c>
      <c r="S828" s="3">
        <v>8.5740905893187946E-3</v>
      </c>
      <c r="T828" s="3">
        <v>6.9338959294325875E-2</v>
      </c>
    </row>
    <row r="829" spans="1:20" x14ac:dyDescent="0.25">
      <c r="A829" t="s">
        <v>78</v>
      </c>
      <c r="B829" t="s">
        <v>79</v>
      </c>
      <c r="C829" t="s">
        <v>5988</v>
      </c>
      <c r="D829" t="s">
        <v>5987</v>
      </c>
      <c r="E829">
        <v>536.54999999999995</v>
      </c>
      <c r="F829">
        <v>536.54999999999995</v>
      </c>
      <c r="G829">
        <v>539.5</v>
      </c>
      <c r="H829">
        <v>520</v>
      </c>
      <c r="I829" s="1">
        <v>521.65</v>
      </c>
      <c r="J829">
        <v>47798585.950000003</v>
      </c>
      <c r="K829">
        <v>90781</v>
      </c>
      <c r="L829" t="s">
        <v>78</v>
      </c>
      <c r="M829" t="s">
        <v>17</v>
      </c>
      <c r="N829">
        <v>6110</v>
      </c>
      <c r="O829">
        <v>613.85</v>
      </c>
      <c r="P829">
        <v>360.1</v>
      </c>
      <c r="Q829" s="1" t="str">
        <v/>
      </c>
      <c r="R829" s="1" t="str">
        <v/>
      </c>
      <c r="S829" s="3">
        <v>0</v>
      </c>
      <c r="T829" s="3">
        <v>0</v>
      </c>
    </row>
    <row r="830" spans="1:20" x14ac:dyDescent="0.25">
      <c r="A830" t="s">
        <v>78</v>
      </c>
      <c r="B830" t="s">
        <v>79</v>
      </c>
      <c r="C830" t="s">
        <v>1206</v>
      </c>
      <c r="D830" t="s">
        <v>1207</v>
      </c>
      <c r="E830">
        <v>24.91</v>
      </c>
      <c r="F830">
        <v>24.45</v>
      </c>
      <c r="G830">
        <v>24.46</v>
      </c>
      <c r="H830">
        <v>22.75</v>
      </c>
      <c r="I830" s="1">
        <v>23.08</v>
      </c>
      <c r="J830">
        <v>614031661.85000002</v>
      </c>
      <c r="K830">
        <v>26389743</v>
      </c>
      <c r="L830" t="s">
        <v>78</v>
      </c>
      <c r="M830" t="s">
        <v>17</v>
      </c>
      <c r="N830">
        <v>52336</v>
      </c>
      <c r="O830">
        <v>27.95</v>
      </c>
      <c r="P830">
        <v>14.9</v>
      </c>
      <c r="Q830" s="1">
        <v>26.55</v>
      </c>
      <c r="R830" s="1">
        <v>19.8</v>
      </c>
      <c r="S830" s="3">
        <v>-1.1604089301814668E-2</v>
      </c>
      <c r="T830" s="3">
        <v>7.6894409889505244E-3</v>
      </c>
    </row>
    <row r="831" spans="1:20" x14ac:dyDescent="0.25">
      <c r="A831" t="s">
        <v>78</v>
      </c>
      <c r="B831" t="s">
        <v>79</v>
      </c>
      <c r="C831" t="s">
        <v>1208</v>
      </c>
      <c r="D831" t="s">
        <v>1209</v>
      </c>
      <c r="E831">
        <v>1234.45</v>
      </c>
      <c r="F831">
        <v>1261.9000000000001</v>
      </c>
      <c r="G831">
        <v>1298.9000000000001</v>
      </c>
      <c r="H831">
        <v>1230.05</v>
      </c>
      <c r="I831" s="1">
        <v>1236.5</v>
      </c>
      <c r="J831">
        <v>352387444.05000001</v>
      </c>
      <c r="K831">
        <v>278632</v>
      </c>
      <c r="L831" t="s">
        <v>78</v>
      </c>
      <c r="M831" t="s">
        <v>17</v>
      </c>
      <c r="N831">
        <v>23021</v>
      </c>
      <c r="O831">
        <v>1400</v>
      </c>
      <c r="P831">
        <v>959.95</v>
      </c>
      <c r="Q831" s="1">
        <v>960.45</v>
      </c>
      <c r="R831" s="1">
        <v>580</v>
      </c>
      <c r="S831" s="3">
        <v>2.1276361868500127E-2</v>
      </c>
      <c r="T831" s="3">
        <v>3.8554529058835829E-2</v>
      </c>
    </row>
    <row r="832" spans="1:20" x14ac:dyDescent="0.25">
      <c r="A832" t="s">
        <v>78</v>
      </c>
      <c r="B832" t="s">
        <v>79</v>
      </c>
      <c r="C832" t="s">
        <v>3162</v>
      </c>
      <c r="D832" t="s">
        <v>3163</v>
      </c>
      <c r="E832">
        <v>2.46</v>
      </c>
      <c r="F832">
        <v>2.5499999999999998</v>
      </c>
      <c r="G832">
        <v>2.5499999999999998</v>
      </c>
      <c r="H832">
        <v>2.39</v>
      </c>
      <c r="I832" s="1">
        <v>2.41</v>
      </c>
      <c r="J832">
        <v>156978.22</v>
      </c>
      <c r="K832">
        <v>64245</v>
      </c>
      <c r="L832" t="s">
        <v>78</v>
      </c>
      <c r="M832" t="s">
        <v>17</v>
      </c>
      <c r="N832">
        <v>313</v>
      </c>
      <c r="O832">
        <v>3.65</v>
      </c>
      <c r="P832">
        <v>1.65</v>
      </c>
      <c r="Q832" s="1">
        <v>1.85</v>
      </c>
      <c r="R832" s="1">
        <v>0.75</v>
      </c>
      <c r="S832" s="3">
        <v>2.2281361855486681E-2</v>
      </c>
      <c r="T832" s="3">
        <v>6.0068445693644223E-2</v>
      </c>
    </row>
    <row r="833" spans="1:20" x14ac:dyDescent="0.25">
      <c r="A833" t="s">
        <v>78</v>
      </c>
      <c r="B833" t="s">
        <v>79</v>
      </c>
      <c r="C833" t="s">
        <v>1210</v>
      </c>
      <c r="D833" t="s">
        <v>1211</v>
      </c>
      <c r="E833">
        <v>638.04999999999995</v>
      </c>
      <c r="F833">
        <v>648.79999999999995</v>
      </c>
      <c r="G833">
        <v>659.95</v>
      </c>
      <c r="H833">
        <v>611.25</v>
      </c>
      <c r="I833" s="1">
        <v>620.65</v>
      </c>
      <c r="J833">
        <v>1888929252.5999999</v>
      </c>
      <c r="K833">
        <v>2995608</v>
      </c>
      <c r="L833" t="s">
        <v>78</v>
      </c>
      <c r="M833" t="s">
        <v>17</v>
      </c>
      <c r="N833">
        <v>73373</v>
      </c>
      <c r="O833">
        <v>684.65</v>
      </c>
      <c r="P833">
        <v>164.55</v>
      </c>
      <c r="Q833" s="1">
        <v>52.8</v>
      </c>
      <c r="R833" s="1">
        <v>21.55</v>
      </c>
      <c r="S833" s="3">
        <v>0.22796051721639143</v>
      </c>
      <c r="T833" s="3">
        <v>0.18285092166883743</v>
      </c>
    </row>
    <row r="834" spans="1:20" x14ac:dyDescent="0.25">
      <c r="A834" t="s">
        <v>78</v>
      </c>
      <c r="B834" t="s">
        <v>79</v>
      </c>
      <c r="C834" t="s">
        <v>1212</v>
      </c>
      <c r="D834" t="s">
        <v>1213</v>
      </c>
      <c r="E834">
        <v>131.25</v>
      </c>
      <c r="F834">
        <v>133.54</v>
      </c>
      <c r="G834">
        <v>133.79</v>
      </c>
      <c r="H834">
        <v>126.84</v>
      </c>
      <c r="I834" s="1">
        <v>127.84</v>
      </c>
      <c r="J834">
        <v>3460157.53</v>
      </c>
      <c r="K834">
        <v>26630</v>
      </c>
      <c r="L834" t="s">
        <v>78</v>
      </c>
      <c r="M834" t="s">
        <v>17</v>
      </c>
      <c r="N834">
        <v>1397</v>
      </c>
      <c r="O834">
        <v>138.25</v>
      </c>
      <c r="P834">
        <v>47.35</v>
      </c>
      <c r="Q834" s="1">
        <v>29.75</v>
      </c>
      <c r="R834" s="1">
        <v>7.5</v>
      </c>
      <c r="S834" s="3">
        <v>0.12918469391629861</v>
      </c>
      <c r="T834" s="3">
        <v>0.15224955956313058</v>
      </c>
    </row>
    <row r="835" spans="1:20" x14ac:dyDescent="0.25">
      <c r="A835" t="s">
        <v>78</v>
      </c>
      <c r="B835" t="s">
        <v>79</v>
      </c>
      <c r="C835" t="s">
        <v>1214</v>
      </c>
      <c r="D835" t="s">
        <v>1215</v>
      </c>
      <c r="E835">
        <v>49.98</v>
      </c>
      <c r="F835">
        <v>50.05</v>
      </c>
      <c r="G835">
        <v>50.25</v>
      </c>
      <c r="H835">
        <v>48.01</v>
      </c>
      <c r="I835" s="1">
        <v>48.37</v>
      </c>
      <c r="J835">
        <v>1322089624.4400001</v>
      </c>
      <c r="K835">
        <v>27126551</v>
      </c>
      <c r="L835" t="s">
        <v>78</v>
      </c>
      <c r="M835" t="s">
        <v>17</v>
      </c>
      <c r="N835">
        <v>68384</v>
      </c>
      <c r="O835">
        <v>53.4</v>
      </c>
      <c r="P835">
        <v>18.55</v>
      </c>
      <c r="Q835" s="1">
        <v>12.75</v>
      </c>
      <c r="R835" s="1">
        <v>9.3000000000000007</v>
      </c>
      <c r="S835" s="3">
        <v>0.11752048258105252</v>
      </c>
      <c r="T835" s="3">
        <v>8.5888037181705013E-2</v>
      </c>
    </row>
    <row r="836" spans="1:20" x14ac:dyDescent="0.25">
      <c r="A836" t="s">
        <v>78</v>
      </c>
      <c r="B836" t="s">
        <v>79</v>
      </c>
      <c r="C836" t="s">
        <v>1216</v>
      </c>
      <c r="D836" t="s">
        <v>1217</v>
      </c>
      <c r="E836">
        <v>360.95</v>
      </c>
      <c r="F836">
        <v>359</v>
      </c>
      <c r="G836">
        <v>365</v>
      </c>
      <c r="H836">
        <v>357.85</v>
      </c>
      <c r="I836" s="1">
        <v>360.9</v>
      </c>
      <c r="J836">
        <v>40848570.899999999</v>
      </c>
      <c r="K836">
        <v>113014</v>
      </c>
      <c r="L836" t="s">
        <v>78</v>
      </c>
      <c r="M836" t="s">
        <v>17</v>
      </c>
      <c r="N836">
        <v>7999</v>
      </c>
      <c r="O836">
        <v>401</v>
      </c>
      <c r="P836">
        <v>313</v>
      </c>
      <c r="Q836" s="1">
        <v>225.85</v>
      </c>
      <c r="R836" s="1">
        <v>125.35</v>
      </c>
      <c r="S836" s="3">
        <v>3.9833725241477769E-2</v>
      </c>
      <c r="T836" s="3">
        <v>5.4266851494092494E-2</v>
      </c>
    </row>
    <row r="837" spans="1:20" x14ac:dyDescent="0.25">
      <c r="A837" t="s">
        <v>78</v>
      </c>
      <c r="B837" t="s">
        <v>79</v>
      </c>
      <c r="C837" t="s">
        <v>1218</v>
      </c>
      <c r="D837" t="s">
        <v>1219</v>
      </c>
      <c r="E837">
        <v>17.25</v>
      </c>
      <c r="F837">
        <v>16.96</v>
      </c>
      <c r="G837">
        <v>17.18</v>
      </c>
      <c r="H837">
        <v>16.850000000000001</v>
      </c>
      <c r="I837" s="1">
        <v>16.88</v>
      </c>
      <c r="J837">
        <v>4618958.8600000003</v>
      </c>
      <c r="K837">
        <v>272443</v>
      </c>
      <c r="L837" t="s">
        <v>78</v>
      </c>
      <c r="M837" t="s">
        <v>17</v>
      </c>
      <c r="N837">
        <v>1182</v>
      </c>
      <c r="O837">
        <v>19.8</v>
      </c>
      <c r="P837">
        <v>15.6</v>
      </c>
      <c r="Q837" s="1">
        <v>16.399999999999999</v>
      </c>
      <c r="R837" s="1">
        <v>10.95</v>
      </c>
      <c r="S837" s="3">
        <v>2.4069048173593899E-3</v>
      </c>
      <c r="T837" s="3">
        <v>2.186322374959615E-2</v>
      </c>
    </row>
    <row r="838" spans="1:20" x14ac:dyDescent="0.25">
      <c r="A838" t="s">
        <v>78</v>
      </c>
      <c r="B838" t="s">
        <v>79</v>
      </c>
      <c r="C838" t="s">
        <v>222</v>
      </c>
      <c r="D838" t="s">
        <v>223</v>
      </c>
      <c r="E838">
        <v>4087.85</v>
      </c>
      <c r="F838">
        <v>4087.85</v>
      </c>
      <c r="G838">
        <v>4171.2</v>
      </c>
      <c r="H838">
        <v>4061</v>
      </c>
      <c r="I838" s="1">
        <v>4162.5</v>
      </c>
      <c r="J838">
        <v>2848492745.9000001</v>
      </c>
      <c r="K838">
        <v>689318</v>
      </c>
      <c r="L838" t="s">
        <v>78</v>
      </c>
      <c r="M838" t="s">
        <v>17</v>
      </c>
      <c r="N838">
        <v>60730</v>
      </c>
      <c r="O838">
        <v>4296.3999999999996</v>
      </c>
      <c r="P838">
        <v>2355.0500000000002</v>
      </c>
      <c r="Q838" s="1">
        <v>2971</v>
      </c>
      <c r="R838" s="1">
        <v>2190.0500000000002</v>
      </c>
      <c r="S838" s="3">
        <v>2.8500008356184825E-2</v>
      </c>
      <c r="T838" s="3">
        <v>3.261249032180924E-2</v>
      </c>
    </row>
    <row r="839" spans="1:20" x14ac:dyDescent="0.25">
      <c r="A839" t="s">
        <v>78</v>
      </c>
      <c r="B839" t="s">
        <v>79</v>
      </c>
      <c r="C839" t="s">
        <v>1220</v>
      </c>
      <c r="D839" t="s">
        <v>1221</v>
      </c>
      <c r="E839">
        <v>2096.15</v>
      </c>
      <c r="F839">
        <v>2100</v>
      </c>
      <c r="G839">
        <v>2120.15</v>
      </c>
      <c r="H839">
        <v>2066.1</v>
      </c>
      <c r="I839" s="1">
        <v>2084.15</v>
      </c>
      <c r="J839">
        <v>192994899.34999999</v>
      </c>
      <c r="K839">
        <v>92587</v>
      </c>
      <c r="L839" t="s">
        <v>78</v>
      </c>
      <c r="M839" t="s">
        <v>17</v>
      </c>
      <c r="N839">
        <v>11958</v>
      </c>
      <c r="O839">
        <v>2743</v>
      </c>
      <c r="P839">
        <v>1461.9</v>
      </c>
      <c r="Q839" s="1">
        <v>2181</v>
      </c>
      <c r="R839" s="1">
        <v>996.1</v>
      </c>
      <c r="S839" s="3">
        <v>-3.7780442435727535E-3</v>
      </c>
      <c r="T839" s="3">
        <v>3.7582222610615723E-2</v>
      </c>
    </row>
    <row r="840" spans="1:20" x14ac:dyDescent="0.25">
      <c r="A840" t="s">
        <v>78</v>
      </c>
      <c r="B840" t="s">
        <v>79</v>
      </c>
      <c r="C840" t="s">
        <v>1222</v>
      </c>
      <c r="D840" t="s">
        <v>1223</v>
      </c>
      <c r="E840">
        <v>237.41</v>
      </c>
      <c r="F840">
        <v>236</v>
      </c>
      <c r="G840">
        <v>241</v>
      </c>
      <c r="H840">
        <v>232.1</v>
      </c>
      <c r="I840" s="1">
        <v>233.51</v>
      </c>
      <c r="J840">
        <v>305040285.00999999</v>
      </c>
      <c r="K840">
        <v>1292466</v>
      </c>
      <c r="L840" t="s">
        <v>78</v>
      </c>
      <c r="M840" t="s">
        <v>17</v>
      </c>
      <c r="N840">
        <v>22728</v>
      </c>
      <c r="O840">
        <v>247</v>
      </c>
      <c r="P840">
        <v>173.25</v>
      </c>
      <c r="Q840" s="1">
        <v>260.2</v>
      </c>
      <c r="R840" s="1">
        <v>198.1</v>
      </c>
      <c r="S840" s="3">
        <v>-8.9782578415510406E-3</v>
      </c>
      <c r="T840" s="3">
        <v>8.2520060039492638E-3</v>
      </c>
    </row>
    <row r="841" spans="1:20" x14ac:dyDescent="0.25">
      <c r="A841" t="s">
        <v>78</v>
      </c>
      <c r="B841" t="s">
        <v>79</v>
      </c>
      <c r="C841" t="s">
        <v>1224</v>
      </c>
      <c r="D841" t="s">
        <v>1225</v>
      </c>
      <c r="E841">
        <v>230.69</v>
      </c>
      <c r="F841">
        <v>227.13</v>
      </c>
      <c r="G841">
        <v>231.35</v>
      </c>
      <c r="H841">
        <v>222.01</v>
      </c>
      <c r="I841" s="1">
        <v>223.49</v>
      </c>
      <c r="J841">
        <v>473080108.81999999</v>
      </c>
      <c r="K841">
        <v>2094109</v>
      </c>
      <c r="L841" t="s">
        <v>78</v>
      </c>
      <c r="M841" t="s">
        <v>17</v>
      </c>
      <c r="N841">
        <v>36012</v>
      </c>
      <c r="O841">
        <v>264.95</v>
      </c>
      <c r="P841">
        <v>98.3</v>
      </c>
      <c r="Q841" s="1">
        <v>150.25</v>
      </c>
      <c r="R841" s="1" t="str">
        <v/>
      </c>
      <c r="S841" s="3">
        <v>3.3642365406408192E-2</v>
      </c>
      <c r="T841" s="3">
        <v>0</v>
      </c>
    </row>
    <row r="842" spans="1:20" x14ac:dyDescent="0.25">
      <c r="A842" t="s">
        <v>78</v>
      </c>
      <c r="B842" t="s">
        <v>79</v>
      </c>
      <c r="C842" t="s">
        <v>1226</v>
      </c>
      <c r="D842" t="s">
        <v>1227</v>
      </c>
      <c r="E842">
        <v>373.15</v>
      </c>
      <c r="F842">
        <v>373.15</v>
      </c>
      <c r="G842">
        <v>373.65</v>
      </c>
      <c r="H842">
        <v>356.9</v>
      </c>
      <c r="I842" s="1">
        <v>360.9</v>
      </c>
      <c r="J842">
        <v>24634436.75</v>
      </c>
      <c r="K842">
        <v>67844</v>
      </c>
      <c r="L842" t="s">
        <v>78</v>
      </c>
      <c r="M842" t="s">
        <v>17</v>
      </c>
      <c r="N842">
        <v>5331</v>
      </c>
      <c r="O842">
        <v>426</v>
      </c>
      <c r="P842">
        <v>280.39999999999998</v>
      </c>
      <c r="Q842" s="1">
        <v>719</v>
      </c>
      <c r="R842" s="1" t="str">
        <v/>
      </c>
      <c r="S842" s="3">
        <v>-5.5819922066206784E-2</v>
      </c>
      <c r="T842" s="3">
        <v>0</v>
      </c>
    </row>
    <row r="843" spans="1:20" x14ac:dyDescent="0.25">
      <c r="A843" t="s">
        <v>78</v>
      </c>
      <c r="B843" t="s">
        <v>79</v>
      </c>
      <c r="C843" t="s">
        <v>1228</v>
      </c>
      <c r="D843" t="s">
        <v>1229</v>
      </c>
      <c r="E843">
        <v>640.95000000000005</v>
      </c>
      <c r="F843">
        <v>640</v>
      </c>
      <c r="G843">
        <v>645</v>
      </c>
      <c r="H843">
        <v>614.79999999999995</v>
      </c>
      <c r="I843" s="1">
        <v>633.35</v>
      </c>
      <c r="J843">
        <v>41217500.649999999</v>
      </c>
      <c r="K843">
        <v>65606</v>
      </c>
      <c r="L843" t="s">
        <v>78</v>
      </c>
      <c r="M843" t="s">
        <v>17</v>
      </c>
      <c r="N843">
        <v>6180</v>
      </c>
      <c r="O843">
        <v>656</v>
      </c>
      <c r="P843">
        <v>270.89999999999998</v>
      </c>
      <c r="Q843" s="1">
        <v>169.45</v>
      </c>
      <c r="R843" s="1">
        <v>86.9</v>
      </c>
      <c r="S843" s="3">
        <v>0.1161353163551182</v>
      </c>
      <c r="T843" s="3">
        <v>0.10435214571426377</v>
      </c>
    </row>
    <row r="844" spans="1:20" x14ac:dyDescent="0.25">
      <c r="A844" t="s">
        <v>78</v>
      </c>
      <c r="B844" t="s">
        <v>79</v>
      </c>
      <c r="C844" t="s">
        <v>1230</v>
      </c>
      <c r="D844" t="s">
        <v>1231</v>
      </c>
      <c r="E844">
        <v>545.75</v>
      </c>
      <c r="F844">
        <v>546.4</v>
      </c>
      <c r="G844">
        <v>550</v>
      </c>
      <c r="H844">
        <v>530</v>
      </c>
      <c r="I844" s="1">
        <v>536.4</v>
      </c>
      <c r="J844">
        <v>243599959.84999999</v>
      </c>
      <c r="K844">
        <v>452598</v>
      </c>
      <c r="L844" t="s">
        <v>78</v>
      </c>
      <c r="M844" t="s">
        <v>17</v>
      </c>
      <c r="N844">
        <v>11092</v>
      </c>
      <c r="O844">
        <v>727.35</v>
      </c>
      <c r="P844">
        <v>209.3</v>
      </c>
      <c r="Q844" s="1">
        <v>474.7</v>
      </c>
      <c r="R844" s="1">
        <v>355</v>
      </c>
      <c r="S844" s="3">
        <v>1.0235117959678464E-2</v>
      </c>
      <c r="T844" s="3">
        <v>2.0841018735704209E-2</v>
      </c>
    </row>
    <row r="845" spans="1:20" x14ac:dyDescent="0.25">
      <c r="A845" t="s">
        <v>78</v>
      </c>
      <c r="B845" t="s">
        <v>79</v>
      </c>
      <c r="C845" t="s">
        <v>1232</v>
      </c>
      <c r="D845" t="s">
        <v>1233</v>
      </c>
      <c r="E845">
        <v>2865.15</v>
      </c>
      <c r="F845">
        <v>2870</v>
      </c>
      <c r="G845">
        <v>2880.45</v>
      </c>
      <c r="H845">
        <v>2703.6</v>
      </c>
      <c r="I845" s="1">
        <v>2745.8</v>
      </c>
      <c r="J845">
        <v>30760002.800000001</v>
      </c>
      <c r="K845">
        <v>11187</v>
      </c>
      <c r="L845" t="s">
        <v>78</v>
      </c>
      <c r="M845" t="s">
        <v>17</v>
      </c>
      <c r="N845">
        <v>2612</v>
      </c>
      <c r="O845">
        <v>2880.45</v>
      </c>
      <c r="P845">
        <v>1292.8499999999999</v>
      </c>
      <c r="Q845" s="1">
        <v>2422</v>
      </c>
      <c r="R845" s="1">
        <v>1681.8</v>
      </c>
      <c r="S845" s="3">
        <v>1.0511429831152164E-2</v>
      </c>
      <c r="T845" s="3">
        <v>2.4799484071331035E-2</v>
      </c>
    </row>
    <row r="846" spans="1:20" x14ac:dyDescent="0.25">
      <c r="A846" t="s">
        <v>78</v>
      </c>
      <c r="B846" t="s">
        <v>79</v>
      </c>
      <c r="C846" t="s">
        <v>5986</v>
      </c>
      <c r="D846" t="s">
        <v>5985</v>
      </c>
      <c r="E846">
        <v>487.45</v>
      </c>
      <c r="F846">
        <v>488.7</v>
      </c>
      <c r="G846">
        <v>504</v>
      </c>
      <c r="H846">
        <v>478.25</v>
      </c>
      <c r="I846" s="1">
        <v>482.35</v>
      </c>
      <c r="J846">
        <v>39733042.649999999</v>
      </c>
      <c r="K846">
        <v>81488</v>
      </c>
      <c r="L846" t="s">
        <v>78</v>
      </c>
      <c r="M846" t="s">
        <v>17</v>
      </c>
      <c r="N846">
        <v>6245</v>
      </c>
      <c r="O846">
        <v>654.9</v>
      </c>
      <c r="P846">
        <v>300</v>
      </c>
      <c r="Q846" s="1" t="str">
        <v/>
      </c>
      <c r="R846" s="1" t="str">
        <v/>
      </c>
      <c r="S846" s="3">
        <v>0</v>
      </c>
      <c r="T846" s="3">
        <v>0</v>
      </c>
    </row>
    <row r="847" spans="1:20" x14ac:dyDescent="0.25">
      <c r="A847" t="s">
        <v>78</v>
      </c>
      <c r="B847" t="s">
        <v>79</v>
      </c>
      <c r="C847" t="s">
        <v>1234</v>
      </c>
      <c r="D847" t="s">
        <v>1235</v>
      </c>
      <c r="E847">
        <v>189.03</v>
      </c>
      <c r="F847">
        <v>198</v>
      </c>
      <c r="G847">
        <v>198</v>
      </c>
      <c r="H847">
        <v>182.4</v>
      </c>
      <c r="I847" s="1">
        <v>183.65</v>
      </c>
      <c r="J847">
        <v>13661868.6</v>
      </c>
      <c r="K847">
        <v>71510</v>
      </c>
      <c r="L847" t="s">
        <v>78</v>
      </c>
      <c r="M847" t="s">
        <v>17</v>
      </c>
      <c r="N847">
        <v>1651</v>
      </c>
      <c r="O847">
        <v>219.81</v>
      </c>
      <c r="P847">
        <v>140.19999999999999</v>
      </c>
      <c r="Q847" s="1">
        <v>138.25</v>
      </c>
      <c r="R847" s="1">
        <v>14.2</v>
      </c>
      <c r="S847" s="3">
        <v>2.3946225408213229E-2</v>
      </c>
      <c r="T847" s="3">
        <v>0.13646139744636709</v>
      </c>
    </row>
    <row r="848" spans="1:20" x14ac:dyDescent="0.25">
      <c r="A848" t="s">
        <v>78</v>
      </c>
      <c r="B848" t="s">
        <v>79</v>
      </c>
      <c r="C848" t="s">
        <v>3164</v>
      </c>
      <c r="D848" t="s">
        <v>3165</v>
      </c>
      <c r="E848">
        <v>120.13</v>
      </c>
      <c r="F848">
        <v>119.79</v>
      </c>
      <c r="G848">
        <v>120.45</v>
      </c>
      <c r="H848">
        <v>116.45</v>
      </c>
      <c r="I848" s="1">
        <v>117.84</v>
      </c>
      <c r="J848">
        <v>2112419417.29</v>
      </c>
      <c r="K848">
        <v>17898873</v>
      </c>
      <c r="L848" t="s">
        <v>78</v>
      </c>
      <c r="M848" t="s">
        <v>17</v>
      </c>
      <c r="N848">
        <v>62919</v>
      </c>
      <c r="O848">
        <v>135.4</v>
      </c>
      <c r="P848">
        <v>61.5</v>
      </c>
      <c r="Q848" s="1">
        <v>78</v>
      </c>
      <c r="R848" s="1">
        <v>19.850000000000001</v>
      </c>
      <c r="S848" s="3">
        <v>3.4982907535036523E-2</v>
      </c>
      <c r="T848" s="3">
        <v>9.3088763805174057E-2</v>
      </c>
    </row>
    <row r="849" spans="1:20" x14ac:dyDescent="0.25">
      <c r="A849" t="s">
        <v>78</v>
      </c>
      <c r="B849" t="s">
        <v>79</v>
      </c>
      <c r="C849" t="s">
        <v>1236</v>
      </c>
      <c r="D849" t="s">
        <v>1237</v>
      </c>
      <c r="E849">
        <v>1780.45</v>
      </c>
      <c r="F849">
        <v>1788.5</v>
      </c>
      <c r="G849">
        <v>1800.65</v>
      </c>
      <c r="H849">
        <v>1730.1</v>
      </c>
      <c r="I849" s="1">
        <v>1741.3</v>
      </c>
      <c r="J849">
        <v>404328968.80000001</v>
      </c>
      <c r="K849">
        <v>230399</v>
      </c>
      <c r="L849" t="s">
        <v>78</v>
      </c>
      <c r="M849" t="s">
        <v>17</v>
      </c>
      <c r="N849">
        <v>29579</v>
      </c>
      <c r="O849">
        <v>1879.9</v>
      </c>
      <c r="P849">
        <v>805.1</v>
      </c>
      <c r="Q849" s="1">
        <v>484</v>
      </c>
      <c r="R849" s="1">
        <v>245</v>
      </c>
      <c r="S849" s="3">
        <v>0.11259136895182764</v>
      </c>
      <c r="T849" s="3">
        <v>0.10296581971550367</v>
      </c>
    </row>
    <row r="850" spans="1:20" x14ac:dyDescent="0.25">
      <c r="A850" t="s">
        <v>78</v>
      </c>
      <c r="B850" t="s">
        <v>79</v>
      </c>
      <c r="C850" t="s">
        <v>3166</v>
      </c>
      <c r="D850" t="s">
        <v>3167</v>
      </c>
      <c r="E850">
        <v>902.9</v>
      </c>
      <c r="F850">
        <v>902.95</v>
      </c>
      <c r="G850">
        <v>910.5</v>
      </c>
      <c r="H850">
        <v>887.05</v>
      </c>
      <c r="I850" s="1">
        <v>894.1</v>
      </c>
      <c r="J850">
        <v>42238202</v>
      </c>
      <c r="K850">
        <v>47083</v>
      </c>
      <c r="L850" t="s">
        <v>78</v>
      </c>
      <c r="M850" t="s">
        <v>17</v>
      </c>
      <c r="N850">
        <v>4212</v>
      </c>
      <c r="O850">
        <v>1091.6500000000001</v>
      </c>
      <c r="P850">
        <v>718.8</v>
      </c>
      <c r="Q850" s="1">
        <v>2977</v>
      </c>
      <c r="R850" s="1">
        <v>621.4</v>
      </c>
      <c r="S850" s="3">
        <v>-9.5377736918018097E-2</v>
      </c>
      <c r="T850" s="3">
        <v>1.8348470616003976E-2</v>
      </c>
    </row>
    <row r="851" spans="1:20" x14ac:dyDescent="0.25">
      <c r="A851" t="s">
        <v>78</v>
      </c>
      <c r="B851" t="s">
        <v>287</v>
      </c>
      <c r="C851" t="s">
        <v>5984</v>
      </c>
      <c r="D851" t="s">
        <v>5983</v>
      </c>
      <c r="E851">
        <v>170.45</v>
      </c>
      <c r="F851">
        <v>171.5</v>
      </c>
      <c r="G851">
        <v>173</v>
      </c>
      <c r="H851">
        <v>169.35</v>
      </c>
      <c r="I851" s="1">
        <v>171.65</v>
      </c>
      <c r="J851">
        <v>6304240</v>
      </c>
      <c r="K851">
        <v>36800</v>
      </c>
      <c r="L851" t="s">
        <v>78</v>
      </c>
      <c r="M851" t="s">
        <v>17</v>
      </c>
      <c r="N851">
        <v>41</v>
      </c>
      <c r="O851">
        <v>243.1</v>
      </c>
      <c r="P851">
        <v>75.45</v>
      </c>
      <c r="Q851" s="1" t="str">
        <v/>
      </c>
      <c r="R851" s="1" t="str">
        <v/>
      </c>
      <c r="S851" s="3">
        <v>0</v>
      </c>
      <c r="T851" s="3">
        <v>0</v>
      </c>
    </row>
    <row r="852" spans="1:20" x14ac:dyDescent="0.25">
      <c r="A852" t="s">
        <v>78</v>
      </c>
      <c r="B852" t="s">
        <v>79</v>
      </c>
      <c r="C852" t="s">
        <v>1238</v>
      </c>
      <c r="D852" t="s">
        <v>1239</v>
      </c>
      <c r="E852">
        <v>355.3</v>
      </c>
      <c r="F852">
        <v>355.4</v>
      </c>
      <c r="G852">
        <v>355.55</v>
      </c>
      <c r="H852">
        <v>343</v>
      </c>
      <c r="I852" s="1">
        <v>346</v>
      </c>
      <c r="J852">
        <v>111682080.45</v>
      </c>
      <c r="K852">
        <v>321512</v>
      </c>
      <c r="L852" t="s">
        <v>78</v>
      </c>
      <c r="M852" t="s">
        <v>17</v>
      </c>
      <c r="N852">
        <v>17251</v>
      </c>
      <c r="O852">
        <v>377.95</v>
      </c>
      <c r="P852">
        <v>250.1</v>
      </c>
      <c r="Q852" s="1">
        <v>514.4</v>
      </c>
      <c r="R852" s="1">
        <v>148</v>
      </c>
      <c r="S852" s="3">
        <v>-3.2506784483474327E-2</v>
      </c>
      <c r="T852" s="3">
        <v>4.3351441002678293E-2</v>
      </c>
    </row>
    <row r="853" spans="1:20" x14ac:dyDescent="0.25">
      <c r="A853" t="s">
        <v>78</v>
      </c>
      <c r="B853" t="s">
        <v>79</v>
      </c>
      <c r="C853" t="s">
        <v>1240</v>
      </c>
      <c r="D853" t="s">
        <v>1241</v>
      </c>
      <c r="E853">
        <v>3070.9</v>
      </c>
      <c r="F853">
        <v>3097.85</v>
      </c>
      <c r="G853">
        <v>3171.15</v>
      </c>
      <c r="H853">
        <v>2990</v>
      </c>
      <c r="I853" s="1">
        <v>3041.8</v>
      </c>
      <c r="J853">
        <v>157000070.34999999</v>
      </c>
      <c r="K853">
        <v>50839</v>
      </c>
      <c r="L853" t="s">
        <v>78</v>
      </c>
      <c r="M853" t="s">
        <v>17</v>
      </c>
      <c r="N853">
        <v>6527</v>
      </c>
      <c r="O853">
        <v>3216</v>
      </c>
      <c r="P853">
        <v>2345.65</v>
      </c>
      <c r="Q853" s="1">
        <v>4426.75</v>
      </c>
      <c r="R853" s="1">
        <v>1315</v>
      </c>
      <c r="S853" s="3">
        <v>-3.0784230549218861E-2</v>
      </c>
      <c r="T853" s="3">
        <v>4.2798198881606853E-2</v>
      </c>
    </row>
    <row r="854" spans="1:20" x14ac:dyDescent="0.25">
      <c r="A854" t="s">
        <v>78</v>
      </c>
      <c r="B854" t="s">
        <v>79</v>
      </c>
      <c r="C854" t="s">
        <v>3168</v>
      </c>
      <c r="D854" t="s">
        <v>3169</v>
      </c>
      <c r="E854">
        <v>89.85</v>
      </c>
      <c r="F854">
        <v>90</v>
      </c>
      <c r="G854">
        <v>90.99</v>
      </c>
      <c r="H854">
        <v>87.4</v>
      </c>
      <c r="I854" s="1">
        <v>88.39</v>
      </c>
      <c r="J854">
        <v>13276713.310000001</v>
      </c>
      <c r="K854">
        <v>148968</v>
      </c>
      <c r="L854" t="s">
        <v>78</v>
      </c>
      <c r="M854" t="s">
        <v>17</v>
      </c>
      <c r="N854">
        <v>1416</v>
      </c>
      <c r="O854">
        <v>170.95</v>
      </c>
      <c r="P854">
        <v>77.91</v>
      </c>
      <c r="Q854" s="1">
        <v>11.5</v>
      </c>
      <c r="R854" s="1">
        <v>10.6</v>
      </c>
      <c r="S854" s="3">
        <v>0.18524675361482634</v>
      </c>
      <c r="T854" s="3">
        <v>0.1118076084076387</v>
      </c>
    </row>
    <row r="855" spans="1:20" x14ac:dyDescent="0.25">
      <c r="A855" t="s">
        <v>78</v>
      </c>
      <c r="B855" t="s">
        <v>79</v>
      </c>
      <c r="C855" t="s">
        <v>1242</v>
      </c>
      <c r="D855" t="s">
        <v>1243</v>
      </c>
      <c r="E855">
        <v>138.69</v>
      </c>
      <c r="F855">
        <v>138.6</v>
      </c>
      <c r="G855">
        <v>141.94999999999999</v>
      </c>
      <c r="H855">
        <v>136.69</v>
      </c>
      <c r="I855" s="1">
        <v>137.41</v>
      </c>
      <c r="J855">
        <v>72443714.849999994</v>
      </c>
      <c r="K855">
        <v>520657</v>
      </c>
      <c r="L855" t="s">
        <v>78</v>
      </c>
      <c r="M855" t="s">
        <v>17</v>
      </c>
      <c r="N855">
        <v>7147</v>
      </c>
      <c r="O855">
        <v>187.95</v>
      </c>
      <c r="P855">
        <v>114.5</v>
      </c>
      <c r="Q855" s="1">
        <v>250.5</v>
      </c>
      <c r="R855" s="1">
        <v>146.30000000000001</v>
      </c>
      <c r="S855" s="3">
        <v>-4.880939780279403E-2</v>
      </c>
      <c r="T855" s="3">
        <v>-3.127888867209716E-3</v>
      </c>
    </row>
    <row r="856" spans="1:20" x14ac:dyDescent="0.25">
      <c r="A856" t="s">
        <v>78</v>
      </c>
      <c r="B856" t="s">
        <v>79</v>
      </c>
      <c r="C856" t="s">
        <v>1244</v>
      </c>
      <c r="D856" t="s">
        <v>1245</v>
      </c>
      <c r="E856">
        <v>584.75</v>
      </c>
      <c r="F856">
        <v>579.4</v>
      </c>
      <c r="G856">
        <v>589.4</v>
      </c>
      <c r="H856">
        <v>556</v>
      </c>
      <c r="I856" s="1">
        <v>559.79999999999995</v>
      </c>
      <c r="J856">
        <v>13087490.699999999</v>
      </c>
      <c r="K856">
        <v>22925</v>
      </c>
      <c r="L856" t="s">
        <v>78</v>
      </c>
      <c r="M856" t="s">
        <v>17</v>
      </c>
      <c r="N856">
        <v>3609</v>
      </c>
      <c r="O856">
        <v>650</v>
      </c>
      <c r="P856">
        <v>347.8</v>
      </c>
      <c r="Q856" s="1">
        <v>327.2</v>
      </c>
      <c r="R856" s="1">
        <v>180</v>
      </c>
      <c r="S856" s="3">
        <v>4.5767080397828286E-2</v>
      </c>
      <c r="T856" s="3">
        <v>5.8338333020523381E-2</v>
      </c>
    </row>
    <row r="857" spans="1:20" x14ac:dyDescent="0.25">
      <c r="A857" t="s">
        <v>78</v>
      </c>
      <c r="B857" t="s">
        <v>79</v>
      </c>
      <c r="C857" t="s">
        <v>1248</v>
      </c>
      <c r="D857" t="s">
        <v>1249</v>
      </c>
      <c r="E857">
        <v>329.05</v>
      </c>
      <c r="F857">
        <v>328.4</v>
      </c>
      <c r="G857">
        <v>328.4</v>
      </c>
      <c r="H857">
        <v>317.95</v>
      </c>
      <c r="I857" s="1">
        <v>320.2</v>
      </c>
      <c r="J857">
        <v>1283507331.45</v>
      </c>
      <c r="K857">
        <v>3983681</v>
      </c>
      <c r="L857" t="s">
        <v>78</v>
      </c>
      <c r="M857" t="s">
        <v>17</v>
      </c>
      <c r="N857">
        <v>47588</v>
      </c>
      <c r="O857">
        <v>415.8</v>
      </c>
      <c r="P857">
        <v>117.85</v>
      </c>
      <c r="Q857" s="1">
        <v>139.1</v>
      </c>
      <c r="R857" s="1">
        <v>36</v>
      </c>
      <c r="S857" s="3">
        <v>7.1949970020737108E-2</v>
      </c>
      <c r="T857" s="3">
        <v>0.11539823344599309</v>
      </c>
    </row>
    <row r="858" spans="1:20" x14ac:dyDescent="0.25">
      <c r="A858" t="s">
        <v>78</v>
      </c>
      <c r="B858" t="s">
        <v>79</v>
      </c>
      <c r="C858" t="s">
        <v>1250</v>
      </c>
      <c r="D858" t="s">
        <v>1251</v>
      </c>
      <c r="E858">
        <v>32</v>
      </c>
      <c r="F858">
        <v>31.85</v>
      </c>
      <c r="G858">
        <v>32.08</v>
      </c>
      <c r="H858">
        <v>31.3</v>
      </c>
      <c r="I858" s="1">
        <v>31.4</v>
      </c>
      <c r="J858">
        <v>22631115.120000001</v>
      </c>
      <c r="K858">
        <v>717569</v>
      </c>
      <c r="L858" t="s">
        <v>78</v>
      </c>
      <c r="M858" t="s">
        <v>17</v>
      </c>
      <c r="N858">
        <v>4675</v>
      </c>
      <c r="O858">
        <v>48.6</v>
      </c>
      <c r="P858">
        <v>12.65</v>
      </c>
      <c r="Q858" s="1">
        <v>8.25</v>
      </c>
      <c r="R858" s="1">
        <v>6</v>
      </c>
      <c r="S858" s="3">
        <v>0.11782282927919785</v>
      </c>
      <c r="T858" s="3">
        <v>8.6223609471359763E-2</v>
      </c>
    </row>
    <row r="859" spans="1:20" x14ac:dyDescent="0.25">
      <c r="A859" t="s">
        <v>78</v>
      </c>
      <c r="B859" t="s">
        <v>79</v>
      </c>
      <c r="C859" t="s">
        <v>1252</v>
      </c>
      <c r="D859" t="s">
        <v>1253</v>
      </c>
      <c r="E859">
        <v>236.63</v>
      </c>
      <c r="F859">
        <v>243.01</v>
      </c>
      <c r="G859">
        <v>251.7</v>
      </c>
      <c r="H859">
        <v>231.59</v>
      </c>
      <c r="I859" s="1">
        <v>247.77</v>
      </c>
      <c r="J859">
        <v>2203233556.4899998</v>
      </c>
      <c r="K859">
        <v>9062413</v>
      </c>
      <c r="L859" t="s">
        <v>78</v>
      </c>
      <c r="M859" t="s">
        <v>17</v>
      </c>
      <c r="N859">
        <v>73979</v>
      </c>
      <c r="O859">
        <v>257.95</v>
      </c>
      <c r="P859">
        <v>154.69999999999999</v>
      </c>
      <c r="Q859" s="1">
        <v>117.05</v>
      </c>
      <c r="R859" s="1">
        <v>126</v>
      </c>
      <c r="S859" s="3">
        <v>6.4485561782065659E-2</v>
      </c>
      <c r="T859" s="3">
        <v>3.436988346842873E-2</v>
      </c>
    </row>
    <row r="860" spans="1:20" x14ac:dyDescent="0.25">
      <c r="A860" t="s">
        <v>78</v>
      </c>
      <c r="B860" t="s">
        <v>79</v>
      </c>
      <c r="C860" t="s">
        <v>224</v>
      </c>
      <c r="D860" t="s">
        <v>225</v>
      </c>
      <c r="E860">
        <v>358.2</v>
      </c>
      <c r="F860">
        <v>358.75</v>
      </c>
      <c r="G860">
        <v>365</v>
      </c>
      <c r="H860">
        <v>354.7</v>
      </c>
      <c r="I860" s="1">
        <v>357.65</v>
      </c>
      <c r="J860">
        <v>3737960899.9000001</v>
      </c>
      <c r="K860">
        <v>10408667</v>
      </c>
      <c r="L860" t="s">
        <v>78</v>
      </c>
      <c r="M860" t="s">
        <v>17</v>
      </c>
      <c r="N860">
        <v>84838</v>
      </c>
      <c r="O860">
        <v>594.79999999999995</v>
      </c>
      <c r="P860">
        <v>239.2</v>
      </c>
      <c r="Q860" s="1">
        <v>268.35000000000002</v>
      </c>
      <c r="R860" s="1">
        <v>289.05</v>
      </c>
      <c r="S860" s="3">
        <v>2.4227390493574141E-2</v>
      </c>
      <c r="T860" s="3">
        <v>1.069875407018972E-2</v>
      </c>
    </row>
    <row r="861" spans="1:20" x14ac:dyDescent="0.25">
      <c r="A861" t="s">
        <v>78</v>
      </c>
      <c r="B861" t="s">
        <v>79</v>
      </c>
      <c r="C861" t="s">
        <v>5982</v>
      </c>
      <c r="D861" t="s">
        <v>5981</v>
      </c>
      <c r="E861">
        <v>446.5</v>
      </c>
      <c r="F861">
        <v>448</v>
      </c>
      <c r="G861">
        <v>451.7</v>
      </c>
      <c r="H861">
        <v>430</v>
      </c>
      <c r="I861" s="1">
        <v>433.75</v>
      </c>
      <c r="J861">
        <v>218226948.5</v>
      </c>
      <c r="K861">
        <v>500099</v>
      </c>
      <c r="L861" t="s">
        <v>78</v>
      </c>
      <c r="M861" t="s">
        <v>17</v>
      </c>
      <c r="N861">
        <v>9908</v>
      </c>
      <c r="O861">
        <v>664.1</v>
      </c>
      <c r="P861">
        <v>315</v>
      </c>
      <c r="Q861" s="1" t="str">
        <v/>
      </c>
      <c r="R861" s="1" t="str">
        <v/>
      </c>
      <c r="S861" s="3">
        <v>0</v>
      </c>
      <c r="T861" s="3">
        <v>0</v>
      </c>
    </row>
    <row r="862" spans="1:20" x14ac:dyDescent="0.25">
      <c r="A862" t="s">
        <v>78</v>
      </c>
      <c r="B862" t="s">
        <v>79</v>
      </c>
      <c r="C862" t="s">
        <v>226</v>
      </c>
      <c r="D862" t="s">
        <v>227</v>
      </c>
      <c r="E862">
        <v>662.1</v>
      </c>
      <c r="F862">
        <v>667</v>
      </c>
      <c r="G862">
        <v>669.5</v>
      </c>
      <c r="H862">
        <v>646</v>
      </c>
      <c r="I862" s="1">
        <v>647.9</v>
      </c>
      <c r="J862">
        <v>390566428.25</v>
      </c>
      <c r="K862">
        <v>597374</v>
      </c>
      <c r="L862" t="s">
        <v>78</v>
      </c>
      <c r="M862" t="s">
        <v>17</v>
      </c>
      <c r="N862">
        <v>25411</v>
      </c>
      <c r="O862">
        <v>807.7</v>
      </c>
      <c r="P862">
        <v>284.60000000000002</v>
      </c>
      <c r="Q862" s="1">
        <v>337.8</v>
      </c>
      <c r="R862" s="1">
        <v>217.55</v>
      </c>
      <c r="S862" s="3">
        <v>5.5773348266132006E-2</v>
      </c>
      <c r="T862" s="3">
        <v>5.6049965784569222E-2</v>
      </c>
    </row>
    <row r="863" spans="1:20" x14ac:dyDescent="0.25">
      <c r="A863" t="s">
        <v>78</v>
      </c>
      <c r="B863" t="s">
        <v>79</v>
      </c>
      <c r="C863" t="s">
        <v>1254</v>
      </c>
      <c r="D863" t="s">
        <v>1255</v>
      </c>
      <c r="E863">
        <v>720.3</v>
      </c>
      <c r="F863">
        <v>723.95</v>
      </c>
      <c r="G863">
        <v>748</v>
      </c>
      <c r="H863">
        <v>709.5</v>
      </c>
      <c r="I863" s="1">
        <v>731.05</v>
      </c>
      <c r="J863">
        <v>14426520.9</v>
      </c>
      <c r="K863">
        <v>19905</v>
      </c>
      <c r="L863" t="s">
        <v>78</v>
      </c>
      <c r="M863" t="s">
        <v>17</v>
      </c>
      <c r="N863">
        <v>1505</v>
      </c>
      <c r="O863">
        <v>824</v>
      </c>
      <c r="P863">
        <v>540</v>
      </c>
      <c r="Q863" s="1">
        <v>161.94999999999999</v>
      </c>
      <c r="R863" s="1">
        <v>118.5</v>
      </c>
      <c r="S863" s="3">
        <v>0.13382799919178523</v>
      </c>
      <c r="T863" s="3">
        <v>9.519082874646756E-2</v>
      </c>
    </row>
    <row r="864" spans="1:20" x14ac:dyDescent="0.25">
      <c r="A864" t="s">
        <v>78</v>
      </c>
      <c r="B864" t="s">
        <v>79</v>
      </c>
      <c r="C864" t="s">
        <v>1256</v>
      </c>
      <c r="D864" t="s">
        <v>1257</v>
      </c>
      <c r="E864">
        <v>205.23</v>
      </c>
      <c r="F864">
        <v>206</v>
      </c>
      <c r="G864">
        <v>208.19</v>
      </c>
      <c r="H864">
        <v>201.32</v>
      </c>
      <c r="I864" s="1">
        <v>204</v>
      </c>
      <c r="J864">
        <v>1879327.55</v>
      </c>
      <c r="K864">
        <v>9159</v>
      </c>
      <c r="L864" t="s">
        <v>78</v>
      </c>
      <c r="M864" t="s">
        <v>17</v>
      </c>
      <c r="N864">
        <v>327</v>
      </c>
      <c r="O864">
        <v>229.9</v>
      </c>
      <c r="P864">
        <v>170.25</v>
      </c>
      <c r="Q864" s="1">
        <v>134.69999999999999</v>
      </c>
      <c r="R864" s="1">
        <v>40.1</v>
      </c>
      <c r="S864" s="3">
        <v>3.5194321361612602E-2</v>
      </c>
      <c r="T864" s="3">
        <v>8.4688272287795741E-2</v>
      </c>
    </row>
    <row r="865" spans="1:20" x14ac:dyDescent="0.25">
      <c r="A865" t="s">
        <v>78</v>
      </c>
      <c r="B865" t="s">
        <v>79</v>
      </c>
      <c r="C865" t="s">
        <v>1258</v>
      </c>
      <c r="D865" t="s">
        <v>1259</v>
      </c>
      <c r="E865">
        <v>148.77000000000001</v>
      </c>
      <c r="F865">
        <v>149</v>
      </c>
      <c r="G865">
        <v>159.07</v>
      </c>
      <c r="H865">
        <v>144.19999999999999</v>
      </c>
      <c r="I865" s="1">
        <v>150.94999999999999</v>
      </c>
      <c r="J865">
        <v>990636774.40999997</v>
      </c>
      <c r="K865">
        <v>6440428</v>
      </c>
      <c r="L865" t="s">
        <v>78</v>
      </c>
      <c r="M865" t="s">
        <v>17</v>
      </c>
      <c r="N865">
        <v>56851</v>
      </c>
      <c r="O865">
        <v>170</v>
      </c>
      <c r="P865">
        <v>73.849999999999994</v>
      </c>
      <c r="Q865" s="1">
        <v>516.54999999999995</v>
      </c>
      <c r="R865" s="1">
        <v>221</v>
      </c>
      <c r="S865" s="3">
        <v>-9.7438655579991651E-2</v>
      </c>
      <c r="T865" s="3">
        <v>-1.886995428915561E-2</v>
      </c>
    </row>
    <row r="866" spans="1:20" x14ac:dyDescent="0.25">
      <c r="A866" t="s">
        <v>78</v>
      </c>
      <c r="B866" t="s">
        <v>79</v>
      </c>
      <c r="C866" t="s">
        <v>1260</v>
      </c>
      <c r="D866" t="s">
        <v>1261</v>
      </c>
      <c r="E866">
        <v>248.96</v>
      </c>
      <c r="F866">
        <v>252</v>
      </c>
      <c r="G866">
        <v>252</v>
      </c>
      <c r="H866">
        <v>241</v>
      </c>
      <c r="I866" s="1">
        <v>244.89</v>
      </c>
      <c r="J866">
        <v>5485241.25</v>
      </c>
      <c r="K866">
        <v>22466</v>
      </c>
      <c r="L866" t="s">
        <v>78</v>
      </c>
      <c r="M866" t="s">
        <v>17</v>
      </c>
      <c r="N866">
        <v>1060</v>
      </c>
      <c r="O866">
        <v>309</v>
      </c>
      <c r="P866">
        <v>179.9</v>
      </c>
      <c r="Q866" s="1">
        <v>231.3</v>
      </c>
      <c r="R866" s="1">
        <v>72.599999999999994</v>
      </c>
      <c r="S866" s="3">
        <v>4.7691330275319022E-3</v>
      </c>
      <c r="T866" s="3">
        <v>6.2642699125169843E-2</v>
      </c>
    </row>
    <row r="867" spans="1:20" x14ac:dyDescent="0.25">
      <c r="A867" t="s">
        <v>78</v>
      </c>
      <c r="B867" t="s">
        <v>79</v>
      </c>
      <c r="C867" t="s">
        <v>1264</v>
      </c>
      <c r="D867" t="s">
        <v>1265</v>
      </c>
      <c r="E867">
        <v>452.8</v>
      </c>
      <c r="F867">
        <v>450</v>
      </c>
      <c r="G867">
        <v>455</v>
      </c>
      <c r="H867">
        <v>441.5</v>
      </c>
      <c r="I867" s="1">
        <v>443.65</v>
      </c>
      <c r="J867">
        <v>41005676.450000003</v>
      </c>
      <c r="K867">
        <v>91726</v>
      </c>
      <c r="L867" t="s">
        <v>78</v>
      </c>
      <c r="M867" t="s">
        <v>17</v>
      </c>
      <c r="N867">
        <v>7452</v>
      </c>
      <c r="O867">
        <v>685</v>
      </c>
      <c r="P867">
        <v>400</v>
      </c>
      <c r="Q867" s="1">
        <v>3431.05</v>
      </c>
      <c r="R867" s="1" t="str">
        <v/>
      </c>
      <c r="S867" s="3">
        <v>-0.15672779356191047</v>
      </c>
      <c r="T867" s="3">
        <v>0</v>
      </c>
    </row>
    <row r="868" spans="1:20" x14ac:dyDescent="0.25">
      <c r="A868" t="s">
        <v>78</v>
      </c>
      <c r="B868" t="s">
        <v>79</v>
      </c>
      <c r="C868" t="s">
        <v>1266</v>
      </c>
      <c r="D868" t="s">
        <v>1267</v>
      </c>
      <c r="E868">
        <v>22.82</v>
      </c>
      <c r="F868">
        <v>22.82</v>
      </c>
      <c r="G868">
        <v>23.44</v>
      </c>
      <c r="H868">
        <v>22.64</v>
      </c>
      <c r="I868" s="1">
        <v>22.79</v>
      </c>
      <c r="J868">
        <v>14701553.4</v>
      </c>
      <c r="K868">
        <v>640869</v>
      </c>
      <c r="L868" t="s">
        <v>78</v>
      </c>
      <c r="M868" t="s">
        <v>17</v>
      </c>
      <c r="N868">
        <v>2543</v>
      </c>
      <c r="O868">
        <v>42</v>
      </c>
      <c r="P868">
        <v>13.3</v>
      </c>
      <c r="Q868" s="1">
        <v>10</v>
      </c>
      <c r="R868" s="1" t="str">
        <v/>
      </c>
      <c r="S868" s="3">
        <v>7.1055626745902156E-2</v>
      </c>
      <c r="T868" s="3">
        <v>0</v>
      </c>
    </row>
    <row r="869" spans="1:20" x14ac:dyDescent="0.25">
      <c r="A869" t="s">
        <v>78</v>
      </c>
      <c r="B869" t="s">
        <v>79</v>
      </c>
      <c r="C869" t="s">
        <v>5980</v>
      </c>
      <c r="D869" t="s">
        <v>5979</v>
      </c>
      <c r="E869">
        <v>53.69</v>
      </c>
      <c r="F869">
        <v>54</v>
      </c>
      <c r="G869">
        <v>54.16</v>
      </c>
      <c r="H869">
        <v>52</v>
      </c>
      <c r="I869" s="1">
        <v>52.47</v>
      </c>
      <c r="J869">
        <v>21218097.539999999</v>
      </c>
      <c r="K869">
        <v>401675</v>
      </c>
      <c r="L869" t="s">
        <v>78</v>
      </c>
      <c r="M869" t="s">
        <v>17</v>
      </c>
      <c r="N869">
        <v>4251</v>
      </c>
      <c r="O869">
        <v>839.9</v>
      </c>
      <c r="P869">
        <v>48.1</v>
      </c>
      <c r="Q869" s="1" t="str">
        <v/>
      </c>
      <c r="R869" s="1" t="str">
        <v/>
      </c>
      <c r="S869" s="3">
        <v>0</v>
      </c>
      <c r="T869" s="3">
        <v>0</v>
      </c>
    </row>
    <row r="870" spans="1:20" x14ac:dyDescent="0.25">
      <c r="A870" t="s">
        <v>78</v>
      </c>
      <c r="B870" t="s">
        <v>79</v>
      </c>
      <c r="C870" t="s">
        <v>1268</v>
      </c>
      <c r="D870" t="s">
        <v>1269</v>
      </c>
      <c r="E870">
        <v>98.85</v>
      </c>
      <c r="F870">
        <v>98.85</v>
      </c>
      <c r="G870">
        <v>102.25</v>
      </c>
      <c r="H870">
        <v>98.35</v>
      </c>
      <c r="I870" s="1">
        <v>99.42</v>
      </c>
      <c r="J870">
        <v>11569607.199999999</v>
      </c>
      <c r="K870">
        <v>115017</v>
      </c>
      <c r="L870" t="s">
        <v>78</v>
      </c>
      <c r="M870" t="s">
        <v>17</v>
      </c>
      <c r="N870">
        <v>2567</v>
      </c>
      <c r="O870">
        <v>127.95</v>
      </c>
      <c r="P870">
        <v>72.75</v>
      </c>
      <c r="Q870" s="1">
        <v>90</v>
      </c>
      <c r="R870" s="1">
        <v>81</v>
      </c>
      <c r="S870" s="3">
        <v>8.3298038837815724E-3</v>
      </c>
      <c r="T870" s="3">
        <v>1.0292200625554138E-2</v>
      </c>
    </row>
    <row r="871" spans="1:20" x14ac:dyDescent="0.25">
      <c r="A871" t="s">
        <v>78</v>
      </c>
      <c r="B871" t="s">
        <v>79</v>
      </c>
      <c r="C871" t="s">
        <v>3172</v>
      </c>
      <c r="D871" t="s">
        <v>3173</v>
      </c>
      <c r="E871">
        <v>567.85</v>
      </c>
      <c r="F871">
        <v>574</v>
      </c>
      <c r="G871">
        <v>589</v>
      </c>
      <c r="H871">
        <v>565.04999999999995</v>
      </c>
      <c r="I871" s="1">
        <v>583.35</v>
      </c>
      <c r="J871">
        <v>340509847.64999998</v>
      </c>
      <c r="K871">
        <v>589382</v>
      </c>
      <c r="L871" t="s">
        <v>78</v>
      </c>
      <c r="M871" t="s">
        <v>17</v>
      </c>
      <c r="N871">
        <v>39493</v>
      </c>
      <c r="O871">
        <v>629.95000000000005</v>
      </c>
      <c r="P871">
        <v>467</v>
      </c>
      <c r="Q871" s="1">
        <v>1975</v>
      </c>
      <c r="R871" s="1" t="str">
        <v/>
      </c>
      <c r="S871" s="3">
        <v>-9.6634483544644212E-2</v>
      </c>
      <c r="T871" s="3">
        <v>0</v>
      </c>
    </row>
    <row r="872" spans="1:20" x14ac:dyDescent="0.25">
      <c r="A872" t="s">
        <v>78</v>
      </c>
      <c r="B872" t="s">
        <v>287</v>
      </c>
      <c r="C872" t="s">
        <v>5978</v>
      </c>
      <c r="D872" t="s">
        <v>5977</v>
      </c>
      <c r="E872">
        <v>160.1</v>
      </c>
      <c r="F872">
        <v>154</v>
      </c>
      <c r="G872">
        <v>156.80000000000001</v>
      </c>
      <c r="H872">
        <v>152.05000000000001</v>
      </c>
      <c r="I872" s="1">
        <v>152.05000000000001</v>
      </c>
      <c r="J872">
        <v>7447500</v>
      </c>
      <c r="K872">
        <v>48000</v>
      </c>
      <c r="L872" t="s">
        <v>78</v>
      </c>
      <c r="M872" t="s">
        <v>17</v>
      </c>
      <c r="N872">
        <v>16</v>
      </c>
      <c r="O872">
        <v>213.8</v>
      </c>
      <c r="P872">
        <v>125.4</v>
      </c>
      <c r="Q872" s="1" t="str">
        <v/>
      </c>
      <c r="R872" s="1" t="str">
        <v/>
      </c>
      <c r="S872" s="3">
        <v>0</v>
      </c>
      <c r="T872" s="3">
        <v>0</v>
      </c>
    </row>
    <row r="873" spans="1:20" x14ac:dyDescent="0.25">
      <c r="A873" t="s">
        <v>78</v>
      </c>
      <c r="B873" t="s">
        <v>287</v>
      </c>
      <c r="C873" t="s">
        <v>5976</v>
      </c>
      <c r="D873" t="s">
        <v>5975</v>
      </c>
      <c r="E873">
        <v>109</v>
      </c>
      <c r="F873">
        <v>109</v>
      </c>
      <c r="G873">
        <v>111.95</v>
      </c>
      <c r="H873">
        <v>109</v>
      </c>
      <c r="I873" s="1">
        <v>109.5</v>
      </c>
      <c r="J873">
        <v>659175</v>
      </c>
      <c r="K873">
        <v>6000</v>
      </c>
      <c r="L873" t="s">
        <v>78</v>
      </c>
      <c r="M873" t="s">
        <v>17</v>
      </c>
      <c r="N873">
        <v>4</v>
      </c>
      <c r="O873">
        <v>153.05000000000001</v>
      </c>
      <c r="P873">
        <v>65</v>
      </c>
      <c r="Q873" s="1" t="str">
        <v/>
      </c>
      <c r="R873" s="1" t="str">
        <v/>
      </c>
      <c r="S873" s="3">
        <v>0</v>
      </c>
      <c r="T873" s="3">
        <v>0</v>
      </c>
    </row>
    <row r="874" spans="1:20" x14ac:dyDescent="0.25">
      <c r="A874" t="s">
        <v>78</v>
      </c>
      <c r="B874" t="s">
        <v>79</v>
      </c>
      <c r="C874" t="s">
        <v>1270</v>
      </c>
      <c r="D874" t="s">
        <v>1271</v>
      </c>
      <c r="E874">
        <v>1074.45</v>
      </c>
      <c r="F874">
        <v>1081.55</v>
      </c>
      <c r="G874">
        <v>1109.9000000000001</v>
      </c>
      <c r="H874">
        <v>1076</v>
      </c>
      <c r="I874" s="1">
        <v>1099.45</v>
      </c>
      <c r="J874">
        <v>332234834.14999998</v>
      </c>
      <c r="K874">
        <v>302204</v>
      </c>
      <c r="L874" t="s">
        <v>78</v>
      </c>
      <c r="M874" t="s">
        <v>17</v>
      </c>
      <c r="N874">
        <v>25813</v>
      </c>
      <c r="O874">
        <v>1195</v>
      </c>
      <c r="P874">
        <v>776.65</v>
      </c>
      <c r="Q874" s="1">
        <v>551.79999999999995</v>
      </c>
      <c r="R874" s="1" t="str">
        <v/>
      </c>
      <c r="S874" s="3">
        <v>5.9130518543151211E-2</v>
      </c>
      <c r="T874" s="3">
        <v>0</v>
      </c>
    </row>
    <row r="875" spans="1:20" x14ac:dyDescent="0.25">
      <c r="A875" t="s">
        <v>78</v>
      </c>
      <c r="B875" t="s">
        <v>287</v>
      </c>
      <c r="C875" t="s">
        <v>5974</v>
      </c>
      <c r="D875" t="s">
        <v>5973</v>
      </c>
      <c r="E875">
        <v>646</v>
      </c>
      <c r="F875">
        <v>657</v>
      </c>
      <c r="G875">
        <v>678.25</v>
      </c>
      <c r="H875">
        <v>657</v>
      </c>
      <c r="I875" s="1">
        <v>675</v>
      </c>
      <c r="J875">
        <v>1206345</v>
      </c>
      <c r="K875">
        <v>1800</v>
      </c>
      <c r="L875" t="s">
        <v>78</v>
      </c>
      <c r="M875" t="s">
        <v>17</v>
      </c>
      <c r="N875">
        <v>6</v>
      </c>
      <c r="O875">
        <v>979.3</v>
      </c>
      <c r="P875">
        <v>344.8</v>
      </c>
      <c r="Q875" s="1" t="str">
        <v/>
      </c>
      <c r="R875" s="1" t="str">
        <v/>
      </c>
      <c r="S875" s="3">
        <v>0</v>
      </c>
      <c r="T875" s="3">
        <v>0</v>
      </c>
    </row>
    <row r="876" spans="1:20" x14ac:dyDescent="0.25">
      <c r="A876" t="s">
        <v>78</v>
      </c>
      <c r="B876" t="s">
        <v>79</v>
      </c>
      <c r="C876" t="s">
        <v>5972</v>
      </c>
      <c r="D876" t="s">
        <v>5971</v>
      </c>
      <c r="E876">
        <v>483.85</v>
      </c>
      <c r="F876">
        <v>479</v>
      </c>
      <c r="G876">
        <v>485.3</v>
      </c>
      <c r="H876">
        <v>470</v>
      </c>
      <c r="I876" s="1">
        <v>483.2</v>
      </c>
      <c r="J876">
        <v>142226770.59999999</v>
      </c>
      <c r="K876">
        <v>296548</v>
      </c>
      <c r="L876" t="s">
        <v>78</v>
      </c>
      <c r="M876" t="s">
        <v>17</v>
      </c>
      <c r="N876">
        <v>19444</v>
      </c>
      <c r="O876">
        <v>511</v>
      </c>
      <c r="P876">
        <v>256.3</v>
      </c>
      <c r="Q876" s="1" t="str">
        <v/>
      </c>
      <c r="R876" s="1" t="str">
        <v/>
      </c>
      <c r="S876" s="3">
        <v>0</v>
      </c>
      <c r="T876" s="3">
        <v>0</v>
      </c>
    </row>
    <row r="877" spans="1:20" x14ac:dyDescent="0.25">
      <c r="A877" t="s">
        <v>78</v>
      </c>
      <c r="B877" t="s">
        <v>79</v>
      </c>
      <c r="C877" t="s">
        <v>1272</v>
      </c>
      <c r="D877" t="s">
        <v>1273</v>
      </c>
      <c r="E877">
        <v>56246.35</v>
      </c>
      <c r="F877">
        <v>56246.35</v>
      </c>
      <c r="G877">
        <v>56650</v>
      </c>
      <c r="H877">
        <v>54812</v>
      </c>
      <c r="I877" s="1">
        <v>55042.55</v>
      </c>
      <c r="J877">
        <v>232548060</v>
      </c>
      <c r="K877">
        <v>4186</v>
      </c>
      <c r="L877" t="s">
        <v>78</v>
      </c>
      <c r="M877" t="s">
        <v>17</v>
      </c>
      <c r="N877">
        <v>2283</v>
      </c>
      <c r="O877">
        <v>59994</v>
      </c>
      <c r="P877">
        <v>34977.699999999997</v>
      </c>
      <c r="Q877" s="1">
        <v>43133</v>
      </c>
      <c r="R877" s="1">
        <v>22357.05</v>
      </c>
      <c r="S877" s="3">
        <v>2.052599908982522E-2</v>
      </c>
      <c r="T877" s="3">
        <v>4.6052515386746373E-2</v>
      </c>
    </row>
    <row r="878" spans="1:20" x14ac:dyDescent="0.25">
      <c r="A878" t="s">
        <v>78</v>
      </c>
      <c r="B878" t="s">
        <v>79</v>
      </c>
      <c r="C878" t="s">
        <v>1274</v>
      </c>
      <c r="D878" t="s">
        <v>1275</v>
      </c>
      <c r="E878">
        <v>4098.7</v>
      </c>
      <c r="F878">
        <v>4120</v>
      </c>
      <c r="G878">
        <v>4204.55</v>
      </c>
      <c r="H878">
        <v>4007.5</v>
      </c>
      <c r="I878" s="1">
        <v>4072.2</v>
      </c>
      <c r="J878">
        <v>134824670.19999999</v>
      </c>
      <c r="K878">
        <v>32374</v>
      </c>
      <c r="L878" t="s">
        <v>78</v>
      </c>
      <c r="M878" t="s">
        <v>17</v>
      </c>
      <c r="N878">
        <v>3166</v>
      </c>
      <c r="O878">
        <v>4245</v>
      </c>
      <c r="P878">
        <v>2105.1</v>
      </c>
      <c r="Q878" s="1">
        <v>1211.0999999999999</v>
      </c>
      <c r="R878" s="1">
        <v>851.05</v>
      </c>
      <c r="S878" s="3">
        <v>0.10633696834258832</v>
      </c>
      <c r="T878" s="3">
        <v>8.1371911624974258E-2</v>
      </c>
    </row>
    <row r="879" spans="1:20" x14ac:dyDescent="0.25">
      <c r="A879" t="s">
        <v>78</v>
      </c>
      <c r="B879" t="s">
        <v>79</v>
      </c>
      <c r="C879" t="s">
        <v>1276</v>
      </c>
      <c r="D879" t="s">
        <v>1277</v>
      </c>
      <c r="E879">
        <v>69.64</v>
      </c>
      <c r="F879">
        <v>73</v>
      </c>
      <c r="G879">
        <v>73</v>
      </c>
      <c r="H879">
        <v>70.2</v>
      </c>
      <c r="I879" s="1">
        <v>71.099999999999994</v>
      </c>
      <c r="J879">
        <v>4316327.63</v>
      </c>
      <c r="K879">
        <v>60025</v>
      </c>
      <c r="L879" t="s">
        <v>78</v>
      </c>
      <c r="M879" t="s">
        <v>17</v>
      </c>
      <c r="N879">
        <v>543</v>
      </c>
      <c r="O879">
        <v>97.4</v>
      </c>
      <c r="P879">
        <v>50.05</v>
      </c>
      <c r="Q879" s="1">
        <v>68</v>
      </c>
      <c r="R879" s="1">
        <v>59.05</v>
      </c>
      <c r="S879" s="3">
        <v>3.7218783542063427E-3</v>
      </c>
      <c r="T879" s="3">
        <v>9.3232479632512355E-3</v>
      </c>
    </row>
    <row r="880" spans="1:20" x14ac:dyDescent="0.25">
      <c r="A880" t="s">
        <v>78</v>
      </c>
      <c r="B880" t="s">
        <v>79</v>
      </c>
      <c r="C880" t="s">
        <v>5970</v>
      </c>
      <c r="D880" t="s">
        <v>5969</v>
      </c>
      <c r="E880">
        <v>99.22</v>
      </c>
      <c r="F880">
        <v>99.65</v>
      </c>
      <c r="G880">
        <v>99.89</v>
      </c>
      <c r="H880">
        <v>97.42</v>
      </c>
      <c r="I880" s="1">
        <v>98.46</v>
      </c>
      <c r="J880">
        <v>24599951.329999998</v>
      </c>
      <c r="K880">
        <v>249949</v>
      </c>
      <c r="L880" t="s">
        <v>78</v>
      </c>
      <c r="M880" t="s">
        <v>17</v>
      </c>
      <c r="N880">
        <v>5832</v>
      </c>
      <c r="O880">
        <v>546.5</v>
      </c>
      <c r="P880">
        <v>87.5</v>
      </c>
      <c r="Q880" s="1" t="str">
        <v/>
      </c>
      <c r="R880" s="1" t="str">
        <v/>
      </c>
      <c r="S880" s="3">
        <v>0</v>
      </c>
      <c r="T880" s="3">
        <v>0</v>
      </c>
    </row>
    <row r="881" spans="1:20" x14ac:dyDescent="0.25">
      <c r="A881" t="s">
        <v>78</v>
      </c>
      <c r="B881" t="s">
        <v>79</v>
      </c>
      <c r="C881" t="s">
        <v>5968</v>
      </c>
      <c r="D881" t="s">
        <v>5967</v>
      </c>
      <c r="E881">
        <v>165.45</v>
      </c>
      <c r="F881">
        <v>181</v>
      </c>
      <c r="G881">
        <v>181.5</v>
      </c>
      <c r="H881">
        <v>164.67</v>
      </c>
      <c r="I881" s="1">
        <v>167.52</v>
      </c>
      <c r="J881">
        <v>3741494</v>
      </c>
      <c r="K881">
        <v>21307</v>
      </c>
      <c r="L881" t="s">
        <v>78</v>
      </c>
      <c r="M881" t="s">
        <v>17</v>
      </c>
      <c r="N881">
        <v>1015</v>
      </c>
      <c r="O881">
        <v>210.6</v>
      </c>
      <c r="P881">
        <v>97.1</v>
      </c>
      <c r="Q881" s="1" t="str">
        <v/>
      </c>
      <c r="R881" s="1" t="str">
        <v/>
      </c>
      <c r="S881" s="3">
        <v>0</v>
      </c>
      <c r="T881" s="3">
        <v>0</v>
      </c>
    </row>
    <row r="882" spans="1:20" x14ac:dyDescent="0.25">
      <c r="A882" t="s">
        <v>78</v>
      </c>
      <c r="B882" t="s">
        <v>79</v>
      </c>
      <c r="C882" t="s">
        <v>1278</v>
      </c>
      <c r="D882" t="s">
        <v>1279</v>
      </c>
      <c r="E882">
        <v>598.29999999999995</v>
      </c>
      <c r="F882">
        <v>597.85</v>
      </c>
      <c r="G882">
        <v>603.79999999999995</v>
      </c>
      <c r="H882">
        <v>568</v>
      </c>
      <c r="I882" s="1">
        <v>575.65</v>
      </c>
      <c r="J882">
        <v>327880382.14999998</v>
      </c>
      <c r="K882">
        <v>563853</v>
      </c>
      <c r="L882" t="s">
        <v>78</v>
      </c>
      <c r="M882" t="s">
        <v>17</v>
      </c>
      <c r="N882">
        <v>17224</v>
      </c>
      <c r="O882">
        <v>667.8</v>
      </c>
      <c r="P882">
        <v>179</v>
      </c>
      <c r="Q882" s="1">
        <v>76.8</v>
      </c>
      <c r="R882" s="1">
        <v>48.9</v>
      </c>
      <c r="S882" s="3">
        <v>0.18276856642462214</v>
      </c>
      <c r="T882" s="3">
        <v>0.13113166494628903</v>
      </c>
    </row>
    <row r="883" spans="1:20" x14ac:dyDescent="0.25">
      <c r="A883" t="s">
        <v>78</v>
      </c>
      <c r="B883" t="s">
        <v>287</v>
      </c>
      <c r="C883" t="s">
        <v>5966</v>
      </c>
      <c r="D883" t="s">
        <v>5965</v>
      </c>
      <c r="E883">
        <v>47.5</v>
      </c>
      <c r="F883">
        <v>49.5</v>
      </c>
      <c r="G883">
        <v>49.5</v>
      </c>
      <c r="H883">
        <v>46.5</v>
      </c>
      <c r="I883" s="1">
        <v>47.3</v>
      </c>
      <c r="J883">
        <v>3452250</v>
      </c>
      <c r="K883">
        <v>72000</v>
      </c>
      <c r="L883" t="s">
        <v>78</v>
      </c>
      <c r="M883" t="s">
        <v>17</v>
      </c>
      <c r="N883">
        <v>18</v>
      </c>
      <c r="O883">
        <v>57.55</v>
      </c>
      <c r="P883">
        <v>26.8</v>
      </c>
      <c r="Q883" s="1" t="str">
        <v/>
      </c>
      <c r="R883" s="1" t="str">
        <v/>
      </c>
      <c r="S883" s="3">
        <v>0</v>
      </c>
      <c r="T883" s="3">
        <v>0</v>
      </c>
    </row>
    <row r="884" spans="1:20" x14ac:dyDescent="0.25">
      <c r="A884" t="s">
        <v>78</v>
      </c>
      <c r="B884" t="s">
        <v>79</v>
      </c>
      <c r="C884" t="s">
        <v>1280</v>
      </c>
      <c r="D884" t="s">
        <v>1281</v>
      </c>
      <c r="E884">
        <v>432.5</v>
      </c>
      <c r="F884">
        <v>435.9</v>
      </c>
      <c r="G884">
        <v>435.9</v>
      </c>
      <c r="H884">
        <v>411.25</v>
      </c>
      <c r="I884" s="1">
        <v>414.35</v>
      </c>
      <c r="J884">
        <v>648520523.29999995</v>
      </c>
      <c r="K884">
        <v>1544079</v>
      </c>
      <c r="L884" t="s">
        <v>78</v>
      </c>
      <c r="M884" t="s">
        <v>17</v>
      </c>
      <c r="N884">
        <v>27725</v>
      </c>
      <c r="O884">
        <v>442.9</v>
      </c>
      <c r="P884">
        <v>133.5</v>
      </c>
      <c r="Q884" s="1">
        <v>53.15</v>
      </c>
      <c r="R884" s="1">
        <v>87.1</v>
      </c>
      <c r="S884" s="3">
        <v>0.18664825846054223</v>
      </c>
      <c r="T884" s="3">
        <v>8.1057793605010753E-2</v>
      </c>
    </row>
    <row r="885" spans="1:20" x14ac:dyDescent="0.25">
      <c r="A885" t="s">
        <v>78</v>
      </c>
      <c r="B885" t="s">
        <v>79</v>
      </c>
      <c r="C885" t="s">
        <v>1284</v>
      </c>
      <c r="D885" t="s">
        <v>1285</v>
      </c>
      <c r="E885">
        <v>27.7</v>
      </c>
      <c r="F885">
        <v>27.58</v>
      </c>
      <c r="G885">
        <v>29.16</v>
      </c>
      <c r="H885">
        <v>27.19</v>
      </c>
      <c r="I885" s="1">
        <v>28.1</v>
      </c>
      <c r="J885">
        <v>69444831.989999995</v>
      </c>
      <c r="K885">
        <v>2459415</v>
      </c>
      <c r="L885" t="s">
        <v>78</v>
      </c>
      <c r="M885" t="s">
        <v>17</v>
      </c>
      <c r="N885">
        <v>10442</v>
      </c>
      <c r="O885">
        <v>36.9</v>
      </c>
      <c r="P885">
        <v>20.55</v>
      </c>
      <c r="Q885" s="1">
        <v>26.15</v>
      </c>
      <c r="R885" s="1">
        <v>23.75</v>
      </c>
      <c r="S885" s="3">
        <v>6.0113616351902266E-3</v>
      </c>
      <c r="T885" s="3">
        <v>8.440165997654514E-3</v>
      </c>
    </row>
    <row r="886" spans="1:20" x14ac:dyDescent="0.25">
      <c r="A886" t="s">
        <v>78</v>
      </c>
      <c r="B886" t="s">
        <v>79</v>
      </c>
      <c r="C886" t="s">
        <v>1286</v>
      </c>
      <c r="D886" t="s">
        <v>1287</v>
      </c>
      <c r="E886">
        <v>335.3</v>
      </c>
      <c r="F886">
        <v>335.9</v>
      </c>
      <c r="G886">
        <v>336.7</v>
      </c>
      <c r="H886">
        <v>318</v>
      </c>
      <c r="I886" s="1">
        <v>322.45</v>
      </c>
      <c r="J886">
        <v>7090707617.1000004</v>
      </c>
      <c r="K886">
        <v>21811736</v>
      </c>
      <c r="L886" t="s">
        <v>78</v>
      </c>
      <c r="M886" t="s">
        <v>17</v>
      </c>
      <c r="N886">
        <v>161775</v>
      </c>
      <c r="O886">
        <v>353.7</v>
      </c>
      <c r="P886">
        <v>58.6</v>
      </c>
      <c r="Q886" s="1">
        <v>51.35</v>
      </c>
      <c r="R886" s="1">
        <v>35.950000000000003</v>
      </c>
      <c r="S886" s="3">
        <v>0.16544959274476856</v>
      </c>
      <c r="T886" s="3">
        <v>0.11586610409351161</v>
      </c>
    </row>
    <row r="887" spans="1:20" x14ac:dyDescent="0.25">
      <c r="A887" t="s">
        <v>78</v>
      </c>
      <c r="B887" t="s">
        <v>79</v>
      </c>
      <c r="C887" t="s">
        <v>1288</v>
      </c>
      <c r="D887" t="s">
        <v>1289</v>
      </c>
      <c r="E887">
        <v>382.95</v>
      </c>
      <c r="F887">
        <v>386.6</v>
      </c>
      <c r="G887">
        <v>392.9</v>
      </c>
      <c r="H887">
        <v>379</v>
      </c>
      <c r="I887" s="1">
        <v>382.6</v>
      </c>
      <c r="J887">
        <v>88357500.599999994</v>
      </c>
      <c r="K887">
        <v>228695</v>
      </c>
      <c r="L887" t="s">
        <v>78</v>
      </c>
      <c r="M887" t="s">
        <v>17</v>
      </c>
      <c r="N887">
        <v>10726</v>
      </c>
      <c r="O887">
        <v>407.2</v>
      </c>
      <c r="P887">
        <v>244.1</v>
      </c>
      <c r="Q887" s="1">
        <v>305.45</v>
      </c>
      <c r="R887" s="1" t="str">
        <v/>
      </c>
      <c r="S887" s="3">
        <v>1.8944203382392999E-2</v>
      </c>
      <c r="T887" s="3">
        <v>0</v>
      </c>
    </row>
    <row r="888" spans="1:20" x14ac:dyDescent="0.25">
      <c r="A888" t="s">
        <v>78</v>
      </c>
      <c r="B888" t="s">
        <v>79</v>
      </c>
      <c r="C888" t="s">
        <v>5964</v>
      </c>
      <c r="D888" t="s">
        <v>5963</v>
      </c>
      <c r="E888">
        <v>11.37</v>
      </c>
      <c r="F888">
        <v>11.41</v>
      </c>
      <c r="G888">
        <v>11.59</v>
      </c>
      <c r="H888">
        <v>11.25</v>
      </c>
      <c r="I888" s="1">
        <v>11.31</v>
      </c>
      <c r="J888">
        <v>228178.24</v>
      </c>
      <c r="K888">
        <v>20070</v>
      </c>
      <c r="L888" t="s">
        <v>78</v>
      </c>
      <c r="M888" t="s">
        <v>17</v>
      </c>
      <c r="N888">
        <v>103</v>
      </c>
      <c r="O888">
        <v>14.6</v>
      </c>
      <c r="P888">
        <v>7</v>
      </c>
      <c r="Q888" s="1" t="str">
        <v/>
      </c>
      <c r="R888" s="1" t="str">
        <v/>
      </c>
      <c r="S888" s="3">
        <v>0</v>
      </c>
      <c r="T888" s="3">
        <v>0</v>
      </c>
    </row>
    <row r="889" spans="1:20" x14ac:dyDescent="0.25">
      <c r="A889" t="s">
        <v>78</v>
      </c>
      <c r="B889" t="s">
        <v>287</v>
      </c>
      <c r="C889" t="s">
        <v>5962</v>
      </c>
      <c r="D889" t="s">
        <v>5961</v>
      </c>
      <c r="E889">
        <v>52.7</v>
      </c>
      <c r="F889">
        <v>52.9</v>
      </c>
      <c r="G889">
        <v>52.95</v>
      </c>
      <c r="H889">
        <v>52.35</v>
      </c>
      <c r="I889" s="1">
        <v>52.95</v>
      </c>
      <c r="J889">
        <v>1159800</v>
      </c>
      <c r="K889">
        <v>22000</v>
      </c>
      <c r="L889" t="s">
        <v>78</v>
      </c>
      <c r="M889" t="s">
        <v>17</v>
      </c>
      <c r="N889">
        <v>10</v>
      </c>
      <c r="O889">
        <v>74.849999999999994</v>
      </c>
      <c r="P889">
        <v>45.25</v>
      </c>
      <c r="Q889" s="1" t="str">
        <v/>
      </c>
      <c r="R889" s="1" t="str">
        <v/>
      </c>
      <c r="S889" s="3">
        <v>0</v>
      </c>
      <c r="T889" s="3">
        <v>0</v>
      </c>
    </row>
    <row r="890" spans="1:20" x14ac:dyDescent="0.25">
      <c r="A890" t="s">
        <v>78</v>
      </c>
      <c r="B890" t="s">
        <v>79</v>
      </c>
      <c r="C890" t="s">
        <v>1292</v>
      </c>
      <c r="D890" t="s">
        <v>1293</v>
      </c>
      <c r="E890">
        <v>167.93</v>
      </c>
      <c r="F890">
        <v>168.54</v>
      </c>
      <c r="G890">
        <v>174.25</v>
      </c>
      <c r="H890">
        <v>168.5</v>
      </c>
      <c r="I890" s="1">
        <v>169.33</v>
      </c>
      <c r="J890">
        <v>2623609316.6500001</v>
      </c>
      <c r="K890">
        <v>15340092</v>
      </c>
      <c r="L890" t="s">
        <v>78</v>
      </c>
      <c r="M890" t="s">
        <v>17</v>
      </c>
      <c r="N890">
        <v>57962</v>
      </c>
      <c r="O890">
        <v>234.8</v>
      </c>
      <c r="P890">
        <v>119.9</v>
      </c>
      <c r="Q890" s="1">
        <v>268.5</v>
      </c>
      <c r="R890" s="1">
        <v>631.5</v>
      </c>
      <c r="S890" s="3">
        <v>-3.7688221442818692E-2</v>
      </c>
      <c r="T890" s="3">
        <v>-6.3659776170639115E-2</v>
      </c>
    </row>
    <row r="891" spans="1:20" x14ac:dyDescent="0.25">
      <c r="A891" t="s">
        <v>78</v>
      </c>
      <c r="B891" t="s">
        <v>862</v>
      </c>
      <c r="C891" t="s">
        <v>5960</v>
      </c>
      <c r="D891" t="s">
        <v>5959</v>
      </c>
      <c r="E891">
        <v>69.05</v>
      </c>
      <c r="F891">
        <v>70</v>
      </c>
      <c r="G891">
        <v>72.3</v>
      </c>
      <c r="H891">
        <v>67.599999999999994</v>
      </c>
      <c r="I891" s="1">
        <v>69.95</v>
      </c>
      <c r="J891">
        <v>664726760.14999998</v>
      </c>
      <c r="K891">
        <v>9429322</v>
      </c>
      <c r="L891" t="s">
        <v>78</v>
      </c>
      <c r="M891" t="s">
        <v>17</v>
      </c>
      <c r="N891">
        <v>6765</v>
      </c>
      <c r="O891">
        <v>115.85</v>
      </c>
      <c r="P891">
        <v>53</v>
      </c>
      <c r="Q891" s="1" t="str">
        <v/>
      </c>
      <c r="R891" s="1" t="str">
        <v/>
      </c>
      <c r="S891" s="3">
        <v>0</v>
      </c>
      <c r="T891" s="3">
        <v>0</v>
      </c>
    </row>
    <row r="892" spans="1:20" x14ac:dyDescent="0.25">
      <c r="A892" t="s">
        <v>78</v>
      </c>
      <c r="B892" t="s">
        <v>79</v>
      </c>
      <c r="C892" t="s">
        <v>1294</v>
      </c>
      <c r="D892" t="s">
        <v>1295</v>
      </c>
      <c r="E892">
        <v>793.85</v>
      </c>
      <c r="F892">
        <v>799.9</v>
      </c>
      <c r="G892">
        <v>800</v>
      </c>
      <c r="H892">
        <v>770.5</v>
      </c>
      <c r="I892" s="1">
        <v>772.8</v>
      </c>
      <c r="J892">
        <v>22805949.199999999</v>
      </c>
      <c r="K892">
        <v>29218</v>
      </c>
      <c r="L892" t="s">
        <v>78</v>
      </c>
      <c r="M892" t="s">
        <v>17</v>
      </c>
      <c r="N892">
        <v>2761</v>
      </c>
      <c r="O892">
        <v>945.9</v>
      </c>
      <c r="P892">
        <v>405</v>
      </c>
      <c r="Q892" s="1">
        <v>83.55</v>
      </c>
      <c r="R892" s="1">
        <v>69.05</v>
      </c>
      <c r="S892" s="3">
        <v>0.20367725740817511</v>
      </c>
      <c r="T892" s="3">
        <v>0.12827885772302206</v>
      </c>
    </row>
    <row r="893" spans="1:20" x14ac:dyDescent="0.25">
      <c r="A893" t="s">
        <v>78</v>
      </c>
      <c r="B893" t="s">
        <v>79</v>
      </c>
      <c r="C893" t="s">
        <v>1296</v>
      </c>
      <c r="D893" t="s">
        <v>1297</v>
      </c>
      <c r="E893">
        <v>400.1</v>
      </c>
      <c r="F893">
        <v>402</v>
      </c>
      <c r="G893">
        <v>402.5</v>
      </c>
      <c r="H893">
        <v>387</v>
      </c>
      <c r="I893" s="1">
        <v>390.95</v>
      </c>
      <c r="J893">
        <v>307065666.35000002</v>
      </c>
      <c r="K893">
        <v>784556</v>
      </c>
      <c r="L893" t="s">
        <v>78</v>
      </c>
      <c r="M893" t="s">
        <v>17</v>
      </c>
      <c r="N893">
        <v>17261</v>
      </c>
      <c r="O893">
        <v>450.65</v>
      </c>
      <c r="P893">
        <v>200.1</v>
      </c>
      <c r="Q893" s="1">
        <v>197.7</v>
      </c>
      <c r="R893" s="1">
        <v>31.75</v>
      </c>
      <c r="S893" s="3">
        <v>5.8464294334686917E-2</v>
      </c>
      <c r="T893" s="3">
        <v>0.13367616890903</v>
      </c>
    </row>
    <row r="894" spans="1:20" x14ac:dyDescent="0.25">
      <c r="A894" t="s">
        <v>78</v>
      </c>
      <c r="B894" t="s">
        <v>79</v>
      </c>
      <c r="C894" t="s">
        <v>1298</v>
      </c>
      <c r="D894" t="s">
        <v>1299</v>
      </c>
      <c r="E894">
        <v>6049.4</v>
      </c>
      <c r="F894">
        <v>6000</v>
      </c>
      <c r="G894">
        <v>6203</v>
      </c>
      <c r="H894">
        <v>6000</v>
      </c>
      <c r="I894" s="1">
        <v>6099.8</v>
      </c>
      <c r="J894">
        <v>93330465.049999997</v>
      </c>
      <c r="K894">
        <v>15267</v>
      </c>
      <c r="L894" t="s">
        <v>78</v>
      </c>
      <c r="M894" t="s">
        <v>17</v>
      </c>
      <c r="N894">
        <v>4345</v>
      </c>
      <c r="O894">
        <v>6450</v>
      </c>
      <c r="P894">
        <v>4983.3999999999996</v>
      </c>
      <c r="Q894" s="1">
        <v>3575.05</v>
      </c>
      <c r="R894" s="1">
        <v>3230</v>
      </c>
      <c r="S894" s="3">
        <v>4.5529095193569402E-2</v>
      </c>
      <c r="T894" s="3">
        <v>3.2281378419767082E-2</v>
      </c>
    </row>
    <row r="895" spans="1:20" x14ac:dyDescent="0.25">
      <c r="A895" t="s">
        <v>78</v>
      </c>
      <c r="B895" t="s">
        <v>79</v>
      </c>
      <c r="C895" t="s">
        <v>1300</v>
      </c>
      <c r="D895" t="s">
        <v>1301</v>
      </c>
      <c r="E895">
        <v>87.88</v>
      </c>
      <c r="F895">
        <v>88.1</v>
      </c>
      <c r="G895">
        <v>94</v>
      </c>
      <c r="H895">
        <v>88.1</v>
      </c>
      <c r="I895" s="1">
        <v>92.2</v>
      </c>
      <c r="J895">
        <v>6829475966.9499998</v>
      </c>
      <c r="K895">
        <v>73877939</v>
      </c>
      <c r="L895" t="s">
        <v>78</v>
      </c>
      <c r="M895" t="s">
        <v>17</v>
      </c>
      <c r="N895">
        <v>202538</v>
      </c>
      <c r="O895">
        <v>98.7</v>
      </c>
      <c r="P895">
        <v>56.55</v>
      </c>
      <c r="Q895" s="1">
        <v>37.5</v>
      </c>
      <c r="R895" s="1">
        <v>33.65</v>
      </c>
      <c r="S895" s="3">
        <v>7.7849946353476973E-2</v>
      </c>
      <c r="T895" s="3">
        <v>5.1659879792854024E-2</v>
      </c>
    </row>
    <row r="896" spans="1:20" x14ac:dyDescent="0.25">
      <c r="A896" t="s">
        <v>78</v>
      </c>
      <c r="B896" t="s">
        <v>79</v>
      </c>
      <c r="C896" t="s">
        <v>1302</v>
      </c>
      <c r="D896" t="s">
        <v>1303</v>
      </c>
      <c r="E896">
        <v>16.8</v>
      </c>
      <c r="F896">
        <v>16.690000000000001</v>
      </c>
      <c r="G896">
        <v>16.690000000000001</v>
      </c>
      <c r="H896">
        <v>15.91</v>
      </c>
      <c r="I896" s="1">
        <v>16.27</v>
      </c>
      <c r="J896">
        <v>11035194221.67</v>
      </c>
      <c r="K896">
        <v>679246298</v>
      </c>
      <c r="L896" t="s">
        <v>78</v>
      </c>
      <c r="M896" t="s">
        <v>17</v>
      </c>
      <c r="N896">
        <v>373728</v>
      </c>
      <c r="O896">
        <v>19.18</v>
      </c>
      <c r="P896">
        <v>7.35</v>
      </c>
      <c r="Q896" s="1">
        <v>8.5500000000000007</v>
      </c>
      <c r="R896" s="1">
        <v>10.7</v>
      </c>
      <c r="S896" s="3">
        <v>5.5079342073252935E-2</v>
      </c>
      <c r="T896" s="3">
        <v>2.1163316366457741E-2</v>
      </c>
    </row>
    <row r="897" spans="1:20" x14ac:dyDescent="0.25">
      <c r="A897" t="s">
        <v>78</v>
      </c>
      <c r="B897" t="s">
        <v>79</v>
      </c>
      <c r="C897" t="s">
        <v>5958</v>
      </c>
      <c r="D897" t="s">
        <v>5957</v>
      </c>
      <c r="E897">
        <v>839.6</v>
      </c>
      <c r="F897">
        <v>840</v>
      </c>
      <c r="G897">
        <v>840.15</v>
      </c>
      <c r="H897">
        <v>815</v>
      </c>
      <c r="I897" s="1">
        <v>817.25</v>
      </c>
      <c r="J897">
        <v>319720980.69999999</v>
      </c>
      <c r="K897">
        <v>387219</v>
      </c>
      <c r="L897" t="s">
        <v>78</v>
      </c>
      <c r="M897" t="s">
        <v>17</v>
      </c>
      <c r="N897">
        <v>18019</v>
      </c>
      <c r="O897">
        <v>1249</v>
      </c>
      <c r="P897">
        <v>618.79999999999995</v>
      </c>
      <c r="Q897" s="1" t="str">
        <v/>
      </c>
      <c r="R897" s="1" t="str">
        <v/>
      </c>
      <c r="S897" s="3">
        <v>0</v>
      </c>
      <c r="T897" s="3">
        <v>0</v>
      </c>
    </row>
    <row r="898" spans="1:20" x14ac:dyDescent="0.25">
      <c r="A898" t="s">
        <v>78</v>
      </c>
      <c r="B898" t="s">
        <v>79</v>
      </c>
      <c r="C898" t="s">
        <v>1304</v>
      </c>
      <c r="D898" t="s">
        <v>1305</v>
      </c>
      <c r="E898">
        <v>116.2</v>
      </c>
      <c r="F898">
        <v>116.2</v>
      </c>
      <c r="G898">
        <v>116.91</v>
      </c>
      <c r="H898">
        <v>115.57</v>
      </c>
      <c r="I898" s="1">
        <v>115.75</v>
      </c>
      <c r="J898">
        <v>243342794.99000001</v>
      </c>
      <c r="K898">
        <v>2097278</v>
      </c>
      <c r="L898" t="s">
        <v>78</v>
      </c>
      <c r="M898" t="s">
        <v>17</v>
      </c>
      <c r="N898">
        <v>28434</v>
      </c>
      <c r="O898">
        <v>137</v>
      </c>
      <c r="P898">
        <v>105</v>
      </c>
      <c r="Q898" s="1">
        <v>53.4</v>
      </c>
      <c r="R898" s="1">
        <v>35.049999999999997</v>
      </c>
      <c r="S898" s="3">
        <v>6.6591975357344291E-2</v>
      </c>
      <c r="T898" s="3">
        <v>6.1518193636205254E-2</v>
      </c>
    </row>
    <row r="899" spans="1:20" x14ac:dyDescent="0.25">
      <c r="A899" t="s">
        <v>78</v>
      </c>
      <c r="B899" t="s">
        <v>79</v>
      </c>
      <c r="C899" t="s">
        <v>1306</v>
      </c>
      <c r="D899" t="s">
        <v>1307</v>
      </c>
      <c r="E899">
        <v>77.95</v>
      </c>
      <c r="F899">
        <v>77.959999999999994</v>
      </c>
      <c r="G899">
        <v>78.41</v>
      </c>
      <c r="H899">
        <v>77.650000000000006</v>
      </c>
      <c r="I899" s="1">
        <v>77.739999999999995</v>
      </c>
      <c r="J899">
        <v>1072892535.05</v>
      </c>
      <c r="K899">
        <v>13770410</v>
      </c>
      <c r="L899" t="s">
        <v>78</v>
      </c>
      <c r="M899" t="s">
        <v>17</v>
      </c>
      <c r="N899">
        <v>70398</v>
      </c>
      <c r="O899">
        <v>100.7</v>
      </c>
      <c r="P899">
        <v>70.8</v>
      </c>
      <c r="Q899" s="1">
        <v>52.35</v>
      </c>
      <c r="R899" s="1">
        <v>40</v>
      </c>
      <c r="S899" s="3">
        <v>3.3500412231477927E-2</v>
      </c>
      <c r="T899" s="3">
        <v>3.376381198606615E-2</v>
      </c>
    </row>
    <row r="900" spans="1:20" x14ac:dyDescent="0.25">
      <c r="A900" t="s">
        <v>78</v>
      </c>
      <c r="B900" t="s">
        <v>79</v>
      </c>
      <c r="C900" t="s">
        <v>5956</v>
      </c>
      <c r="D900" t="s">
        <v>5955</v>
      </c>
      <c r="E900">
        <v>10.95</v>
      </c>
      <c r="F900">
        <v>11</v>
      </c>
      <c r="G900">
        <v>11.19</v>
      </c>
      <c r="H900">
        <v>10.4</v>
      </c>
      <c r="I900" s="1">
        <v>10.81</v>
      </c>
      <c r="J900">
        <v>6199874.9299999997</v>
      </c>
      <c r="K900">
        <v>572481</v>
      </c>
      <c r="L900" t="s">
        <v>78</v>
      </c>
      <c r="M900" t="s">
        <v>17</v>
      </c>
      <c r="N900">
        <v>1313</v>
      </c>
      <c r="O900">
        <v>15.2</v>
      </c>
      <c r="P900">
        <v>9.25</v>
      </c>
      <c r="Q900" s="1" t="str">
        <v/>
      </c>
      <c r="R900" s="1" t="str">
        <v/>
      </c>
      <c r="S900" s="3">
        <v>0</v>
      </c>
      <c r="T900" s="3">
        <v>0</v>
      </c>
    </row>
    <row r="901" spans="1:20" x14ac:dyDescent="0.25">
      <c r="A901" t="s">
        <v>78</v>
      </c>
      <c r="B901" t="s">
        <v>287</v>
      </c>
      <c r="C901" t="s">
        <v>5954</v>
      </c>
      <c r="D901" t="s">
        <v>5953</v>
      </c>
      <c r="E901">
        <v>381.25</v>
      </c>
      <c r="F901">
        <v>374</v>
      </c>
      <c r="G901">
        <v>386.95</v>
      </c>
      <c r="H901">
        <v>371.2</v>
      </c>
      <c r="I901" s="1">
        <v>375.7</v>
      </c>
      <c r="J901">
        <v>14708100</v>
      </c>
      <c r="K901">
        <v>39000</v>
      </c>
      <c r="L901" t="s">
        <v>78</v>
      </c>
      <c r="M901" t="s">
        <v>17</v>
      </c>
      <c r="N901">
        <v>35</v>
      </c>
      <c r="O901">
        <v>546.9</v>
      </c>
      <c r="P901">
        <v>270.5</v>
      </c>
      <c r="Q901" s="1" t="str">
        <v/>
      </c>
      <c r="R901" s="1" t="str">
        <v/>
      </c>
      <c r="S901" s="3">
        <v>0</v>
      </c>
      <c r="T901" s="3">
        <v>0</v>
      </c>
    </row>
    <row r="902" spans="1:20" x14ac:dyDescent="0.25">
      <c r="A902" t="s">
        <v>78</v>
      </c>
      <c r="B902" t="s">
        <v>79</v>
      </c>
      <c r="C902" t="s">
        <v>1308</v>
      </c>
      <c r="D902" t="s">
        <v>1309</v>
      </c>
      <c r="E902">
        <v>177.34</v>
      </c>
      <c r="F902">
        <v>177.01</v>
      </c>
      <c r="G902">
        <v>177.09</v>
      </c>
      <c r="H902">
        <v>172.5</v>
      </c>
      <c r="I902" s="1">
        <v>173.56</v>
      </c>
      <c r="J902">
        <v>1353838145.5899999</v>
      </c>
      <c r="K902">
        <v>7781301</v>
      </c>
      <c r="L902" t="s">
        <v>78</v>
      </c>
      <c r="M902" t="s">
        <v>17</v>
      </c>
      <c r="N902">
        <v>60663</v>
      </c>
      <c r="O902">
        <v>191.2</v>
      </c>
      <c r="P902">
        <v>119</v>
      </c>
      <c r="Q902" s="1">
        <v>408.55</v>
      </c>
      <c r="R902" s="1">
        <v>142.5</v>
      </c>
      <c r="S902" s="3">
        <v>-6.8855600357294655E-2</v>
      </c>
      <c r="T902" s="3">
        <v>9.9023760350502865E-3</v>
      </c>
    </row>
    <row r="903" spans="1:20" x14ac:dyDescent="0.25">
      <c r="A903" t="s">
        <v>78</v>
      </c>
      <c r="B903" t="s">
        <v>79</v>
      </c>
      <c r="C903" t="s">
        <v>1312</v>
      </c>
      <c r="D903" t="s">
        <v>1313</v>
      </c>
      <c r="E903">
        <v>1608.2</v>
      </c>
      <c r="F903">
        <v>1615.9</v>
      </c>
      <c r="G903">
        <v>1630</v>
      </c>
      <c r="H903">
        <v>1576.75</v>
      </c>
      <c r="I903" s="1">
        <v>1589.05</v>
      </c>
      <c r="J903">
        <v>28763510.100000001</v>
      </c>
      <c r="K903">
        <v>18047</v>
      </c>
      <c r="L903" t="s">
        <v>78</v>
      </c>
      <c r="M903" t="s">
        <v>17</v>
      </c>
      <c r="N903">
        <v>2215</v>
      </c>
      <c r="O903">
        <v>1755</v>
      </c>
      <c r="P903">
        <v>818</v>
      </c>
      <c r="Q903" s="1">
        <v>1025.1500000000001</v>
      </c>
      <c r="R903" s="1">
        <v>703.6</v>
      </c>
      <c r="S903" s="3">
        <v>3.7200009840881343E-2</v>
      </c>
      <c r="T903" s="3">
        <v>4.1551859071306207E-2</v>
      </c>
    </row>
    <row r="904" spans="1:20" x14ac:dyDescent="0.25">
      <c r="A904" t="s">
        <v>78</v>
      </c>
      <c r="B904" t="s">
        <v>79</v>
      </c>
      <c r="C904" t="s">
        <v>1314</v>
      </c>
      <c r="D904" t="s">
        <v>1315</v>
      </c>
      <c r="E904">
        <v>74.12</v>
      </c>
      <c r="F904">
        <v>74.19</v>
      </c>
      <c r="G904">
        <v>74.19</v>
      </c>
      <c r="H904">
        <v>69.599999999999994</v>
      </c>
      <c r="I904" s="1">
        <v>71.42</v>
      </c>
      <c r="J904">
        <v>3591002734.7800002</v>
      </c>
      <c r="K904">
        <v>50134258</v>
      </c>
      <c r="L904" t="s">
        <v>78</v>
      </c>
      <c r="M904" t="s">
        <v>17</v>
      </c>
      <c r="N904">
        <v>134875</v>
      </c>
      <c r="O904">
        <v>78.900000000000006</v>
      </c>
      <c r="P904">
        <v>12.45</v>
      </c>
      <c r="Q904" s="1">
        <v>13.65</v>
      </c>
      <c r="R904" s="1">
        <v>8.0500000000000007</v>
      </c>
      <c r="S904" s="3">
        <v>0.14786443358345669</v>
      </c>
      <c r="T904" s="3">
        <v>0.11525772271262325</v>
      </c>
    </row>
    <row r="905" spans="1:20" x14ac:dyDescent="0.25">
      <c r="A905" t="s">
        <v>78</v>
      </c>
      <c r="B905" t="s">
        <v>79</v>
      </c>
      <c r="C905" t="s">
        <v>1316</v>
      </c>
      <c r="D905" t="s">
        <v>1317</v>
      </c>
      <c r="E905">
        <v>643.65</v>
      </c>
      <c r="F905">
        <v>643.65</v>
      </c>
      <c r="G905">
        <v>652</v>
      </c>
      <c r="H905">
        <v>631.20000000000005</v>
      </c>
      <c r="I905" s="1">
        <v>633.35</v>
      </c>
      <c r="J905">
        <v>12434018.300000001</v>
      </c>
      <c r="K905">
        <v>19382</v>
      </c>
      <c r="L905" t="s">
        <v>78</v>
      </c>
      <c r="M905" t="s">
        <v>17</v>
      </c>
      <c r="N905">
        <v>3319</v>
      </c>
      <c r="O905">
        <v>935</v>
      </c>
      <c r="P905">
        <v>363.4</v>
      </c>
      <c r="Q905" s="1">
        <v>401</v>
      </c>
      <c r="R905" s="1">
        <v>168.5</v>
      </c>
      <c r="S905" s="3">
        <v>3.8823144284278577E-2</v>
      </c>
      <c r="T905" s="3">
        <v>6.8406317843412889E-2</v>
      </c>
    </row>
    <row r="906" spans="1:20" x14ac:dyDescent="0.25">
      <c r="A906" t="s">
        <v>78</v>
      </c>
      <c r="B906" t="s">
        <v>79</v>
      </c>
      <c r="C906" t="s">
        <v>1318</v>
      </c>
      <c r="D906" t="s">
        <v>1319</v>
      </c>
      <c r="E906">
        <v>515.04999999999995</v>
      </c>
      <c r="F906">
        <v>514.75</v>
      </c>
      <c r="G906">
        <v>522.79999999999995</v>
      </c>
      <c r="H906">
        <v>505</v>
      </c>
      <c r="I906" s="1">
        <v>511</v>
      </c>
      <c r="J906">
        <v>40747482.350000001</v>
      </c>
      <c r="K906">
        <v>79480</v>
      </c>
      <c r="L906" t="s">
        <v>78</v>
      </c>
      <c r="M906" t="s">
        <v>17</v>
      </c>
      <c r="N906">
        <v>4699</v>
      </c>
      <c r="O906">
        <v>692.5</v>
      </c>
      <c r="P906">
        <v>402</v>
      </c>
      <c r="Q906" s="1">
        <v>522.75</v>
      </c>
      <c r="R906" s="1">
        <v>220.1</v>
      </c>
      <c r="S906" s="3">
        <v>-1.8926856160895733E-3</v>
      </c>
      <c r="T906" s="3">
        <v>4.2989716414827628E-2</v>
      </c>
    </row>
    <row r="907" spans="1:20" x14ac:dyDescent="0.25">
      <c r="A907" t="s">
        <v>78</v>
      </c>
      <c r="B907" t="s">
        <v>79</v>
      </c>
      <c r="C907" t="s">
        <v>232</v>
      </c>
      <c r="D907" t="s">
        <v>233</v>
      </c>
      <c r="E907">
        <v>540.75</v>
      </c>
      <c r="F907">
        <v>543.4</v>
      </c>
      <c r="G907">
        <v>550.9</v>
      </c>
      <c r="H907">
        <v>531.54999999999995</v>
      </c>
      <c r="I907" s="1">
        <v>533.75</v>
      </c>
      <c r="J907">
        <v>1816803177.45</v>
      </c>
      <c r="K907">
        <v>3350226</v>
      </c>
      <c r="L907" t="s">
        <v>78</v>
      </c>
      <c r="M907" t="s">
        <v>17</v>
      </c>
      <c r="N907">
        <v>61650</v>
      </c>
      <c r="O907">
        <v>550.9</v>
      </c>
      <c r="P907">
        <v>375.7</v>
      </c>
      <c r="Q907" s="1">
        <v>547.65</v>
      </c>
      <c r="R907" s="1">
        <v>316.89999999999998</v>
      </c>
      <c r="S907" s="3">
        <v>-2.14010937896425E-3</v>
      </c>
      <c r="T907" s="3">
        <v>2.6395129817426533E-2</v>
      </c>
    </row>
    <row r="908" spans="1:20" x14ac:dyDescent="0.25">
      <c r="A908" t="s">
        <v>78</v>
      </c>
      <c r="B908" t="s">
        <v>79</v>
      </c>
      <c r="C908" t="s">
        <v>1320</v>
      </c>
      <c r="D908" t="s">
        <v>1321</v>
      </c>
      <c r="E908">
        <v>609.4</v>
      </c>
      <c r="F908">
        <v>612.4</v>
      </c>
      <c r="G908">
        <v>612.4</v>
      </c>
      <c r="H908">
        <v>582</v>
      </c>
      <c r="I908" s="1">
        <v>593.4</v>
      </c>
      <c r="J908">
        <v>34810900</v>
      </c>
      <c r="K908">
        <v>58449</v>
      </c>
      <c r="L908" t="s">
        <v>78</v>
      </c>
      <c r="M908" t="s">
        <v>17</v>
      </c>
      <c r="N908">
        <v>5300</v>
      </c>
      <c r="O908">
        <v>658.9</v>
      </c>
      <c r="P908">
        <v>402.5</v>
      </c>
      <c r="Q908" s="1">
        <v>685.15</v>
      </c>
      <c r="R908" s="1">
        <v>214.1</v>
      </c>
      <c r="S908" s="3">
        <v>-1.1909273535252285E-2</v>
      </c>
      <c r="T908" s="3">
        <v>5.2263292920255111E-2</v>
      </c>
    </row>
    <row r="909" spans="1:20" x14ac:dyDescent="0.25">
      <c r="A909" t="s">
        <v>78</v>
      </c>
      <c r="B909" t="s">
        <v>79</v>
      </c>
      <c r="C909" t="s">
        <v>3179</v>
      </c>
      <c r="D909" t="s">
        <v>3180</v>
      </c>
      <c r="E909">
        <v>484.55</v>
      </c>
      <c r="F909">
        <v>485</v>
      </c>
      <c r="G909">
        <v>488</v>
      </c>
      <c r="H909">
        <v>470.25</v>
      </c>
      <c r="I909" s="1">
        <v>471.95</v>
      </c>
      <c r="J909">
        <v>426931676.94999999</v>
      </c>
      <c r="K909">
        <v>895300</v>
      </c>
      <c r="L909" t="s">
        <v>78</v>
      </c>
      <c r="M909" t="s">
        <v>17</v>
      </c>
      <c r="N909">
        <v>37295</v>
      </c>
      <c r="O909">
        <v>703.4</v>
      </c>
      <c r="P909">
        <v>313.25</v>
      </c>
      <c r="Q909" s="1">
        <v>257</v>
      </c>
      <c r="R909" s="1">
        <v>130.19999999999999</v>
      </c>
      <c r="S909" s="3">
        <v>5.1954378474765139E-2</v>
      </c>
      <c r="T909" s="3">
        <v>6.6470718647090754E-2</v>
      </c>
    </row>
    <row r="910" spans="1:20" x14ac:dyDescent="0.25">
      <c r="A910" t="s">
        <v>78</v>
      </c>
      <c r="B910" t="s">
        <v>79</v>
      </c>
      <c r="C910" t="s">
        <v>1322</v>
      </c>
      <c r="D910" t="s">
        <v>1323</v>
      </c>
      <c r="E910">
        <v>190.03</v>
      </c>
      <c r="F910">
        <v>190.95</v>
      </c>
      <c r="G910">
        <v>190.95</v>
      </c>
      <c r="H910">
        <v>183.88</v>
      </c>
      <c r="I910" s="1">
        <v>187.09</v>
      </c>
      <c r="J910">
        <v>105016603.64</v>
      </c>
      <c r="K910">
        <v>561634</v>
      </c>
      <c r="L910" t="s">
        <v>78</v>
      </c>
      <c r="M910" t="s">
        <v>17</v>
      </c>
      <c r="N910">
        <v>20813</v>
      </c>
      <c r="O910">
        <v>239.9</v>
      </c>
      <c r="P910">
        <v>63.05</v>
      </c>
      <c r="Q910" s="1">
        <v>118.1</v>
      </c>
      <c r="R910" s="1" t="str">
        <v/>
      </c>
      <c r="S910" s="3">
        <v>3.9082561864174803E-2</v>
      </c>
      <c r="T910" s="3">
        <v>0</v>
      </c>
    </row>
    <row r="911" spans="1:20" x14ac:dyDescent="0.25">
      <c r="A911" t="s">
        <v>78</v>
      </c>
      <c r="B911" t="s">
        <v>79</v>
      </c>
      <c r="C911" t="s">
        <v>1326</v>
      </c>
      <c r="D911" t="s">
        <v>1327</v>
      </c>
      <c r="E911">
        <v>197.05</v>
      </c>
      <c r="F911">
        <v>198.02</v>
      </c>
      <c r="G911">
        <v>198.02</v>
      </c>
      <c r="H911">
        <v>187.8</v>
      </c>
      <c r="I911" s="1">
        <v>190.06</v>
      </c>
      <c r="J911">
        <v>3759004.54</v>
      </c>
      <c r="K911">
        <v>19712</v>
      </c>
      <c r="L911" t="s">
        <v>78</v>
      </c>
      <c r="M911" t="s">
        <v>17</v>
      </c>
      <c r="N911">
        <v>358</v>
      </c>
      <c r="O911">
        <v>280</v>
      </c>
      <c r="P911">
        <v>102.1</v>
      </c>
      <c r="Q911" s="1">
        <v>70.3</v>
      </c>
      <c r="R911" s="1">
        <v>72</v>
      </c>
      <c r="S911" s="3">
        <v>8.6412156802447404E-2</v>
      </c>
      <c r="T911" s="3">
        <v>4.9702830354961813E-2</v>
      </c>
    </row>
    <row r="912" spans="1:20" x14ac:dyDescent="0.25">
      <c r="A912" t="s">
        <v>78</v>
      </c>
      <c r="B912" t="s">
        <v>79</v>
      </c>
      <c r="C912" t="s">
        <v>5952</v>
      </c>
      <c r="D912" t="s">
        <v>5951</v>
      </c>
      <c r="E912">
        <v>317.3</v>
      </c>
      <c r="F912">
        <v>315.95</v>
      </c>
      <c r="G912">
        <v>315.95</v>
      </c>
      <c r="H912">
        <v>307.75</v>
      </c>
      <c r="I912" s="1">
        <v>308.3</v>
      </c>
      <c r="J912">
        <v>51213506.299999997</v>
      </c>
      <c r="K912">
        <v>164915</v>
      </c>
      <c r="L912" t="s">
        <v>78</v>
      </c>
      <c r="M912" t="s">
        <v>17</v>
      </c>
      <c r="N912">
        <v>8136</v>
      </c>
      <c r="O912">
        <v>437.7</v>
      </c>
      <c r="P912">
        <v>245.45</v>
      </c>
      <c r="Q912" s="1" t="str">
        <v/>
      </c>
      <c r="R912" s="1" t="str">
        <v/>
      </c>
      <c r="S912" s="3">
        <v>0</v>
      </c>
      <c r="T912" s="3">
        <v>0</v>
      </c>
    </row>
    <row r="913" spans="1:20" x14ac:dyDescent="0.25">
      <c r="A913" t="s">
        <v>78</v>
      </c>
      <c r="B913" t="s">
        <v>79</v>
      </c>
      <c r="C913" t="s">
        <v>3181</v>
      </c>
      <c r="D913" t="s">
        <v>3182</v>
      </c>
      <c r="E913">
        <v>75.760000000000005</v>
      </c>
      <c r="F913">
        <v>75.2</v>
      </c>
      <c r="G913">
        <v>76.069999999999993</v>
      </c>
      <c r="H913">
        <v>74.650000000000006</v>
      </c>
      <c r="I913" s="1">
        <v>74.73</v>
      </c>
      <c r="J913">
        <v>45587519.509999998</v>
      </c>
      <c r="K913">
        <v>607467</v>
      </c>
      <c r="L913" t="s">
        <v>78</v>
      </c>
      <c r="M913" t="s">
        <v>17</v>
      </c>
      <c r="N913">
        <v>5118</v>
      </c>
      <c r="O913">
        <v>90.7</v>
      </c>
      <c r="P913">
        <v>42.9</v>
      </c>
      <c r="Q913" s="1">
        <v>8.5</v>
      </c>
      <c r="R913" s="1" t="str">
        <v/>
      </c>
      <c r="S913" s="3">
        <v>0.19859649868900942</v>
      </c>
      <c r="T913" s="3">
        <v>0</v>
      </c>
    </row>
    <row r="914" spans="1:20" x14ac:dyDescent="0.25">
      <c r="A914" t="s">
        <v>78</v>
      </c>
      <c r="B914" t="s">
        <v>79</v>
      </c>
      <c r="C914" t="s">
        <v>1328</v>
      </c>
      <c r="D914" t="s">
        <v>1329</v>
      </c>
      <c r="E914">
        <v>725</v>
      </c>
      <c r="F914">
        <v>725</v>
      </c>
      <c r="G914">
        <v>727.2</v>
      </c>
      <c r="H914">
        <v>715.1</v>
      </c>
      <c r="I914" s="1">
        <v>718.05</v>
      </c>
      <c r="J914">
        <v>61292150.799999997</v>
      </c>
      <c r="K914">
        <v>84851</v>
      </c>
      <c r="L914" t="s">
        <v>78</v>
      </c>
      <c r="M914" t="s">
        <v>17</v>
      </c>
      <c r="N914">
        <v>4640</v>
      </c>
      <c r="O914">
        <v>880</v>
      </c>
      <c r="P914">
        <v>328.8</v>
      </c>
      <c r="Q914" s="1">
        <v>624.70000000000005</v>
      </c>
      <c r="R914" s="1">
        <v>169</v>
      </c>
      <c r="S914" s="3">
        <v>1.167324588407892E-2</v>
      </c>
      <c r="T914" s="3">
        <v>7.4969632344247694E-2</v>
      </c>
    </row>
    <row r="915" spans="1:20" x14ac:dyDescent="0.25">
      <c r="A915" t="s">
        <v>78</v>
      </c>
      <c r="B915" t="s">
        <v>79</v>
      </c>
      <c r="C915" t="s">
        <v>1330</v>
      </c>
      <c r="D915" t="s">
        <v>1331</v>
      </c>
      <c r="E915">
        <v>1137.7</v>
      </c>
      <c r="F915">
        <v>1137.8499999999999</v>
      </c>
      <c r="G915">
        <v>1189.75</v>
      </c>
      <c r="H915">
        <v>1124.95</v>
      </c>
      <c r="I915" s="1">
        <v>1155</v>
      </c>
      <c r="J915">
        <v>20102071.699999999</v>
      </c>
      <c r="K915">
        <v>17383</v>
      </c>
      <c r="L915" t="s">
        <v>78</v>
      </c>
      <c r="M915" t="s">
        <v>17</v>
      </c>
      <c r="N915">
        <v>2579</v>
      </c>
      <c r="O915">
        <v>1189.75</v>
      </c>
      <c r="P915">
        <v>748.95</v>
      </c>
      <c r="Q915" s="1">
        <v>751.6</v>
      </c>
      <c r="R915" s="1">
        <v>835</v>
      </c>
      <c r="S915" s="3">
        <v>3.6452971666713019E-2</v>
      </c>
      <c r="T915" s="3">
        <v>1.6344444060760743E-2</v>
      </c>
    </row>
    <row r="916" spans="1:20" x14ac:dyDescent="0.25">
      <c r="A916" t="s">
        <v>78</v>
      </c>
      <c r="B916" t="s">
        <v>79</v>
      </c>
      <c r="C916" t="s">
        <v>1332</v>
      </c>
      <c r="D916" t="s">
        <v>1333</v>
      </c>
      <c r="E916">
        <v>42.41</v>
      </c>
      <c r="F916">
        <v>42.71</v>
      </c>
      <c r="G916">
        <v>42.89</v>
      </c>
      <c r="H916">
        <v>41.7</v>
      </c>
      <c r="I916" s="1">
        <v>42.65</v>
      </c>
      <c r="J916">
        <v>123640.74</v>
      </c>
      <c r="K916">
        <v>2927</v>
      </c>
      <c r="L916" t="s">
        <v>78</v>
      </c>
      <c r="M916" t="s">
        <v>17</v>
      </c>
      <c r="N916">
        <v>166</v>
      </c>
      <c r="O916">
        <v>51.65</v>
      </c>
      <c r="P916">
        <v>24.8</v>
      </c>
      <c r="Q916" s="1">
        <v>36.950000000000003</v>
      </c>
      <c r="R916" s="1" t="str">
        <v/>
      </c>
      <c r="S916" s="3">
        <v>1.2026883813254452E-2</v>
      </c>
      <c r="T916" s="3">
        <v>0</v>
      </c>
    </row>
    <row r="917" spans="1:20" x14ac:dyDescent="0.25">
      <c r="A917" t="s">
        <v>78</v>
      </c>
      <c r="B917" t="s">
        <v>79</v>
      </c>
      <c r="C917" t="s">
        <v>1334</v>
      </c>
      <c r="D917" t="s">
        <v>1335</v>
      </c>
      <c r="E917">
        <v>51.13</v>
      </c>
      <c r="F917">
        <v>51.9</v>
      </c>
      <c r="G917">
        <v>52.38</v>
      </c>
      <c r="H917">
        <v>50.01</v>
      </c>
      <c r="I917" s="1">
        <v>50.21</v>
      </c>
      <c r="J917">
        <v>16968856.289999999</v>
      </c>
      <c r="K917">
        <v>332872</v>
      </c>
      <c r="L917" t="s">
        <v>78</v>
      </c>
      <c r="M917" t="s">
        <v>17</v>
      </c>
      <c r="N917">
        <v>3192</v>
      </c>
      <c r="O917">
        <v>56.9</v>
      </c>
      <c r="P917">
        <v>40.65</v>
      </c>
      <c r="Q917" s="1">
        <v>34</v>
      </c>
      <c r="R917" s="1">
        <v>6.8</v>
      </c>
      <c r="S917" s="3">
        <v>3.3021297561643959E-2</v>
      </c>
      <c r="T917" s="3">
        <v>0.10507127458703769</v>
      </c>
    </row>
    <row r="918" spans="1:20" x14ac:dyDescent="0.25">
      <c r="A918" t="s">
        <v>78</v>
      </c>
      <c r="B918" t="s">
        <v>79</v>
      </c>
      <c r="C918" t="s">
        <v>5950</v>
      </c>
      <c r="D918" t="s">
        <v>5949</v>
      </c>
      <c r="E918">
        <v>573.45000000000005</v>
      </c>
      <c r="F918">
        <v>570.5</v>
      </c>
      <c r="G918">
        <v>589.95000000000005</v>
      </c>
      <c r="H918">
        <v>570.5</v>
      </c>
      <c r="I918" s="1">
        <v>581.65</v>
      </c>
      <c r="J918">
        <v>418053873.80000001</v>
      </c>
      <c r="K918">
        <v>718856</v>
      </c>
      <c r="L918" t="s">
        <v>78</v>
      </c>
      <c r="M918" t="s">
        <v>17</v>
      </c>
      <c r="N918">
        <v>24701</v>
      </c>
      <c r="O918">
        <v>660</v>
      </c>
      <c r="P918">
        <v>470.1</v>
      </c>
      <c r="Q918" s="1" t="str">
        <v/>
      </c>
      <c r="R918" s="1" t="str">
        <v/>
      </c>
      <c r="S918" s="3">
        <v>0</v>
      </c>
      <c r="T918" s="3">
        <v>0</v>
      </c>
    </row>
    <row r="919" spans="1:20" x14ac:dyDescent="0.25">
      <c r="A919" t="s">
        <v>78</v>
      </c>
      <c r="B919" t="s">
        <v>79</v>
      </c>
      <c r="C919" t="s">
        <v>1336</v>
      </c>
      <c r="D919" t="s">
        <v>1337</v>
      </c>
      <c r="E919">
        <v>586.85</v>
      </c>
      <c r="F919">
        <v>586.9</v>
      </c>
      <c r="G919">
        <v>588.85</v>
      </c>
      <c r="H919">
        <v>579.15</v>
      </c>
      <c r="I919" s="1">
        <v>582.29999999999995</v>
      </c>
      <c r="J919">
        <v>1408876494.3499999</v>
      </c>
      <c r="K919">
        <v>2417869</v>
      </c>
      <c r="L919" t="s">
        <v>78</v>
      </c>
      <c r="M919" t="s">
        <v>17</v>
      </c>
      <c r="N919">
        <v>46963</v>
      </c>
      <c r="O919">
        <v>662.95</v>
      </c>
      <c r="P919">
        <v>371.6</v>
      </c>
      <c r="Q919" s="1">
        <v>148.15</v>
      </c>
      <c r="R919" s="1">
        <v>144.1</v>
      </c>
      <c r="S919" s="3">
        <v>0.12082315525132836</v>
      </c>
      <c r="T919" s="3">
        <v>7.2278340640024918E-2</v>
      </c>
    </row>
    <row r="920" spans="1:20" x14ac:dyDescent="0.25">
      <c r="A920" t="s">
        <v>78</v>
      </c>
      <c r="B920" t="s">
        <v>79</v>
      </c>
      <c r="C920" t="s">
        <v>1338</v>
      </c>
      <c r="D920" t="s">
        <v>1339</v>
      </c>
      <c r="E920">
        <v>323.14999999999998</v>
      </c>
      <c r="F920">
        <v>325.55</v>
      </c>
      <c r="G920">
        <v>354.35</v>
      </c>
      <c r="H920">
        <v>325</v>
      </c>
      <c r="I920" s="1">
        <v>344.75</v>
      </c>
      <c r="J920">
        <v>19585571394.349998</v>
      </c>
      <c r="K920">
        <v>57214788</v>
      </c>
      <c r="L920" t="s">
        <v>78</v>
      </c>
      <c r="M920" t="s">
        <v>17</v>
      </c>
      <c r="N920">
        <v>264201</v>
      </c>
      <c r="O920">
        <v>354.35</v>
      </c>
      <c r="P920">
        <v>172.55</v>
      </c>
      <c r="Q920" s="1">
        <v>190.35</v>
      </c>
      <c r="R920" s="1">
        <v>96.85</v>
      </c>
      <c r="S920" s="3">
        <v>5.0741654889762566E-2</v>
      </c>
      <c r="T920" s="3">
        <v>6.5504121079623445E-2</v>
      </c>
    </row>
    <row r="921" spans="1:20" x14ac:dyDescent="0.25">
      <c r="A921" t="s">
        <v>78</v>
      </c>
      <c r="B921" t="s">
        <v>79</v>
      </c>
      <c r="C921" t="s">
        <v>1340</v>
      </c>
      <c r="D921" t="s">
        <v>1341</v>
      </c>
      <c r="E921">
        <v>1003.1</v>
      </c>
      <c r="F921">
        <v>1010.95</v>
      </c>
      <c r="G921">
        <v>1045</v>
      </c>
      <c r="H921">
        <v>985</v>
      </c>
      <c r="I921" s="1">
        <v>1008.1</v>
      </c>
      <c r="J921">
        <v>1118384395.3499999</v>
      </c>
      <c r="K921">
        <v>1099141</v>
      </c>
      <c r="L921" t="s">
        <v>78</v>
      </c>
      <c r="M921" t="s">
        <v>17</v>
      </c>
      <c r="N921">
        <v>44153</v>
      </c>
      <c r="O921">
        <v>1045</v>
      </c>
      <c r="P921">
        <v>598.4</v>
      </c>
      <c r="Q921" s="1">
        <v>707.05</v>
      </c>
      <c r="R921" s="1">
        <v>220.5</v>
      </c>
      <c r="S921" s="3">
        <v>3.0001342297525158E-2</v>
      </c>
      <c r="T921" s="3">
        <v>7.8913621423778446E-2</v>
      </c>
    </row>
    <row r="922" spans="1:20" x14ac:dyDescent="0.25">
      <c r="A922" t="s">
        <v>78</v>
      </c>
      <c r="B922" t="s">
        <v>79</v>
      </c>
      <c r="C922" t="s">
        <v>1342</v>
      </c>
      <c r="D922" t="s">
        <v>1343</v>
      </c>
      <c r="E922">
        <v>2862.6</v>
      </c>
      <c r="F922">
        <v>2840</v>
      </c>
      <c r="G922">
        <v>2937.55</v>
      </c>
      <c r="H922">
        <v>2826.7</v>
      </c>
      <c r="I922" s="1">
        <v>2919.3</v>
      </c>
      <c r="J922">
        <v>940923493.60000002</v>
      </c>
      <c r="K922">
        <v>324149</v>
      </c>
      <c r="L922" t="s">
        <v>78</v>
      </c>
      <c r="M922" t="s">
        <v>17</v>
      </c>
      <c r="N922">
        <v>34788</v>
      </c>
      <c r="O922">
        <v>3335.55</v>
      </c>
      <c r="P922">
        <v>2230</v>
      </c>
      <c r="Q922" s="1">
        <v>7005.3</v>
      </c>
      <c r="R922" s="1">
        <v>1225</v>
      </c>
      <c r="S922" s="3">
        <v>-7.0346734663537913E-2</v>
      </c>
      <c r="T922" s="3">
        <v>4.4351764663368209E-2</v>
      </c>
    </row>
    <row r="923" spans="1:20" x14ac:dyDescent="0.25">
      <c r="A923" t="s">
        <v>78</v>
      </c>
      <c r="B923" t="s">
        <v>79</v>
      </c>
      <c r="C923" t="s">
        <v>1344</v>
      </c>
      <c r="D923" t="s">
        <v>1345</v>
      </c>
      <c r="E923">
        <v>587.4</v>
      </c>
      <c r="F923">
        <v>587.4</v>
      </c>
      <c r="G923">
        <v>588.1</v>
      </c>
      <c r="H923">
        <v>566</v>
      </c>
      <c r="I923" s="1">
        <v>568.54999999999995</v>
      </c>
      <c r="J923">
        <v>1265897009.3499999</v>
      </c>
      <c r="K923">
        <v>2198694</v>
      </c>
      <c r="L923" t="s">
        <v>78</v>
      </c>
      <c r="M923" t="s">
        <v>17</v>
      </c>
      <c r="N923">
        <v>58534</v>
      </c>
      <c r="O923">
        <v>632.70000000000005</v>
      </c>
      <c r="P923">
        <v>320.85000000000002</v>
      </c>
      <c r="Q923" s="1">
        <v>137.75</v>
      </c>
      <c r="R923" s="1">
        <v>220.5</v>
      </c>
      <c r="S923" s="3">
        <v>0.12539873165927262</v>
      </c>
      <c r="T923" s="3">
        <v>4.8471764964201913E-2</v>
      </c>
    </row>
    <row r="924" spans="1:20" x14ac:dyDescent="0.25">
      <c r="A924" t="s">
        <v>78</v>
      </c>
      <c r="B924" t="s">
        <v>79</v>
      </c>
      <c r="C924" t="s">
        <v>1346</v>
      </c>
      <c r="D924" t="s">
        <v>1347</v>
      </c>
      <c r="E924">
        <v>278.45</v>
      </c>
      <c r="F924">
        <v>278.45</v>
      </c>
      <c r="G924">
        <v>281.39999999999998</v>
      </c>
      <c r="H924">
        <v>272.55</v>
      </c>
      <c r="I924" s="1">
        <v>273.64999999999998</v>
      </c>
      <c r="J924">
        <v>1201053.95</v>
      </c>
      <c r="K924">
        <v>4353</v>
      </c>
      <c r="L924" t="s">
        <v>78</v>
      </c>
      <c r="M924" t="s">
        <v>17</v>
      </c>
      <c r="N924">
        <v>221</v>
      </c>
      <c r="O924">
        <v>353</v>
      </c>
      <c r="P924">
        <v>205</v>
      </c>
      <c r="Q924" s="1">
        <v>210.85</v>
      </c>
      <c r="R924" s="1">
        <v>93.1</v>
      </c>
      <c r="S924" s="3">
        <v>2.196295623900224E-2</v>
      </c>
      <c r="T924" s="3">
        <v>5.5357174627802985E-2</v>
      </c>
    </row>
    <row r="925" spans="1:20" x14ac:dyDescent="0.25">
      <c r="A925" t="s">
        <v>78</v>
      </c>
      <c r="B925" t="s">
        <v>79</v>
      </c>
      <c r="C925" t="s">
        <v>1348</v>
      </c>
      <c r="D925" t="s">
        <v>1349</v>
      </c>
      <c r="E925">
        <v>443.85</v>
      </c>
      <c r="F925">
        <v>445</v>
      </c>
      <c r="G925">
        <v>445</v>
      </c>
      <c r="H925">
        <v>428.35</v>
      </c>
      <c r="I925" s="1">
        <v>433.9</v>
      </c>
      <c r="J925">
        <v>63252562.450000003</v>
      </c>
      <c r="K925">
        <v>145070</v>
      </c>
      <c r="L925" t="s">
        <v>78</v>
      </c>
      <c r="M925" t="s">
        <v>17</v>
      </c>
      <c r="N925">
        <v>11539</v>
      </c>
      <c r="O925">
        <v>455.35</v>
      </c>
      <c r="P925">
        <v>211.65</v>
      </c>
      <c r="Q925" s="1">
        <v>228.4</v>
      </c>
      <c r="R925" s="1">
        <v>281.5</v>
      </c>
      <c r="S925" s="3">
        <v>5.4931990903801964E-2</v>
      </c>
      <c r="T925" s="3">
        <v>2.1857688928129893E-2</v>
      </c>
    </row>
    <row r="926" spans="1:20" x14ac:dyDescent="0.25">
      <c r="A926" t="s">
        <v>78</v>
      </c>
      <c r="B926" t="s">
        <v>79</v>
      </c>
      <c r="C926" t="s">
        <v>5948</v>
      </c>
      <c r="D926" t="s">
        <v>5947</v>
      </c>
      <c r="E926">
        <v>744.65</v>
      </c>
      <c r="F926">
        <v>746</v>
      </c>
      <c r="G926">
        <v>768</v>
      </c>
      <c r="H926">
        <v>731.3</v>
      </c>
      <c r="I926" s="1">
        <v>737.3</v>
      </c>
      <c r="J926">
        <v>145810052.19999999</v>
      </c>
      <c r="K926">
        <v>194557</v>
      </c>
      <c r="L926" t="s">
        <v>78</v>
      </c>
      <c r="M926" t="s">
        <v>17</v>
      </c>
      <c r="N926">
        <v>16779</v>
      </c>
      <c r="O926">
        <v>768</v>
      </c>
      <c r="P926">
        <v>519.15</v>
      </c>
      <c r="Q926" s="1" t="str">
        <v/>
      </c>
      <c r="R926" s="1" t="str">
        <v/>
      </c>
      <c r="S926" s="3">
        <v>0</v>
      </c>
      <c r="T926" s="3">
        <v>0</v>
      </c>
    </row>
    <row r="927" spans="1:20" x14ac:dyDescent="0.25">
      <c r="A927" t="s">
        <v>78</v>
      </c>
      <c r="B927" t="s">
        <v>287</v>
      </c>
      <c r="C927" t="s">
        <v>5946</v>
      </c>
      <c r="D927" t="s">
        <v>5945</v>
      </c>
      <c r="E927">
        <v>35.6</v>
      </c>
      <c r="F927">
        <v>35.6</v>
      </c>
      <c r="G927">
        <v>35.6</v>
      </c>
      <c r="H927">
        <v>35.5</v>
      </c>
      <c r="I927" s="1">
        <v>35.5</v>
      </c>
      <c r="J927">
        <v>213400</v>
      </c>
      <c r="K927">
        <v>6000</v>
      </c>
      <c r="L927" t="s">
        <v>78</v>
      </c>
      <c r="M927" t="s">
        <v>17</v>
      </c>
      <c r="N927">
        <v>3</v>
      </c>
      <c r="O927">
        <v>74.900000000000006</v>
      </c>
      <c r="P927">
        <v>31.5</v>
      </c>
      <c r="Q927" s="1" t="str">
        <v/>
      </c>
      <c r="R927" s="1" t="str">
        <v/>
      </c>
      <c r="S927" s="3">
        <v>0</v>
      </c>
      <c r="T927" s="3">
        <v>0</v>
      </c>
    </row>
    <row r="928" spans="1:20" x14ac:dyDescent="0.25">
      <c r="A928" t="s">
        <v>78</v>
      </c>
      <c r="B928" t="s">
        <v>79</v>
      </c>
      <c r="C928" t="s">
        <v>1350</v>
      </c>
      <c r="D928" t="s">
        <v>1351</v>
      </c>
      <c r="E928">
        <v>1493.45</v>
      </c>
      <c r="F928">
        <v>1499.95</v>
      </c>
      <c r="G928">
        <v>1499.95</v>
      </c>
      <c r="H928">
        <v>1454.05</v>
      </c>
      <c r="I928" s="1">
        <v>1492.45</v>
      </c>
      <c r="J928">
        <v>184039565.34999999</v>
      </c>
      <c r="K928">
        <v>124483</v>
      </c>
      <c r="L928" t="s">
        <v>78</v>
      </c>
      <c r="M928" t="s">
        <v>17</v>
      </c>
      <c r="N928">
        <v>13511</v>
      </c>
      <c r="O928">
        <v>1679.95</v>
      </c>
      <c r="P928">
        <v>1250</v>
      </c>
      <c r="Q928" s="1">
        <v>2566</v>
      </c>
      <c r="R928" s="1" t="str">
        <v/>
      </c>
      <c r="S928" s="3">
        <v>-4.4156198445888473E-2</v>
      </c>
      <c r="T928" s="3">
        <v>0</v>
      </c>
    </row>
    <row r="929" spans="1:20" x14ac:dyDescent="0.25">
      <c r="A929" t="s">
        <v>78</v>
      </c>
      <c r="B929" t="s">
        <v>1352</v>
      </c>
      <c r="C929" t="s">
        <v>1353</v>
      </c>
      <c r="D929" t="s">
        <v>1354</v>
      </c>
      <c r="E929">
        <v>138.99</v>
      </c>
      <c r="F929">
        <v>139.69999999999999</v>
      </c>
      <c r="G929">
        <v>139.69999999999999</v>
      </c>
      <c r="H929">
        <v>138.4</v>
      </c>
      <c r="I929" s="1">
        <v>139.13</v>
      </c>
      <c r="J929">
        <v>60557091.119999997</v>
      </c>
      <c r="K929">
        <v>435682</v>
      </c>
      <c r="L929" t="s">
        <v>78</v>
      </c>
      <c r="M929" t="s">
        <v>17</v>
      </c>
      <c r="N929">
        <v>1183</v>
      </c>
      <c r="O929">
        <v>140.80000000000001</v>
      </c>
      <c r="P929">
        <v>126</v>
      </c>
      <c r="Q929" s="1">
        <v>136.15</v>
      </c>
      <c r="R929" s="1">
        <v>89.1</v>
      </c>
      <c r="S929" s="3">
        <v>1.80592277911229E-3</v>
      </c>
      <c r="T929" s="3">
        <v>2.2520101369229995E-2</v>
      </c>
    </row>
    <row r="930" spans="1:20" x14ac:dyDescent="0.25">
      <c r="A930" t="s">
        <v>78</v>
      </c>
      <c r="B930" t="s">
        <v>79</v>
      </c>
      <c r="C930" t="s">
        <v>1357</v>
      </c>
      <c r="D930" t="s">
        <v>1358</v>
      </c>
      <c r="E930">
        <v>778.75</v>
      </c>
      <c r="F930">
        <v>779</v>
      </c>
      <c r="G930">
        <v>798</v>
      </c>
      <c r="H930">
        <v>769</v>
      </c>
      <c r="I930" s="1">
        <v>794.9</v>
      </c>
      <c r="J930">
        <v>15806912.25</v>
      </c>
      <c r="K930">
        <v>20208</v>
      </c>
      <c r="L930" t="s">
        <v>78</v>
      </c>
      <c r="M930" t="s">
        <v>17</v>
      </c>
      <c r="N930">
        <v>3092</v>
      </c>
      <c r="O930">
        <v>848.8</v>
      </c>
      <c r="P930">
        <v>428.1</v>
      </c>
      <c r="Q930" s="1">
        <v>373.25</v>
      </c>
      <c r="R930" s="1">
        <v>377.3</v>
      </c>
      <c r="S930" s="3">
        <v>6.5023988882468631E-2</v>
      </c>
      <c r="T930" s="3">
        <v>3.7940415678245687E-2</v>
      </c>
    </row>
    <row r="931" spans="1:20" x14ac:dyDescent="0.25">
      <c r="A931" t="s">
        <v>78</v>
      </c>
      <c r="B931" t="s">
        <v>79</v>
      </c>
      <c r="C931" t="s">
        <v>5944</v>
      </c>
      <c r="D931" t="s">
        <v>5943</v>
      </c>
      <c r="E931">
        <v>158.88999999999999</v>
      </c>
      <c r="F931">
        <v>164.5</v>
      </c>
      <c r="G931">
        <v>167.3</v>
      </c>
      <c r="H931">
        <v>148.01</v>
      </c>
      <c r="I931" s="1">
        <v>151.94999999999999</v>
      </c>
      <c r="J931">
        <v>524329602.06999999</v>
      </c>
      <c r="K931">
        <v>3364952</v>
      </c>
      <c r="L931" t="s">
        <v>78</v>
      </c>
      <c r="M931" t="s">
        <v>17</v>
      </c>
      <c r="N931">
        <v>46568</v>
      </c>
      <c r="O931">
        <v>184.6</v>
      </c>
      <c r="P931">
        <v>101.2</v>
      </c>
      <c r="Q931" s="1" t="str">
        <v/>
      </c>
      <c r="R931" s="1" t="str">
        <v/>
      </c>
      <c r="S931" s="3">
        <v>0</v>
      </c>
      <c r="T931" s="3">
        <v>0</v>
      </c>
    </row>
    <row r="932" spans="1:20" x14ac:dyDescent="0.25">
      <c r="A932" t="s">
        <v>78</v>
      </c>
      <c r="B932" t="s">
        <v>79</v>
      </c>
      <c r="C932" t="s">
        <v>5942</v>
      </c>
      <c r="D932" t="s">
        <v>5941</v>
      </c>
      <c r="E932">
        <v>205.63</v>
      </c>
      <c r="F932">
        <v>205.63</v>
      </c>
      <c r="G932">
        <v>206.9</v>
      </c>
      <c r="H932">
        <v>195.6</v>
      </c>
      <c r="I932" s="1">
        <v>197.57</v>
      </c>
      <c r="J932">
        <v>35111752.93</v>
      </c>
      <c r="K932">
        <v>175115</v>
      </c>
      <c r="L932" t="s">
        <v>78</v>
      </c>
      <c r="M932" t="s">
        <v>17</v>
      </c>
      <c r="N932">
        <v>7389</v>
      </c>
      <c r="O932">
        <v>238</v>
      </c>
      <c r="P932">
        <v>143.80000000000001</v>
      </c>
      <c r="Q932" s="1" t="str">
        <v/>
      </c>
      <c r="R932" s="1" t="str">
        <v/>
      </c>
      <c r="S932" s="3">
        <v>0</v>
      </c>
      <c r="T932" s="3">
        <v>0</v>
      </c>
    </row>
    <row r="933" spans="1:20" x14ac:dyDescent="0.25">
      <c r="A933" t="s">
        <v>78</v>
      </c>
      <c r="B933" t="s">
        <v>79</v>
      </c>
      <c r="C933" t="s">
        <v>1359</v>
      </c>
      <c r="D933" t="s">
        <v>1360</v>
      </c>
      <c r="E933">
        <v>339.7</v>
      </c>
      <c r="F933">
        <v>341.4</v>
      </c>
      <c r="G933">
        <v>342</v>
      </c>
      <c r="H933">
        <v>333</v>
      </c>
      <c r="I933" s="1">
        <v>336.6</v>
      </c>
      <c r="J933">
        <v>27846911.350000001</v>
      </c>
      <c r="K933">
        <v>82489</v>
      </c>
      <c r="L933" t="s">
        <v>78</v>
      </c>
      <c r="M933" t="s">
        <v>17</v>
      </c>
      <c r="N933">
        <v>7012</v>
      </c>
      <c r="O933">
        <v>415</v>
      </c>
      <c r="P933">
        <v>286.60000000000002</v>
      </c>
      <c r="Q933" s="1">
        <v>436.15</v>
      </c>
      <c r="R933" s="1">
        <v>156.1</v>
      </c>
      <c r="S933" s="3">
        <v>-2.1359496342860274E-2</v>
      </c>
      <c r="T933" s="3">
        <v>3.914564695303846E-2</v>
      </c>
    </row>
    <row r="934" spans="1:20" x14ac:dyDescent="0.25">
      <c r="A934" t="s">
        <v>78</v>
      </c>
      <c r="B934" t="s">
        <v>79</v>
      </c>
      <c r="C934" t="s">
        <v>3185</v>
      </c>
      <c r="D934" t="s">
        <v>3186</v>
      </c>
      <c r="E934">
        <v>46.01</v>
      </c>
      <c r="F934">
        <v>46.25</v>
      </c>
      <c r="G934">
        <v>46.79</v>
      </c>
      <c r="H934">
        <v>45.15</v>
      </c>
      <c r="I934" s="1">
        <v>45.64</v>
      </c>
      <c r="J934">
        <v>6604922.71</v>
      </c>
      <c r="K934">
        <v>144526</v>
      </c>
      <c r="L934" t="s">
        <v>78</v>
      </c>
      <c r="M934" t="s">
        <v>17</v>
      </c>
      <c r="N934">
        <v>1757</v>
      </c>
      <c r="O934">
        <v>67.099999999999994</v>
      </c>
      <c r="P934">
        <v>36.4</v>
      </c>
      <c r="Q934" s="1">
        <v>58.05</v>
      </c>
      <c r="R934" s="1">
        <v>25.05</v>
      </c>
      <c r="S934" s="3">
        <v>-1.9843816008439652E-2</v>
      </c>
      <c r="T934" s="3">
        <v>3.0433005885877273E-2</v>
      </c>
    </row>
    <row r="935" spans="1:20" x14ac:dyDescent="0.25">
      <c r="A935" t="s">
        <v>78</v>
      </c>
      <c r="B935" t="s">
        <v>79</v>
      </c>
      <c r="C935" t="s">
        <v>1361</v>
      </c>
      <c r="D935" t="s">
        <v>1362</v>
      </c>
      <c r="E935">
        <v>240.37</v>
      </c>
      <c r="F935">
        <v>243.9</v>
      </c>
      <c r="G935">
        <v>243.9</v>
      </c>
      <c r="H935">
        <v>228.15</v>
      </c>
      <c r="I935" s="1">
        <v>235.03</v>
      </c>
      <c r="J935">
        <v>55217663.329999998</v>
      </c>
      <c r="K935">
        <v>236350</v>
      </c>
      <c r="L935" t="s">
        <v>78</v>
      </c>
      <c r="M935" t="s">
        <v>17</v>
      </c>
      <c r="N935">
        <v>11794</v>
      </c>
      <c r="O935">
        <v>280</v>
      </c>
      <c r="P935">
        <v>157.5</v>
      </c>
      <c r="Q935" s="1">
        <v>337.05</v>
      </c>
      <c r="R935" s="1">
        <v>339.1</v>
      </c>
      <c r="S935" s="3">
        <v>-2.9596366290048359E-2</v>
      </c>
      <c r="T935" s="3">
        <v>-1.815228235975952E-2</v>
      </c>
    </row>
    <row r="936" spans="1:20" x14ac:dyDescent="0.25">
      <c r="A936" t="s">
        <v>78</v>
      </c>
      <c r="B936" t="s">
        <v>79</v>
      </c>
      <c r="C936" t="s">
        <v>3187</v>
      </c>
      <c r="D936" t="s">
        <v>3188</v>
      </c>
      <c r="E936">
        <v>298.45</v>
      </c>
      <c r="F936">
        <v>297.95</v>
      </c>
      <c r="G936">
        <v>300</v>
      </c>
      <c r="H936">
        <v>286.95</v>
      </c>
      <c r="I936" s="1">
        <v>290.45</v>
      </c>
      <c r="J936">
        <v>4658070.7</v>
      </c>
      <c r="K936">
        <v>15842</v>
      </c>
      <c r="L936" t="s">
        <v>78</v>
      </c>
      <c r="M936" t="s">
        <v>17</v>
      </c>
      <c r="N936">
        <v>444</v>
      </c>
      <c r="O936">
        <v>373.3</v>
      </c>
      <c r="P936">
        <v>205.2</v>
      </c>
      <c r="Q936" s="1">
        <v>62.75</v>
      </c>
      <c r="R936" s="1">
        <v>23</v>
      </c>
      <c r="S936" s="3">
        <v>0.13620005044121908</v>
      </c>
      <c r="T936" s="3">
        <v>0.13510756996533213</v>
      </c>
    </row>
    <row r="937" spans="1:20" x14ac:dyDescent="0.25">
      <c r="A937" t="s">
        <v>78</v>
      </c>
      <c r="B937" t="s">
        <v>79</v>
      </c>
      <c r="C937" t="s">
        <v>1367</v>
      </c>
      <c r="D937" t="s">
        <v>1368</v>
      </c>
      <c r="E937">
        <v>247.55</v>
      </c>
      <c r="F937">
        <v>247.9</v>
      </c>
      <c r="G937">
        <v>249.77</v>
      </c>
      <c r="H937">
        <v>239.61</v>
      </c>
      <c r="I937" s="1">
        <v>241.7</v>
      </c>
      <c r="J937">
        <v>44656707.960000001</v>
      </c>
      <c r="K937">
        <v>183362</v>
      </c>
      <c r="L937" t="s">
        <v>78</v>
      </c>
      <c r="M937" t="s">
        <v>17</v>
      </c>
      <c r="N937">
        <v>7468</v>
      </c>
      <c r="O937">
        <v>282.8</v>
      </c>
      <c r="P937">
        <v>154.5</v>
      </c>
      <c r="Q937" s="1">
        <v>82.9</v>
      </c>
      <c r="R937" s="1">
        <v>35.6</v>
      </c>
      <c r="S937" s="3">
        <v>9.3268520708112312E-2</v>
      </c>
      <c r="T937" s="3">
        <v>0.10044554184866028</v>
      </c>
    </row>
    <row r="938" spans="1:20" x14ac:dyDescent="0.25">
      <c r="A938" t="s">
        <v>78</v>
      </c>
      <c r="B938" t="s">
        <v>79</v>
      </c>
      <c r="C938" t="s">
        <v>1369</v>
      </c>
      <c r="D938" t="s">
        <v>1370</v>
      </c>
      <c r="E938">
        <v>141.9</v>
      </c>
      <c r="F938">
        <v>142.5</v>
      </c>
      <c r="G938">
        <v>142.82</v>
      </c>
      <c r="H938">
        <v>132.35</v>
      </c>
      <c r="I938" s="1">
        <v>134.96</v>
      </c>
      <c r="J938">
        <v>77602900.120000005</v>
      </c>
      <c r="K938">
        <v>567252</v>
      </c>
      <c r="L938" t="s">
        <v>78</v>
      </c>
      <c r="M938" t="s">
        <v>17</v>
      </c>
      <c r="N938">
        <v>10746</v>
      </c>
      <c r="O938">
        <v>147.19999999999999</v>
      </c>
      <c r="P938">
        <v>81.849999999999994</v>
      </c>
      <c r="Q938" s="1">
        <v>113.45</v>
      </c>
      <c r="R938" s="1">
        <v>30.2</v>
      </c>
      <c r="S938" s="3">
        <v>1.4573187283898337E-2</v>
      </c>
      <c r="T938" s="3">
        <v>7.7685656012413729E-2</v>
      </c>
    </row>
    <row r="939" spans="1:20" x14ac:dyDescent="0.25">
      <c r="A939" t="s">
        <v>78</v>
      </c>
      <c r="B939" t="s">
        <v>79</v>
      </c>
      <c r="C939" t="s">
        <v>3189</v>
      </c>
      <c r="D939" t="s">
        <v>3190</v>
      </c>
      <c r="E939">
        <v>23.05</v>
      </c>
      <c r="F939">
        <v>22.81</v>
      </c>
      <c r="G939">
        <v>22.81</v>
      </c>
      <c r="H939">
        <v>21</v>
      </c>
      <c r="I939" s="1">
        <v>21.65</v>
      </c>
      <c r="J939">
        <v>7922215.2400000002</v>
      </c>
      <c r="K939">
        <v>366750</v>
      </c>
      <c r="L939" t="s">
        <v>78</v>
      </c>
      <c r="M939" t="s">
        <v>17</v>
      </c>
      <c r="N939">
        <v>1680</v>
      </c>
      <c r="O939">
        <v>31.2</v>
      </c>
      <c r="P939">
        <v>14.3</v>
      </c>
      <c r="Q939" s="1">
        <v>5.05</v>
      </c>
      <c r="R939" s="1">
        <v>3.85</v>
      </c>
      <c r="S939" s="3">
        <v>0.12896516986655682</v>
      </c>
      <c r="T939" s="3">
        <v>9.0132586685288008E-2</v>
      </c>
    </row>
    <row r="940" spans="1:20" x14ac:dyDescent="0.25">
      <c r="A940" t="s">
        <v>78</v>
      </c>
      <c r="B940" t="s">
        <v>79</v>
      </c>
      <c r="C940" t="s">
        <v>1371</v>
      </c>
      <c r="D940" t="s">
        <v>1372</v>
      </c>
      <c r="E940">
        <v>74.569999999999993</v>
      </c>
      <c r="F940">
        <v>74.569999999999993</v>
      </c>
      <c r="G940">
        <v>74.98</v>
      </c>
      <c r="H940">
        <v>70.86</v>
      </c>
      <c r="I940" s="1">
        <v>71.459999999999994</v>
      </c>
      <c r="J940">
        <v>17657640.719999999</v>
      </c>
      <c r="K940">
        <v>244464</v>
      </c>
      <c r="L940" t="s">
        <v>78</v>
      </c>
      <c r="M940" t="s">
        <v>17</v>
      </c>
      <c r="N940">
        <v>3790</v>
      </c>
      <c r="O940">
        <v>86</v>
      </c>
      <c r="P940">
        <v>50.7</v>
      </c>
      <c r="Q940" s="1">
        <v>41.7</v>
      </c>
      <c r="R940" s="1">
        <v>93.1</v>
      </c>
      <c r="S940" s="3">
        <v>4.5909031250699783E-2</v>
      </c>
      <c r="T940" s="3">
        <v>-1.3132578194413269E-2</v>
      </c>
    </row>
    <row r="941" spans="1:20" x14ac:dyDescent="0.25">
      <c r="A941" t="s">
        <v>78</v>
      </c>
      <c r="B941" t="s">
        <v>79</v>
      </c>
      <c r="C941" t="s">
        <v>1373</v>
      </c>
      <c r="D941" t="s">
        <v>1374</v>
      </c>
      <c r="E941">
        <v>406.85</v>
      </c>
      <c r="F941">
        <v>407.5</v>
      </c>
      <c r="G941">
        <v>423.2</v>
      </c>
      <c r="H941">
        <v>407.5</v>
      </c>
      <c r="I941" s="1">
        <v>418.95</v>
      </c>
      <c r="J941">
        <v>17223781001.650002</v>
      </c>
      <c r="K941">
        <v>41312223</v>
      </c>
      <c r="L941" t="s">
        <v>78</v>
      </c>
      <c r="M941" t="s">
        <v>17</v>
      </c>
      <c r="N941">
        <v>227510</v>
      </c>
      <c r="O941">
        <v>423.2</v>
      </c>
      <c r="P941">
        <v>157.35</v>
      </c>
      <c r="Q941" s="1">
        <v>217.7</v>
      </c>
      <c r="R941" s="1" t="str">
        <v/>
      </c>
      <c r="S941" s="3">
        <v>5.6068236472629041E-2</v>
      </c>
      <c r="T941" s="3">
        <v>0</v>
      </c>
    </row>
    <row r="942" spans="1:20" x14ac:dyDescent="0.25">
      <c r="A942" t="s">
        <v>78</v>
      </c>
      <c r="B942" t="s">
        <v>79</v>
      </c>
      <c r="C942" t="s">
        <v>1377</v>
      </c>
      <c r="D942" t="s">
        <v>1378</v>
      </c>
      <c r="E942">
        <v>29.89</v>
      </c>
      <c r="F942">
        <v>29.89</v>
      </c>
      <c r="G942">
        <v>29.91</v>
      </c>
      <c r="H942">
        <v>29.25</v>
      </c>
      <c r="I942" s="1">
        <v>29.49</v>
      </c>
      <c r="J942">
        <v>198163952.00999999</v>
      </c>
      <c r="K942">
        <v>6716509</v>
      </c>
      <c r="L942" t="s">
        <v>78</v>
      </c>
      <c r="M942" t="s">
        <v>17</v>
      </c>
      <c r="N942">
        <v>20265</v>
      </c>
      <c r="O942">
        <v>42.5</v>
      </c>
      <c r="P942">
        <v>13.7</v>
      </c>
      <c r="Q942" s="1">
        <v>47.9</v>
      </c>
      <c r="R942" s="1">
        <v>41.4</v>
      </c>
      <c r="S942" s="3">
        <v>-3.9615950988605708E-2</v>
      </c>
      <c r="T942" s="3">
        <v>-1.6809314100954764E-2</v>
      </c>
    </row>
    <row r="943" spans="1:20" x14ac:dyDescent="0.25">
      <c r="A943" t="s">
        <v>78</v>
      </c>
      <c r="B943" t="s">
        <v>287</v>
      </c>
      <c r="C943" t="s">
        <v>5940</v>
      </c>
      <c r="D943" t="s">
        <v>5939</v>
      </c>
      <c r="E943">
        <v>228.05</v>
      </c>
      <c r="F943">
        <v>228.95</v>
      </c>
      <c r="G943">
        <v>230.7</v>
      </c>
      <c r="H943">
        <v>225</v>
      </c>
      <c r="I943" s="1">
        <v>226.95</v>
      </c>
      <c r="J943">
        <v>1933775</v>
      </c>
      <c r="K943">
        <v>8500</v>
      </c>
      <c r="L943" t="s">
        <v>78</v>
      </c>
      <c r="M943" t="s">
        <v>17</v>
      </c>
      <c r="N943">
        <v>17</v>
      </c>
      <c r="O943">
        <v>551</v>
      </c>
      <c r="P943">
        <v>200</v>
      </c>
      <c r="Q943" s="1" t="str">
        <v/>
      </c>
      <c r="R943" s="1" t="str">
        <v/>
      </c>
      <c r="S943" s="3">
        <v>0</v>
      </c>
      <c r="T943" s="3">
        <v>0</v>
      </c>
    </row>
    <row r="944" spans="1:20" x14ac:dyDescent="0.25">
      <c r="A944" t="s">
        <v>78</v>
      </c>
      <c r="B944" t="s">
        <v>79</v>
      </c>
      <c r="C944" t="s">
        <v>3191</v>
      </c>
      <c r="D944" t="s">
        <v>3192</v>
      </c>
      <c r="E944">
        <v>455.15</v>
      </c>
      <c r="F944">
        <v>455.2</v>
      </c>
      <c r="G944">
        <v>458.1</v>
      </c>
      <c r="H944">
        <v>439.7</v>
      </c>
      <c r="I944" s="1">
        <v>443.8</v>
      </c>
      <c r="J944">
        <v>16843270.050000001</v>
      </c>
      <c r="K944">
        <v>37838</v>
      </c>
      <c r="L944" t="s">
        <v>78</v>
      </c>
      <c r="M944" t="s">
        <v>17</v>
      </c>
      <c r="N944">
        <v>4663</v>
      </c>
      <c r="O944">
        <v>519</v>
      </c>
      <c r="P944">
        <v>361.65</v>
      </c>
      <c r="Q944" s="1">
        <v>464.9</v>
      </c>
      <c r="R944" s="1">
        <v>57.05</v>
      </c>
      <c r="S944" s="3">
        <v>-3.8632117062580296E-3</v>
      </c>
      <c r="T944" s="3">
        <v>0.10795516587112219</v>
      </c>
    </row>
    <row r="945" spans="1:20" x14ac:dyDescent="0.25">
      <c r="A945" t="s">
        <v>78</v>
      </c>
      <c r="B945" t="s">
        <v>79</v>
      </c>
      <c r="C945" t="s">
        <v>1381</v>
      </c>
      <c r="D945" t="s">
        <v>1382</v>
      </c>
      <c r="E945">
        <v>4228.8500000000004</v>
      </c>
      <c r="F945">
        <v>4250</v>
      </c>
      <c r="G945">
        <v>4415</v>
      </c>
      <c r="H945">
        <v>4163.6000000000004</v>
      </c>
      <c r="I945" s="1">
        <v>4248.3500000000004</v>
      </c>
      <c r="J945">
        <v>162333508.80000001</v>
      </c>
      <c r="K945">
        <v>37858</v>
      </c>
      <c r="L945" t="s">
        <v>78</v>
      </c>
      <c r="M945" t="s">
        <v>17</v>
      </c>
      <c r="N945">
        <v>8691</v>
      </c>
      <c r="O945">
        <v>5000</v>
      </c>
      <c r="P945">
        <v>2750</v>
      </c>
      <c r="Q945" s="1">
        <v>961.05</v>
      </c>
      <c r="R945" s="1">
        <v>593.04999999999995</v>
      </c>
      <c r="S945" s="3">
        <v>0.13185169480369097</v>
      </c>
      <c r="T945" s="3">
        <v>0.10340013706573981</v>
      </c>
    </row>
    <row r="946" spans="1:20" x14ac:dyDescent="0.25">
      <c r="A946" t="s">
        <v>78</v>
      </c>
      <c r="B946" t="s">
        <v>287</v>
      </c>
      <c r="C946" t="s">
        <v>5938</v>
      </c>
      <c r="D946" t="s">
        <v>5937</v>
      </c>
      <c r="E946">
        <v>281</v>
      </c>
      <c r="F946">
        <v>274</v>
      </c>
      <c r="G946">
        <v>274</v>
      </c>
      <c r="H946">
        <v>274</v>
      </c>
      <c r="I946" s="1">
        <v>274</v>
      </c>
      <c r="J946">
        <v>164400</v>
      </c>
      <c r="K946">
        <v>600</v>
      </c>
      <c r="L946" t="s">
        <v>78</v>
      </c>
      <c r="M946" t="s">
        <v>17</v>
      </c>
      <c r="N946">
        <v>1</v>
      </c>
      <c r="O946">
        <v>316</v>
      </c>
      <c r="P946">
        <v>201</v>
      </c>
      <c r="Q946" s="1" t="str">
        <v/>
      </c>
      <c r="R946" s="1" t="str">
        <v/>
      </c>
      <c r="S946" s="3">
        <v>0</v>
      </c>
      <c r="T946" s="3">
        <v>0</v>
      </c>
    </row>
    <row r="947" spans="1:20" x14ac:dyDescent="0.25">
      <c r="A947" t="s">
        <v>78</v>
      </c>
      <c r="B947" t="s">
        <v>79</v>
      </c>
      <c r="C947" t="s">
        <v>5936</v>
      </c>
      <c r="D947" t="s">
        <v>5935</v>
      </c>
      <c r="E947">
        <v>514.5</v>
      </c>
      <c r="F947">
        <v>519.95000000000005</v>
      </c>
      <c r="G947">
        <v>583</v>
      </c>
      <c r="H947">
        <v>517.70000000000005</v>
      </c>
      <c r="I947" s="1">
        <v>557.45000000000005</v>
      </c>
      <c r="J947">
        <v>313214943.25</v>
      </c>
      <c r="K947">
        <v>561753</v>
      </c>
      <c r="L947" t="s">
        <v>78</v>
      </c>
      <c r="M947" t="s">
        <v>17</v>
      </c>
      <c r="N947">
        <v>29968</v>
      </c>
      <c r="O947">
        <v>588</v>
      </c>
      <c r="P947">
        <v>421.35</v>
      </c>
      <c r="Q947" s="1" t="str">
        <v/>
      </c>
      <c r="R947" s="1" t="str">
        <v/>
      </c>
      <c r="S947" s="3">
        <v>0</v>
      </c>
      <c r="T947" s="3">
        <v>0</v>
      </c>
    </row>
    <row r="948" spans="1:20" x14ac:dyDescent="0.25">
      <c r="A948" t="s">
        <v>78</v>
      </c>
      <c r="B948" t="s">
        <v>287</v>
      </c>
      <c r="C948" t="s">
        <v>1383</v>
      </c>
      <c r="D948" t="s">
        <v>1384</v>
      </c>
      <c r="E948">
        <v>515</v>
      </c>
      <c r="F948">
        <v>500</v>
      </c>
      <c r="G948">
        <v>515</v>
      </c>
      <c r="H948">
        <v>500</v>
      </c>
      <c r="I948" s="1">
        <v>510</v>
      </c>
      <c r="J948">
        <v>707210</v>
      </c>
      <c r="K948">
        <v>1400</v>
      </c>
      <c r="L948" t="s">
        <v>78</v>
      </c>
      <c r="M948" t="s">
        <v>17</v>
      </c>
      <c r="N948">
        <v>7</v>
      </c>
      <c r="O948">
        <v>799.95</v>
      </c>
      <c r="P948">
        <v>329.75</v>
      </c>
      <c r="Q948" s="1">
        <v>187.6</v>
      </c>
      <c r="R948" s="1" t="str">
        <v/>
      </c>
      <c r="S948" s="3">
        <v>8.6912988360710708E-2</v>
      </c>
      <c r="T948" s="3">
        <v>0</v>
      </c>
    </row>
    <row r="949" spans="1:20" x14ac:dyDescent="0.25">
      <c r="A949" t="s">
        <v>78</v>
      </c>
      <c r="B949" t="s">
        <v>79</v>
      </c>
      <c r="C949" t="s">
        <v>5934</v>
      </c>
      <c r="D949" t="s">
        <v>5933</v>
      </c>
      <c r="E949">
        <v>167.71</v>
      </c>
      <c r="F949">
        <v>167.55</v>
      </c>
      <c r="G949">
        <v>169.5</v>
      </c>
      <c r="H949">
        <v>164.5</v>
      </c>
      <c r="I949" s="1">
        <v>165.73</v>
      </c>
      <c r="J949">
        <v>332282671.29000002</v>
      </c>
      <c r="K949">
        <v>1992117</v>
      </c>
      <c r="L949" t="s">
        <v>78</v>
      </c>
      <c r="M949" t="s">
        <v>17</v>
      </c>
      <c r="N949">
        <v>12912</v>
      </c>
      <c r="O949">
        <v>188</v>
      </c>
      <c r="P949">
        <v>56.8</v>
      </c>
      <c r="Q949" s="1" t="str">
        <v/>
      </c>
      <c r="R949" s="1" t="str">
        <v/>
      </c>
      <c r="S949" s="3">
        <v>0</v>
      </c>
      <c r="T949" s="3">
        <v>0</v>
      </c>
    </row>
    <row r="950" spans="1:20" x14ac:dyDescent="0.25">
      <c r="A950" t="s">
        <v>78</v>
      </c>
      <c r="B950" t="s">
        <v>79</v>
      </c>
      <c r="C950" t="s">
        <v>5932</v>
      </c>
      <c r="D950" t="s">
        <v>5931</v>
      </c>
      <c r="E950">
        <v>1301.6500000000001</v>
      </c>
      <c r="F950">
        <v>1300</v>
      </c>
      <c r="G950">
        <v>1315</v>
      </c>
      <c r="H950">
        <v>1288</v>
      </c>
      <c r="I950" s="1">
        <v>1307</v>
      </c>
      <c r="J950">
        <v>171253484.40000001</v>
      </c>
      <c r="K950">
        <v>131758</v>
      </c>
      <c r="L950" t="s">
        <v>78</v>
      </c>
      <c r="M950" t="s">
        <v>17</v>
      </c>
      <c r="N950">
        <v>11313</v>
      </c>
      <c r="O950">
        <v>1506.9</v>
      </c>
      <c r="P950">
        <v>801.55</v>
      </c>
      <c r="Q950" s="1" t="str">
        <v/>
      </c>
      <c r="R950" s="1" t="str">
        <v/>
      </c>
      <c r="S950" s="3">
        <v>0</v>
      </c>
      <c r="T950" s="3">
        <v>0</v>
      </c>
    </row>
    <row r="951" spans="1:20" x14ac:dyDescent="0.25">
      <c r="A951" t="s">
        <v>78</v>
      </c>
      <c r="B951" t="s">
        <v>79</v>
      </c>
      <c r="C951" t="s">
        <v>1389</v>
      </c>
      <c r="D951" t="s">
        <v>1390</v>
      </c>
      <c r="E951">
        <v>166.49</v>
      </c>
      <c r="F951">
        <v>165.91</v>
      </c>
      <c r="G951">
        <v>167.95</v>
      </c>
      <c r="H951">
        <v>154</v>
      </c>
      <c r="I951" s="1">
        <v>160.41999999999999</v>
      </c>
      <c r="J951">
        <v>1804839289.3</v>
      </c>
      <c r="K951">
        <v>11234128</v>
      </c>
      <c r="L951" t="s">
        <v>78</v>
      </c>
      <c r="M951" t="s">
        <v>17</v>
      </c>
      <c r="N951">
        <v>92292</v>
      </c>
      <c r="O951">
        <v>663</v>
      </c>
      <c r="P951">
        <v>124.25</v>
      </c>
      <c r="Q951" s="1">
        <v>102.55</v>
      </c>
      <c r="R951" s="1">
        <v>62.05</v>
      </c>
      <c r="S951" s="3">
        <v>3.7990958583283829E-2</v>
      </c>
      <c r="T951" s="3">
        <v>4.8611317484241523E-2</v>
      </c>
    </row>
    <row r="952" spans="1:20" x14ac:dyDescent="0.25">
      <c r="A952" t="s">
        <v>78</v>
      </c>
      <c r="B952" t="s">
        <v>79</v>
      </c>
      <c r="C952" t="s">
        <v>1391</v>
      </c>
      <c r="D952" t="s">
        <v>1392</v>
      </c>
      <c r="E952">
        <v>799.8</v>
      </c>
      <c r="F952">
        <v>787.05</v>
      </c>
      <c r="G952">
        <v>787.05</v>
      </c>
      <c r="H952">
        <v>756.65</v>
      </c>
      <c r="I952" s="1">
        <v>761.95</v>
      </c>
      <c r="J952">
        <v>112557057.09999999</v>
      </c>
      <c r="K952">
        <v>146019</v>
      </c>
      <c r="L952" t="s">
        <v>78</v>
      </c>
      <c r="M952" t="s">
        <v>17</v>
      </c>
      <c r="N952">
        <v>14179</v>
      </c>
      <c r="O952">
        <v>809</v>
      </c>
      <c r="P952">
        <v>422</v>
      </c>
      <c r="Q952" s="1">
        <v>735</v>
      </c>
      <c r="R952" s="1">
        <v>660</v>
      </c>
      <c r="S952" s="3">
        <v>3.0053769106412886E-3</v>
      </c>
      <c r="T952" s="3">
        <v>7.2039463385047409E-3</v>
      </c>
    </row>
    <row r="953" spans="1:20" x14ac:dyDescent="0.25">
      <c r="A953" t="s">
        <v>78</v>
      </c>
      <c r="B953" t="s">
        <v>287</v>
      </c>
      <c r="C953" t="s">
        <v>5930</v>
      </c>
      <c r="D953" t="s">
        <v>5929</v>
      </c>
      <c r="E953">
        <v>32.049999999999997</v>
      </c>
      <c r="F953">
        <v>32.9</v>
      </c>
      <c r="G953">
        <v>33.299999999999997</v>
      </c>
      <c r="H953">
        <v>32.9</v>
      </c>
      <c r="I953" s="1">
        <v>33.299999999999997</v>
      </c>
      <c r="J953">
        <v>198400</v>
      </c>
      <c r="K953">
        <v>6000</v>
      </c>
      <c r="L953" t="s">
        <v>78</v>
      </c>
      <c r="M953" t="s">
        <v>17</v>
      </c>
      <c r="N953">
        <v>3</v>
      </c>
      <c r="O953">
        <v>72.099999999999994</v>
      </c>
      <c r="P953">
        <v>29.1</v>
      </c>
      <c r="Q953" s="1" t="str">
        <v/>
      </c>
      <c r="R953" s="1" t="str">
        <v/>
      </c>
      <c r="S953" s="3">
        <v>0</v>
      </c>
      <c r="T953" s="3">
        <v>0</v>
      </c>
    </row>
    <row r="954" spans="1:20" x14ac:dyDescent="0.25">
      <c r="A954" t="s">
        <v>78</v>
      </c>
      <c r="B954" t="s">
        <v>79</v>
      </c>
      <c r="C954" t="s">
        <v>1393</v>
      </c>
      <c r="D954" t="s">
        <v>1394</v>
      </c>
      <c r="E954">
        <v>147.91</v>
      </c>
      <c r="F954">
        <v>153.69999999999999</v>
      </c>
      <c r="G954">
        <v>153.69999999999999</v>
      </c>
      <c r="H954">
        <v>142</v>
      </c>
      <c r="I954" s="1">
        <v>151.66999999999999</v>
      </c>
      <c r="J954">
        <v>8172979.6900000004</v>
      </c>
      <c r="K954">
        <v>54680</v>
      </c>
      <c r="L954" t="s">
        <v>78</v>
      </c>
      <c r="M954" t="s">
        <v>17</v>
      </c>
      <c r="N954">
        <v>547</v>
      </c>
      <c r="O954">
        <v>153.69999999999999</v>
      </c>
      <c r="P954">
        <v>61.45</v>
      </c>
      <c r="Q954" s="1">
        <v>67.7</v>
      </c>
      <c r="R954" s="1">
        <v>41.6</v>
      </c>
      <c r="S954" s="3">
        <v>6.9529049232057494E-2</v>
      </c>
      <c r="T954" s="3">
        <v>6.6780170332310096E-2</v>
      </c>
    </row>
    <row r="955" spans="1:20" x14ac:dyDescent="0.25">
      <c r="A955" t="s">
        <v>78</v>
      </c>
      <c r="B955" t="s">
        <v>79</v>
      </c>
      <c r="C955" t="s">
        <v>1395</v>
      </c>
      <c r="D955" t="s">
        <v>1396</v>
      </c>
      <c r="E955">
        <v>1094</v>
      </c>
      <c r="F955">
        <v>1078</v>
      </c>
      <c r="G955">
        <v>1097</v>
      </c>
      <c r="H955">
        <v>1062</v>
      </c>
      <c r="I955" s="1">
        <v>1074.0999999999999</v>
      </c>
      <c r="J955">
        <v>323533054.64999998</v>
      </c>
      <c r="K955">
        <v>299961</v>
      </c>
      <c r="L955" t="s">
        <v>78</v>
      </c>
      <c r="M955" t="s">
        <v>17</v>
      </c>
      <c r="N955">
        <v>25172</v>
      </c>
      <c r="O955">
        <v>1199</v>
      </c>
      <c r="P955">
        <v>572</v>
      </c>
      <c r="Q955" s="1">
        <v>760</v>
      </c>
      <c r="R955" s="1">
        <v>260.5</v>
      </c>
      <c r="S955" s="3">
        <v>2.924617182402689E-2</v>
      </c>
      <c r="T955" s="3">
        <v>7.3359001768769527E-2</v>
      </c>
    </row>
    <row r="956" spans="1:20" x14ac:dyDescent="0.25">
      <c r="A956" t="s">
        <v>78</v>
      </c>
      <c r="B956" t="s">
        <v>79</v>
      </c>
      <c r="C956" t="s">
        <v>1397</v>
      </c>
      <c r="D956" t="s">
        <v>1398</v>
      </c>
      <c r="E956">
        <v>175.38</v>
      </c>
      <c r="F956">
        <v>175.38</v>
      </c>
      <c r="G956">
        <v>178.32</v>
      </c>
      <c r="H956">
        <v>159.05000000000001</v>
      </c>
      <c r="I956" s="1">
        <v>160.31</v>
      </c>
      <c r="J956">
        <v>171024442.16</v>
      </c>
      <c r="K956">
        <v>1011485</v>
      </c>
      <c r="L956" t="s">
        <v>78</v>
      </c>
      <c r="M956" t="s">
        <v>17</v>
      </c>
      <c r="N956">
        <v>14028</v>
      </c>
      <c r="O956">
        <v>178.32</v>
      </c>
      <c r="P956">
        <v>73.7</v>
      </c>
      <c r="Q956" s="1">
        <v>73.95</v>
      </c>
      <c r="R956" s="1">
        <v>25.2</v>
      </c>
      <c r="S956" s="3">
        <v>6.6600712962999298E-2</v>
      </c>
      <c r="T956" s="3">
        <v>9.6872126404551562E-2</v>
      </c>
    </row>
    <row r="957" spans="1:20" x14ac:dyDescent="0.25">
      <c r="A957" t="s">
        <v>78</v>
      </c>
      <c r="B957" t="s">
        <v>79</v>
      </c>
      <c r="C957" t="s">
        <v>5928</v>
      </c>
      <c r="D957" t="s">
        <v>5927</v>
      </c>
      <c r="E957">
        <v>80.84</v>
      </c>
      <c r="F957">
        <v>80.84</v>
      </c>
      <c r="G957">
        <v>81.5</v>
      </c>
      <c r="H957">
        <v>79</v>
      </c>
      <c r="I957" s="1">
        <v>79.38</v>
      </c>
      <c r="J957">
        <v>9025911.6400000006</v>
      </c>
      <c r="K957">
        <v>113078</v>
      </c>
      <c r="L957" t="s">
        <v>78</v>
      </c>
      <c r="M957" t="s">
        <v>17</v>
      </c>
      <c r="N957">
        <v>4401</v>
      </c>
      <c r="O957">
        <v>124.75</v>
      </c>
      <c r="P957">
        <v>69.5</v>
      </c>
      <c r="Q957" s="1" t="str">
        <v/>
      </c>
      <c r="R957" s="1" t="str">
        <v/>
      </c>
      <c r="S957" s="3">
        <v>0</v>
      </c>
      <c r="T957" s="3">
        <v>0</v>
      </c>
    </row>
    <row r="958" spans="1:20" x14ac:dyDescent="0.25">
      <c r="A958" t="s">
        <v>78</v>
      </c>
      <c r="B958" t="s">
        <v>79</v>
      </c>
      <c r="C958" t="s">
        <v>1399</v>
      </c>
      <c r="D958" t="s">
        <v>1400</v>
      </c>
      <c r="E958">
        <v>2.88</v>
      </c>
      <c r="F958">
        <v>2.99</v>
      </c>
      <c r="G958">
        <v>3.08</v>
      </c>
      <c r="H958">
        <v>2.8</v>
      </c>
      <c r="I958" s="1">
        <v>2.85</v>
      </c>
      <c r="J958">
        <v>32288401.609999999</v>
      </c>
      <c r="K958">
        <v>11217054</v>
      </c>
      <c r="L958" t="s">
        <v>78</v>
      </c>
      <c r="M958" t="s">
        <v>17</v>
      </c>
      <c r="N958">
        <v>5853</v>
      </c>
      <c r="O958">
        <v>3.9</v>
      </c>
      <c r="P958">
        <v>1.8</v>
      </c>
      <c r="Q958" s="1">
        <v>3.5</v>
      </c>
      <c r="R958" s="1">
        <v>11.5</v>
      </c>
      <c r="S958" s="3">
        <v>-1.6974611091787217E-2</v>
      </c>
      <c r="T958" s="3">
        <v>-6.7338734030585434E-2</v>
      </c>
    </row>
    <row r="959" spans="1:20" x14ac:dyDescent="0.25">
      <c r="A959" t="s">
        <v>78</v>
      </c>
      <c r="B959" t="s">
        <v>79</v>
      </c>
      <c r="C959" t="s">
        <v>1401</v>
      </c>
      <c r="D959" t="s">
        <v>1402</v>
      </c>
      <c r="E959">
        <v>67.290000000000006</v>
      </c>
      <c r="F959">
        <v>67.3</v>
      </c>
      <c r="G959">
        <v>71.63</v>
      </c>
      <c r="H959">
        <v>65.61</v>
      </c>
      <c r="I959" s="1">
        <v>67.48</v>
      </c>
      <c r="J959">
        <v>4240647250.8699999</v>
      </c>
      <c r="K959">
        <v>61370002</v>
      </c>
      <c r="L959" t="s">
        <v>78</v>
      </c>
      <c r="M959" t="s">
        <v>17</v>
      </c>
      <c r="N959">
        <v>168518</v>
      </c>
      <c r="O959">
        <v>83.75</v>
      </c>
      <c r="P959">
        <v>25.6</v>
      </c>
      <c r="Q959" s="1">
        <v>24.5</v>
      </c>
      <c r="R959" s="1">
        <v>11.65</v>
      </c>
      <c r="S959" s="3">
        <v>8.8096506155421084E-2</v>
      </c>
      <c r="T959" s="3">
        <v>9.1745898171835538E-2</v>
      </c>
    </row>
    <row r="960" spans="1:20" x14ac:dyDescent="0.25">
      <c r="A960" t="s">
        <v>78</v>
      </c>
      <c r="B960" t="s">
        <v>79</v>
      </c>
      <c r="C960" t="s">
        <v>1403</v>
      </c>
      <c r="D960" t="s">
        <v>1404</v>
      </c>
      <c r="E960">
        <v>418.35</v>
      </c>
      <c r="F960">
        <v>420.9</v>
      </c>
      <c r="G960">
        <v>422.25</v>
      </c>
      <c r="H960">
        <v>411</v>
      </c>
      <c r="I960" s="1">
        <v>412.2</v>
      </c>
      <c r="J960">
        <v>64479644.950000003</v>
      </c>
      <c r="K960">
        <v>155291</v>
      </c>
      <c r="L960" t="s">
        <v>78</v>
      </c>
      <c r="M960" t="s">
        <v>17</v>
      </c>
      <c r="N960">
        <v>8429</v>
      </c>
      <c r="O960">
        <v>535.9</v>
      </c>
      <c r="P960">
        <v>330.85</v>
      </c>
      <c r="Q960" s="1">
        <v>646</v>
      </c>
      <c r="R960" s="1">
        <v>202.9</v>
      </c>
      <c r="S960" s="3">
        <v>-3.6748658642601129E-2</v>
      </c>
      <c r="T960" s="3">
        <v>3.6055136170906055E-2</v>
      </c>
    </row>
    <row r="961" spans="1:20" x14ac:dyDescent="0.25">
      <c r="A961" t="s">
        <v>78</v>
      </c>
      <c r="B961" t="s">
        <v>79</v>
      </c>
      <c r="C961" t="s">
        <v>5926</v>
      </c>
      <c r="D961" t="s">
        <v>5925</v>
      </c>
      <c r="E961">
        <v>644.29999999999995</v>
      </c>
      <c r="F961">
        <v>649</v>
      </c>
      <c r="G961">
        <v>656.9</v>
      </c>
      <c r="H961">
        <v>635.15</v>
      </c>
      <c r="I961" s="1">
        <v>638.95000000000005</v>
      </c>
      <c r="J961">
        <v>170689383.30000001</v>
      </c>
      <c r="K961">
        <v>263990</v>
      </c>
      <c r="L961" t="s">
        <v>78</v>
      </c>
      <c r="M961" t="s">
        <v>17</v>
      </c>
      <c r="N961">
        <v>20650</v>
      </c>
      <c r="O961">
        <v>710</v>
      </c>
      <c r="P961">
        <v>406.95</v>
      </c>
      <c r="Q961" s="1" t="str">
        <v/>
      </c>
      <c r="R961" s="1" t="str">
        <v/>
      </c>
      <c r="S961" s="3">
        <v>0</v>
      </c>
      <c r="T961" s="3">
        <v>0</v>
      </c>
    </row>
    <row r="962" spans="1:20" x14ac:dyDescent="0.25">
      <c r="A962" t="s">
        <v>78</v>
      </c>
      <c r="B962" t="s">
        <v>79</v>
      </c>
      <c r="C962" t="s">
        <v>1405</v>
      </c>
      <c r="D962" t="s">
        <v>1406</v>
      </c>
      <c r="E962">
        <v>1218.2</v>
      </c>
      <c r="F962">
        <v>1224.5</v>
      </c>
      <c r="G962">
        <v>1233.4000000000001</v>
      </c>
      <c r="H962">
        <v>1213.1500000000001</v>
      </c>
      <c r="I962" s="1">
        <v>1227.25</v>
      </c>
      <c r="J962">
        <v>274939651.69999999</v>
      </c>
      <c r="K962">
        <v>224631</v>
      </c>
      <c r="L962" t="s">
        <v>78</v>
      </c>
      <c r="M962" t="s">
        <v>17</v>
      </c>
      <c r="N962">
        <v>22420</v>
      </c>
      <c r="O962">
        <v>1374.6</v>
      </c>
      <c r="P962">
        <v>775.05</v>
      </c>
      <c r="Q962" s="1">
        <v>2049.25</v>
      </c>
      <c r="R962" s="1">
        <v>916</v>
      </c>
      <c r="S962" s="3">
        <v>-4.1824986671387565E-2</v>
      </c>
      <c r="T962" s="3">
        <v>1.4725092212498625E-2</v>
      </c>
    </row>
    <row r="963" spans="1:20" x14ac:dyDescent="0.25">
      <c r="A963" t="s">
        <v>78</v>
      </c>
      <c r="B963" t="s">
        <v>79</v>
      </c>
      <c r="C963" t="s">
        <v>1407</v>
      </c>
      <c r="D963" t="s">
        <v>1408</v>
      </c>
      <c r="E963">
        <v>217.1</v>
      </c>
      <c r="F963">
        <v>218</v>
      </c>
      <c r="G963">
        <v>218.29</v>
      </c>
      <c r="H963">
        <v>212</v>
      </c>
      <c r="I963" s="1">
        <v>213.33</v>
      </c>
      <c r="J963">
        <v>70199613.599999994</v>
      </c>
      <c r="K963">
        <v>327732</v>
      </c>
      <c r="L963" t="s">
        <v>78</v>
      </c>
      <c r="M963" t="s">
        <v>17</v>
      </c>
      <c r="N963">
        <v>7674</v>
      </c>
      <c r="O963">
        <v>431.75</v>
      </c>
      <c r="P963">
        <v>191.5</v>
      </c>
      <c r="Q963" s="1">
        <v>338.1</v>
      </c>
      <c r="R963" s="1" t="str">
        <v/>
      </c>
      <c r="S963" s="3">
        <v>-3.7648124834999241E-2</v>
      </c>
      <c r="T963" s="3">
        <v>0</v>
      </c>
    </row>
    <row r="964" spans="1:20" x14ac:dyDescent="0.25">
      <c r="A964" t="s">
        <v>78</v>
      </c>
      <c r="B964" t="s">
        <v>79</v>
      </c>
      <c r="C964" t="s">
        <v>1409</v>
      </c>
      <c r="D964" t="s">
        <v>1410</v>
      </c>
      <c r="E964">
        <v>70.98</v>
      </c>
      <c r="F964">
        <v>71.25</v>
      </c>
      <c r="G964">
        <v>71.94</v>
      </c>
      <c r="H964">
        <v>68.41</v>
      </c>
      <c r="I964" s="1">
        <v>69.05</v>
      </c>
      <c r="J964">
        <v>5516758243.3299999</v>
      </c>
      <c r="K964">
        <v>79236761</v>
      </c>
      <c r="L964" t="s">
        <v>78</v>
      </c>
      <c r="M964" t="s">
        <v>17</v>
      </c>
      <c r="N964">
        <v>214104</v>
      </c>
      <c r="O964">
        <v>78.150000000000006</v>
      </c>
      <c r="P964">
        <v>24.95</v>
      </c>
      <c r="Q964" s="1">
        <v>177.6</v>
      </c>
      <c r="R964" s="1">
        <v>89.15</v>
      </c>
      <c r="S964" s="3">
        <v>-7.5706156908622813E-2</v>
      </c>
      <c r="T964" s="3">
        <v>-1.2686318869327029E-2</v>
      </c>
    </row>
    <row r="965" spans="1:20" x14ac:dyDescent="0.25">
      <c r="A965" t="s">
        <v>78</v>
      </c>
      <c r="B965" t="s">
        <v>1352</v>
      </c>
      <c r="C965" t="s">
        <v>1411</v>
      </c>
      <c r="D965" t="s">
        <v>1412</v>
      </c>
      <c r="E965">
        <v>66.37</v>
      </c>
      <c r="F965">
        <v>66.97</v>
      </c>
      <c r="G965">
        <v>67</v>
      </c>
      <c r="H965">
        <v>66.02</v>
      </c>
      <c r="I965" s="1">
        <v>66.709999999999994</v>
      </c>
      <c r="J965">
        <v>127659845.59</v>
      </c>
      <c r="K965">
        <v>1926498</v>
      </c>
      <c r="L965" t="s">
        <v>78</v>
      </c>
      <c r="M965" t="s">
        <v>17</v>
      </c>
      <c r="N965">
        <v>2915</v>
      </c>
      <c r="O965">
        <v>74.69</v>
      </c>
      <c r="P965">
        <v>63.5</v>
      </c>
      <c r="Q965" s="1">
        <v>55.97</v>
      </c>
      <c r="R965" s="1">
        <v>65.31</v>
      </c>
      <c r="S965" s="3">
        <v>1.4735769328294124E-2</v>
      </c>
      <c r="T965" s="3">
        <v>1.0604662679638555E-3</v>
      </c>
    </row>
    <row r="966" spans="1:20" x14ac:dyDescent="0.25">
      <c r="A966" t="s">
        <v>78</v>
      </c>
      <c r="B966" t="s">
        <v>79</v>
      </c>
      <c r="C966" t="s">
        <v>1413</v>
      </c>
      <c r="D966" t="s">
        <v>1414</v>
      </c>
      <c r="E966">
        <v>323.8</v>
      </c>
      <c r="F966">
        <v>322.5</v>
      </c>
      <c r="G966">
        <v>323.2</v>
      </c>
      <c r="H966">
        <v>307.89999999999998</v>
      </c>
      <c r="I966" s="1">
        <v>312.8</v>
      </c>
      <c r="J966">
        <v>5083603436.9499998</v>
      </c>
      <c r="K966">
        <v>16199861</v>
      </c>
      <c r="L966" t="s">
        <v>78</v>
      </c>
      <c r="M966" t="s">
        <v>17</v>
      </c>
      <c r="N966">
        <v>180252</v>
      </c>
      <c r="O966">
        <v>351.6</v>
      </c>
      <c r="P966">
        <v>80.900000000000006</v>
      </c>
      <c r="Q966" s="1">
        <v>46</v>
      </c>
      <c r="R966" s="1">
        <v>380.2</v>
      </c>
      <c r="S966" s="3">
        <v>0.17320996390556687</v>
      </c>
      <c r="T966" s="3">
        <v>-9.7039378418097844E-3</v>
      </c>
    </row>
    <row r="967" spans="1:20" x14ac:dyDescent="0.25">
      <c r="A967" t="s">
        <v>78</v>
      </c>
      <c r="B967" t="s">
        <v>79</v>
      </c>
      <c r="C967" t="s">
        <v>3808</v>
      </c>
      <c r="D967" t="s">
        <v>5924</v>
      </c>
      <c r="E967">
        <v>272.08</v>
      </c>
      <c r="F967">
        <v>267.39</v>
      </c>
      <c r="G967">
        <v>267.39</v>
      </c>
      <c r="H967">
        <v>252</v>
      </c>
      <c r="I967" s="1">
        <v>257.39999999999998</v>
      </c>
      <c r="J967">
        <v>23091164235.02</v>
      </c>
      <c r="K967">
        <v>89133329</v>
      </c>
      <c r="L967" t="s">
        <v>78</v>
      </c>
      <c r="M967" t="s">
        <v>17</v>
      </c>
      <c r="N967">
        <v>799195</v>
      </c>
      <c r="O967">
        <v>310</v>
      </c>
      <c r="P967">
        <v>50</v>
      </c>
      <c r="Q967" s="1">
        <v>1632</v>
      </c>
      <c r="R967" s="1">
        <v>1162</v>
      </c>
      <c r="S967" s="3">
        <v>-0.14265155266478147</v>
      </c>
      <c r="T967" s="3">
        <v>-7.2555254398866897E-2</v>
      </c>
    </row>
    <row r="968" spans="1:20" x14ac:dyDescent="0.25">
      <c r="A968" t="s">
        <v>78</v>
      </c>
      <c r="B968" t="s">
        <v>79</v>
      </c>
      <c r="C968" t="s">
        <v>1419</v>
      </c>
      <c r="D968" t="s">
        <v>1420</v>
      </c>
      <c r="E968">
        <v>67.06</v>
      </c>
      <c r="F968">
        <v>67.39</v>
      </c>
      <c r="G968">
        <v>67.5</v>
      </c>
      <c r="H968">
        <v>62.9</v>
      </c>
      <c r="I968" s="1">
        <v>63.87</v>
      </c>
      <c r="J968">
        <v>72749121.719999999</v>
      </c>
      <c r="K968">
        <v>1114792</v>
      </c>
      <c r="L968" t="s">
        <v>78</v>
      </c>
      <c r="M968" t="s">
        <v>17</v>
      </c>
      <c r="N968">
        <v>7036</v>
      </c>
      <c r="O968">
        <v>485.95</v>
      </c>
      <c r="P968">
        <v>62.9</v>
      </c>
      <c r="Q968" s="1">
        <v>147</v>
      </c>
      <c r="R968" s="1" t="str">
        <v/>
      </c>
      <c r="S968" s="3">
        <v>-6.7107435107384927E-2</v>
      </c>
      <c r="T968" s="3">
        <v>0</v>
      </c>
    </row>
    <row r="969" spans="1:20" x14ac:dyDescent="0.25">
      <c r="A969" t="s">
        <v>78</v>
      </c>
      <c r="B969" t="s">
        <v>79</v>
      </c>
      <c r="C969" t="s">
        <v>5923</v>
      </c>
      <c r="D969" t="s">
        <v>5922</v>
      </c>
      <c r="E969">
        <v>466.85</v>
      </c>
      <c r="F969">
        <v>466.8</v>
      </c>
      <c r="G969">
        <v>469.6</v>
      </c>
      <c r="H969">
        <v>458.6</v>
      </c>
      <c r="I969" s="1">
        <v>462.85</v>
      </c>
      <c r="J969">
        <v>48020253.5</v>
      </c>
      <c r="K969">
        <v>103697</v>
      </c>
      <c r="L969" t="s">
        <v>78</v>
      </c>
      <c r="M969" t="s">
        <v>17</v>
      </c>
      <c r="N969">
        <v>7044</v>
      </c>
      <c r="O969">
        <v>641</v>
      </c>
      <c r="P969">
        <v>431.6</v>
      </c>
      <c r="Q969" s="1" t="str">
        <v/>
      </c>
      <c r="R969" s="1" t="str">
        <v/>
      </c>
      <c r="S969" s="3">
        <v>0</v>
      </c>
      <c r="T969" s="3">
        <v>0</v>
      </c>
    </row>
    <row r="970" spans="1:20" x14ac:dyDescent="0.25">
      <c r="A970" t="s">
        <v>78</v>
      </c>
      <c r="B970" t="s">
        <v>79</v>
      </c>
      <c r="C970" t="s">
        <v>1421</v>
      </c>
      <c r="D970" t="s">
        <v>1422</v>
      </c>
      <c r="E970">
        <v>768.85</v>
      </c>
      <c r="F970">
        <v>769</v>
      </c>
      <c r="G970">
        <v>783</v>
      </c>
      <c r="H970">
        <v>769</v>
      </c>
      <c r="I970" s="1">
        <v>781.5</v>
      </c>
      <c r="J970">
        <v>280106818.19999999</v>
      </c>
      <c r="K970">
        <v>359579</v>
      </c>
      <c r="L970" t="s">
        <v>78</v>
      </c>
      <c r="M970" t="s">
        <v>17</v>
      </c>
      <c r="N970">
        <v>12968</v>
      </c>
      <c r="O970">
        <v>866.45</v>
      </c>
      <c r="P970">
        <v>607.85</v>
      </c>
      <c r="Q970" s="1">
        <v>753.05</v>
      </c>
      <c r="R970" s="1">
        <v>222.35</v>
      </c>
      <c r="S970" s="3">
        <v>3.0950734800498925E-3</v>
      </c>
      <c r="T970" s="3">
        <v>6.4828446596074674E-2</v>
      </c>
    </row>
    <row r="971" spans="1:20" x14ac:dyDescent="0.25">
      <c r="A971" t="s">
        <v>78</v>
      </c>
      <c r="B971" t="s">
        <v>79</v>
      </c>
      <c r="C971" t="s">
        <v>1423</v>
      </c>
      <c r="D971" t="s">
        <v>1424</v>
      </c>
      <c r="E971">
        <v>131.57</v>
      </c>
      <c r="F971">
        <v>131.57</v>
      </c>
      <c r="G971">
        <v>133.24</v>
      </c>
      <c r="H971">
        <v>128.25</v>
      </c>
      <c r="I971" s="1">
        <v>130.87</v>
      </c>
      <c r="J971">
        <v>5768573.5700000003</v>
      </c>
      <c r="K971">
        <v>43991</v>
      </c>
      <c r="L971" t="s">
        <v>78</v>
      </c>
      <c r="M971" t="s">
        <v>17</v>
      </c>
      <c r="N971">
        <v>1626</v>
      </c>
      <c r="O971">
        <v>191.75</v>
      </c>
      <c r="P971">
        <v>107.5</v>
      </c>
      <c r="Q971" s="1">
        <v>114.35</v>
      </c>
      <c r="R971" s="1">
        <v>87.2</v>
      </c>
      <c r="S971" s="3">
        <v>1.1308508480813106E-2</v>
      </c>
      <c r="T971" s="3">
        <v>2.049610801447721E-2</v>
      </c>
    </row>
    <row r="972" spans="1:20" x14ac:dyDescent="0.25">
      <c r="A972" t="s">
        <v>78</v>
      </c>
      <c r="B972" t="s">
        <v>79</v>
      </c>
      <c r="C972" t="s">
        <v>1425</v>
      </c>
      <c r="D972" t="s">
        <v>1426</v>
      </c>
      <c r="E972">
        <v>1491.6</v>
      </c>
      <c r="F972">
        <v>1491.6</v>
      </c>
      <c r="G972">
        <v>1491.75</v>
      </c>
      <c r="H972">
        <v>1390.95</v>
      </c>
      <c r="I972" s="1">
        <v>1406.5</v>
      </c>
      <c r="J972">
        <v>132205419.34999999</v>
      </c>
      <c r="K972">
        <v>92519</v>
      </c>
      <c r="L972" t="s">
        <v>78</v>
      </c>
      <c r="M972" t="s">
        <v>17</v>
      </c>
      <c r="N972">
        <v>11079</v>
      </c>
      <c r="O972">
        <v>1523.05</v>
      </c>
      <c r="P972">
        <v>656</v>
      </c>
      <c r="Q972" s="1">
        <v>782</v>
      </c>
      <c r="R972" s="1" t="str">
        <v/>
      </c>
      <c r="S972" s="3">
        <v>5.0133263724305044E-2</v>
      </c>
      <c r="T972" s="3">
        <v>0</v>
      </c>
    </row>
    <row r="973" spans="1:20" x14ac:dyDescent="0.25">
      <c r="A973" t="s">
        <v>78</v>
      </c>
      <c r="B973" t="s">
        <v>287</v>
      </c>
      <c r="C973" t="s">
        <v>5921</v>
      </c>
      <c r="D973" t="s">
        <v>5920</v>
      </c>
      <c r="E973">
        <v>2.25</v>
      </c>
      <c r="F973">
        <v>2.2999999999999998</v>
      </c>
      <c r="G973">
        <v>2.35</v>
      </c>
      <c r="H973">
        <v>2.2999999999999998</v>
      </c>
      <c r="I973" s="1">
        <v>2.35</v>
      </c>
      <c r="J973">
        <v>1238400</v>
      </c>
      <c r="K973">
        <v>528000</v>
      </c>
      <c r="L973" t="s">
        <v>78</v>
      </c>
      <c r="M973" t="s">
        <v>17</v>
      </c>
      <c r="N973">
        <v>11</v>
      </c>
      <c r="O973">
        <v>164.85</v>
      </c>
      <c r="P973">
        <v>1.7</v>
      </c>
      <c r="Q973" s="1" t="str">
        <v/>
      </c>
      <c r="R973" s="1" t="str">
        <v/>
      </c>
      <c r="S973" s="3">
        <v>0</v>
      </c>
      <c r="T973" s="3">
        <v>0</v>
      </c>
    </row>
    <row r="974" spans="1:20" x14ac:dyDescent="0.25">
      <c r="A974" t="s">
        <v>78</v>
      </c>
      <c r="B974" t="s">
        <v>79</v>
      </c>
      <c r="C974" t="s">
        <v>3195</v>
      </c>
      <c r="D974" t="s">
        <v>3196</v>
      </c>
      <c r="E974">
        <v>147.76</v>
      </c>
      <c r="F974">
        <v>147</v>
      </c>
      <c r="G974">
        <v>154.88999999999999</v>
      </c>
      <c r="H974">
        <v>142.19999999999999</v>
      </c>
      <c r="I974" s="1">
        <v>148.1</v>
      </c>
      <c r="J974">
        <v>355326468.24000001</v>
      </c>
      <c r="K974">
        <v>2381293</v>
      </c>
      <c r="L974" t="s">
        <v>78</v>
      </c>
      <c r="M974" t="s">
        <v>17</v>
      </c>
      <c r="N974">
        <v>35738</v>
      </c>
      <c r="O974">
        <v>157.9</v>
      </c>
      <c r="P974">
        <v>68.2</v>
      </c>
      <c r="Q974" s="1">
        <v>22.55</v>
      </c>
      <c r="R974" s="1">
        <v>4.5999999999999996</v>
      </c>
      <c r="S974" s="3">
        <v>0.16981551233358583</v>
      </c>
      <c r="T974" s="3">
        <v>0.1894565287925114</v>
      </c>
    </row>
    <row r="975" spans="1:20" x14ac:dyDescent="0.25">
      <c r="A975" t="s">
        <v>78</v>
      </c>
      <c r="B975" t="s">
        <v>287</v>
      </c>
      <c r="C975" t="s">
        <v>5919</v>
      </c>
      <c r="D975" t="s">
        <v>5918</v>
      </c>
      <c r="E975">
        <v>34.85</v>
      </c>
      <c r="F975">
        <v>35.15</v>
      </c>
      <c r="G975">
        <v>35.15</v>
      </c>
      <c r="H975">
        <v>34</v>
      </c>
      <c r="I975" s="1">
        <v>34</v>
      </c>
      <c r="J975">
        <v>621300</v>
      </c>
      <c r="K975">
        <v>18000</v>
      </c>
      <c r="L975" t="s">
        <v>78</v>
      </c>
      <c r="M975" t="s">
        <v>17</v>
      </c>
      <c r="N975">
        <v>9</v>
      </c>
      <c r="O975">
        <v>61.4</v>
      </c>
      <c r="P975">
        <v>30.1</v>
      </c>
      <c r="Q975" s="1" t="str">
        <v/>
      </c>
      <c r="R975" s="1" t="str">
        <v/>
      </c>
      <c r="S975" s="3">
        <v>0</v>
      </c>
      <c r="T975" s="3">
        <v>0</v>
      </c>
    </row>
    <row r="976" spans="1:20" x14ac:dyDescent="0.25">
      <c r="A976" t="s">
        <v>78</v>
      </c>
      <c r="B976" t="s">
        <v>79</v>
      </c>
      <c r="C976" t="s">
        <v>1427</v>
      </c>
      <c r="D976" t="s">
        <v>1428</v>
      </c>
      <c r="E976">
        <v>801.55</v>
      </c>
      <c r="F976">
        <v>802.9</v>
      </c>
      <c r="G976">
        <v>807.2</v>
      </c>
      <c r="H976">
        <v>772.2</v>
      </c>
      <c r="I976" s="1">
        <v>776.5</v>
      </c>
      <c r="J976">
        <v>99735448.950000003</v>
      </c>
      <c r="K976">
        <v>127402</v>
      </c>
      <c r="L976" t="s">
        <v>78</v>
      </c>
      <c r="M976" t="s">
        <v>17</v>
      </c>
      <c r="N976">
        <v>9854</v>
      </c>
      <c r="O976">
        <v>930.8</v>
      </c>
      <c r="P976">
        <v>328.95</v>
      </c>
      <c r="Q976" s="1">
        <v>390.85</v>
      </c>
      <c r="R976" s="1">
        <v>200.05</v>
      </c>
      <c r="S976" s="3">
        <v>5.8873985482418734E-2</v>
      </c>
      <c r="T976" s="3">
        <v>7.0123785050613119E-2</v>
      </c>
    </row>
    <row r="977" spans="1:20" x14ac:dyDescent="0.25">
      <c r="A977" t="s">
        <v>78</v>
      </c>
      <c r="B977" t="s">
        <v>79</v>
      </c>
      <c r="C977" t="s">
        <v>1429</v>
      </c>
      <c r="D977" t="s">
        <v>1430</v>
      </c>
      <c r="E977">
        <v>513.79999999999995</v>
      </c>
      <c r="F977">
        <v>513.79999999999995</v>
      </c>
      <c r="G977">
        <v>519</v>
      </c>
      <c r="H977">
        <v>500.1</v>
      </c>
      <c r="I977" s="1">
        <v>516.4</v>
      </c>
      <c r="J977">
        <v>759941875.14999998</v>
      </c>
      <c r="K977">
        <v>1486120</v>
      </c>
      <c r="L977" t="s">
        <v>78</v>
      </c>
      <c r="M977" t="s">
        <v>17</v>
      </c>
      <c r="N977">
        <v>30992</v>
      </c>
      <c r="O977">
        <v>589.95000000000005</v>
      </c>
      <c r="P977">
        <v>173.05</v>
      </c>
      <c r="Q977" s="1">
        <v>88.75</v>
      </c>
      <c r="R977" s="1">
        <v>87</v>
      </c>
      <c r="S977" s="3">
        <v>0.15807003031537081</v>
      </c>
      <c r="T977" s="3">
        <v>9.308055788562708E-2</v>
      </c>
    </row>
    <row r="978" spans="1:20" x14ac:dyDescent="0.25">
      <c r="A978" t="s">
        <v>78</v>
      </c>
      <c r="B978" t="s">
        <v>79</v>
      </c>
      <c r="C978" t="s">
        <v>1431</v>
      </c>
      <c r="D978" t="s">
        <v>1432</v>
      </c>
      <c r="E978">
        <v>313.25</v>
      </c>
      <c r="F978">
        <v>313.10000000000002</v>
      </c>
      <c r="G978">
        <v>313.2</v>
      </c>
      <c r="H978">
        <v>301.64999999999998</v>
      </c>
      <c r="I978" s="1">
        <v>303.35000000000002</v>
      </c>
      <c r="J978">
        <v>670500154.95000005</v>
      </c>
      <c r="K978">
        <v>2194245</v>
      </c>
      <c r="L978" t="s">
        <v>78</v>
      </c>
      <c r="M978" t="s">
        <v>17</v>
      </c>
      <c r="N978">
        <v>35286</v>
      </c>
      <c r="O978">
        <v>384.3</v>
      </c>
      <c r="P978">
        <v>108.15</v>
      </c>
      <c r="Q978" s="1">
        <v>132.75</v>
      </c>
      <c r="R978" s="1">
        <v>84</v>
      </c>
      <c r="S978" s="3">
        <v>7.1295109779287547E-2</v>
      </c>
      <c r="T978" s="3">
        <v>6.6271903353376072E-2</v>
      </c>
    </row>
    <row r="979" spans="1:20" x14ac:dyDescent="0.25">
      <c r="A979" t="s">
        <v>78</v>
      </c>
      <c r="B979" t="s">
        <v>79</v>
      </c>
      <c r="C979" t="s">
        <v>3197</v>
      </c>
      <c r="D979" t="s">
        <v>3198</v>
      </c>
      <c r="E979">
        <v>12.9</v>
      </c>
      <c r="F979">
        <v>13.09</v>
      </c>
      <c r="G979">
        <v>13.13</v>
      </c>
      <c r="H979">
        <v>12.76</v>
      </c>
      <c r="I979" s="1">
        <v>12.94</v>
      </c>
      <c r="J979">
        <v>9841908.3699999992</v>
      </c>
      <c r="K979">
        <v>761096</v>
      </c>
      <c r="L979" t="s">
        <v>78</v>
      </c>
      <c r="M979" t="s">
        <v>17</v>
      </c>
      <c r="N979">
        <v>3846</v>
      </c>
      <c r="O979">
        <v>14.75</v>
      </c>
      <c r="P979">
        <v>8.4</v>
      </c>
      <c r="Q979" s="1">
        <v>6.45</v>
      </c>
      <c r="R979" s="1">
        <v>3.6</v>
      </c>
      <c r="S979" s="3">
        <v>5.9736469132832593E-2</v>
      </c>
      <c r="T979" s="3">
        <v>6.6022507620079773E-2</v>
      </c>
    </row>
    <row r="980" spans="1:20" x14ac:dyDescent="0.25">
      <c r="A980" t="s">
        <v>78</v>
      </c>
      <c r="B980" t="s">
        <v>79</v>
      </c>
      <c r="C980" t="s">
        <v>3199</v>
      </c>
      <c r="D980" t="s">
        <v>3200</v>
      </c>
      <c r="E980">
        <v>7978.8</v>
      </c>
      <c r="F980">
        <v>7970</v>
      </c>
      <c r="G980">
        <v>8238.9500000000007</v>
      </c>
      <c r="H980">
        <v>7742.1</v>
      </c>
      <c r="I980" s="1">
        <v>7850.95</v>
      </c>
      <c r="J980">
        <v>110620396</v>
      </c>
      <c r="K980">
        <v>13955</v>
      </c>
      <c r="L980" t="s">
        <v>78</v>
      </c>
      <c r="M980" t="s">
        <v>17</v>
      </c>
      <c r="N980">
        <v>2827</v>
      </c>
      <c r="O980">
        <v>8399.9</v>
      </c>
      <c r="P980">
        <v>2324.9499999999998</v>
      </c>
      <c r="Q980" s="1">
        <v>735</v>
      </c>
      <c r="R980" s="1" t="str">
        <v/>
      </c>
      <c r="S980" s="3">
        <v>0.21820274199938883</v>
      </c>
      <c r="T980" s="3">
        <v>0</v>
      </c>
    </row>
    <row r="981" spans="1:20" x14ac:dyDescent="0.25">
      <c r="A981" t="s">
        <v>78</v>
      </c>
      <c r="B981" t="s">
        <v>79</v>
      </c>
      <c r="C981" t="s">
        <v>5917</v>
      </c>
      <c r="D981" t="s">
        <v>5916</v>
      </c>
      <c r="E981">
        <v>173.24</v>
      </c>
      <c r="F981">
        <v>174</v>
      </c>
      <c r="G981">
        <v>178.3</v>
      </c>
      <c r="H981">
        <v>171.07</v>
      </c>
      <c r="I981" s="1">
        <v>173.11</v>
      </c>
      <c r="J981">
        <v>437603289.97000003</v>
      </c>
      <c r="K981">
        <v>2505710</v>
      </c>
      <c r="L981" t="s">
        <v>78</v>
      </c>
      <c r="M981" t="s">
        <v>17</v>
      </c>
      <c r="N981">
        <v>31117</v>
      </c>
      <c r="O981">
        <v>197.5</v>
      </c>
      <c r="P981">
        <v>135</v>
      </c>
      <c r="Q981" s="1" t="str">
        <v/>
      </c>
      <c r="R981" s="1" t="str">
        <v/>
      </c>
      <c r="S981" s="3">
        <v>0</v>
      </c>
      <c r="T981" s="3">
        <v>0</v>
      </c>
    </row>
    <row r="982" spans="1:20" x14ac:dyDescent="0.25">
      <c r="A982" t="s">
        <v>78</v>
      </c>
      <c r="B982" t="s">
        <v>79</v>
      </c>
      <c r="C982" t="s">
        <v>1435</v>
      </c>
      <c r="D982" t="s">
        <v>1436</v>
      </c>
      <c r="E982">
        <v>501.05</v>
      </c>
      <c r="F982">
        <v>502.5</v>
      </c>
      <c r="G982">
        <v>508.75</v>
      </c>
      <c r="H982">
        <v>475</v>
      </c>
      <c r="I982" s="1">
        <v>476.45</v>
      </c>
      <c r="J982">
        <v>67389028.849999994</v>
      </c>
      <c r="K982">
        <v>138896</v>
      </c>
      <c r="L982" t="s">
        <v>78</v>
      </c>
      <c r="M982" t="s">
        <v>17</v>
      </c>
      <c r="N982">
        <v>5683</v>
      </c>
      <c r="O982">
        <v>558.95000000000005</v>
      </c>
      <c r="P982">
        <v>262.8</v>
      </c>
      <c r="Q982" s="1">
        <v>85</v>
      </c>
      <c r="R982" s="1">
        <v>29.7</v>
      </c>
      <c r="S982" s="3">
        <v>0.15447145837615639</v>
      </c>
      <c r="T982" s="3">
        <v>0.14876194780059837</v>
      </c>
    </row>
    <row r="983" spans="1:20" x14ac:dyDescent="0.25">
      <c r="A983" t="s">
        <v>78</v>
      </c>
      <c r="B983" t="s">
        <v>79</v>
      </c>
      <c r="C983" t="s">
        <v>1437</v>
      </c>
      <c r="D983" t="s">
        <v>1438</v>
      </c>
      <c r="E983">
        <v>113.91</v>
      </c>
      <c r="F983">
        <v>113.85</v>
      </c>
      <c r="G983">
        <v>115.84</v>
      </c>
      <c r="H983">
        <v>111.11</v>
      </c>
      <c r="I983" s="1">
        <v>111.74</v>
      </c>
      <c r="J983">
        <v>464698888.69</v>
      </c>
      <c r="K983">
        <v>4120127</v>
      </c>
      <c r="L983" t="s">
        <v>78</v>
      </c>
      <c r="M983" t="s">
        <v>17</v>
      </c>
      <c r="N983">
        <v>26048</v>
      </c>
      <c r="O983">
        <v>152.5</v>
      </c>
      <c r="P983">
        <v>66</v>
      </c>
      <c r="Q983" s="1">
        <v>37</v>
      </c>
      <c r="R983" s="1">
        <v>37.5</v>
      </c>
      <c r="S983" s="3">
        <v>9.6479656904358224E-2</v>
      </c>
      <c r="T983" s="3">
        <v>5.6077733326433954E-2</v>
      </c>
    </row>
    <row r="984" spans="1:20" x14ac:dyDescent="0.25">
      <c r="A984" t="s">
        <v>78</v>
      </c>
      <c r="B984" t="s">
        <v>79</v>
      </c>
      <c r="C984" t="s">
        <v>1439</v>
      </c>
      <c r="D984" t="s">
        <v>1440</v>
      </c>
      <c r="E984">
        <v>95.15</v>
      </c>
      <c r="F984">
        <v>95.16</v>
      </c>
      <c r="G984">
        <v>100.49</v>
      </c>
      <c r="H984">
        <v>94.81</v>
      </c>
      <c r="I984" s="1">
        <v>98.95</v>
      </c>
      <c r="J984">
        <v>119868345.42</v>
      </c>
      <c r="K984">
        <v>1222749</v>
      </c>
      <c r="L984" t="s">
        <v>78</v>
      </c>
      <c r="M984" t="s">
        <v>17</v>
      </c>
      <c r="N984">
        <v>12158</v>
      </c>
      <c r="O984">
        <v>129.5</v>
      </c>
      <c r="P984">
        <v>83</v>
      </c>
      <c r="Q984" s="1">
        <v>65.55</v>
      </c>
      <c r="R984" s="1">
        <v>92.65</v>
      </c>
      <c r="S984" s="3">
        <v>3.4912403138237069E-2</v>
      </c>
      <c r="T984" s="3">
        <v>3.2928943084271634E-3</v>
      </c>
    </row>
    <row r="985" spans="1:20" x14ac:dyDescent="0.25">
      <c r="A985" t="s">
        <v>78</v>
      </c>
      <c r="B985" t="s">
        <v>79</v>
      </c>
      <c r="C985" t="s">
        <v>1441</v>
      </c>
      <c r="D985" t="s">
        <v>1442</v>
      </c>
      <c r="E985">
        <v>368.15</v>
      </c>
      <c r="F985">
        <v>370</v>
      </c>
      <c r="G985">
        <v>372.55</v>
      </c>
      <c r="H985">
        <v>360</v>
      </c>
      <c r="I985" s="1">
        <v>363.65</v>
      </c>
      <c r="J985">
        <v>11996060.949999999</v>
      </c>
      <c r="K985">
        <v>32930</v>
      </c>
      <c r="L985" t="s">
        <v>78</v>
      </c>
      <c r="M985" t="s">
        <v>17</v>
      </c>
      <c r="N985">
        <v>2614</v>
      </c>
      <c r="O985">
        <v>514.85</v>
      </c>
      <c r="P985">
        <v>273.60000000000002</v>
      </c>
      <c r="Q985" s="1">
        <v>161.94999999999999</v>
      </c>
      <c r="R985" s="1">
        <v>23.2</v>
      </c>
      <c r="S985" s="3">
        <v>6.9732572595610831E-2</v>
      </c>
      <c r="T985" s="3">
        <v>0.14743225290054762</v>
      </c>
    </row>
    <row r="986" spans="1:20" x14ac:dyDescent="0.25">
      <c r="A986" t="s">
        <v>78</v>
      </c>
      <c r="B986" t="s">
        <v>79</v>
      </c>
      <c r="C986" t="s">
        <v>1445</v>
      </c>
      <c r="D986" t="s">
        <v>1446</v>
      </c>
      <c r="E986">
        <v>388.7</v>
      </c>
      <c r="F986">
        <v>388.7</v>
      </c>
      <c r="G986">
        <v>389</v>
      </c>
      <c r="H986">
        <v>376.45</v>
      </c>
      <c r="I986" s="1">
        <v>379.1</v>
      </c>
      <c r="J986">
        <v>338487265.30000001</v>
      </c>
      <c r="K986">
        <v>885709</v>
      </c>
      <c r="L986" t="s">
        <v>78</v>
      </c>
      <c r="M986" t="s">
        <v>17</v>
      </c>
      <c r="N986">
        <v>23853</v>
      </c>
      <c r="O986">
        <v>438.3</v>
      </c>
      <c r="P986">
        <v>171.05</v>
      </c>
      <c r="Q986" s="1">
        <v>163</v>
      </c>
      <c r="R986" s="1">
        <v>89.5</v>
      </c>
      <c r="S986" s="3">
        <v>7.2870197915279711E-2</v>
      </c>
      <c r="T986" s="3">
        <v>7.4804239164350417E-2</v>
      </c>
    </row>
    <row r="987" spans="1:20" x14ac:dyDescent="0.25">
      <c r="A987" t="s">
        <v>78</v>
      </c>
      <c r="B987" t="s">
        <v>287</v>
      </c>
      <c r="C987" t="s">
        <v>5915</v>
      </c>
      <c r="D987" t="s">
        <v>5914</v>
      </c>
      <c r="E987">
        <v>147.94999999999999</v>
      </c>
      <c r="F987">
        <v>147</v>
      </c>
      <c r="G987">
        <v>147</v>
      </c>
      <c r="H987">
        <v>147</v>
      </c>
      <c r="I987" s="1">
        <v>147</v>
      </c>
      <c r="J987">
        <v>147000</v>
      </c>
      <c r="K987">
        <v>1000</v>
      </c>
      <c r="L987" t="s">
        <v>78</v>
      </c>
      <c r="M987" t="s">
        <v>17</v>
      </c>
      <c r="N987">
        <v>1</v>
      </c>
      <c r="O987">
        <v>188</v>
      </c>
      <c r="P987">
        <v>112</v>
      </c>
      <c r="Q987" s="1" t="str">
        <v/>
      </c>
      <c r="R987" s="1" t="str">
        <v/>
      </c>
      <c r="S987" s="3">
        <v>0</v>
      </c>
      <c r="T987" s="3">
        <v>0</v>
      </c>
    </row>
    <row r="988" spans="1:20" x14ac:dyDescent="0.25">
      <c r="A988" t="s">
        <v>78</v>
      </c>
      <c r="B988" t="s">
        <v>287</v>
      </c>
      <c r="C988" t="s">
        <v>1447</v>
      </c>
      <c r="D988" t="s">
        <v>1448</v>
      </c>
      <c r="E988">
        <v>3.45</v>
      </c>
      <c r="F988">
        <v>3.4</v>
      </c>
      <c r="G988">
        <v>3.4</v>
      </c>
      <c r="H988">
        <v>3.2</v>
      </c>
      <c r="I988" s="1">
        <v>3.2</v>
      </c>
      <c r="J988">
        <v>606150</v>
      </c>
      <c r="K988">
        <v>186000</v>
      </c>
      <c r="L988" t="s">
        <v>78</v>
      </c>
      <c r="M988" t="s">
        <v>17</v>
      </c>
      <c r="N988">
        <v>41</v>
      </c>
      <c r="O988">
        <v>8.5</v>
      </c>
      <c r="P988">
        <v>3.2</v>
      </c>
      <c r="Q988" s="1">
        <v>5.3</v>
      </c>
      <c r="R988" s="1">
        <v>4.3</v>
      </c>
      <c r="S988" s="3">
        <v>-4.11746468905968E-2</v>
      </c>
      <c r="T988" s="3">
        <v>-1.4656650294232132E-2</v>
      </c>
    </row>
    <row r="989" spans="1:20" x14ac:dyDescent="0.25">
      <c r="A989" t="s">
        <v>78</v>
      </c>
      <c r="B989" t="s">
        <v>79</v>
      </c>
      <c r="C989" t="s">
        <v>1449</v>
      </c>
      <c r="D989" t="s">
        <v>1450</v>
      </c>
      <c r="E989">
        <v>128.38</v>
      </c>
      <c r="F989">
        <v>128.38</v>
      </c>
      <c r="G989">
        <v>128.38</v>
      </c>
      <c r="H989">
        <v>125.81</v>
      </c>
      <c r="I989" s="1">
        <v>127.17</v>
      </c>
      <c r="J989">
        <v>161452373.37</v>
      </c>
      <c r="K989">
        <v>1271229</v>
      </c>
      <c r="L989" t="s">
        <v>78</v>
      </c>
      <c r="M989" t="s">
        <v>17</v>
      </c>
      <c r="N989">
        <v>14612</v>
      </c>
      <c r="O989">
        <v>144</v>
      </c>
      <c r="P989">
        <v>102.35</v>
      </c>
      <c r="Q989" s="1">
        <v>85.4</v>
      </c>
      <c r="R989" s="1">
        <v>43.35</v>
      </c>
      <c r="S989" s="3">
        <v>3.373820368494429E-2</v>
      </c>
      <c r="T989" s="3">
        <v>5.5253934592210507E-2</v>
      </c>
    </row>
    <row r="990" spans="1:20" x14ac:dyDescent="0.25">
      <c r="A990" t="s">
        <v>78</v>
      </c>
      <c r="B990" t="s">
        <v>79</v>
      </c>
      <c r="C990" t="s">
        <v>1451</v>
      </c>
      <c r="D990" t="s">
        <v>1452</v>
      </c>
      <c r="E990">
        <v>2073.9499999999998</v>
      </c>
      <c r="F990">
        <v>2088.6999999999998</v>
      </c>
      <c r="G990">
        <v>2094.85</v>
      </c>
      <c r="H990">
        <v>2033.65</v>
      </c>
      <c r="I990" s="1">
        <v>2046.65</v>
      </c>
      <c r="J990">
        <v>52041599.600000001</v>
      </c>
      <c r="K990">
        <v>25332</v>
      </c>
      <c r="L990" t="s">
        <v>78</v>
      </c>
      <c r="M990" t="s">
        <v>17</v>
      </c>
      <c r="N990">
        <v>2947</v>
      </c>
      <c r="O990">
        <v>2552</v>
      </c>
      <c r="P990">
        <v>1180</v>
      </c>
      <c r="Q990" s="1">
        <v>561.1</v>
      </c>
      <c r="R990" s="1">
        <v>105.5</v>
      </c>
      <c r="S990" s="3">
        <v>0.11386769699082966</v>
      </c>
      <c r="T990" s="3">
        <v>0.15972306159603367</v>
      </c>
    </row>
    <row r="991" spans="1:20" x14ac:dyDescent="0.25">
      <c r="A991" t="s">
        <v>78</v>
      </c>
      <c r="B991" t="s">
        <v>79</v>
      </c>
      <c r="C991" t="s">
        <v>1453</v>
      </c>
      <c r="D991" t="s">
        <v>1454</v>
      </c>
      <c r="E991">
        <v>308.2</v>
      </c>
      <c r="F991">
        <v>308.2</v>
      </c>
      <c r="G991">
        <v>318.25</v>
      </c>
      <c r="H991">
        <v>305.85000000000002</v>
      </c>
      <c r="I991" s="1">
        <v>309.2</v>
      </c>
      <c r="J991">
        <v>13343994.65</v>
      </c>
      <c r="K991">
        <v>42786</v>
      </c>
      <c r="L991" t="s">
        <v>78</v>
      </c>
      <c r="M991" t="s">
        <v>17</v>
      </c>
      <c r="N991">
        <v>3640</v>
      </c>
      <c r="O991">
        <v>349.5</v>
      </c>
      <c r="P991">
        <v>184.9</v>
      </c>
      <c r="Q991" s="1">
        <v>236</v>
      </c>
      <c r="R991" s="1">
        <v>147.5</v>
      </c>
      <c r="S991" s="3">
        <v>2.2768373677808373E-2</v>
      </c>
      <c r="T991" s="3">
        <v>3.7680298583858907E-2</v>
      </c>
    </row>
    <row r="992" spans="1:20" x14ac:dyDescent="0.25">
      <c r="A992" t="s">
        <v>78</v>
      </c>
      <c r="B992" t="s">
        <v>79</v>
      </c>
      <c r="C992" t="s">
        <v>1455</v>
      </c>
      <c r="D992" t="s">
        <v>1456</v>
      </c>
      <c r="E992">
        <v>110.24</v>
      </c>
      <c r="F992">
        <v>110.5</v>
      </c>
      <c r="G992">
        <v>112.53</v>
      </c>
      <c r="H992">
        <v>108.7</v>
      </c>
      <c r="I992" s="1">
        <v>109.19</v>
      </c>
      <c r="J992">
        <v>15737757.859999999</v>
      </c>
      <c r="K992">
        <v>143069</v>
      </c>
      <c r="L992" t="s">
        <v>78</v>
      </c>
      <c r="M992" t="s">
        <v>17</v>
      </c>
      <c r="N992">
        <v>4780</v>
      </c>
      <c r="O992">
        <v>335</v>
      </c>
      <c r="P992">
        <v>90.25</v>
      </c>
      <c r="Q992" s="1">
        <v>214.8</v>
      </c>
      <c r="R992" s="1">
        <v>155.6</v>
      </c>
      <c r="S992" s="3">
        <v>-5.4824659519100094E-2</v>
      </c>
      <c r="T992" s="3">
        <v>-1.7544528225250988E-2</v>
      </c>
    </row>
    <row r="993" spans="1:20" x14ac:dyDescent="0.25">
      <c r="A993" t="s">
        <v>78</v>
      </c>
      <c r="B993" t="s">
        <v>79</v>
      </c>
      <c r="C993" t="s">
        <v>3201</v>
      </c>
      <c r="D993" t="s">
        <v>3202</v>
      </c>
      <c r="E993">
        <v>47.21</v>
      </c>
      <c r="F993">
        <v>47.7</v>
      </c>
      <c r="G993">
        <v>47.7</v>
      </c>
      <c r="H993">
        <v>45.5</v>
      </c>
      <c r="I993" s="1">
        <v>46.1</v>
      </c>
      <c r="J993">
        <v>15933661.58</v>
      </c>
      <c r="K993">
        <v>344073</v>
      </c>
      <c r="L993" t="s">
        <v>78</v>
      </c>
      <c r="M993" t="s">
        <v>17</v>
      </c>
      <c r="N993">
        <v>4012</v>
      </c>
      <c r="O993">
        <v>65.400000000000006</v>
      </c>
      <c r="P993">
        <v>22.55</v>
      </c>
      <c r="Q993" s="1">
        <v>24</v>
      </c>
      <c r="R993" s="1">
        <v>5.3</v>
      </c>
      <c r="S993" s="3">
        <v>5.590328329893679E-2</v>
      </c>
      <c r="T993" s="3">
        <v>0.11415478349625241</v>
      </c>
    </row>
    <row r="994" spans="1:20" x14ac:dyDescent="0.25">
      <c r="A994" t="s">
        <v>78</v>
      </c>
      <c r="B994" t="s">
        <v>79</v>
      </c>
      <c r="C994" t="s">
        <v>1457</v>
      </c>
      <c r="D994" t="s">
        <v>1458</v>
      </c>
      <c r="E994">
        <v>120.49</v>
      </c>
      <c r="F994">
        <v>121.45</v>
      </c>
      <c r="G994">
        <v>121.84</v>
      </c>
      <c r="H994">
        <v>118.01</v>
      </c>
      <c r="I994" s="1">
        <v>120.06</v>
      </c>
      <c r="J994">
        <v>25882190.489999998</v>
      </c>
      <c r="K994">
        <v>215921</v>
      </c>
      <c r="L994" t="s">
        <v>78</v>
      </c>
      <c r="M994" t="s">
        <v>17</v>
      </c>
      <c r="N994">
        <v>4953</v>
      </c>
      <c r="O994">
        <v>134</v>
      </c>
      <c r="P994">
        <v>86</v>
      </c>
      <c r="Q994" s="1">
        <v>110.65</v>
      </c>
      <c r="R994" s="1">
        <v>49</v>
      </c>
      <c r="S994" s="3">
        <v>6.8248128899393024E-3</v>
      </c>
      <c r="T994" s="3">
        <v>4.580197031101485E-2</v>
      </c>
    </row>
    <row r="995" spans="1:20" x14ac:dyDescent="0.25">
      <c r="A995" t="s">
        <v>78</v>
      </c>
      <c r="B995" t="s">
        <v>79</v>
      </c>
      <c r="C995" t="s">
        <v>1459</v>
      </c>
      <c r="D995" t="s">
        <v>1460</v>
      </c>
      <c r="E995">
        <v>1800.15</v>
      </c>
      <c r="F995">
        <v>1800.1</v>
      </c>
      <c r="G995">
        <v>1815</v>
      </c>
      <c r="H995">
        <v>1770</v>
      </c>
      <c r="I995" s="1">
        <v>1807.35</v>
      </c>
      <c r="J995">
        <v>463097642.55000001</v>
      </c>
      <c r="K995">
        <v>256654</v>
      </c>
      <c r="L995" t="s">
        <v>78</v>
      </c>
      <c r="M995" t="s">
        <v>17</v>
      </c>
      <c r="N995">
        <v>10996</v>
      </c>
      <c r="O995">
        <v>3049</v>
      </c>
      <c r="P995">
        <v>1244.45</v>
      </c>
      <c r="Q995" s="1">
        <v>1851.05</v>
      </c>
      <c r="R995" s="1">
        <v>361.95</v>
      </c>
      <c r="S995" s="3">
        <v>-1.9889661798236924E-3</v>
      </c>
      <c r="T995" s="3">
        <v>8.3678758023370658E-2</v>
      </c>
    </row>
    <row r="996" spans="1:20" x14ac:dyDescent="0.25">
      <c r="A996" t="s">
        <v>78</v>
      </c>
      <c r="B996" t="s">
        <v>79</v>
      </c>
      <c r="C996" t="s">
        <v>1461</v>
      </c>
      <c r="D996" t="s">
        <v>1462</v>
      </c>
      <c r="E996">
        <v>2086.4499999999998</v>
      </c>
      <c r="F996">
        <v>2088.1</v>
      </c>
      <c r="G996">
        <v>2101.4499999999998</v>
      </c>
      <c r="H996">
        <v>2021.75</v>
      </c>
      <c r="I996" s="1">
        <v>2032.85</v>
      </c>
      <c r="J996">
        <v>306026837.55000001</v>
      </c>
      <c r="K996">
        <v>149275</v>
      </c>
      <c r="L996" t="s">
        <v>78</v>
      </c>
      <c r="M996" t="s">
        <v>17</v>
      </c>
      <c r="N996">
        <v>17823</v>
      </c>
      <c r="O996">
        <v>2338.75</v>
      </c>
      <c r="P996">
        <v>1761.1</v>
      </c>
      <c r="Q996" s="1">
        <v>493</v>
      </c>
      <c r="R996" s="1">
        <v>179.55</v>
      </c>
      <c r="S996" s="3">
        <v>0.12530833222003235</v>
      </c>
      <c r="T996" s="3">
        <v>0.12893032093612122</v>
      </c>
    </row>
    <row r="997" spans="1:20" x14ac:dyDescent="0.25">
      <c r="A997" t="s">
        <v>78</v>
      </c>
      <c r="B997" t="s">
        <v>79</v>
      </c>
      <c r="C997" t="s">
        <v>1463</v>
      </c>
      <c r="D997" t="s">
        <v>1464</v>
      </c>
      <c r="E997">
        <v>2049.35</v>
      </c>
      <c r="F997">
        <v>2030</v>
      </c>
      <c r="G997">
        <v>2069.9499999999998</v>
      </c>
      <c r="H997">
        <v>1982.75</v>
      </c>
      <c r="I997" s="1">
        <v>1999.1</v>
      </c>
      <c r="J997">
        <v>140339598.40000001</v>
      </c>
      <c r="K997">
        <v>69521</v>
      </c>
      <c r="L997" t="s">
        <v>78</v>
      </c>
      <c r="M997" t="s">
        <v>17</v>
      </c>
      <c r="N997">
        <v>10281</v>
      </c>
      <c r="O997">
        <v>2115.9</v>
      </c>
      <c r="P997">
        <v>938</v>
      </c>
      <c r="Q997" s="1">
        <v>2282</v>
      </c>
      <c r="R997" s="1">
        <v>1555</v>
      </c>
      <c r="S997" s="3">
        <v>-1.0968994681074595E-2</v>
      </c>
      <c r="T997" s="3">
        <v>1.2633332420590726E-2</v>
      </c>
    </row>
    <row r="998" spans="1:20" x14ac:dyDescent="0.25">
      <c r="A998" t="s">
        <v>78</v>
      </c>
      <c r="B998" t="s">
        <v>79</v>
      </c>
      <c r="C998" t="s">
        <v>5913</v>
      </c>
      <c r="D998" t="s">
        <v>5912</v>
      </c>
      <c r="E998">
        <v>13.42</v>
      </c>
      <c r="F998">
        <v>13.21</v>
      </c>
      <c r="G998">
        <v>13.42</v>
      </c>
      <c r="H998">
        <v>12.96</v>
      </c>
      <c r="I998" s="1">
        <v>13.07</v>
      </c>
      <c r="J998">
        <v>2706298.81</v>
      </c>
      <c r="K998">
        <v>205555</v>
      </c>
      <c r="L998" t="s">
        <v>78</v>
      </c>
      <c r="M998" t="s">
        <v>17</v>
      </c>
      <c r="N998">
        <v>905</v>
      </c>
      <c r="O998">
        <v>16.899999999999999</v>
      </c>
      <c r="P998">
        <v>9.1999999999999993</v>
      </c>
      <c r="Q998" s="1" t="str">
        <v/>
      </c>
      <c r="R998" s="1" t="str">
        <v/>
      </c>
      <c r="S998" s="3">
        <v>0</v>
      </c>
      <c r="T998" s="3">
        <v>0</v>
      </c>
    </row>
    <row r="999" spans="1:20" x14ac:dyDescent="0.25">
      <c r="A999" t="s">
        <v>78</v>
      </c>
      <c r="B999" t="s">
        <v>79</v>
      </c>
      <c r="C999" t="s">
        <v>5911</v>
      </c>
      <c r="D999" t="s">
        <v>5910</v>
      </c>
      <c r="E999">
        <v>251.3</v>
      </c>
      <c r="F999">
        <v>254.5</v>
      </c>
      <c r="G999">
        <v>254.5</v>
      </c>
      <c r="H999">
        <v>244.25</v>
      </c>
      <c r="I999" s="1">
        <v>245.32</v>
      </c>
      <c r="J999">
        <v>22962026.969999999</v>
      </c>
      <c r="K999">
        <v>92881</v>
      </c>
      <c r="L999" t="s">
        <v>78</v>
      </c>
      <c r="M999" t="s">
        <v>17</v>
      </c>
      <c r="N999">
        <v>5376</v>
      </c>
      <c r="O999">
        <v>274.5</v>
      </c>
      <c r="P999">
        <v>171.35</v>
      </c>
      <c r="Q999" s="1" t="str">
        <v/>
      </c>
      <c r="R999" s="1" t="str">
        <v/>
      </c>
      <c r="S999" s="3">
        <v>0</v>
      </c>
      <c r="T999" s="3">
        <v>0</v>
      </c>
    </row>
    <row r="1000" spans="1:20" x14ac:dyDescent="0.25">
      <c r="A1000" t="s">
        <v>78</v>
      </c>
      <c r="B1000" t="s">
        <v>79</v>
      </c>
      <c r="C1000" t="s">
        <v>3207</v>
      </c>
      <c r="D1000" t="s">
        <v>3208</v>
      </c>
      <c r="E1000">
        <v>864.15</v>
      </c>
      <c r="F1000">
        <v>894</v>
      </c>
      <c r="G1000">
        <v>920</v>
      </c>
      <c r="H1000">
        <v>873.4</v>
      </c>
      <c r="I1000" s="1">
        <v>888.9</v>
      </c>
      <c r="J1000">
        <v>91992770.5</v>
      </c>
      <c r="K1000">
        <v>102611</v>
      </c>
      <c r="L1000" t="s">
        <v>78</v>
      </c>
      <c r="M1000" t="s">
        <v>17</v>
      </c>
      <c r="N1000">
        <v>11401</v>
      </c>
      <c r="O1000">
        <v>975</v>
      </c>
      <c r="P1000">
        <v>318.60000000000002</v>
      </c>
      <c r="Q1000" s="1">
        <v>72.5</v>
      </c>
      <c r="R1000" s="1">
        <v>17.05</v>
      </c>
      <c r="S1000" s="3">
        <v>0.23228049673157214</v>
      </c>
      <c r="T1000" s="3">
        <v>0.21845475547615645</v>
      </c>
    </row>
    <row r="1001" spans="1:20" x14ac:dyDescent="0.25">
      <c r="A1001" t="s">
        <v>78</v>
      </c>
      <c r="B1001" t="s">
        <v>79</v>
      </c>
      <c r="C1001" t="s">
        <v>1469</v>
      </c>
      <c r="D1001" t="s">
        <v>1470</v>
      </c>
      <c r="E1001">
        <v>768.8</v>
      </c>
      <c r="F1001">
        <v>761.8</v>
      </c>
      <c r="G1001">
        <v>787.8</v>
      </c>
      <c r="H1001">
        <v>742.55</v>
      </c>
      <c r="I1001" s="1">
        <v>776.5</v>
      </c>
      <c r="J1001">
        <v>59954619.200000003</v>
      </c>
      <c r="K1001">
        <v>77729</v>
      </c>
      <c r="L1001" t="s">
        <v>78</v>
      </c>
      <c r="M1001" t="s">
        <v>17</v>
      </c>
      <c r="N1001">
        <v>3099</v>
      </c>
      <c r="O1001">
        <v>847.05</v>
      </c>
      <c r="P1001">
        <v>449.2</v>
      </c>
      <c r="Q1001" s="1">
        <v>985.15</v>
      </c>
      <c r="R1001" s="1">
        <v>222</v>
      </c>
      <c r="S1001" s="3">
        <v>-1.9637723703059606E-2</v>
      </c>
      <c r="T1001" s="3">
        <v>6.4570761619002104E-2</v>
      </c>
    </row>
    <row r="1002" spans="1:20" x14ac:dyDescent="0.25">
      <c r="A1002" t="s">
        <v>78</v>
      </c>
      <c r="B1002" t="s">
        <v>79</v>
      </c>
      <c r="C1002" t="s">
        <v>1471</v>
      </c>
      <c r="D1002" t="s">
        <v>1472</v>
      </c>
      <c r="E1002">
        <v>564.20000000000005</v>
      </c>
      <c r="F1002">
        <v>564.6</v>
      </c>
      <c r="G1002">
        <v>584.70000000000005</v>
      </c>
      <c r="H1002">
        <v>560.70000000000005</v>
      </c>
      <c r="I1002" s="1">
        <v>565.9</v>
      </c>
      <c r="J1002">
        <v>1740208159.8</v>
      </c>
      <c r="K1002">
        <v>3040283</v>
      </c>
      <c r="L1002" t="s">
        <v>78</v>
      </c>
      <c r="M1002" t="s">
        <v>17</v>
      </c>
      <c r="N1002">
        <v>58977</v>
      </c>
      <c r="O1002">
        <v>598</v>
      </c>
      <c r="P1002">
        <v>300.3</v>
      </c>
      <c r="Q1002" s="1">
        <v>124.35</v>
      </c>
      <c r="R1002" s="1">
        <v>76</v>
      </c>
      <c r="S1002" s="3">
        <v>0.1345957663401951</v>
      </c>
      <c r="T1002" s="3">
        <v>0.10553483038601041</v>
      </c>
    </row>
    <row r="1003" spans="1:20" x14ac:dyDescent="0.25">
      <c r="A1003" t="s">
        <v>78</v>
      </c>
      <c r="B1003" t="s">
        <v>79</v>
      </c>
      <c r="C1003" t="s">
        <v>1475</v>
      </c>
      <c r="D1003" t="s">
        <v>1476</v>
      </c>
      <c r="E1003">
        <v>638.65</v>
      </c>
      <c r="F1003">
        <v>638</v>
      </c>
      <c r="G1003">
        <v>641.4</v>
      </c>
      <c r="H1003">
        <v>626.54999999999995</v>
      </c>
      <c r="I1003" s="1">
        <v>627.9</v>
      </c>
      <c r="J1003">
        <v>20912832.350000001</v>
      </c>
      <c r="K1003">
        <v>33146</v>
      </c>
      <c r="L1003" t="s">
        <v>78</v>
      </c>
      <c r="M1003" t="s">
        <v>17</v>
      </c>
      <c r="N1003">
        <v>2818</v>
      </c>
      <c r="O1003">
        <v>915</v>
      </c>
      <c r="P1003">
        <v>362.9</v>
      </c>
      <c r="Q1003" s="1">
        <v>133.6</v>
      </c>
      <c r="R1003" s="1">
        <v>94.5</v>
      </c>
      <c r="S1003" s="3">
        <v>0.13764562779623835</v>
      </c>
      <c r="T1003" s="3">
        <v>9.9259969256933811E-2</v>
      </c>
    </row>
    <row r="1004" spans="1:20" x14ac:dyDescent="0.25">
      <c r="A1004" t="s">
        <v>78</v>
      </c>
      <c r="B1004" t="s">
        <v>79</v>
      </c>
      <c r="C1004" t="s">
        <v>1477</v>
      </c>
      <c r="D1004" t="s">
        <v>1478</v>
      </c>
      <c r="E1004">
        <v>351.4</v>
      </c>
      <c r="F1004">
        <v>351</v>
      </c>
      <c r="G1004">
        <v>380</v>
      </c>
      <c r="H1004">
        <v>351</v>
      </c>
      <c r="I1004" s="1">
        <v>372</v>
      </c>
      <c r="J1004">
        <v>259434183.09999999</v>
      </c>
      <c r="K1004">
        <v>701658</v>
      </c>
      <c r="L1004" t="s">
        <v>78</v>
      </c>
      <c r="M1004" t="s">
        <v>17</v>
      </c>
      <c r="N1004">
        <v>30438</v>
      </c>
      <c r="O1004">
        <v>436.95</v>
      </c>
      <c r="P1004">
        <v>267.75</v>
      </c>
      <c r="Q1004" s="1">
        <v>75</v>
      </c>
      <c r="R1004" s="1">
        <v>66</v>
      </c>
      <c r="S1004" s="3">
        <v>0.14276467319277919</v>
      </c>
      <c r="T1004" s="3">
        <v>9.025826129494785E-2</v>
      </c>
    </row>
    <row r="1005" spans="1:20" x14ac:dyDescent="0.25">
      <c r="A1005" t="s">
        <v>78</v>
      </c>
      <c r="B1005" t="s">
        <v>79</v>
      </c>
      <c r="C1005" t="s">
        <v>3211</v>
      </c>
      <c r="D1005" t="s">
        <v>3212</v>
      </c>
      <c r="E1005">
        <v>41.68</v>
      </c>
      <c r="F1005">
        <v>41.66</v>
      </c>
      <c r="G1005">
        <v>44.94</v>
      </c>
      <c r="H1005">
        <v>41.1</v>
      </c>
      <c r="I1005" s="1">
        <v>43.23</v>
      </c>
      <c r="J1005">
        <v>15344948.1</v>
      </c>
      <c r="K1005">
        <v>355586</v>
      </c>
      <c r="L1005" t="s">
        <v>78</v>
      </c>
      <c r="M1005" t="s">
        <v>17</v>
      </c>
      <c r="N1005">
        <v>2353</v>
      </c>
      <c r="O1005">
        <v>45.95</v>
      </c>
      <c r="P1005">
        <v>27.15</v>
      </c>
      <c r="Q1005" s="1">
        <v>21.1</v>
      </c>
      <c r="R1005" s="1">
        <v>16.95</v>
      </c>
      <c r="S1005" s="3">
        <v>6.1594268239544281E-2</v>
      </c>
      <c r="T1005" s="3">
        <v>4.7899522833225294E-2</v>
      </c>
    </row>
    <row r="1006" spans="1:20" x14ac:dyDescent="0.25">
      <c r="A1006" t="s">
        <v>78</v>
      </c>
      <c r="B1006" t="s">
        <v>79</v>
      </c>
      <c r="C1006" t="s">
        <v>1479</v>
      </c>
      <c r="D1006" t="s">
        <v>1480</v>
      </c>
      <c r="E1006">
        <v>71.099999999999994</v>
      </c>
      <c r="F1006">
        <v>71.5</v>
      </c>
      <c r="G1006">
        <v>74.55</v>
      </c>
      <c r="H1006">
        <v>70.349999999999994</v>
      </c>
      <c r="I1006" s="1">
        <v>72.8</v>
      </c>
      <c r="J1006">
        <v>506764379.41000003</v>
      </c>
      <c r="K1006">
        <v>6987251</v>
      </c>
      <c r="L1006" t="s">
        <v>78</v>
      </c>
      <c r="M1006" t="s">
        <v>17</v>
      </c>
      <c r="N1006">
        <v>29127</v>
      </c>
      <c r="O1006">
        <v>84.19</v>
      </c>
      <c r="P1006">
        <v>40.85</v>
      </c>
      <c r="Q1006" s="1">
        <v>33</v>
      </c>
      <c r="R1006" s="1">
        <v>22.5</v>
      </c>
      <c r="S1006" s="3">
        <v>6.8156251576851457E-2</v>
      </c>
      <c r="T1006" s="3">
        <v>6.0433598886199258E-2</v>
      </c>
    </row>
    <row r="1007" spans="1:20" x14ac:dyDescent="0.25">
      <c r="A1007" t="s">
        <v>78</v>
      </c>
      <c r="B1007" t="s">
        <v>79</v>
      </c>
      <c r="C1007" t="s">
        <v>3213</v>
      </c>
      <c r="D1007" t="s">
        <v>3214</v>
      </c>
      <c r="E1007">
        <v>796.2</v>
      </c>
      <c r="F1007">
        <v>800</v>
      </c>
      <c r="G1007">
        <v>800</v>
      </c>
      <c r="H1007">
        <v>770</v>
      </c>
      <c r="I1007" s="1">
        <v>784.3</v>
      </c>
      <c r="J1007">
        <v>13661393.15</v>
      </c>
      <c r="K1007">
        <v>17265</v>
      </c>
      <c r="L1007" t="s">
        <v>78</v>
      </c>
      <c r="M1007" t="s">
        <v>17</v>
      </c>
      <c r="N1007">
        <v>1312</v>
      </c>
      <c r="O1007">
        <v>990</v>
      </c>
      <c r="P1007">
        <v>402</v>
      </c>
      <c r="Q1007" s="1">
        <v>17.899999999999999</v>
      </c>
      <c r="R1007" s="1">
        <v>7.85</v>
      </c>
      <c r="S1007" s="3">
        <v>0.37025827040210113</v>
      </c>
      <c r="T1007" s="3">
        <v>0.25871055497852913</v>
      </c>
    </row>
    <row r="1008" spans="1:20" x14ac:dyDescent="0.25">
      <c r="A1008" t="s">
        <v>78</v>
      </c>
      <c r="B1008" t="s">
        <v>287</v>
      </c>
      <c r="C1008" t="s">
        <v>5909</v>
      </c>
      <c r="D1008" t="s">
        <v>5908</v>
      </c>
      <c r="E1008">
        <v>14.25</v>
      </c>
      <c r="F1008">
        <v>14.7</v>
      </c>
      <c r="G1008">
        <v>14.7</v>
      </c>
      <c r="H1008">
        <v>14.65</v>
      </c>
      <c r="I1008" s="1">
        <v>14.65</v>
      </c>
      <c r="J1008">
        <v>264000</v>
      </c>
      <c r="K1008">
        <v>18000</v>
      </c>
      <c r="L1008" t="s">
        <v>78</v>
      </c>
      <c r="M1008" t="s">
        <v>17</v>
      </c>
      <c r="N1008">
        <v>3</v>
      </c>
      <c r="O1008">
        <v>22.9</v>
      </c>
      <c r="P1008">
        <v>13.25</v>
      </c>
      <c r="Q1008" s="1" t="str">
        <v/>
      </c>
      <c r="R1008" s="1" t="str">
        <v/>
      </c>
      <c r="S1008" s="3">
        <v>0</v>
      </c>
      <c r="T1008" s="3">
        <v>0</v>
      </c>
    </row>
    <row r="1009" spans="1:20" x14ac:dyDescent="0.25">
      <c r="A1009" t="s">
        <v>78</v>
      </c>
      <c r="B1009" t="s">
        <v>79</v>
      </c>
      <c r="C1009" t="s">
        <v>1481</v>
      </c>
      <c r="D1009" t="s">
        <v>1482</v>
      </c>
      <c r="E1009">
        <v>4414.6499999999996</v>
      </c>
      <c r="F1009">
        <v>4414.6499999999996</v>
      </c>
      <c r="G1009">
        <v>4440.8500000000004</v>
      </c>
      <c r="H1009">
        <v>4354.7</v>
      </c>
      <c r="I1009" s="1">
        <v>4372.55</v>
      </c>
      <c r="J1009">
        <v>370631202.55000001</v>
      </c>
      <c r="K1009">
        <v>84434</v>
      </c>
      <c r="L1009" t="s">
        <v>78</v>
      </c>
      <c r="M1009" t="s">
        <v>17</v>
      </c>
      <c r="N1009">
        <v>13226</v>
      </c>
      <c r="O1009">
        <v>4599.95</v>
      </c>
      <c r="P1009">
        <v>3030.25</v>
      </c>
      <c r="Q1009" s="1">
        <v>3140</v>
      </c>
      <c r="R1009" s="1">
        <v>979.05</v>
      </c>
      <c r="S1009" s="3">
        <v>2.7977860428154866E-2</v>
      </c>
      <c r="T1009" s="3">
        <v>7.7652396589209971E-2</v>
      </c>
    </row>
    <row r="1010" spans="1:20" x14ac:dyDescent="0.25">
      <c r="A1010" t="s">
        <v>78</v>
      </c>
      <c r="B1010" t="s">
        <v>79</v>
      </c>
      <c r="C1010" t="s">
        <v>1483</v>
      </c>
      <c r="D1010" t="s">
        <v>1484</v>
      </c>
      <c r="E1010">
        <v>864.8</v>
      </c>
      <c r="F1010">
        <v>864.8</v>
      </c>
      <c r="G1010">
        <v>882.05</v>
      </c>
      <c r="H1010">
        <v>833.25</v>
      </c>
      <c r="I1010" s="1">
        <v>834.85</v>
      </c>
      <c r="J1010">
        <v>313794190.30000001</v>
      </c>
      <c r="K1010">
        <v>371937</v>
      </c>
      <c r="L1010" t="s">
        <v>78</v>
      </c>
      <c r="M1010" t="s">
        <v>17</v>
      </c>
      <c r="N1010">
        <v>16103</v>
      </c>
      <c r="O1010">
        <v>936.8</v>
      </c>
      <c r="P1010">
        <v>313.14999999999998</v>
      </c>
      <c r="Q1010" s="1">
        <v>214.5</v>
      </c>
      <c r="R1010" s="1">
        <v>125.2</v>
      </c>
      <c r="S1010" s="3">
        <v>0.11990649379152574</v>
      </c>
      <c r="T1010" s="3">
        <v>9.9455466769618583E-2</v>
      </c>
    </row>
    <row r="1011" spans="1:20" x14ac:dyDescent="0.25">
      <c r="A1011" t="s">
        <v>78</v>
      </c>
      <c r="B1011" t="s">
        <v>79</v>
      </c>
      <c r="C1011" t="s">
        <v>1485</v>
      </c>
      <c r="D1011" t="s">
        <v>1486</v>
      </c>
      <c r="E1011">
        <v>871.05</v>
      </c>
      <c r="F1011">
        <v>873.95</v>
      </c>
      <c r="G1011">
        <v>873.95</v>
      </c>
      <c r="H1011">
        <v>857.5</v>
      </c>
      <c r="I1011" s="1">
        <v>863.05</v>
      </c>
      <c r="J1011">
        <v>78618151.349999994</v>
      </c>
      <c r="K1011">
        <v>90859</v>
      </c>
      <c r="L1011" t="s">
        <v>78</v>
      </c>
      <c r="M1011" t="s">
        <v>17</v>
      </c>
      <c r="N1011">
        <v>9297</v>
      </c>
      <c r="O1011">
        <v>999.9</v>
      </c>
      <c r="P1011">
        <v>607.20000000000005</v>
      </c>
      <c r="Q1011" s="1">
        <v>653.04999999999995</v>
      </c>
      <c r="R1011" s="1">
        <v>343.45</v>
      </c>
      <c r="S1011" s="3">
        <v>2.3506944247480899E-2</v>
      </c>
      <c r="T1011" s="3">
        <v>4.7122916175827312E-2</v>
      </c>
    </row>
    <row r="1012" spans="1:20" x14ac:dyDescent="0.25">
      <c r="A1012" t="s">
        <v>78</v>
      </c>
      <c r="B1012" t="s">
        <v>79</v>
      </c>
      <c r="C1012" t="s">
        <v>1487</v>
      </c>
      <c r="D1012" t="s">
        <v>1488</v>
      </c>
      <c r="E1012">
        <v>580.54999999999995</v>
      </c>
      <c r="F1012">
        <v>580.25</v>
      </c>
      <c r="G1012">
        <v>596.79999999999995</v>
      </c>
      <c r="H1012">
        <v>557.5</v>
      </c>
      <c r="I1012" s="1">
        <v>587.45000000000005</v>
      </c>
      <c r="J1012">
        <v>800268588.39999998</v>
      </c>
      <c r="K1012">
        <v>1383257</v>
      </c>
      <c r="L1012" t="s">
        <v>78</v>
      </c>
      <c r="M1012" t="s">
        <v>17</v>
      </c>
      <c r="N1012">
        <v>22375</v>
      </c>
      <c r="O1012">
        <v>638.75</v>
      </c>
      <c r="P1012">
        <v>311</v>
      </c>
      <c r="Q1012" s="1">
        <v>213.25</v>
      </c>
      <c r="R1012" s="1">
        <v>114.25</v>
      </c>
      <c r="S1012" s="3">
        <v>8.8111722340701082E-2</v>
      </c>
      <c r="T1012" s="3">
        <v>8.5266164213998907E-2</v>
      </c>
    </row>
    <row r="1013" spans="1:20" x14ac:dyDescent="0.25">
      <c r="A1013" t="s">
        <v>78</v>
      </c>
      <c r="B1013" t="s">
        <v>79</v>
      </c>
      <c r="C1013" t="s">
        <v>1489</v>
      </c>
      <c r="D1013" t="s">
        <v>1490</v>
      </c>
      <c r="E1013">
        <v>473.05</v>
      </c>
      <c r="F1013">
        <v>474</v>
      </c>
      <c r="G1013">
        <v>482.5</v>
      </c>
      <c r="H1013">
        <v>459</v>
      </c>
      <c r="I1013" s="1">
        <v>460.8</v>
      </c>
      <c r="J1013">
        <v>1382711694.25</v>
      </c>
      <c r="K1013">
        <v>2973657</v>
      </c>
      <c r="L1013" t="s">
        <v>78</v>
      </c>
      <c r="M1013" t="s">
        <v>17</v>
      </c>
      <c r="N1013">
        <v>59888</v>
      </c>
      <c r="O1013">
        <v>553.95000000000005</v>
      </c>
      <c r="P1013">
        <v>240.5</v>
      </c>
      <c r="Q1013" s="1">
        <v>142.19999999999999</v>
      </c>
      <c r="R1013" s="1">
        <v>74.5</v>
      </c>
      <c r="S1013" s="3">
        <v>0.10293793122629058</v>
      </c>
      <c r="T1013" s="3">
        <v>9.5332920682167366E-2</v>
      </c>
    </row>
    <row r="1014" spans="1:20" x14ac:dyDescent="0.25">
      <c r="A1014" t="s">
        <v>78</v>
      </c>
      <c r="B1014" t="s">
        <v>79</v>
      </c>
      <c r="C1014" t="s">
        <v>5907</v>
      </c>
      <c r="D1014" t="s">
        <v>5906</v>
      </c>
      <c r="E1014">
        <v>1314.2</v>
      </c>
      <c r="F1014">
        <v>1320</v>
      </c>
      <c r="G1014">
        <v>1363.75</v>
      </c>
      <c r="H1014">
        <v>1297.2</v>
      </c>
      <c r="I1014" s="1">
        <v>1310.7</v>
      </c>
      <c r="J1014">
        <v>72253090.5</v>
      </c>
      <c r="K1014">
        <v>54823</v>
      </c>
      <c r="L1014" t="s">
        <v>78</v>
      </c>
      <c r="M1014" t="s">
        <v>17</v>
      </c>
      <c r="N1014">
        <v>8323</v>
      </c>
      <c r="O1014">
        <v>1653.95</v>
      </c>
      <c r="P1014">
        <v>970</v>
      </c>
      <c r="Q1014" s="1" t="str">
        <v/>
      </c>
      <c r="R1014" s="1" t="str">
        <v/>
      </c>
      <c r="S1014" s="3">
        <v>0</v>
      </c>
      <c r="T1014" s="3">
        <v>0</v>
      </c>
    </row>
    <row r="1015" spans="1:20" x14ac:dyDescent="0.25">
      <c r="A1015" t="s">
        <v>78</v>
      </c>
      <c r="B1015" t="s">
        <v>79</v>
      </c>
      <c r="C1015" t="s">
        <v>1491</v>
      </c>
      <c r="D1015" t="s">
        <v>1492</v>
      </c>
      <c r="E1015">
        <v>103.21</v>
      </c>
      <c r="F1015">
        <v>103.21</v>
      </c>
      <c r="G1015">
        <v>106</v>
      </c>
      <c r="H1015">
        <v>99.46</v>
      </c>
      <c r="I1015" s="1">
        <v>101.34</v>
      </c>
      <c r="J1015">
        <v>3118226.12</v>
      </c>
      <c r="K1015">
        <v>30300</v>
      </c>
      <c r="L1015" t="s">
        <v>78</v>
      </c>
      <c r="M1015" t="s">
        <v>17</v>
      </c>
      <c r="N1015">
        <v>490</v>
      </c>
      <c r="O1015">
        <v>140.69999999999999</v>
      </c>
      <c r="P1015">
        <v>69.45</v>
      </c>
      <c r="Q1015" s="1">
        <v>64.7</v>
      </c>
      <c r="R1015" s="1">
        <v>27</v>
      </c>
      <c r="S1015" s="3">
        <v>3.8101260248641911E-2</v>
      </c>
      <c r="T1015" s="3">
        <v>6.8329271550009674E-2</v>
      </c>
    </row>
    <row r="1016" spans="1:20" x14ac:dyDescent="0.25">
      <c r="A1016" t="s">
        <v>78</v>
      </c>
      <c r="B1016" t="s">
        <v>79</v>
      </c>
      <c r="C1016" t="s">
        <v>1495</v>
      </c>
      <c r="D1016" t="s">
        <v>1496</v>
      </c>
      <c r="E1016">
        <v>99.33</v>
      </c>
      <c r="F1016">
        <v>99.26</v>
      </c>
      <c r="G1016">
        <v>100.9</v>
      </c>
      <c r="H1016">
        <v>96.94</v>
      </c>
      <c r="I1016" s="1">
        <v>97.4</v>
      </c>
      <c r="J1016">
        <v>366034422.13</v>
      </c>
      <c r="K1016">
        <v>3702746</v>
      </c>
      <c r="L1016" t="s">
        <v>78</v>
      </c>
      <c r="M1016" t="s">
        <v>17</v>
      </c>
      <c r="N1016">
        <v>25345</v>
      </c>
      <c r="O1016">
        <v>114.85</v>
      </c>
      <c r="P1016">
        <v>69</v>
      </c>
      <c r="Q1016" s="1">
        <v>107.15</v>
      </c>
      <c r="R1016" s="1">
        <v>67.8</v>
      </c>
      <c r="S1016" s="3">
        <v>-7.918772616024361E-3</v>
      </c>
      <c r="T1016" s="3">
        <v>1.8268138892950869E-2</v>
      </c>
    </row>
    <row r="1017" spans="1:20" x14ac:dyDescent="0.25">
      <c r="A1017" t="s">
        <v>78</v>
      </c>
      <c r="B1017" t="s">
        <v>79</v>
      </c>
      <c r="C1017" t="s">
        <v>1499</v>
      </c>
      <c r="D1017" t="s">
        <v>1500</v>
      </c>
      <c r="E1017">
        <v>193.08</v>
      </c>
      <c r="F1017">
        <v>194.8</v>
      </c>
      <c r="G1017">
        <v>205.5</v>
      </c>
      <c r="H1017">
        <v>193.71</v>
      </c>
      <c r="I1017" s="1">
        <v>198.81</v>
      </c>
      <c r="J1017">
        <v>11280138.43</v>
      </c>
      <c r="K1017">
        <v>56101</v>
      </c>
      <c r="L1017" t="s">
        <v>78</v>
      </c>
      <c r="M1017" t="s">
        <v>17</v>
      </c>
      <c r="N1017">
        <v>1135</v>
      </c>
      <c r="O1017">
        <v>263.45</v>
      </c>
      <c r="P1017">
        <v>162.65</v>
      </c>
      <c r="Q1017" s="1">
        <v>200</v>
      </c>
      <c r="R1017" s="1">
        <v>81.05</v>
      </c>
      <c r="S1017" s="3">
        <v>-4.971906747155419E-4</v>
      </c>
      <c r="T1017" s="3">
        <v>4.5860088076128847E-2</v>
      </c>
    </row>
    <row r="1018" spans="1:20" x14ac:dyDescent="0.25">
      <c r="A1018" t="s">
        <v>78</v>
      </c>
      <c r="B1018" t="s">
        <v>79</v>
      </c>
      <c r="C1018" t="s">
        <v>3221</v>
      </c>
      <c r="D1018" t="s">
        <v>3222</v>
      </c>
      <c r="E1018">
        <v>864.25</v>
      </c>
      <c r="F1018">
        <v>864.25</v>
      </c>
      <c r="G1018">
        <v>934.95</v>
      </c>
      <c r="H1018">
        <v>864.25</v>
      </c>
      <c r="I1018" s="1">
        <v>911.6</v>
      </c>
      <c r="J1018">
        <v>62593869.450000003</v>
      </c>
      <c r="K1018">
        <v>68605</v>
      </c>
      <c r="L1018" t="s">
        <v>78</v>
      </c>
      <c r="M1018" t="s">
        <v>17</v>
      </c>
      <c r="N1018">
        <v>6861</v>
      </c>
      <c r="O1018">
        <v>969.65</v>
      </c>
      <c r="P1018">
        <v>450</v>
      </c>
      <c r="Q1018" s="1">
        <v>39.049999999999997</v>
      </c>
      <c r="R1018" s="1">
        <v>19.149999999999999</v>
      </c>
      <c r="S1018" s="3">
        <v>0.30021530297024679</v>
      </c>
      <c r="T1018" s="3">
        <v>0.21293028391428837</v>
      </c>
    </row>
    <row r="1019" spans="1:20" x14ac:dyDescent="0.25">
      <c r="A1019" t="s">
        <v>78</v>
      </c>
      <c r="B1019" t="s">
        <v>79</v>
      </c>
      <c r="C1019" t="s">
        <v>1501</v>
      </c>
      <c r="D1019" t="s">
        <v>1502</v>
      </c>
      <c r="E1019">
        <v>18.64</v>
      </c>
      <c r="F1019">
        <v>18.77</v>
      </c>
      <c r="G1019">
        <v>18.77</v>
      </c>
      <c r="H1019">
        <v>18.22</v>
      </c>
      <c r="I1019" s="1">
        <v>18.32</v>
      </c>
      <c r="J1019">
        <v>420956670</v>
      </c>
      <c r="K1019">
        <v>22893376</v>
      </c>
      <c r="L1019" t="s">
        <v>78</v>
      </c>
      <c r="M1019" t="s">
        <v>17</v>
      </c>
      <c r="N1019">
        <v>44463</v>
      </c>
      <c r="O1019">
        <v>24</v>
      </c>
      <c r="P1019">
        <v>5.9</v>
      </c>
      <c r="Q1019" s="1">
        <v>5.75</v>
      </c>
      <c r="R1019" s="1">
        <v>1.9</v>
      </c>
      <c r="S1019" s="3">
        <v>0.10138240805485799</v>
      </c>
      <c r="T1019" s="3">
        <v>0.11990618862404312</v>
      </c>
    </row>
    <row r="1020" spans="1:20" x14ac:dyDescent="0.25">
      <c r="A1020" t="s">
        <v>78</v>
      </c>
      <c r="B1020" t="s">
        <v>79</v>
      </c>
      <c r="C1020" t="s">
        <v>5905</v>
      </c>
      <c r="D1020" t="s">
        <v>5904</v>
      </c>
      <c r="E1020">
        <v>693.55</v>
      </c>
      <c r="F1020">
        <v>693.55</v>
      </c>
      <c r="G1020">
        <v>714</v>
      </c>
      <c r="H1020">
        <v>671.4</v>
      </c>
      <c r="I1020" s="1">
        <v>677.8</v>
      </c>
      <c r="J1020">
        <v>304082376.35000002</v>
      </c>
      <c r="K1020">
        <v>435848</v>
      </c>
      <c r="L1020" t="s">
        <v>78</v>
      </c>
      <c r="M1020" t="s">
        <v>17</v>
      </c>
      <c r="N1020">
        <v>20028</v>
      </c>
      <c r="O1020">
        <v>760.9</v>
      </c>
      <c r="P1020">
        <v>365</v>
      </c>
      <c r="Q1020" s="1" t="str">
        <v/>
      </c>
      <c r="R1020" s="1" t="str">
        <v/>
      </c>
      <c r="S1020" s="3">
        <v>0</v>
      </c>
      <c r="T1020" s="3">
        <v>0</v>
      </c>
    </row>
    <row r="1021" spans="1:20" x14ac:dyDescent="0.25">
      <c r="A1021" t="s">
        <v>78</v>
      </c>
      <c r="B1021" t="s">
        <v>79</v>
      </c>
      <c r="C1021" t="s">
        <v>1503</v>
      </c>
      <c r="D1021" t="s">
        <v>1504</v>
      </c>
      <c r="E1021">
        <v>798.05</v>
      </c>
      <c r="F1021">
        <v>797</v>
      </c>
      <c r="G1021">
        <v>804.4</v>
      </c>
      <c r="H1021">
        <v>785.55</v>
      </c>
      <c r="I1021" s="1">
        <v>795.1</v>
      </c>
      <c r="J1021">
        <v>686773366.70000005</v>
      </c>
      <c r="K1021">
        <v>864284</v>
      </c>
      <c r="L1021" t="s">
        <v>78</v>
      </c>
      <c r="M1021" t="s">
        <v>17</v>
      </c>
      <c r="N1021">
        <v>44868</v>
      </c>
      <c r="O1021">
        <v>848</v>
      </c>
      <c r="P1021">
        <v>343.55</v>
      </c>
      <c r="Q1021" s="1">
        <v>122.5</v>
      </c>
      <c r="R1021" s="1">
        <v>29.7</v>
      </c>
      <c r="S1021" s="3">
        <v>0.16866616890743424</v>
      </c>
      <c r="T1021" s="3">
        <v>0.17853958023232064</v>
      </c>
    </row>
    <row r="1022" spans="1:20" x14ac:dyDescent="0.25">
      <c r="A1022" t="s">
        <v>78</v>
      </c>
      <c r="B1022" t="s">
        <v>287</v>
      </c>
      <c r="C1022" t="s">
        <v>5903</v>
      </c>
      <c r="D1022" t="s">
        <v>5902</v>
      </c>
      <c r="E1022">
        <v>1100</v>
      </c>
      <c r="F1022">
        <v>1100</v>
      </c>
      <c r="G1022">
        <v>1123.9000000000001</v>
      </c>
      <c r="H1022">
        <v>1065</v>
      </c>
      <c r="I1022" s="1">
        <v>1097.3</v>
      </c>
      <c r="J1022">
        <v>24744645</v>
      </c>
      <c r="K1022">
        <v>22320</v>
      </c>
      <c r="L1022" t="s">
        <v>78</v>
      </c>
      <c r="M1022" t="s">
        <v>17</v>
      </c>
      <c r="N1022">
        <v>87</v>
      </c>
      <c r="O1022">
        <v>1500</v>
      </c>
      <c r="P1022">
        <v>566</v>
      </c>
      <c r="Q1022" s="1" t="str">
        <v/>
      </c>
      <c r="R1022" s="1" t="str">
        <v/>
      </c>
      <c r="S1022" s="3">
        <v>0</v>
      </c>
      <c r="T1022" s="3">
        <v>0</v>
      </c>
    </row>
    <row r="1023" spans="1:20" x14ac:dyDescent="0.25">
      <c r="A1023" t="s">
        <v>78</v>
      </c>
      <c r="B1023" t="s">
        <v>79</v>
      </c>
      <c r="C1023" t="s">
        <v>1507</v>
      </c>
      <c r="D1023" t="s">
        <v>1508</v>
      </c>
      <c r="E1023">
        <v>708.35</v>
      </c>
      <c r="F1023">
        <v>710</v>
      </c>
      <c r="G1023">
        <v>717.25</v>
      </c>
      <c r="H1023">
        <v>696.3</v>
      </c>
      <c r="I1023" s="1">
        <v>712.75</v>
      </c>
      <c r="J1023">
        <v>1968333505.0999999</v>
      </c>
      <c r="K1023">
        <v>2792221</v>
      </c>
      <c r="L1023" t="s">
        <v>78</v>
      </c>
      <c r="M1023" t="s">
        <v>17</v>
      </c>
      <c r="N1023">
        <v>77453</v>
      </c>
      <c r="O1023">
        <v>752</v>
      </c>
      <c r="P1023">
        <v>283.25</v>
      </c>
      <c r="Q1023" s="1">
        <v>189.25</v>
      </c>
      <c r="R1023" s="1">
        <v>70.75</v>
      </c>
      <c r="S1023" s="3">
        <v>0.11684210407581186</v>
      </c>
      <c r="T1023" s="3">
        <v>0.12236229623448969</v>
      </c>
    </row>
    <row r="1024" spans="1:20" x14ac:dyDescent="0.25">
      <c r="A1024" t="s">
        <v>78</v>
      </c>
      <c r="B1024" t="s">
        <v>79</v>
      </c>
      <c r="C1024" t="s">
        <v>1509</v>
      </c>
      <c r="D1024" t="s">
        <v>1510</v>
      </c>
      <c r="E1024">
        <v>7024.1</v>
      </c>
      <c r="F1024">
        <v>7040.3</v>
      </c>
      <c r="G1024">
        <v>7053.05</v>
      </c>
      <c r="H1024">
        <v>6910.05</v>
      </c>
      <c r="I1024" s="1">
        <v>6993.15</v>
      </c>
      <c r="J1024">
        <v>23293773.949999999</v>
      </c>
      <c r="K1024">
        <v>3337</v>
      </c>
      <c r="L1024" t="s">
        <v>78</v>
      </c>
      <c r="M1024" t="s">
        <v>17</v>
      </c>
      <c r="N1024">
        <v>1183</v>
      </c>
      <c r="O1024">
        <v>7825</v>
      </c>
      <c r="P1024">
        <v>4312.1000000000004</v>
      </c>
      <c r="Q1024" s="1">
        <v>4610</v>
      </c>
      <c r="R1024" s="1">
        <v>2806.9</v>
      </c>
      <c r="S1024" s="3">
        <v>3.5335232205770728E-2</v>
      </c>
      <c r="T1024" s="3">
        <v>4.6674008214552698E-2</v>
      </c>
    </row>
    <row r="1025" spans="1:20" x14ac:dyDescent="0.25">
      <c r="A1025" t="s">
        <v>78</v>
      </c>
      <c r="B1025" t="s">
        <v>79</v>
      </c>
      <c r="C1025" t="s">
        <v>5901</v>
      </c>
      <c r="D1025" t="s">
        <v>5900</v>
      </c>
      <c r="E1025">
        <v>340.6</v>
      </c>
      <c r="F1025">
        <v>342</v>
      </c>
      <c r="G1025">
        <v>342.95</v>
      </c>
      <c r="H1025">
        <v>333.5</v>
      </c>
      <c r="I1025" s="1">
        <v>336.1</v>
      </c>
      <c r="J1025">
        <v>490610564.44999999</v>
      </c>
      <c r="K1025">
        <v>1453667</v>
      </c>
      <c r="L1025" t="s">
        <v>78</v>
      </c>
      <c r="M1025" t="s">
        <v>17</v>
      </c>
      <c r="N1025">
        <v>29941</v>
      </c>
      <c r="O1025">
        <v>360.95</v>
      </c>
      <c r="P1025">
        <v>142.19999999999999</v>
      </c>
      <c r="Q1025" s="1" t="str">
        <v/>
      </c>
      <c r="R1025" s="1" t="str">
        <v/>
      </c>
      <c r="S1025" s="3">
        <v>0</v>
      </c>
      <c r="T1025" s="3">
        <v>0</v>
      </c>
    </row>
    <row r="1026" spans="1:20" x14ac:dyDescent="0.25">
      <c r="A1026" t="s">
        <v>78</v>
      </c>
      <c r="B1026" t="s">
        <v>79</v>
      </c>
      <c r="C1026" t="s">
        <v>1511</v>
      </c>
      <c r="D1026" t="s">
        <v>1512</v>
      </c>
      <c r="E1026">
        <v>210.16</v>
      </c>
      <c r="F1026">
        <v>211.5</v>
      </c>
      <c r="G1026">
        <v>211.65</v>
      </c>
      <c r="H1026">
        <v>206.5</v>
      </c>
      <c r="I1026" s="1">
        <v>207.68</v>
      </c>
      <c r="J1026">
        <v>32892484.199999999</v>
      </c>
      <c r="K1026">
        <v>157571</v>
      </c>
      <c r="L1026" t="s">
        <v>78</v>
      </c>
      <c r="M1026" t="s">
        <v>17</v>
      </c>
      <c r="N1026">
        <v>7591</v>
      </c>
      <c r="O1026">
        <v>225.7</v>
      </c>
      <c r="P1026">
        <v>126.05</v>
      </c>
      <c r="Q1026" s="1">
        <v>112</v>
      </c>
      <c r="R1026" s="1">
        <v>86.4</v>
      </c>
      <c r="S1026" s="3">
        <v>5.2805280081920092E-2</v>
      </c>
      <c r="T1026" s="3">
        <v>4.4801090575255609E-2</v>
      </c>
    </row>
    <row r="1027" spans="1:20" x14ac:dyDescent="0.25">
      <c r="A1027" t="s">
        <v>78</v>
      </c>
      <c r="B1027" t="s">
        <v>79</v>
      </c>
      <c r="C1027" t="s">
        <v>5899</v>
      </c>
      <c r="D1027" t="s">
        <v>5898</v>
      </c>
      <c r="E1027">
        <v>226.86</v>
      </c>
      <c r="F1027">
        <v>228</v>
      </c>
      <c r="G1027">
        <v>230</v>
      </c>
      <c r="H1027">
        <v>221.6</v>
      </c>
      <c r="I1027" s="1">
        <v>227.49</v>
      </c>
      <c r="J1027">
        <v>486830003.94</v>
      </c>
      <c r="K1027">
        <v>2157935</v>
      </c>
      <c r="L1027" t="s">
        <v>78</v>
      </c>
      <c r="M1027" t="s">
        <v>17</v>
      </c>
      <c r="N1027">
        <v>31941</v>
      </c>
      <c r="O1027">
        <v>436.9</v>
      </c>
      <c r="P1027">
        <v>166.9</v>
      </c>
      <c r="Q1027" s="1" t="str">
        <v/>
      </c>
      <c r="R1027" s="1" t="str">
        <v/>
      </c>
      <c r="S1027" s="3">
        <v>0</v>
      </c>
      <c r="T1027" s="3">
        <v>0</v>
      </c>
    </row>
    <row r="1028" spans="1:20" x14ac:dyDescent="0.25">
      <c r="A1028" t="s">
        <v>78</v>
      </c>
      <c r="B1028" t="s">
        <v>79</v>
      </c>
      <c r="C1028" t="s">
        <v>1513</v>
      </c>
      <c r="D1028" t="s">
        <v>1514</v>
      </c>
      <c r="E1028">
        <v>585.85</v>
      </c>
      <c r="F1028">
        <v>585.85</v>
      </c>
      <c r="G1028">
        <v>587.20000000000005</v>
      </c>
      <c r="H1028">
        <v>563.29999999999995</v>
      </c>
      <c r="I1028" s="1">
        <v>567.85</v>
      </c>
      <c r="J1028">
        <v>960282602.20000005</v>
      </c>
      <c r="K1028">
        <v>1678467</v>
      </c>
      <c r="L1028" t="s">
        <v>78</v>
      </c>
      <c r="M1028" t="s">
        <v>17</v>
      </c>
      <c r="N1028">
        <v>62418</v>
      </c>
      <c r="O1028">
        <v>594</v>
      </c>
      <c r="P1028">
        <v>421.05</v>
      </c>
      <c r="Q1028" s="1">
        <v>3076</v>
      </c>
      <c r="R1028" s="1">
        <v>1210</v>
      </c>
      <c r="S1028" s="3">
        <v>-0.13133176334014962</v>
      </c>
      <c r="T1028" s="3">
        <v>-3.7099506078101974E-2</v>
      </c>
    </row>
    <row r="1029" spans="1:20" x14ac:dyDescent="0.25">
      <c r="A1029" t="s">
        <v>78</v>
      </c>
      <c r="B1029" t="s">
        <v>79</v>
      </c>
      <c r="C1029" t="s">
        <v>1515</v>
      </c>
      <c r="D1029" t="s">
        <v>1516</v>
      </c>
      <c r="E1029">
        <v>1516.15</v>
      </c>
      <c r="F1029">
        <v>1529.95</v>
      </c>
      <c r="G1029">
        <v>1530</v>
      </c>
      <c r="H1029">
        <v>1474.3</v>
      </c>
      <c r="I1029" s="1">
        <v>1490.15</v>
      </c>
      <c r="J1029">
        <v>9471333.1500000004</v>
      </c>
      <c r="K1029">
        <v>6335</v>
      </c>
      <c r="L1029" t="s">
        <v>78</v>
      </c>
      <c r="M1029" t="s">
        <v>17</v>
      </c>
      <c r="N1029">
        <v>1535</v>
      </c>
      <c r="O1029">
        <v>1783.05</v>
      </c>
      <c r="P1029">
        <v>494.15</v>
      </c>
      <c r="Q1029" s="1">
        <v>344.3</v>
      </c>
      <c r="R1029" s="1">
        <v>80.099999999999994</v>
      </c>
      <c r="S1029" s="3">
        <v>0.12985942751395685</v>
      </c>
      <c r="T1029" s="3">
        <v>0.15729775088921372</v>
      </c>
    </row>
    <row r="1030" spans="1:20" x14ac:dyDescent="0.25">
      <c r="A1030" t="s">
        <v>78</v>
      </c>
      <c r="B1030" t="s">
        <v>79</v>
      </c>
      <c r="C1030" t="s">
        <v>1517</v>
      </c>
      <c r="D1030" t="s">
        <v>1518</v>
      </c>
      <c r="E1030">
        <v>586.95000000000005</v>
      </c>
      <c r="F1030">
        <v>579.4</v>
      </c>
      <c r="G1030">
        <v>581.95000000000005</v>
      </c>
      <c r="H1030">
        <v>551.1</v>
      </c>
      <c r="I1030" s="1">
        <v>563.75</v>
      </c>
      <c r="J1030">
        <v>562567261.39999998</v>
      </c>
      <c r="K1030">
        <v>1001760</v>
      </c>
      <c r="L1030" t="s">
        <v>78</v>
      </c>
      <c r="M1030" t="s">
        <v>17</v>
      </c>
      <c r="N1030">
        <v>34447</v>
      </c>
      <c r="O1030">
        <v>617</v>
      </c>
      <c r="P1030">
        <v>399</v>
      </c>
      <c r="Q1030" s="1">
        <v>557.6</v>
      </c>
      <c r="R1030" s="1" t="str">
        <v/>
      </c>
      <c r="S1030" s="3">
        <v>9.1450385143132529E-4</v>
      </c>
      <c r="T1030" s="3">
        <v>0</v>
      </c>
    </row>
    <row r="1031" spans="1:20" x14ac:dyDescent="0.25">
      <c r="A1031" t="s">
        <v>78</v>
      </c>
      <c r="B1031" t="s">
        <v>79</v>
      </c>
      <c r="C1031" t="s">
        <v>1519</v>
      </c>
      <c r="D1031" t="s">
        <v>1520</v>
      </c>
      <c r="E1031">
        <v>738.75</v>
      </c>
      <c r="F1031">
        <v>738.75</v>
      </c>
      <c r="G1031">
        <v>745.25</v>
      </c>
      <c r="H1031">
        <v>722.7</v>
      </c>
      <c r="I1031" s="1">
        <v>727</v>
      </c>
      <c r="J1031">
        <v>157156745.09999999</v>
      </c>
      <c r="K1031">
        <v>215744</v>
      </c>
      <c r="L1031" t="s">
        <v>78</v>
      </c>
      <c r="M1031" t="s">
        <v>17</v>
      </c>
      <c r="N1031">
        <v>11854</v>
      </c>
      <c r="O1031">
        <v>780.3</v>
      </c>
      <c r="P1031">
        <v>318.75</v>
      </c>
      <c r="Q1031" s="1">
        <v>715</v>
      </c>
      <c r="R1031" s="1" t="str">
        <v/>
      </c>
      <c r="S1031" s="3">
        <v>1.3879568917880558E-3</v>
      </c>
      <c r="T1031" s="3">
        <v>0</v>
      </c>
    </row>
    <row r="1032" spans="1:20" x14ac:dyDescent="0.25">
      <c r="A1032" t="s">
        <v>78</v>
      </c>
      <c r="B1032" t="s">
        <v>79</v>
      </c>
      <c r="C1032" t="s">
        <v>5897</v>
      </c>
      <c r="D1032" t="s">
        <v>5896</v>
      </c>
      <c r="E1032">
        <v>434.6</v>
      </c>
      <c r="F1032">
        <v>435</v>
      </c>
      <c r="G1032">
        <v>439.65</v>
      </c>
      <c r="H1032">
        <v>421.95</v>
      </c>
      <c r="I1032" s="1">
        <v>424.35</v>
      </c>
      <c r="J1032">
        <v>42029575.75</v>
      </c>
      <c r="K1032">
        <v>98813</v>
      </c>
      <c r="L1032" t="s">
        <v>78</v>
      </c>
      <c r="M1032" t="s">
        <v>17</v>
      </c>
      <c r="N1032">
        <v>13709</v>
      </c>
      <c r="O1032">
        <v>538.25</v>
      </c>
      <c r="P1032">
        <v>365</v>
      </c>
      <c r="Q1032" s="1" t="str">
        <v/>
      </c>
      <c r="R1032" s="1" t="str">
        <v/>
      </c>
      <c r="S1032" s="3">
        <v>0</v>
      </c>
      <c r="T1032" s="3">
        <v>0</v>
      </c>
    </row>
    <row r="1033" spans="1:20" x14ac:dyDescent="0.25">
      <c r="A1033" t="s">
        <v>78</v>
      </c>
      <c r="B1033" t="s">
        <v>79</v>
      </c>
      <c r="C1033" t="s">
        <v>1523</v>
      </c>
      <c r="D1033" t="s">
        <v>1524</v>
      </c>
      <c r="E1033">
        <v>1035.0999999999999</v>
      </c>
      <c r="F1033">
        <v>1100</v>
      </c>
      <c r="G1033">
        <v>1242.0999999999999</v>
      </c>
      <c r="H1033">
        <v>1095.5999999999999</v>
      </c>
      <c r="I1033" s="1">
        <v>1242.0999999999999</v>
      </c>
      <c r="J1033">
        <v>15829638269.15</v>
      </c>
      <c r="K1033">
        <v>13163687</v>
      </c>
      <c r="L1033" t="s">
        <v>78</v>
      </c>
      <c r="M1033" t="s">
        <v>17</v>
      </c>
      <c r="N1033">
        <v>280926</v>
      </c>
      <c r="O1033">
        <v>1242.0999999999999</v>
      </c>
      <c r="P1033">
        <v>693.05</v>
      </c>
      <c r="Q1033" s="1">
        <v>1010</v>
      </c>
      <c r="R1033" s="1">
        <v>758.55</v>
      </c>
      <c r="S1033" s="3">
        <v>1.7387191339900854E-2</v>
      </c>
      <c r="T1033" s="3">
        <v>2.4950172646437174E-2</v>
      </c>
    </row>
    <row r="1034" spans="1:20" x14ac:dyDescent="0.25">
      <c r="A1034" t="s">
        <v>78</v>
      </c>
      <c r="B1034" t="s">
        <v>79</v>
      </c>
      <c r="C1034" t="s">
        <v>5895</v>
      </c>
      <c r="D1034" t="s">
        <v>5894</v>
      </c>
      <c r="E1034">
        <v>662.05</v>
      </c>
      <c r="F1034">
        <v>665.4</v>
      </c>
      <c r="G1034">
        <v>666.1</v>
      </c>
      <c r="H1034">
        <v>635.15</v>
      </c>
      <c r="I1034" s="1">
        <v>641.04999999999995</v>
      </c>
      <c r="J1034">
        <v>1114373562.3499999</v>
      </c>
      <c r="K1034">
        <v>1721568</v>
      </c>
      <c r="L1034" t="s">
        <v>78</v>
      </c>
      <c r="M1034" t="s">
        <v>17</v>
      </c>
      <c r="N1034">
        <v>63912</v>
      </c>
      <c r="O1034">
        <v>748.1</v>
      </c>
      <c r="P1034">
        <v>176.15</v>
      </c>
      <c r="Q1034" s="1" t="str">
        <v/>
      </c>
      <c r="R1034" s="1" t="str">
        <v/>
      </c>
      <c r="S1034" s="3">
        <v>0</v>
      </c>
      <c r="T1034" s="3">
        <v>0</v>
      </c>
    </row>
    <row r="1035" spans="1:20" x14ac:dyDescent="0.25">
      <c r="A1035" t="s">
        <v>78</v>
      </c>
      <c r="B1035" t="s">
        <v>79</v>
      </c>
      <c r="C1035" t="s">
        <v>1525</v>
      </c>
      <c r="D1035" t="s">
        <v>1526</v>
      </c>
      <c r="E1035">
        <v>491.95</v>
      </c>
      <c r="F1035">
        <v>493</v>
      </c>
      <c r="G1035">
        <v>508</v>
      </c>
      <c r="H1035">
        <v>485.15</v>
      </c>
      <c r="I1035" s="1">
        <v>497</v>
      </c>
      <c r="J1035">
        <v>697460326.29999995</v>
      </c>
      <c r="K1035">
        <v>1395377</v>
      </c>
      <c r="L1035" t="s">
        <v>78</v>
      </c>
      <c r="M1035" t="s">
        <v>17</v>
      </c>
      <c r="N1035">
        <v>46570</v>
      </c>
      <c r="O1035">
        <v>554</v>
      </c>
      <c r="P1035">
        <v>233.55</v>
      </c>
      <c r="Q1035" s="1">
        <v>172.6</v>
      </c>
      <c r="R1035" s="1">
        <v>156.1</v>
      </c>
      <c r="S1035" s="3">
        <v>9.2134935817462127E-2</v>
      </c>
      <c r="T1035" s="3">
        <v>5.9580366120478567E-2</v>
      </c>
    </row>
    <row r="1036" spans="1:20" x14ac:dyDescent="0.25">
      <c r="A1036" t="s">
        <v>78</v>
      </c>
      <c r="B1036" t="s">
        <v>79</v>
      </c>
      <c r="C1036" t="s">
        <v>5893</v>
      </c>
      <c r="D1036" t="s">
        <v>5892</v>
      </c>
      <c r="E1036">
        <v>1226.7</v>
      </c>
      <c r="F1036">
        <v>1239</v>
      </c>
      <c r="G1036">
        <v>1279.9000000000001</v>
      </c>
      <c r="H1036">
        <v>1182.75</v>
      </c>
      <c r="I1036" s="1">
        <v>1238.95</v>
      </c>
      <c r="J1036">
        <v>1570952309.75</v>
      </c>
      <c r="K1036">
        <v>1287563</v>
      </c>
      <c r="L1036" t="s">
        <v>78</v>
      </c>
      <c r="M1036" t="s">
        <v>17</v>
      </c>
      <c r="N1036">
        <v>37734</v>
      </c>
      <c r="O1036">
        <v>1449.95</v>
      </c>
      <c r="P1036">
        <v>368</v>
      </c>
      <c r="Q1036" s="1" t="str">
        <v/>
      </c>
      <c r="R1036" s="1" t="str">
        <v/>
      </c>
      <c r="S1036" s="3">
        <v>0</v>
      </c>
      <c r="T1036" s="3">
        <v>0</v>
      </c>
    </row>
    <row r="1037" spans="1:20" x14ac:dyDescent="0.25">
      <c r="A1037" t="s">
        <v>78</v>
      </c>
      <c r="B1037" t="s">
        <v>79</v>
      </c>
      <c r="C1037" t="s">
        <v>1527</v>
      </c>
      <c r="D1037" t="s">
        <v>1528</v>
      </c>
      <c r="E1037">
        <v>443.7</v>
      </c>
      <c r="F1037">
        <v>448</v>
      </c>
      <c r="G1037">
        <v>455.9</v>
      </c>
      <c r="H1037">
        <v>431.8</v>
      </c>
      <c r="I1037" s="1">
        <v>440.15</v>
      </c>
      <c r="J1037">
        <v>92768017</v>
      </c>
      <c r="K1037">
        <v>209824</v>
      </c>
      <c r="L1037" t="s">
        <v>78</v>
      </c>
      <c r="M1037" t="s">
        <v>17</v>
      </c>
      <c r="N1037">
        <v>14736</v>
      </c>
      <c r="O1037">
        <v>513.79999999999995</v>
      </c>
      <c r="P1037">
        <v>290.64999999999998</v>
      </c>
      <c r="Q1037" s="1">
        <v>208</v>
      </c>
      <c r="R1037" s="1">
        <v>74</v>
      </c>
      <c r="S1037" s="3">
        <v>6.44569803427264E-2</v>
      </c>
      <c r="T1037" s="3">
        <v>9.3194014984697704E-2</v>
      </c>
    </row>
    <row r="1038" spans="1:20" x14ac:dyDescent="0.25">
      <c r="A1038" t="s">
        <v>78</v>
      </c>
      <c r="B1038" t="s">
        <v>79</v>
      </c>
      <c r="C1038" t="s">
        <v>1529</v>
      </c>
      <c r="D1038" t="s">
        <v>1530</v>
      </c>
      <c r="E1038">
        <v>1379.8</v>
      </c>
      <c r="F1038">
        <v>1380</v>
      </c>
      <c r="G1038">
        <v>1408</v>
      </c>
      <c r="H1038">
        <v>1356.4</v>
      </c>
      <c r="I1038" s="1">
        <v>1365.2</v>
      </c>
      <c r="J1038">
        <v>758538029.20000005</v>
      </c>
      <c r="K1038">
        <v>548954</v>
      </c>
      <c r="L1038" t="s">
        <v>78</v>
      </c>
      <c r="M1038" t="s">
        <v>17</v>
      </c>
      <c r="N1038">
        <v>17842</v>
      </c>
      <c r="O1038">
        <v>1523.8</v>
      </c>
      <c r="P1038">
        <v>1110.3499999999999</v>
      </c>
      <c r="Q1038" s="1">
        <v>993.6</v>
      </c>
      <c r="R1038" s="1">
        <v>522.6</v>
      </c>
      <c r="S1038" s="3">
        <v>2.6830416463435869E-2</v>
      </c>
      <c r="T1038" s="3">
        <v>4.9155651938057598E-2</v>
      </c>
    </row>
    <row r="1039" spans="1:20" x14ac:dyDescent="0.25">
      <c r="A1039" t="s">
        <v>78</v>
      </c>
      <c r="B1039" t="s">
        <v>79</v>
      </c>
      <c r="C1039" t="s">
        <v>1531</v>
      </c>
      <c r="D1039" t="s">
        <v>1532</v>
      </c>
      <c r="E1039">
        <v>242.72</v>
      </c>
      <c r="F1039">
        <v>241</v>
      </c>
      <c r="G1039">
        <v>242.92</v>
      </c>
      <c r="H1039">
        <v>238</v>
      </c>
      <c r="I1039" s="1">
        <v>239.83</v>
      </c>
      <c r="J1039">
        <v>3910577.21</v>
      </c>
      <c r="K1039">
        <v>16294</v>
      </c>
      <c r="L1039" t="s">
        <v>78</v>
      </c>
      <c r="M1039" t="s">
        <v>17</v>
      </c>
      <c r="N1039">
        <v>544</v>
      </c>
      <c r="O1039">
        <v>278.2</v>
      </c>
      <c r="P1039">
        <v>185.5</v>
      </c>
      <c r="Q1039" s="1">
        <v>249</v>
      </c>
      <c r="R1039" s="1">
        <v>173.1</v>
      </c>
      <c r="S1039" s="3">
        <v>-3.1219961897517301E-3</v>
      </c>
      <c r="T1039" s="3">
        <v>1.6427588616811928E-2</v>
      </c>
    </row>
    <row r="1040" spans="1:20" x14ac:dyDescent="0.25">
      <c r="A1040" t="s">
        <v>78</v>
      </c>
      <c r="B1040" t="s">
        <v>79</v>
      </c>
      <c r="C1040" t="s">
        <v>5891</v>
      </c>
      <c r="D1040" t="s">
        <v>5890</v>
      </c>
      <c r="E1040">
        <v>172.25</v>
      </c>
      <c r="F1040">
        <v>172.25</v>
      </c>
      <c r="G1040">
        <v>172.25</v>
      </c>
      <c r="H1040">
        <v>169.13</v>
      </c>
      <c r="I1040" s="1">
        <v>170.19</v>
      </c>
      <c r="J1040">
        <v>24056313.510000002</v>
      </c>
      <c r="K1040">
        <v>141068</v>
      </c>
      <c r="L1040" t="s">
        <v>78</v>
      </c>
      <c r="M1040" t="s">
        <v>17</v>
      </c>
      <c r="N1040">
        <v>4413</v>
      </c>
      <c r="O1040">
        <v>312</v>
      </c>
      <c r="P1040">
        <v>144</v>
      </c>
      <c r="Q1040" s="1" t="str">
        <v/>
      </c>
      <c r="R1040" s="1" t="str">
        <v/>
      </c>
      <c r="S1040" s="3">
        <v>0</v>
      </c>
      <c r="T1040" s="3">
        <v>0</v>
      </c>
    </row>
    <row r="1041" spans="1:20" x14ac:dyDescent="0.25">
      <c r="A1041" t="s">
        <v>78</v>
      </c>
      <c r="B1041" t="s">
        <v>79</v>
      </c>
      <c r="C1041" t="s">
        <v>1535</v>
      </c>
      <c r="D1041" t="s">
        <v>1536</v>
      </c>
      <c r="E1041">
        <v>527.54999999999995</v>
      </c>
      <c r="F1041">
        <v>527.4</v>
      </c>
      <c r="G1041">
        <v>527.4</v>
      </c>
      <c r="H1041">
        <v>512.5</v>
      </c>
      <c r="I1041" s="1">
        <v>519.45000000000005</v>
      </c>
      <c r="J1041">
        <v>560358909.10000002</v>
      </c>
      <c r="K1041">
        <v>1077417</v>
      </c>
      <c r="L1041" t="s">
        <v>78</v>
      </c>
      <c r="M1041" t="s">
        <v>17</v>
      </c>
      <c r="N1041">
        <v>40238</v>
      </c>
      <c r="O1041">
        <v>546</v>
      </c>
      <c r="P1041">
        <v>162.65</v>
      </c>
      <c r="Q1041" s="1">
        <v>72.25</v>
      </c>
      <c r="R1041" s="1" t="str">
        <v/>
      </c>
      <c r="S1041" s="3">
        <v>0.17866980577808134</v>
      </c>
      <c r="T1041" s="3">
        <v>0</v>
      </c>
    </row>
    <row r="1042" spans="1:20" x14ac:dyDescent="0.25">
      <c r="A1042" t="s">
        <v>78</v>
      </c>
      <c r="B1042" t="s">
        <v>79</v>
      </c>
      <c r="C1042" t="s">
        <v>3227</v>
      </c>
      <c r="D1042" t="s">
        <v>3228</v>
      </c>
      <c r="E1042">
        <v>209.41</v>
      </c>
      <c r="F1042">
        <v>213</v>
      </c>
      <c r="G1042">
        <v>213.4</v>
      </c>
      <c r="H1042">
        <v>207</v>
      </c>
      <c r="I1042" s="1">
        <v>209.4</v>
      </c>
      <c r="J1042">
        <v>5650908.5499999998</v>
      </c>
      <c r="K1042">
        <v>27037</v>
      </c>
      <c r="L1042" t="s">
        <v>78</v>
      </c>
      <c r="M1042" t="s">
        <v>17</v>
      </c>
      <c r="N1042">
        <v>1084</v>
      </c>
      <c r="O1042">
        <v>372</v>
      </c>
      <c r="P1042">
        <v>186.7</v>
      </c>
      <c r="Q1042" s="1">
        <v>48.5</v>
      </c>
      <c r="R1042" s="1">
        <v>37.85</v>
      </c>
      <c r="S1042" s="3">
        <v>0.12963007104986701</v>
      </c>
      <c r="T1042" s="3">
        <v>8.9244052063304435E-2</v>
      </c>
    </row>
    <row r="1043" spans="1:20" x14ac:dyDescent="0.25">
      <c r="A1043" t="s">
        <v>78</v>
      </c>
      <c r="B1043" t="s">
        <v>79</v>
      </c>
      <c r="C1043" t="s">
        <v>1537</v>
      </c>
      <c r="D1043" t="s">
        <v>1538</v>
      </c>
      <c r="E1043">
        <v>538.5</v>
      </c>
      <c r="F1043">
        <v>539.79999999999995</v>
      </c>
      <c r="G1043">
        <v>539.95000000000005</v>
      </c>
      <c r="H1043">
        <v>515</v>
      </c>
      <c r="I1043" s="1">
        <v>526.95000000000005</v>
      </c>
      <c r="J1043">
        <v>75576235.400000006</v>
      </c>
      <c r="K1043">
        <v>142450</v>
      </c>
      <c r="L1043" t="s">
        <v>78</v>
      </c>
      <c r="M1043" t="s">
        <v>17</v>
      </c>
      <c r="N1043">
        <v>4111</v>
      </c>
      <c r="O1043">
        <v>668.7</v>
      </c>
      <c r="P1043">
        <v>259.95</v>
      </c>
      <c r="Q1043" s="1">
        <v>172.7</v>
      </c>
      <c r="R1043" s="1">
        <v>137</v>
      </c>
      <c r="S1043" s="3">
        <v>9.7420552163795637E-2</v>
      </c>
      <c r="T1043" s="3">
        <v>6.9637011963225248E-2</v>
      </c>
    </row>
    <row r="1044" spans="1:20" x14ac:dyDescent="0.25">
      <c r="A1044" t="s">
        <v>78</v>
      </c>
      <c r="B1044" t="s">
        <v>79</v>
      </c>
      <c r="C1044" t="s">
        <v>5889</v>
      </c>
      <c r="D1044" t="s">
        <v>5888</v>
      </c>
      <c r="E1044">
        <v>39.07</v>
      </c>
      <c r="F1044">
        <v>39</v>
      </c>
      <c r="G1044">
        <v>39.619999999999997</v>
      </c>
      <c r="H1044">
        <v>38.01</v>
      </c>
      <c r="I1044" s="1">
        <v>38.81</v>
      </c>
      <c r="J1044">
        <v>221517611.72</v>
      </c>
      <c r="K1044">
        <v>5679859</v>
      </c>
      <c r="L1044" t="s">
        <v>78</v>
      </c>
      <c r="M1044" t="s">
        <v>17</v>
      </c>
      <c r="N1044">
        <v>10312</v>
      </c>
      <c r="O1044">
        <v>245</v>
      </c>
      <c r="P1044">
        <v>35.909999999999997</v>
      </c>
      <c r="Q1044" s="1" t="str">
        <v/>
      </c>
      <c r="R1044" s="1" t="str">
        <v/>
      </c>
      <c r="S1044" s="3">
        <v>0</v>
      </c>
      <c r="T1044" s="3">
        <v>0</v>
      </c>
    </row>
    <row r="1045" spans="1:20" x14ac:dyDescent="0.25">
      <c r="A1045" t="s">
        <v>78</v>
      </c>
      <c r="B1045" t="s">
        <v>79</v>
      </c>
      <c r="C1045" t="s">
        <v>3229</v>
      </c>
      <c r="D1045" t="s">
        <v>3230</v>
      </c>
      <c r="E1045">
        <v>3.03</v>
      </c>
      <c r="F1045">
        <v>3.05</v>
      </c>
      <c r="G1045">
        <v>3.1</v>
      </c>
      <c r="H1045">
        <v>3.01</v>
      </c>
      <c r="I1045" s="1">
        <v>3.02</v>
      </c>
      <c r="J1045">
        <v>3716274.93</v>
      </c>
      <c r="K1045">
        <v>1224764</v>
      </c>
      <c r="L1045" t="s">
        <v>78</v>
      </c>
      <c r="M1045" t="s">
        <v>17</v>
      </c>
      <c r="N1045">
        <v>1649</v>
      </c>
      <c r="O1045">
        <v>10.55</v>
      </c>
      <c r="P1045">
        <v>2.7</v>
      </c>
      <c r="Q1045" s="1">
        <v>11</v>
      </c>
      <c r="R1045" s="1">
        <v>3.8</v>
      </c>
      <c r="S1045" s="3">
        <v>-0.10212091603362505</v>
      </c>
      <c r="T1045" s="3">
        <v>-1.1415266577321392E-2</v>
      </c>
    </row>
    <row r="1046" spans="1:20" x14ac:dyDescent="0.25">
      <c r="A1046" t="s">
        <v>78</v>
      </c>
      <c r="B1046" t="s">
        <v>287</v>
      </c>
      <c r="C1046" t="s">
        <v>5887</v>
      </c>
      <c r="D1046" t="s">
        <v>5886</v>
      </c>
      <c r="E1046">
        <v>36.6</v>
      </c>
      <c r="F1046">
        <v>36.549999999999997</v>
      </c>
      <c r="G1046">
        <v>39.75</v>
      </c>
      <c r="H1046">
        <v>36.549999999999997</v>
      </c>
      <c r="I1046" s="1">
        <v>37</v>
      </c>
      <c r="J1046">
        <v>5663400</v>
      </c>
      <c r="K1046">
        <v>152000</v>
      </c>
      <c r="L1046" t="s">
        <v>78</v>
      </c>
      <c r="M1046" t="s">
        <v>17</v>
      </c>
      <c r="N1046">
        <v>23</v>
      </c>
      <c r="O1046">
        <v>40</v>
      </c>
      <c r="P1046">
        <v>15.25</v>
      </c>
      <c r="Q1046" s="1" t="str">
        <v/>
      </c>
      <c r="R1046" s="1" t="str">
        <v/>
      </c>
      <c r="S1046" s="3">
        <v>0</v>
      </c>
      <c r="T1046" s="3">
        <v>0</v>
      </c>
    </row>
    <row r="1047" spans="1:20" x14ac:dyDescent="0.25">
      <c r="A1047" t="s">
        <v>78</v>
      </c>
      <c r="B1047" t="s">
        <v>79</v>
      </c>
      <c r="C1047" t="s">
        <v>1539</v>
      </c>
      <c r="D1047" t="s">
        <v>1540</v>
      </c>
      <c r="E1047">
        <v>128.18</v>
      </c>
      <c r="F1047">
        <v>127.01</v>
      </c>
      <c r="G1047">
        <v>130</v>
      </c>
      <c r="H1047">
        <v>123.2</v>
      </c>
      <c r="I1047" s="1">
        <v>123.72</v>
      </c>
      <c r="J1047">
        <v>7597341.6500000004</v>
      </c>
      <c r="K1047">
        <v>59998</v>
      </c>
      <c r="L1047" t="s">
        <v>78</v>
      </c>
      <c r="M1047" t="s">
        <v>17</v>
      </c>
      <c r="N1047">
        <v>1827</v>
      </c>
      <c r="O1047">
        <v>157</v>
      </c>
      <c r="P1047">
        <v>101.55</v>
      </c>
      <c r="Q1047" s="1">
        <v>158.19999999999999</v>
      </c>
      <c r="R1047" s="1">
        <v>52</v>
      </c>
      <c r="S1047" s="3">
        <v>-2.0278167790330537E-2</v>
      </c>
      <c r="T1047" s="3">
        <v>4.4266919859158316E-2</v>
      </c>
    </row>
    <row r="1048" spans="1:20" x14ac:dyDescent="0.25">
      <c r="A1048" t="s">
        <v>78</v>
      </c>
      <c r="B1048" t="s">
        <v>79</v>
      </c>
      <c r="C1048" t="s">
        <v>1541</v>
      </c>
      <c r="D1048" t="s">
        <v>1542</v>
      </c>
      <c r="E1048">
        <v>108.79</v>
      </c>
      <c r="F1048">
        <v>108.6</v>
      </c>
      <c r="G1048">
        <v>109.48</v>
      </c>
      <c r="H1048">
        <v>106.61</v>
      </c>
      <c r="I1048" s="1">
        <v>107.57</v>
      </c>
      <c r="J1048">
        <v>1620497.19</v>
      </c>
      <c r="K1048">
        <v>15053</v>
      </c>
      <c r="L1048" t="s">
        <v>78</v>
      </c>
      <c r="M1048" t="s">
        <v>17</v>
      </c>
      <c r="N1048">
        <v>276</v>
      </c>
      <c r="O1048">
        <v>149.5</v>
      </c>
      <c r="P1048">
        <v>87.9</v>
      </c>
      <c r="Q1048" s="1">
        <v>270</v>
      </c>
      <c r="R1048" s="1" t="str">
        <v/>
      </c>
      <c r="S1048" s="3">
        <v>-7.382308843710117E-2</v>
      </c>
      <c r="T1048" s="3">
        <v>0</v>
      </c>
    </row>
    <row r="1049" spans="1:20" x14ac:dyDescent="0.25">
      <c r="A1049" t="s">
        <v>78</v>
      </c>
      <c r="B1049" t="s">
        <v>79</v>
      </c>
      <c r="C1049" t="s">
        <v>1543</v>
      </c>
      <c r="D1049" t="s">
        <v>1544</v>
      </c>
      <c r="E1049">
        <v>279.89999999999998</v>
      </c>
      <c r="F1049">
        <v>275.25</v>
      </c>
      <c r="G1049">
        <v>278.85000000000002</v>
      </c>
      <c r="H1049">
        <v>273.8</v>
      </c>
      <c r="I1049" s="1">
        <v>274.60000000000002</v>
      </c>
      <c r="J1049">
        <v>184820958.75</v>
      </c>
      <c r="K1049">
        <v>670461</v>
      </c>
      <c r="L1049" t="s">
        <v>78</v>
      </c>
      <c r="M1049" t="s">
        <v>17</v>
      </c>
      <c r="N1049">
        <v>16081</v>
      </c>
      <c r="O1049">
        <v>357.3</v>
      </c>
      <c r="P1049">
        <v>251.85</v>
      </c>
      <c r="Q1049" s="1">
        <v>596.70000000000005</v>
      </c>
      <c r="R1049" s="1">
        <v>411.25</v>
      </c>
      <c r="S1049" s="3">
        <v>-6.2627860619414721E-2</v>
      </c>
      <c r="T1049" s="3">
        <v>-1.998091315286632E-2</v>
      </c>
    </row>
    <row r="1050" spans="1:20" x14ac:dyDescent="0.25">
      <c r="A1050" t="s">
        <v>78</v>
      </c>
      <c r="B1050" t="s">
        <v>79</v>
      </c>
      <c r="C1050" t="s">
        <v>3235</v>
      </c>
      <c r="D1050" t="s">
        <v>3236</v>
      </c>
      <c r="E1050">
        <v>92.1</v>
      </c>
      <c r="F1050">
        <v>96.7</v>
      </c>
      <c r="G1050">
        <v>96.7</v>
      </c>
      <c r="H1050">
        <v>93</v>
      </c>
      <c r="I1050" s="1">
        <v>96.7</v>
      </c>
      <c r="J1050">
        <v>9397780.8000000007</v>
      </c>
      <c r="K1050">
        <v>97720</v>
      </c>
      <c r="L1050" t="s">
        <v>78</v>
      </c>
      <c r="M1050" t="s">
        <v>17</v>
      </c>
      <c r="N1050">
        <v>1012</v>
      </c>
      <c r="O1050">
        <v>105.1</v>
      </c>
      <c r="P1050">
        <v>40.6</v>
      </c>
      <c r="Q1050" s="1">
        <v>18.600000000000001</v>
      </c>
      <c r="R1050" s="1">
        <v>13</v>
      </c>
      <c r="S1050" s="3">
        <v>0.14725368365610247</v>
      </c>
      <c r="T1050" s="3">
        <v>0.1054784804860216</v>
      </c>
    </row>
    <row r="1051" spans="1:20" x14ac:dyDescent="0.25">
      <c r="A1051" t="s">
        <v>78</v>
      </c>
      <c r="B1051" t="s">
        <v>287</v>
      </c>
      <c r="C1051" t="s">
        <v>5885</v>
      </c>
      <c r="D1051" t="s">
        <v>5884</v>
      </c>
      <c r="E1051">
        <v>315.25</v>
      </c>
      <c r="F1051">
        <v>315</v>
      </c>
      <c r="G1051">
        <v>320</v>
      </c>
      <c r="H1051">
        <v>312.25</v>
      </c>
      <c r="I1051" s="1">
        <v>312.45</v>
      </c>
      <c r="J1051">
        <v>2139220</v>
      </c>
      <c r="K1051">
        <v>6800</v>
      </c>
      <c r="L1051" t="s">
        <v>78</v>
      </c>
      <c r="M1051" t="s">
        <v>17</v>
      </c>
      <c r="N1051">
        <v>16</v>
      </c>
      <c r="O1051">
        <v>340</v>
      </c>
      <c r="P1051">
        <v>75</v>
      </c>
      <c r="Q1051" s="1" t="str">
        <v/>
      </c>
      <c r="R1051" s="1" t="str">
        <v/>
      </c>
      <c r="S1051" s="3">
        <v>0</v>
      </c>
      <c r="T1051" s="3">
        <v>0</v>
      </c>
    </row>
    <row r="1052" spans="1:20" x14ac:dyDescent="0.25">
      <c r="A1052" t="s">
        <v>78</v>
      </c>
      <c r="B1052" t="s">
        <v>79</v>
      </c>
      <c r="C1052" t="s">
        <v>1545</v>
      </c>
      <c r="D1052" t="s">
        <v>1546</v>
      </c>
      <c r="E1052">
        <v>202.05</v>
      </c>
      <c r="F1052">
        <v>202.85</v>
      </c>
      <c r="G1052">
        <v>207.9</v>
      </c>
      <c r="H1052">
        <v>198.41</v>
      </c>
      <c r="I1052" s="1">
        <v>206.31</v>
      </c>
      <c r="J1052">
        <v>1111117641.5899999</v>
      </c>
      <c r="K1052">
        <v>5422252</v>
      </c>
      <c r="L1052" t="s">
        <v>78</v>
      </c>
      <c r="M1052" t="s">
        <v>17</v>
      </c>
      <c r="N1052">
        <v>64018</v>
      </c>
      <c r="O1052">
        <v>219.9</v>
      </c>
      <c r="P1052">
        <v>115.6</v>
      </c>
      <c r="Q1052" s="1">
        <v>50.5</v>
      </c>
      <c r="R1052" s="1">
        <v>65.5</v>
      </c>
      <c r="S1052" s="3">
        <v>0.12443858961252374</v>
      </c>
      <c r="T1052" s="3">
        <v>5.9010594682317397E-2</v>
      </c>
    </row>
    <row r="1053" spans="1:20" x14ac:dyDescent="0.25">
      <c r="A1053" t="s">
        <v>78</v>
      </c>
      <c r="B1053" t="s">
        <v>79</v>
      </c>
      <c r="C1053" t="s">
        <v>5883</v>
      </c>
      <c r="D1053" t="s">
        <v>5882</v>
      </c>
      <c r="E1053">
        <v>4157.1000000000004</v>
      </c>
      <c r="F1053">
        <v>4148.05</v>
      </c>
      <c r="G1053">
        <v>4148.05</v>
      </c>
      <c r="H1053">
        <v>4004</v>
      </c>
      <c r="I1053" s="1">
        <v>4076.6</v>
      </c>
      <c r="J1053">
        <v>874021523.14999998</v>
      </c>
      <c r="K1053">
        <v>214627</v>
      </c>
      <c r="L1053" t="s">
        <v>78</v>
      </c>
      <c r="M1053" t="s">
        <v>17</v>
      </c>
      <c r="N1053">
        <v>26679</v>
      </c>
      <c r="O1053">
        <v>4574.1499999999996</v>
      </c>
      <c r="P1053">
        <v>1685</v>
      </c>
      <c r="Q1053" s="1" t="str">
        <v/>
      </c>
      <c r="R1053" s="1" t="str">
        <v/>
      </c>
      <c r="S1053" s="3">
        <v>0</v>
      </c>
      <c r="T1053" s="3">
        <v>0</v>
      </c>
    </row>
    <row r="1054" spans="1:20" x14ac:dyDescent="0.25">
      <c r="A1054" t="s">
        <v>78</v>
      </c>
      <c r="B1054" t="s">
        <v>287</v>
      </c>
      <c r="C1054" t="s">
        <v>5881</v>
      </c>
      <c r="D1054" t="s">
        <v>5880</v>
      </c>
      <c r="E1054">
        <v>196.2</v>
      </c>
      <c r="F1054">
        <v>203.75</v>
      </c>
      <c r="G1054">
        <v>203.75</v>
      </c>
      <c r="H1054">
        <v>203.75</v>
      </c>
      <c r="I1054" s="1">
        <v>203.75</v>
      </c>
      <c r="J1054">
        <v>407500</v>
      </c>
      <c r="K1054">
        <v>2000</v>
      </c>
      <c r="L1054" t="s">
        <v>78</v>
      </c>
      <c r="M1054" t="s">
        <v>17</v>
      </c>
      <c r="N1054">
        <v>1</v>
      </c>
      <c r="O1054">
        <v>217.5</v>
      </c>
      <c r="P1054">
        <v>21.4</v>
      </c>
      <c r="Q1054" s="1" t="str">
        <v/>
      </c>
      <c r="R1054" s="1" t="str">
        <v/>
      </c>
      <c r="S1054" s="3">
        <v>0</v>
      </c>
      <c r="T1054" s="3">
        <v>0</v>
      </c>
    </row>
    <row r="1055" spans="1:20" x14ac:dyDescent="0.25">
      <c r="A1055" t="s">
        <v>78</v>
      </c>
      <c r="B1055" t="s">
        <v>79</v>
      </c>
      <c r="C1055" t="s">
        <v>1549</v>
      </c>
      <c r="D1055" t="s">
        <v>1550</v>
      </c>
      <c r="E1055">
        <v>258.14</v>
      </c>
      <c r="F1055">
        <v>258.14</v>
      </c>
      <c r="G1055">
        <v>258.2</v>
      </c>
      <c r="H1055">
        <v>247.8</v>
      </c>
      <c r="I1055" s="1">
        <v>248.89</v>
      </c>
      <c r="J1055">
        <v>189078402.87</v>
      </c>
      <c r="K1055">
        <v>752714</v>
      </c>
      <c r="L1055" t="s">
        <v>78</v>
      </c>
      <c r="M1055" t="s">
        <v>17</v>
      </c>
      <c r="N1055">
        <v>12626</v>
      </c>
      <c r="O1055">
        <v>273.94</v>
      </c>
      <c r="P1055">
        <v>109.45</v>
      </c>
      <c r="Q1055" s="1">
        <v>151.94999999999999</v>
      </c>
      <c r="R1055" s="1">
        <v>77.349999999999994</v>
      </c>
      <c r="S1055" s="3">
        <v>4.1978829592953737E-2</v>
      </c>
      <c r="T1055" s="3">
        <v>6.0140579928627647E-2</v>
      </c>
    </row>
    <row r="1056" spans="1:20" x14ac:dyDescent="0.25">
      <c r="A1056" t="s">
        <v>78</v>
      </c>
      <c r="B1056" t="s">
        <v>79</v>
      </c>
      <c r="C1056" t="s">
        <v>1551</v>
      </c>
      <c r="D1056" t="s">
        <v>1552</v>
      </c>
      <c r="E1056">
        <v>51.89</v>
      </c>
      <c r="F1056">
        <v>51.89</v>
      </c>
      <c r="G1056">
        <v>53.6</v>
      </c>
      <c r="H1056">
        <v>50.3</v>
      </c>
      <c r="I1056" s="1">
        <v>50.45</v>
      </c>
      <c r="J1056">
        <v>48238918.259999998</v>
      </c>
      <c r="K1056">
        <v>944268</v>
      </c>
      <c r="L1056" t="s">
        <v>78</v>
      </c>
      <c r="M1056" t="s">
        <v>17</v>
      </c>
      <c r="N1056">
        <v>9774</v>
      </c>
      <c r="O1056">
        <v>54.5</v>
      </c>
      <c r="P1056">
        <v>24.3</v>
      </c>
      <c r="Q1056" s="1">
        <v>26.5</v>
      </c>
      <c r="R1056" s="1">
        <v>13.6</v>
      </c>
      <c r="S1056" s="3">
        <v>5.5118589602829671E-2</v>
      </c>
      <c r="T1056" s="3">
        <v>6.7703149448736122E-2</v>
      </c>
    </row>
    <row r="1057" spans="1:20" x14ac:dyDescent="0.25">
      <c r="A1057" t="s">
        <v>78</v>
      </c>
      <c r="B1057" t="s">
        <v>79</v>
      </c>
      <c r="C1057" t="s">
        <v>3241</v>
      </c>
      <c r="D1057" t="s">
        <v>3242</v>
      </c>
      <c r="E1057">
        <v>3354.25</v>
      </c>
      <c r="F1057">
        <v>3345</v>
      </c>
      <c r="G1057">
        <v>3345</v>
      </c>
      <c r="H1057">
        <v>3275.1</v>
      </c>
      <c r="I1057" s="1">
        <v>3287.15</v>
      </c>
      <c r="J1057">
        <v>82225252.450000003</v>
      </c>
      <c r="K1057">
        <v>24912</v>
      </c>
      <c r="L1057" t="s">
        <v>78</v>
      </c>
      <c r="M1057" t="s">
        <v>17</v>
      </c>
      <c r="N1057">
        <v>8473</v>
      </c>
      <c r="O1057">
        <v>3487</v>
      </c>
      <c r="P1057">
        <v>1444.85</v>
      </c>
      <c r="Q1057" s="1">
        <v>330.5</v>
      </c>
      <c r="R1057" s="1">
        <v>372.4</v>
      </c>
      <c r="S1057" s="3">
        <v>0.21098102507007011</v>
      </c>
      <c r="T1057" s="3">
        <v>0.11497362485005214</v>
      </c>
    </row>
    <row r="1058" spans="1:20" x14ac:dyDescent="0.25">
      <c r="A1058" t="s">
        <v>78</v>
      </c>
      <c r="B1058" t="s">
        <v>79</v>
      </c>
      <c r="C1058" t="s">
        <v>1553</v>
      </c>
      <c r="D1058" t="s">
        <v>1554</v>
      </c>
      <c r="E1058">
        <v>887.55</v>
      </c>
      <c r="F1058">
        <v>930</v>
      </c>
      <c r="G1058">
        <v>940</v>
      </c>
      <c r="H1058">
        <v>881.05</v>
      </c>
      <c r="I1058" s="1">
        <v>891.3</v>
      </c>
      <c r="J1058">
        <v>3896493884.8000002</v>
      </c>
      <c r="K1058">
        <v>4257096</v>
      </c>
      <c r="L1058" t="s">
        <v>78</v>
      </c>
      <c r="M1058" t="s">
        <v>17</v>
      </c>
      <c r="N1058">
        <v>124875</v>
      </c>
      <c r="O1058">
        <v>968.8</v>
      </c>
      <c r="P1058">
        <v>550.04999999999995</v>
      </c>
      <c r="Q1058" s="1">
        <v>412.1</v>
      </c>
      <c r="R1058" s="1">
        <v>308.60000000000002</v>
      </c>
      <c r="S1058" s="3">
        <v>6.639583697834861E-2</v>
      </c>
      <c r="T1058" s="3">
        <v>5.443250682144396E-2</v>
      </c>
    </row>
    <row r="1059" spans="1:20" x14ac:dyDescent="0.25">
      <c r="A1059" t="s">
        <v>78</v>
      </c>
      <c r="B1059" t="s">
        <v>79</v>
      </c>
      <c r="C1059" t="s">
        <v>3243</v>
      </c>
      <c r="D1059" t="s">
        <v>3244</v>
      </c>
      <c r="E1059">
        <v>224.76</v>
      </c>
      <c r="F1059">
        <v>224.88</v>
      </c>
      <c r="G1059">
        <v>247.23</v>
      </c>
      <c r="H1059">
        <v>216.4</v>
      </c>
      <c r="I1059" s="1">
        <v>246.33</v>
      </c>
      <c r="J1059">
        <v>1042500980.8099999</v>
      </c>
      <c r="K1059">
        <v>4411992</v>
      </c>
      <c r="L1059" t="s">
        <v>78</v>
      </c>
      <c r="M1059" t="s">
        <v>17</v>
      </c>
      <c r="N1059">
        <v>50887</v>
      </c>
      <c r="O1059">
        <v>247.23</v>
      </c>
      <c r="P1059">
        <v>96.35</v>
      </c>
      <c r="Q1059" s="1">
        <v>21</v>
      </c>
      <c r="R1059" s="1">
        <v>11.5</v>
      </c>
      <c r="S1059" s="3">
        <v>0.22774498172728985</v>
      </c>
      <c r="T1059" s="3">
        <v>0.16547921421895184</v>
      </c>
    </row>
    <row r="1060" spans="1:20" x14ac:dyDescent="0.25">
      <c r="A1060" t="s">
        <v>78</v>
      </c>
      <c r="B1060" t="s">
        <v>79</v>
      </c>
      <c r="C1060" t="s">
        <v>1558</v>
      </c>
      <c r="D1060" t="s">
        <v>1559</v>
      </c>
      <c r="E1060">
        <v>4479.8999999999996</v>
      </c>
      <c r="F1060">
        <v>4550</v>
      </c>
      <c r="G1060">
        <v>4550</v>
      </c>
      <c r="H1060">
        <v>4242.45</v>
      </c>
      <c r="I1060" s="1">
        <v>4266</v>
      </c>
      <c r="J1060">
        <v>1786259613.25</v>
      </c>
      <c r="K1060">
        <v>413754</v>
      </c>
      <c r="L1060" t="s">
        <v>78</v>
      </c>
      <c r="M1060" t="s">
        <v>17</v>
      </c>
      <c r="N1060">
        <v>71412</v>
      </c>
      <c r="O1060">
        <v>5039.7</v>
      </c>
      <c r="P1060">
        <v>2223</v>
      </c>
      <c r="Q1060" s="1">
        <v>705.05</v>
      </c>
      <c r="R1060" s="1">
        <v>450</v>
      </c>
      <c r="S1060" s="3">
        <v>0.16185004153015847</v>
      </c>
      <c r="T1060" s="3">
        <v>0.11895770119194382</v>
      </c>
    </row>
    <row r="1061" spans="1:20" x14ac:dyDescent="0.25">
      <c r="A1061" t="s">
        <v>78</v>
      </c>
      <c r="B1061" t="s">
        <v>287</v>
      </c>
      <c r="C1061" t="s">
        <v>5879</v>
      </c>
      <c r="D1061" t="s">
        <v>5878</v>
      </c>
      <c r="E1061">
        <v>153</v>
      </c>
      <c r="F1061">
        <v>147</v>
      </c>
      <c r="G1061">
        <v>149.5</v>
      </c>
      <c r="H1061">
        <v>147</v>
      </c>
      <c r="I1061" s="1">
        <v>148.65</v>
      </c>
      <c r="J1061">
        <v>709560</v>
      </c>
      <c r="K1061">
        <v>4800</v>
      </c>
      <c r="L1061" t="s">
        <v>78</v>
      </c>
      <c r="M1061" t="s">
        <v>17</v>
      </c>
      <c r="N1061">
        <v>4</v>
      </c>
      <c r="O1061">
        <v>278.35000000000002</v>
      </c>
      <c r="P1061">
        <v>65</v>
      </c>
      <c r="Q1061" s="1" t="str">
        <v/>
      </c>
      <c r="R1061" s="1" t="str">
        <v/>
      </c>
      <c r="S1061" s="3">
        <v>0</v>
      </c>
      <c r="T1061" s="3">
        <v>0</v>
      </c>
    </row>
    <row r="1062" spans="1:20" x14ac:dyDescent="0.25">
      <c r="A1062" t="s">
        <v>78</v>
      </c>
      <c r="B1062" t="s">
        <v>79</v>
      </c>
      <c r="C1062" t="s">
        <v>1560</v>
      </c>
      <c r="D1062" t="s">
        <v>1561</v>
      </c>
      <c r="E1062">
        <v>163.89</v>
      </c>
      <c r="F1062">
        <v>159.79</v>
      </c>
      <c r="G1062">
        <v>174.8</v>
      </c>
      <c r="H1062">
        <v>155.30000000000001</v>
      </c>
      <c r="I1062" s="1">
        <v>159.52000000000001</v>
      </c>
      <c r="J1062">
        <v>857055828.64999998</v>
      </c>
      <c r="K1062">
        <v>5226083</v>
      </c>
      <c r="L1062" t="s">
        <v>78</v>
      </c>
      <c r="M1062" t="s">
        <v>17</v>
      </c>
      <c r="N1062">
        <v>39051</v>
      </c>
      <c r="O1062">
        <v>184.3</v>
      </c>
      <c r="P1062">
        <v>72.5</v>
      </c>
      <c r="Q1062" s="1">
        <v>60.6</v>
      </c>
      <c r="R1062" s="1">
        <v>23.1</v>
      </c>
      <c r="S1062" s="3">
        <v>8.3998155117471995E-2</v>
      </c>
      <c r="T1062" s="3">
        <v>0.10137998207124399</v>
      </c>
    </row>
    <row r="1063" spans="1:20" x14ac:dyDescent="0.25">
      <c r="A1063" t="s">
        <v>78</v>
      </c>
      <c r="B1063" t="s">
        <v>79</v>
      </c>
      <c r="C1063" t="s">
        <v>3245</v>
      </c>
      <c r="D1063" t="s">
        <v>3246</v>
      </c>
      <c r="E1063">
        <v>511.45</v>
      </c>
      <c r="F1063">
        <v>534.9</v>
      </c>
      <c r="G1063">
        <v>537</v>
      </c>
      <c r="H1063">
        <v>492.15</v>
      </c>
      <c r="I1063" s="1">
        <v>517.65</v>
      </c>
      <c r="J1063">
        <v>274935569.89999998</v>
      </c>
      <c r="K1063">
        <v>524598</v>
      </c>
      <c r="L1063" t="s">
        <v>78</v>
      </c>
      <c r="M1063" t="s">
        <v>17</v>
      </c>
      <c r="N1063">
        <v>9670</v>
      </c>
      <c r="O1063">
        <v>721</v>
      </c>
      <c r="P1063">
        <v>304.2</v>
      </c>
      <c r="Q1063" s="1">
        <v>71.25</v>
      </c>
      <c r="R1063" s="1">
        <v>24.6</v>
      </c>
      <c r="S1063" s="3">
        <v>0.17969827888535739</v>
      </c>
      <c r="T1063" s="3">
        <v>0.16444458617458735</v>
      </c>
    </row>
    <row r="1064" spans="1:20" x14ac:dyDescent="0.25">
      <c r="A1064" t="s">
        <v>78</v>
      </c>
      <c r="B1064" t="s">
        <v>79</v>
      </c>
      <c r="C1064" t="s">
        <v>1564</v>
      </c>
      <c r="D1064" t="s">
        <v>1565</v>
      </c>
      <c r="E1064">
        <v>212.66</v>
      </c>
      <c r="F1064">
        <v>212.04</v>
      </c>
      <c r="G1064">
        <v>212.99</v>
      </c>
      <c r="H1064">
        <v>208.59</v>
      </c>
      <c r="I1064" s="1">
        <v>211.75</v>
      </c>
      <c r="J1064">
        <v>75022289.620000005</v>
      </c>
      <c r="K1064">
        <v>356522</v>
      </c>
      <c r="L1064" t="s">
        <v>78</v>
      </c>
      <c r="M1064" t="s">
        <v>17</v>
      </c>
      <c r="N1064">
        <v>6261</v>
      </c>
      <c r="O1064">
        <v>217.97</v>
      </c>
      <c r="P1064">
        <v>171</v>
      </c>
      <c r="Q1064" s="1">
        <v>89.6</v>
      </c>
      <c r="R1064" s="1">
        <v>60.05</v>
      </c>
      <c r="S1064" s="3">
        <v>7.4301752298153945E-2</v>
      </c>
      <c r="T1064" s="3">
        <v>6.5002270775542659E-2</v>
      </c>
    </row>
    <row r="1065" spans="1:20" x14ac:dyDescent="0.25">
      <c r="A1065" t="s">
        <v>78</v>
      </c>
      <c r="B1065" t="s">
        <v>79</v>
      </c>
      <c r="C1065" t="s">
        <v>1566</v>
      </c>
      <c r="D1065" t="s">
        <v>1567</v>
      </c>
      <c r="E1065">
        <v>308.3</v>
      </c>
      <c r="F1065">
        <v>314.99</v>
      </c>
      <c r="G1065">
        <v>334.7</v>
      </c>
      <c r="H1065">
        <v>277.47000000000003</v>
      </c>
      <c r="I1065" s="1">
        <v>281.60000000000002</v>
      </c>
      <c r="J1065">
        <v>77306228.640000001</v>
      </c>
      <c r="K1065">
        <v>259619</v>
      </c>
      <c r="L1065" t="s">
        <v>78</v>
      </c>
      <c r="M1065" t="s">
        <v>17</v>
      </c>
      <c r="N1065">
        <v>8742</v>
      </c>
      <c r="O1065">
        <v>334.7</v>
      </c>
      <c r="P1065">
        <v>91</v>
      </c>
      <c r="Q1065" s="1">
        <v>72.55</v>
      </c>
      <c r="R1065" s="1" t="str">
        <v/>
      </c>
      <c r="S1065" s="3">
        <v>0.11965168016011041</v>
      </c>
      <c r="T1065" s="3">
        <v>0</v>
      </c>
    </row>
    <row r="1066" spans="1:20" x14ac:dyDescent="0.25">
      <c r="A1066" t="s">
        <v>78</v>
      </c>
      <c r="B1066" t="s">
        <v>79</v>
      </c>
      <c r="C1066" t="s">
        <v>5877</v>
      </c>
      <c r="D1066" t="s">
        <v>5876</v>
      </c>
      <c r="E1066">
        <v>753.1</v>
      </c>
      <c r="F1066">
        <v>750</v>
      </c>
      <c r="G1066">
        <v>783</v>
      </c>
      <c r="H1066">
        <v>746</v>
      </c>
      <c r="I1066" s="1">
        <v>771.8</v>
      </c>
      <c r="J1066">
        <v>733638907.39999998</v>
      </c>
      <c r="K1066">
        <v>952327</v>
      </c>
      <c r="L1066" t="s">
        <v>78</v>
      </c>
      <c r="M1066" t="s">
        <v>17</v>
      </c>
      <c r="N1066">
        <v>50842</v>
      </c>
      <c r="O1066">
        <v>822</v>
      </c>
      <c r="P1066">
        <v>368.15</v>
      </c>
      <c r="Q1066" s="1" t="str">
        <v/>
      </c>
      <c r="R1066" s="1" t="str">
        <v/>
      </c>
      <c r="S1066" s="3">
        <v>0</v>
      </c>
      <c r="T1066" s="3">
        <v>0</v>
      </c>
    </row>
    <row r="1067" spans="1:20" x14ac:dyDescent="0.25">
      <c r="A1067" t="s">
        <v>78</v>
      </c>
      <c r="B1067" t="s">
        <v>79</v>
      </c>
      <c r="C1067" t="s">
        <v>1568</v>
      </c>
      <c r="D1067" t="s">
        <v>1569</v>
      </c>
      <c r="E1067">
        <v>368.9</v>
      </c>
      <c r="F1067">
        <v>372</v>
      </c>
      <c r="G1067">
        <v>377</v>
      </c>
      <c r="H1067">
        <v>363.35</v>
      </c>
      <c r="I1067" s="1">
        <v>365.55</v>
      </c>
      <c r="J1067">
        <v>9493391.4000000004</v>
      </c>
      <c r="K1067">
        <v>25677</v>
      </c>
      <c r="L1067" t="s">
        <v>78</v>
      </c>
      <c r="M1067" t="s">
        <v>17</v>
      </c>
      <c r="N1067">
        <v>2822</v>
      </c>
      <c r="O1067">
        <v>424.85</v>
      </c>
      <c r="P1067">
        <v>222.5</v>
      </c>
      <c r="Q1067" s="1">
        <v>288.2</v>
      </c>
      <c r="R1067" s="1">
        <v>241.05</v>
      </c>
      <c r="S1067" s="3">
        <v>2.0009932946042586E-2</v>
      </c>
      <c r="T1067" s="3">
        <v>2.102653947998645E-2</v>
      </c>
    </row>
    <row r="1068" spans="1:20" x14ac:dyDescent="0.25">
      <c r="A1068" t="s">
        <v>78</v>
      </c>
      <c r="B1068" t="s">
        <v>79</v>
      </c>
      <c r="C1068" t="s">
        <v>1570</v>
      </c>
      <c r="D1068" t="s">
        <v>1571</v>
      </c>
      <c r="E1068">
        <v>78.14</v>
      </c>
      <c r="F1068">
        <v>78</v>
      </c>
      <c r="G1068">
        <v>78.48</v>
      </c>
      <c r="H1068">
        <v>75.27</v>
      </c>
      <c r="I1068" s="1">
        <v>75.959999999999994</v>
      </c>
      <c r="J1068">
        <v>17139130.09</v>
      </c>
      <c r="K1068">
        <v>223945</v>
      </c>
      <c r="L1068" t="s">
        <v>78</v>
      </c>
      <c r="M1068" t="s">
        <v>17</v>
      </c>
      <c r="N1068">
        <v>6019</v>
      </c>
      <c r="O1068">
        <v>96.25</v>
      </c>
      <c r="P1068">
        <v>59.3</v>
      </c>
      <c r="Q1068" s="1">
        <v>62.7</v>
      </c>
      <c r="R1068" s="1" t="str">
        <v/>
      </c>
      <c r="S1068" s="3">
        <v>1.6115597609402954E-2</v>
      </c>
      <c r="T1068" s="3">
        <v>0</v>
      </c>
    </row>
    <row r="1069" spans="1:20" x14ac:dyDescent="0.25">
      <c r="A1069" t="s">
        <v>78</v>
      </c>
      <c r="B1069" t="s">
        <v>79</v>
      </c>
      <c r="C1069" t="s">
        <v>3247</v>
      </c>
      <c r="D1069" t="s">
        <v>3248</v>
      </c>
      <c r="E1069">
        <v>76.53</v>
      </c>
      <c r="F1069">
        <v>78</v>
      </c>
      <c r="G1069">
        <v>78.69</v>
      </c>
      <c r="H1069">
        <v>77</v>
      </c>
      <c r="I1069" s="1">
        <v>77.61</v>
      </c>
      <c r="J1069">
        <v>515275.19</v>
      </c>
      <c r="K1069">
        <v>6606</v>
      </c>
      <c r="L1069" t="s">
        <v>78</v>
      </c>
      <c r="M1069" t="s">
        <v>17</v>
      </c>
      <c r="N1069">
        <v>369</v>
      </c>
      <c r="O1069">
        <v>95.25</v>
      </c>
      <c r="P1069">
        <v>53</v>
      </c>
      <c r="Q1069" s="1">
        <v>20</v>
      </c>
      <c r="R1069" s="1">
        <v>21.5</v>
      </c>
      <c r="S1069" s="3">
        <v>0.1196285751132673</v>
      </c>
      <c r="T1069" s="3">
        <v>6.62491455200378E-2</v>
      </c>
    </row>
    <row r="1070" spans="1:20" x14ac:dyDescent="0.25">
      <c r="A1070" t="s">
        <v>78</v>
      </c>
      <c r="B1070" t="s">
        <v>79</v>
      </c>
      <c r="C1070" t="s">
        <v>1572</v>
      </c>
      <c r="D1070" t="s">
        <v>1573</v>
      </c>
      <c r="E1070">
        <v>28.07</v>
      </c>
      <c r="F1070">
        <v>28.08</v>
      </c>
      <c r="G1070">
        <v>29.9</v>
      </c>
      <c r="H1070">
        <v>27.1</v>
      </c>
      <c r="I1070" s="1">
        <v>29.1</v>
      </c>
      <c r="J1070">
        <v>1641594.17</v>
      </c>
      <c r="K1070">
        <v>57747</v>
      </c>
      <c r="L1070" t="s">
        <v>78</v>
      </c>
      <c r="M1070" t="s">
        <v>17</v>
      </c>
      <c r="N1070">
        <v>953</v>
      </c>
      <c r="O1070">
        <v>35.9</v>
      </c>
      <c r="P1070">
        <v>22.35</v>
      </c>
      <c r="Q1070" s="1">
        <v>17</v>
      </c>
      <c r="R1070" s="1" t="str">
        <v/>
      </c>
      <c r="S1070" s="3">
        <v>4.5812124104497087E-2</v>
      </c>
      <c r="T1070" s="3">
        <v>0</v>
      </c>
    </row>
    <row r="1071" spans="1:20" x14ac:dyDescent="0.25">
      <c r="A1071" t="s">
        <v>78</v>
      </c>
      <c r="B1071" t="s">
        <v>287</v>
      </c>
      <c r="C1071" t="s">
        <v>5875</v>
      </c>
      <c r="D1071" t="s">
        <v>5874</v>
      </c>
      <c r="E1071">
        <v>76.599999999999994</v>
      </c>
      <c r="F1071">
        <v>73.75</v>
      </c>
      <c r="G1071">
        <v>76.400000000000006</v>
      </c>
      <c r="H1071">
        <v>73.75</v>
      </c>
      <c r="I1071" s="1">
        <v>76.400000000000006</v>
      </c>
      <c r="J1071">
        <v>465465</v>
      </c>
      <c r="K1071">
        <v>6200</v>
      </c>
      <c r="L1071" t="s">
        <v>78</v>
      </c>
      <c r="M1071" t="s">
        <v>17</v>
      </c>
      <c r="N1071">
        <v>2</v>
      </c>
      <c r="O1071">
        <v>93</v>
      </c>
      <c r="P1071">
        <v>41.4</v>
      </c>
      <c r="Q1071" s="1" t="str">
        <v/>
      </c>
      <c r="R1071" s="1">
        <v>32.5</v>
      </c>
      <c r="S1071" s="3">
        <v>0</v>
      </c>
      <c r="T1071" s="3">
        <v>4.363908488797863E-2</v>
      </c>
    </row>
    <row r="1072" spans="1:20" x14ac:dyDescent="0.25">
      <c r="A1072" t="s">
        <v>78</v>
      </c>
      <c r="B1072" t="s">
        <v>79</v>
      </c>
      <c r="C1072" t="s">
        <v>3249</v>
      </c>
      <c r="D1072" t="s">
        <v>3250</v>
      </c>
      <c r="E1072">
        <v>333.65</v>
      </c>
      <c r="F1072">
        <v>334.7</v>
      </c>
      <c r="G1072">
        <v>335.7</v>
      </c>
      <c r="H1072">
        <v>325.64999999999998</v>
      </c>
      <c r="I1072" s="1">
        <v>328.1</v>
      </c>
      <c r="J1072">
        <v>3102978</v>
      </c>
      <c r="K1072">
        <v>9382</v>
      </c>
      <c r="L1072" t="s">
        <v>78</v>
      </c>
      <c r="M1072" t="s">
        <v>17</v>
      </c>
      <c r="N1072">
        <v>879</v>
      </c>
      <c r="O1072">
        <v>470</v>
      </c>
      <c r="P1072">
        <v>183</v>
      </c>
      <c r="Q1072" s="1">
        <v>162.5</v>
      </c>
      <c r="R1072" s="1">
        <v>119</v>
      </c>
      <c r="S1072" s="3">
        <v>6.0301572320201835E-2</v>
      </c>
      <c r="T1072" s="3">
        <v>5.1988282974765987E-2</v>
      </c>
    </row>
    <row r="1073" spans="1:20" x14ac:dyDescent="0.25">
      <c r="A1073" t="s">
        <v>78</v>
      </c>
      <c r="B1073" t="s">
        <v>79</v>
      </c>
      <c r="C1073" t="s">
        <v>1576</v>
      </c>
      <c r="D1073" t="s">
        <v>1577</v>
      </c>
      <c r="E1073">
        <v>2122.15</v>
      </c>
      <c r="F1073">
        <v>2122.15</v>
      </c>
      <c r="G1073">
        <v>2175</v>
      </c>
      <c r="H1073">
        <v>2118.0500000000002</v>
      </c>
      <c r="I1073" s="1">
        <v>2134.75</v>
      </c>
      <c r="J1073">
        <v>125346311</v>
      </c>
      <c r="K1073">
        <v>58529</v>
      </c>
      <c r="L1073" t="s">
        <v>78</v>
      </c>
      <c r="M1073" t="s">
        <v>17</v>
      </c>
      <c r="N1073">
        <v>10872</v>
      </c>
      <c r="O1073">
        <v>2356.4</v>
      </c>
      <c r="P1073">
        <v>1750</v>
      </c>
      <c r="Q1073" s="1">
        <v>1257.55</v>
      </c>
      <c r="R1073" s="1" t="str">
        <v/>
      </c>
      <c r="S1073" s="3">
        <v>4.5085478850331651E-2</v>
      </c>
      <c r="T1073" s="3">
        <v>0</v>
      </c>
    </row>
    <row r="1074" spans="1:20" x14ac:dyDescent="0.25">
      <c r="A1074" t="s">
        <v>78</v>
      </c>
      <c r="B1074" t="s">
        <v>79</v>
      </c>
      <c r="C1074" t="s">
        <v>1578</v>
      </c>
      <c r="D1074" t="s">
        <v>1579</v>
      </c>
      <c r="E1074">
        <v>2414.5</v>
      </c>
      <c r="F1074">
        <v>2424</v>
      </c>
      <c r="G1074">
        <v>2620</v>
      </c>
      <c r="H1074">
        <v>2418.0500000000002</v>
      </c>
      <c r="I1074" s="1">
        <v>2547.9</v>
      </c>
      <c r="J1074">
        <v>122423783.8</v>
      </c>
      <c r="K1074">
        <v>48011</v>
      </c>
      <c r="L1074" t="s">
        <v>78</v>
      </c>
      <c r="M1074" t="s">
        <v>17</v>
      </c>
      <c r="N1074">
        <v>9155</v>
      </c>
      <c r="O1074">
        <v>2855.95</v>
      </c>
      <c r="P1074">
        <v>1508.65</v>
      </c>
      <c r="Q1074" s="1">
        <v>1180</v>
      </c>
      <c r="R1074" s="1">
        <v>588.6</v>
      </c>
      <c r="S1074" s="3">
        <v>6.6248330796647048E-2</v>
      </c>
      <c r="T1074" s="3">
        <v>7.5971284447261089E-2</v>
      </c>
    </row>
    <row r="1075" spans="1:20" x14ac:dyDescent="0.25">
      <c r="A1075" t="s">
        <v>78</v>
      </c>
      <c r="B1075" t="s">
        <v>79</v>
      </c>
      <c r="C1075" t="s">
        <v>1580</v>
      </c>
      <c r="D1075" t="s">
        <v>1581</v>
      </c>
      <c r="E1075">
        <v>465.3</v>
      </c>
      <c r="F1075">
        <v>463.95</v>
      </c>
      <c r="G1075">
        <v>467.45</v>
      </c>
      <c r="H1075">
        <v>453.35</v>
      </c>
      <c r="I1075" s="1">
        <v>455.85</v>
      </c>
      <c r="J1075">
        <v>68961451.400000006</v>
      </c>
      <c r="K1075">
        <v>149952</v>
      </c>
      <c r="L1075" t="s">
        <v>78</v>
      </c>
      <c r="M1075" t="s">
        <v>17</v>
      </c>
      <c r="N1075">
        <v>8291</v>
      </c>
      <c r="O1075">
        <v>577.35</v>
      </c>
      <c r="P1075">
        <v>190</v>
      </c>
      <c r="Q1075" s="1">
        <v>262.60000000000002</v>
      </c>
      <c r="R1075" s="1">
        <v>111.15</v>
      </c>
      <c r="S1075" s="3">
        <v>4.7033562428422604E-2</v>
      </c>
      <c r="T1075" s="3">
        <v>7.3071947722011643E-2</v>
      </c>
    </row>
    <row r="1076" spans="1:20" x14ac:dyDescent="0.25">
      <c r="A1076" t="s">
        <v>78</v>
      </c>
      <c r="B1076" t="s">
        <v>79</v>
      </c>
      <c r="C1076" t="s">
        <v>1582</v>
      </c>
      <c r="D1076" t="s">
        <v>1583</v>
      </c>
      <c r="E1076">
        <v>340</v>
      </c>
      <c r="F1076">
        <v>340</v>
      </c>
      <c r="G1076">
        <v>342.35</v>
      </c>
      <c r="H1076">
        <v>332.4</v>
      </c>
      <c r="I1076" s="1">
        <v>337.15</v>
      </c>
      <c r="J1076">
        <v>32372424.550000001</v>
      </c>
      <c r="K1076">
        <v>96007</v>
      </c>
      <c r="L1076" t="s">
        <v>78</v>
      </c>
      <c r="M1076" t="s">
        <v>17</v>
      </c>
      <c r="N1076">
        <v>5165</v>
      </c>
      <c r="O1076">
        <v>452.5</v>
      </c>
      <c r="P1076">
        <v>261</v>
      </c>
      <c r="Q1076" s="1">
        <v>582.04999999999995</v>
      </c>
      <c r="R1076" s="1">
        <v>495.55</v>
      </c>
      <c r="S1076" s="3">
        <v>-4.4482660375565586E-2</v>
      </c>
      <c r="T1076" s="3">
        <v>-1.9062439306200329E-2</v>
      </c>
    </row>
    <row r="1077" spans="1:20" x14ac:dyDescent="0.25">
      <c r="A1077" t="s">
        <v>78</v>
      </c>
      <c r="B1077" t="s">
        <v>79</v>
      </c>
      <c r="C1077" t="s">
        <v>3251</v>
      </c>
      <c r="D1077" t="s">
        <v>3252</v>
      </c>
      <c r="E1077">
        <v>2174.1999999999998</v>
      </c>
      <c r="F1077">
        <v>2190.1</v>
      </c>
      <c r="G1077">
        <v>2362</v>
      </c>
      <c r="H1077">
        <v>2190.1</v>
      </c>
      <c r="I1077" s="1">
        <v>2299.8000000000002</v>
      </c>
      <c r="J1077">
        <v>612291323.89999998</v>
      </c>
      <c r="K1077">
        <v>267389</v>
      </c>
      <c r="L1077" t="s">
        <v>78</v>
      </c>
      <c r="M1077" t="s">
        <v>17</v>
      </c>
      <c r="N1077">
        <v>34755</v>
      </c>
      <c r="O1077">
        <v>2684</v>
      </c>
      <c r="P1077">
        <v>681.4</v>
      </c>
      <c r="Q1077" s="1">
        <v>471</v>
      </c>
      <c r="R1077" s="1">
        <v>173.55</v>
      </c>
      <c r="S1077" s="3">
        <v>0.14127182780128544</v>
      </c>
      <c r="T1077" s="3">
        <v>0.13784352489342733</v>
      </c>
    </row>
    <row r="1078" spans="1:20" x14ac:dyDescent="0.25">
      <c r="A1078" t="s">
        <v>78</v>
      </c>
      <c r="B1078" t="s">
        <v>79</v>
      </c>
      <c r="C1078" t="s">
        <v>1586</v>
      </c>
      <c r="D1078" t="s">
        <v>1587</v>
      </c>
      <c r="E1078">
        <v>1317.9</v>
      </c>
      <c r="F1078">
        <v>1324.25</v>
      </c>
      <c r="G1078">
        <v>1328.8</v>
      </c>
      <c r="H1078">
        <v>1287</v>
      </c>
      <c r="I1078" s="1">
        <v>1292.0999999999999</v>
      </c>
      <c r="J1078">
        <v>139875782.94999999</v>
      </c>
      <c r="K1078">
        <v>107352</v>
      </c>
      <c r="L1078" t="s">
        <v>78</v>
      </c>
      <c r="M1078" t="s">
        <v>17</v>
      </c>
      <c r="N1078">
        <v>15913</v>
      </c>
      <c r="O1078">
        <v>1450</v>
      </c>
      <c r="P1078">
        <v>396.05</v>
      </c>
      <c r="Q1078" s="1">
        <v>260.3</v>
      </c>
      <c r="R1078" s="1">
        <v>181</v>
      </c>
      <c r="S1078" s="3">
        <v>0.14283929130450712</v>
      </c>
      <c r="T1078" s="3">
        <v>0.10320825683282009</v>
      </c>
    </row>
    <row r="1079" spans="1:20" x14ac:dyDescent="0.25">
      <c r="A1079" t="s">
        <v>78</v>
      </c>
      <c r="B1079" t="s">
        <v>79</v>
      </c>
      <c r="C1079" t="s">
        <v>1588</v>
      </c>
      <c r="D1079" t="s">
        <v>1589</v>
      </c>
      <c r="E1079">
        <v>5970.2</v>
      </c>
      <c r="F1079">
        <v>5950</v>
      </c>
      <c r="G1079">
        <v>5957</v>
      </c>
      <c r="H1079">
        <v>5835</v>
      </c>
      <c r="I1079" s="1">
        <v>5867.5</v>
      </c>
      <c r="J1079">
        <v>22495507.25</v>
      </c>
      <c r="K1079">
        <v>3826</v>
      </c>
      <c r="L1079" t="s">
        <v>78</v>
      </c>
      <c r="M1079" t="s">
        <v>17</v>
      </c>
      <c r="N1079">
        <v>1327</v>
      </c>
      <c r="O1079">
        <v>6698.9</v>
      </c>
      <c r="P1079">
        <v>2857.6</v>
      </c>
      <c r="Q1079" s="1">
        <v>1653.05</v>
      </c>
      <c r="R1079" s="1">
        <v>760.2</v>
      </c>
      <c r="S1079" s="3">
        <v>0.11134080099997012</v>
      </c>
      <c r="T1079" s="3">
        <v>0.10752097312261055</v>
      </c>
    </row>
    <row r="1080" spans="1:20" x14ac:dyDescent="0.25">
      <c r="A1080" t="s">
        <v>78</v>
      </c>
      <c r="B1080" t="s">
        <v>79</v>
      </c>
      <c r="C1080" t="s">
        <v>5873</v>
      </c>
      <c r="D1080" t="s">
        <v>5872</v>
      </c>
      <c r="E1080">
        <v>1335</v>
      </c>
      <c r="F1080">
        <v>1345.6</v>
      </c>
      <c r="G1080">
        <v>1404.8</v>
      </c>
      <c r="H1080">
        <v>1332.2</v>
      </c>
      <c r="I1080" s="1">
        <v>1355.05</v>
      </c>
      <c r="J1080">
        <v>184197242</v>
      </c>
      <c r="K1080">
        <v>134514</v>
      </c>
      <c r="L1080" t="s">
        <v>78</v>
      </c>
      <c r="M1080" t="s">
        <v>17</v>
      </c>
      <c r="N1080">
        <v>15980</v>
      </c>
      <c r="O1080">
        <v>1454.75</v>
      </c>
      <c r="P1080">
        <v>541.04999999999995</v>
      </c>
      <c r="Q1080" s="1" t="str">
        <v/>
      </c>
      <c r="R1080" s="1" t="str">
        <v/>
      </c>
      <c r="S1080" s="3">
        <v>0</v>
      </c>
      <c r="T1080" s="3">
        <v>0</v>
      </c>
    </row>
    <row r="1081" spans="1:20" x14ac:dyDescent="0.25">
      <c r="A1081" t="s">
        <v>78</v>
      </c>
      <c r="B1081" t="s">
        <v>79</v>
      </c>
      <c r="C1081" t="s">
        <v>1590</v>
      </c>
      <c r="D1081" t="s">
        <v>1591</v>
      </c>
      <c r="E1081">
        <v>233.7</v>
      </c>
      <c r="F1081">
        <v>233.9</v>
      </c>
      <c r="G1081">
        <v>233.9</v>
      </c>
      <c r="H1081">
        <v>224.11</v>
      </c>
      <c r="I1081" s="1">
        <v>226.63</v>
      </c>
      <c r="J1081">
        <v>113295406.91</v>
      </c>
      <c r="K1081">
        <v>497352</v>
      </c>
      <c r="L1081" t="s">
        <v>78</v>
      </c>
      <c r="M1081" t="s">
        <v>17</v>
      </c>
      <c r="N1081">
        <v>12810</v>
      </c>
      <c r="O1081">
        <v>287.60000000000002</v>
      </c>
      <c r="P1081">
        <v>173.6</v>
      </c>
      <c r="Q1081" s="1">
        <v>176.55</v>
      </c>
      <c r="R1081" s="1">
        <v>91.4</v>
      </c>
      <c r="S1081" s="3">
        <v>2.1027579211491787E-2</v>
      </c>
      <c r="T1081" s="3">
        <v>4.6424167773577496E-2</v>
      </c>
    </row>
    <row r="1082" spans="1:20" x14ac:dyDescent="0.25">
      <c r="A1082" t="s">
        <v>78</v>
      </c>
      <c r="B1082" t="s">
        <v>79</v>
      </c>
      <c r="C1082" t="s">
        <v>1592</v>
      </c>
      <c r="D1082" t="s">
        <v>1593</v>
      </c>
      <c r="E1082">
        <v>684.7</v>
      </c>
      <c r="F1082">
        <v>690</v>
      </c>
      <c r="G1082">
        <v>692.2</v>
      </c>
      <c r="H1082">
        <v>675</v>
      </c>
      <c r="I1082" s="1">
        <v>676.5</v>
      </c>
      <c r="J1082">
        <v>27225973.899999999</v>
      </c>
      <c r="K1082">
        <v>40022</v>
      </c>
      <c r="L1082" t="s">
        <v>78</v>
      </c>
      <c r="M1082" t="s">
        <v>17</v>
      </c>
      <c r="N1082">
        <v>4583</v>
      </c>
      <c r="O1082">
        <v>827.45</v>
      </c>
      <c r="P1082">
        <v>620.15</v>
      </c>
      <c r="Q1082" s="1">
        <v>915</v>
      </c>
      <c r="R1082" s="1">
        <v>1015.25</v>
      </c>
      <c r="S1082" s="3">
        <v>-2.4851944910526003E-2</v>
      </c>
      <c r="T1082" s="3">
        <v>-2.0082377877615687E-2</v>
      </c>
    </row>
    <row r="1083" spans="1:20" x14ac:dyDescent="0.25">
      <c r="A1083" t="s">
        <v>78</v>
      </c>
      <c r="B1083" t="s">
        <v>287</v>
      </c>
      <c r="C1083" t="s">
        <v>5871</v>
      </c>
      <c r="D1083" t="s">
        <v>5870</v>
      </c>
      <c r="E1083">
        <v>103.75</v>
      </c>
      <c r="F1083">
        <v>105.9</v>
      </c>
      <c r="G1083">
        <v>109</v>
      </c>
      <c r="H1083">
        <v>104.65</v>
      </c>
      <c r="I1083" s="1">
        <v>106.65</v>
      </c>
      <c r="J1083">
        <v>16492240</v>
      </c>
      <c r="K1083">
        <v>155200</v>
      </c>
      <c r="L1083" t="s">
        <v>78</v>
      </c>
      <c r="M1083" t="s">
        <v>17</v>
      </c>
      <c r="N1083">
        <v>94</v>
      </c>
      <c r="O1083">
        <v>128.9</v>
      </c>
      <c r="P1083">
        <v>78</v>
      </c>
      <c r="Q1083" s="1" t="str">
        <v/>
      </c>
      <c r="R1083" s="1" t="str">
        <v/>
      </c>
      <c r="S1083" s="3">
        <v>0</v>
      </c>
      <c r="T1083" s="3">
        <v>0</v>
      </c>
    </row>
    <row r="1084" spans="1:20" x14ac:dyDescent="0.25">
      <c r="A1084" t="s">
        <v>78</v>
      </c>
      <c r="B1084" t="s">
        <v>79</v>
      </c>
      <c r="C1084" t="s">
        <v>1596</v>
      </c>
      <c r="D1084" t="s">
        <v>1597</v>
      </c>
      <c r="E1084">
        <v>358.65</v>
      </c>
      <c r="F1084">
        <v>359.6</v>
      </c>
      <c r="G1084">
        <v>368.75</v>
      </c>
      <c r="H1084">
        <v>351</v>
      </c>
      <c r="I1084" s="1">
        <v>351.8</v>
      </c>
      <c r="J1084">
        <v>395345452.94999999</v>
      </c>
      <c r="K1084">
        <v>1107870</v>
      </c>
      <c r="L1084" t="s">
        <v>78</v>
      </c>
      <c r="M1084" t="s">
        <v>17</v>
      </c>
      <c r="N1084">
        <v>35670</v>
      </c>
      <c r="O1084">
        <v>407</v>
      </c>
      <c r="P1084">
        <v>236.75</v>
      </c>
      <c r="Q1084" s="1">
        <v>249.25</v>
      </c>
      <c r="R1084" s="1">
        <v>269.95</v>
      </c>
      <c r="S1084" s="3">
        <v>2.9133516372567003E-2</v>
      </c>
      <c r="T1084" s="3">
        <v>1.3322009899679799E-2</v>
      </c>
    </row>
    <row r="1085" spans="1:20" x14ac:dyDescent="0.25">
      <c r="A1085" t="s">
        <v>78</v>
      </c>
      <c r="B1085" t="s">
        <v>287</v>
      </c>
      <c r="C1085" t="s">
        <v>5869</v>
      </c>
      <c r="D1085" t="s">
        <v>5868</v>
      </c>
      <c r="E1085">
        <v>3640.25</v>
      </c>
      <c r="F1085">
        <v>3650</v>
      </c>
      <c r="G1085">
        <v>3797.95</v>
      </c>
      <c r="H1085">
        <v>3600</v>
      </c>
      <c r="I1085" s="1">
        <v>3718.3</v>
      </c>
      <c r="J1085">
        <v>45251865</v>
      </c>
      <c r="K1085">
        <v>12300</v>
      </c>
      <c r="L1085" t="s">
        <v>78</v>
      </c>
      <c r="M1085" t="s">
        <v>17</v>
      </c>
      <c r="N1085">
        <v>53</v>
      </c>
      <c r="O1085">
        <v>4175</v>
      </c>
      <c r="P1085">
        <v>169</v>
      </c>
      <c r="Q1085" s="1" t="str">
        <v/>
      </c>
      <c r="R1085" s="1" t="str">
        <v/>
      </c>
      <c r="S1085" s="3">
        <v>0</v>
      </c>
      <c r="T1085" s="3">
        <v>0</v>
      </c>
    </row>
    <row r="1086" spans="1:20" x14ac:dyDescent="0.25">
      <c r="A1086" t="s">
        <v>78</v>
      </c>
      <c r="B1086" t="s">
        <v>79</v>
      </c>
      <c r="C1086" t="s">
        <v>5867</v>
      </c>
      <c r="D1086" t="s">
        <v>5866</v>
      </c>
      <c r="E1086">
        <v>43.79</v>
      </c>
      <c r="F1086">
        <v>44.29</v>
      </c>
      <c r="G1086">
        <v>44.29</v>
      </c>
      <c r="H1086">
        <v>43.1</v>
      </c>
      <c r="I1086" s="1">
        <v>43.33</v>
      </c>
      <c r="J1086">
        <v>3288347.62</v>
      </c>
      <c r="K1086">
        <v>75586</v>
      </c>
      <c r="L1086" t="s">
        <v>78</v>
      </c>
      <c r="M1086" t="s">
        <v>17</v>
      </c>
      <c r="N1086">
        <v>1155</v>
      </c>
      <c r="O1086">
        <v>61.75</v>
      </c>
      <c r="P1086">
        <v>31.7</v>
      </c>
      <c r="Q1086" s="1" t="str">
        <v/>
      </c>
      <c r="R1086" s="1">
        <v>16.100000000000001</v>
      </c>
      <c r="S1086" s="3">
        <v>0</v>
      </c>
      <c r="T1086" s="3">
        <v>5.0718471815937471E-2</v>
      </c>
    </row>
    <row r="1087" spans="1:20" x14ac:dyDescent="0.25">
      <c r="A1087" t="s">
        <v>78</v>
      </c>
      <c r="B1087" t="s">
        <v>79</v>
      </c>
      <c r="C1087" t="s">
        <v>1598</v>
      </c>
      <c r="D1087" t="s">
        <v>1599</v>
      </c>
      <c r="E1087">
        <v>155.15</v>
      </c>
      <c r="F1087">
        <v>154.85</v>
      </c>
      <c r="G1087">
        <v>156.61000000000001</v>
      </c>
      <c r="H1087">
        <v>152.68</v>
      </c>
      <c r="I1087" s="1">
        <v>155.71</v>
      </c>
      <c r="J1087">
        <v>20586219.170000002</v>
      </c>
      <c r="K1087">
        <v>132861</v>
      </c>
      <c r="L1087" t="s">
        <v>78</v>
      </c>
      <c r="M1087" t="s">
        <v>17</v>
      </c>
      <c r="N1087">
        <v>6025</v>
      </c>
      <c r="O1087">
        <v>173.4</v>
      </c>
      <c r="P1087">
        <v>126.3</v>
      </c>
      <c r="Q1087" s="1">
        <v>72.099999999999994</v>
      </c>
      <c r="R1087" s="1">
        <v>71.099999999999994</v>
      </c>
      <c r="S1087" s="3">
        <v>6.6264876128547368E-2</v>
      </c>
      <c r="T1087" s="3">
        <v>3.9951349917223711E-2</v>
      </c>
    </row>
    <row r="1088" spans="1:20" x14ac:dyDescent="0.25">
      <c r="A1088" t="s">
        <v>78</v>
      </c>
      <c r="B1088" t="s">
        <v>79</v>
      </c>
      <c r="C1088" t="s">
        <v>1600</v>
      </c>
      <c r="D1088" t="s">
        <v>1601</v>
      </c>
      <c r="E1088">
        <v>429.6</v>
      </c>
      <c r="F1088">
        <v>429.95</v>
      </c>
      <c r="G1088">
        <v>432.45</v>
      </c>
      <c r="H1088">
        <v>417.05</v>
      </c>
      <c r="I1088" s="1">
        <v>425.45</v>
      </c>
      <c r="J1088">
        <v>113264538.59999999</v>
      </c>
      <c r="K1088">
        <v>266545</v>
      </c>
      <c r="L1088" t="s">
        <v>78</v>
      </c>
      <c r="M1088" t="s">
        <v>17</v>
      </c>
      <c r="N1088">
        <v>13865</v>
      </c>
      <c r="O1088">
        <v>585</v>
      </c>
      <c r="P1088">
        <v>361.8</v>
      </c>
      <c r="Q1088" s="1">
        <v>238.3</v>
      </c>
      <c r="R1088" s="1">
        <v>232</v>
      </c>
      <c r="S1088" s="3">
        <v>4.9486944725222193E-2</v>
      </c>
      <c r="T1088" s="3">
        <v>3.0767734774146405E-2</v>
      </c>
    </row>
    <row r="1089" spans="1:20" x14ac:dyDescent="0.25">
      <c r="A1089" t="s">
        <v>78</v>
      </c>
      <c r="B1089" t="s">
        <v>287</v>
      </c>
      <c r="C1089" t="s">
        <v>5865</v>
      </c>
      <c r="D1089" t="s">
        <v>5864</v>
      </c>
      <c r="E1089">
        <v>183.8</v>
      </c>
      <c r="F1089">
        <v>184</v>
      </c>
      <c r="G1089">
        <v>184</v>
      </c>
      <c r="H1089">
        <v>178</v>
      </c>
      <c r="I1089" s="1">
        <v>179.9</v>
      </c>
      <c r="J1089">
        <v>9571050</v>
      </c>
      <c r="K1089">
        <v>53000</v>
      </c>
      <c r="L1089" t="s">
        <v>78</v>
      </c>
      <c r="M1089" t="s">
        <v>17</v>
      </c>
      <c r="N1089">
        <v>50</v>
      </c>
      <c r="O1089">
        <v>322.8</v>
      </c>
      <c r="P1089">
        <v>145.05000000000001</v>
      </c>
      <c r="Q1089" s="1" t="str">
        <v/>
      </c>
      <c r="R1089" s="1" t="str">
        <v/>
      </c>
      <c r="S1089" s="3">
        <v>0</v>
      </c>
      <c r="T1089" s="3">
        <v>0</v>
      </c>
    </row>
    <row r="1090" spans="1:20" x14ac:dyDescent="0.25">
      <c r="A1090" t="s">
        <v>78</v>
      </c>
      <c r="B1090" t="s">
        <v>287</v>
      </c>
      <c r="C1090" t="s">
        <v>5863</v>
      </c>
      <c r="D1090" t="s">
        <v>5862</v>
      </c>
      <c r="E1090">
        <v>127.5</v>
      </c>
      <c r="F1090">
        <v>126.65</v>
      </c>
      <c r="G1090">
        <v>133.85</v>
      </c>
      <c r="H1090">
        <v>126.5</v>
      </c>
      <c r="I1090" s="1">
        <v>129.85</v>
      </c>
      <c r="J1090">
        <v>9450300</v>
      </c>
      <c r="K1090">
        <v>72000</v>
      </c>
      <c r="L1090" t="s">
        <v>78</v>
      </c>
      <c r="M1090" t="s">
        <v>17</v>
      </c>
      <c r="N1090">
        <v>59</v>
      </c>
      <c r="O1090">
        <v>133.85</v>
      </c>
      <c r="P1090">
        <v>59.65</v>
      </c>
      <c r="Q1090" s="1" t="str">
        <v/>
      </c>
      <c r="R1090" s="1" t="str">
        <v/>
      </c>
      <c r="S1090" s="3">
        <v>0</v>
      </c>
      <c r="T1090" s="3">
        <v>0</v>
      </c>
    </row>
    <row r="1091" spans="1:20" x14ac:dyDescent="0.25">
      <c r="A1091" t="s">
        <v>78</v>
      </c>
      <c r="B1091" t="s">
        <v>79</v>
      </c>
      <c r="C1091" t="s">
        <v>3253</v>
      </c>
      <c r="D1091" t="s">
        <v>3254</v>
      </c>
      <c r="E1091">
        <v>253.7</v>
      </c>
      <c r="F1091">
        <v>253.65</v>
      </c>
      <c r="G1091">
        <v>254.65</v>
      </c>
      <c r="H1091">
        <v>246.1</v>
      </c>
      <c r="I1091" s="1">
        <v>248.3</v>
      </c>
      <c r="J1091">
        <v>53783983.649999999</v>
      </c>
      <c r="K1091">
        <v>214610</v>
      </c>
      <c r="L1091" t="s">
        <v>78</v>
      </c>
      <c r="M1091" t="s">
        <v>17</v>
      </c>
      <c r="N1091">
        <v>6906</v>
      </c>
      <c r="O1091">
        <v>292.3</v>
      </c>
      <c r="P1091">
        <v>159.69999999999999</v>
      </c>
      <c r="Q1091" s="1">
        <v>226</v>
      </c>
      <c r="R1091" s="1">
        <v>33.4</v>
      </c>
      <c r="S1091" s="3">
        <v>7.8727192625263065E-3</v>
      </c>
      <c r="T1091" s="3">
        <v>0.10544631520046344</v>
      </c>
    </row>
    <row r="1092" spans="1:20" x14ac:dyDescent="0.25">
      <c r="A1092" t="s">
        <v>78</v>
      </c>
      <c r="B1092" t="s">
        <v>79</v>
      </c>
      <c r="C1092" t="s">
        <v>1602</v>
      </c>
      <c r="D1092" t="s">
        <v>1603</v>
      </c>
      <c r="E1092">
        <v>61.34</v>
      </c>
      <c r="F1092">
        <v>61.34</v>
      </c>
      <c r="G1092">
        <v>61.99</v>
      </c>
      <c r="H1092">
        <v>59.05</v>
      </c>
      <c r="I1092" s="1">
        <v>59.6</v>
      </c>
      <c r="J1092">
        <v>22327897.190000001</v>
      </c>
      <c r="K1092">
        <v>370622</v>
      </c>
      <c r="L1092" t="s">
        <v>78</v>
      </c>
      <c r="M1092" t="s">
        <v>17</v>
      </c>
      <c r="N1092">
        <v>5504</v>
      </c>
      <c r="O1092">
        <v>65.569999999999993</v>
      </c>
      <c r="P1092">
        <v>52.35</v>
      </c>
      <c r="Q1092" s="1">
        <v>37</v>
      </c>
      <c r="R1092" s="1">
        <v>9.65</v>
      </c>
      <c r="S1092" s="3">
        <v>4.0527856223409264E-2</v>
      </c>
      <c r="T1092" s="3">
        <v>9.5252607151774971E-2</v>
      </c>
    </row>
    <row r="1093" spans="1:20" x14ac:dyDescent="0.25">
      <c r="A1093" t="s">
        <v>78</v>
      </c>
      <c r="B1093" t="s">
        <v>79</v>
      </c>
      <c r="C1093" t="s">
        <v>1604</v>
      </c>
      <c r="D1093" t="s">
        <v>1605</v>
      </c>
      <c r="E1093">
        <v>155.63999999999999</v>
      </c>
      <c r="F1093">
        <v>155.1</v>
      </c>
      <c r="G1093">
        <v>159.94999999999999</v>
      </c>
      <c r="H1093">
        <v>151.1</v>
      </c>
      <c r="I1093" s="1">
        <v>152.47</v>
      </c>
      <c r="J1093">
        <v>39181905.960000001</v>
      </c>
      <c r="K1093">
        <v>252584</v>
      </c>
      <c r="L1093" t="s">
        <v>78</v>
      </c>
      <c r="M1093" t="s">
        <v>183</v>
      </c>
      <c r="N1093">
        <v>9915</v>
      </c>
      <c r="O1093">
        <v>170</v>
      </c>
      <c r="P1093">
        <v>90.8</v>
      </c>
      <c r="Q1093" s="1">
        <v>41.45</v>
      </c>
      <c r="R1093" s="1">
        <v>16.7</v>
      </c>
      <c r="S1093" s="3">
        <v>0.11464949119296053</v>
      </c>
      <c r="T1093" s="3">
        <v>0.11685578141305419</v>
      </c>
    </row>
    <row r="1094" spans="1:20" x14ac:dyDescent="0.25">
      <c r="A1094" t="s">
        <v>78</v>
      </c>
      <c r="B1094" t="s">
        <v>79</v>
      </c>
      <c r="C1094" t="s">
        <v>1606</v>
      </c>
      <c r="D1094" t="s">
        <v>1607</v>
      </c>
      <c r="E1094">
        <v>168.85</v>
      </c>
      <c r="F1094">
        <v>169</v>
      </c>
      <c r="G1094">
        <v>173</v>
      </c>
      <c r="H1094">
        <v>164.1</v>
      </c>
      <c r="I1094" s="1">
        <v>168.65</v>
      </c>
      <c r="J1094">
        <v>3099037.31</v>
      </c>
      <c r="K1094">
        <v>18462</v>
      </c>
      <c r="L1094" t="s">
        <v>78</v>
      </c>
      <c r="M1094" t="s">
        <v>17</v>
      </c>
      <c r="N1094">
        <v>1392</v>
      </c>
      <c r="O1094">
        <v>194.9</v>
      </c>
      <c r="P1094">
        <v>102</v>
      </c>
      <c r="Q1094" s="1">
        <v>117.05</v>
      </c>
      <c r="R1094" s="1">
        <v>65.650000000000006</v>
      </c>
      <c r="S1094" s="3">
        <v>3.0903254395643565E-2</v>
      </c>
      <c r="T1094" s="3">
        <v>4.8277733015662294E-2</v>
      </c>
    </row>
    <row r="1095" spans="1:20" x14ac:dyDescent="0.25">
      <c r="A1095" t="s">
        <v>78</v>
      </c>
      <c r="B1095" t="s">
        <v>287</v>
      </c>
      <c r="C1095" t="s">
        <v>5861</v>
      </c>
      <c r="D1095" t="s">
        <v>5860</v>
      </c>
      <c r="E1095">
        <v>906.1</v>
      </c>
      <c r="F1095">
        <v>918</v>
      </c>
      <c r="G1095">
        <v>918</v>
      </c>
      <c r="H1095">
        <v>878</v>
      </c>
      <c r="I1095" s="1">
        <v>883.5</v>
      </c>
      <c r="J1095">
        <v>19657645</v>
      </c>
      <c r="K1095">
        <v>22100</v>
      </c>
      <c r="L1095" t="s">
        <v>78</v>
      </c>
      <c r="M1095" t="s">
        <v>17</v>
      </c>
      <c r="N1095">
        <v>193</v>
      </c>
      <c r="O1095">
        <v>1582</v>
      </c>
      <c r="P1095">
        <v>535.04999999999995</v>
      </c>
      <c r="Q1095" s="1" t="str">
        <v/>
      </c>
      <c r="R1095" s="1" t="str">
        <v/>
      </c>
      <c r="S1095" s="3">
        <v>0</v>
      </c>
      <c r="T1095" s="3">
        <v>0</v>
      </c>
    </row>
    <row r="1096" spans="1:20" x14ac:dyDescent="0.25">
      <c r="A1096" t="s">
        <v>78</v>
      </c>
      <c r="B1096" t="s">
        <v>79</v>
      </c>
      <c r="C1096" t="s">
        <v>5859</v>
      </c>
      <c r="D1096" t="s">
        <v>5858</v>
      </c>
      <c r="E1096">
        <v>2038.65</v>
      </c>
      <c r="F1096">
        <v>1019.6</v>
      </c>
      <c r="G1096">
        <v>1070.3</v>
      </c>
      <c r="H1096">
        <v>1005.8</v>
      </c>
      <c r="I1096" s="1">
        <v>1070.3</v>
      </c>
      <c r="J1096">
        <v>1594151228.5999999</v>
      </c>
      <c r="K1096">
        <v>1498178</v>
      </c>
      <c r="L1096" t="s">
        <v>78</v>
      </c>
      <c r="M1096" t="s">
        <v>17</v>
      </c>
      <c r="N1096">
        <v>29451</v>
      </c>
      <c r="O1096">
        <v>2417.75</v>
      </c>
      <c r="P1096">
        <v>746</v>
      </c>
      <c r="Q1096" s="1" t="str">
        <v/>
      </c>
      <c r="R1096" s="1" t="str">
        <v/>
      </c>
      <c r="S1096" s="3">
        <v>0</v>
      </c>
      <c r="T1096" s="3">
        <v>0</v>
      </c>
    </row>
    <row r="1097" spans="1:20" x14ac:dyDescent="0.25">
      <c r="A1097" t="s">
        <v>78</v>
      </c>
      <c r="B1097" t="s">
        <v>79</v>
      </c>
      <c r="C1097" t="s">
        <v>5857</v>
      </c>
      <c r="D1097" t="s">
        <v>5856</v>
      </c>
      <c r="E1097">
        <v>1327.2</v>
      </c>
      <c r="F1097">
        <v>1334.95</v>
      </c>
      <c r="G1097">
        <v>1360</v>
      </c>
      <c r="H1097">
        <v>1304</v>
      </c>
      <c r="I1097" s="1">
        <v>1316.7</v>
      </c>
      <c r="J1097">
        <v>656031981.45000005</v>
      </c>
      <c r="K1097">
        <v>496841</v>
      </c>
      <c r="L1097" t="s">
        <v>78</v>
      </c>
      <c r="M1097" t="s">
        <v>17</v>
      </c>
      <c r="N1097">
        <v>20455</v>
      </c>
      <c r="O1097">
        <v>1410</v>
      </c>
      <c r="P1097">
        <v>553.25</v>
      </c>
      <c r="Q1097" s="1" t="str">
        <v/>
      </c>
      <c r="R1097" s="1" t="str">
        <v/>
      </c>
      <c r="S1097" s="3">
        <v>0</v>
      </c>
      <c r="T1097" s="3">
        <v>0</v>
      </c>
    </row>
    <row r="1098" spans="1:20" x14ac:dyDescent="0.25">
      <c r="A1098" t="s">
        <v>78</v>
      </c>
      <c r="B1098" t="s">
        <v>79</v>
      </c>
      <c r="C1098" t="s">
        <v>1608</v>
      </c>
      <c r="D1098" t="s">
        <v>1609</v>
      </c>
      <c r="E1098">
        <v>1868.7</v>
      </c>
      <c r="F1098">
        <v>1860</v>
      </c>
      <c r="G1098">
        <v>1882</v>
      </c>
      <c r="H1098">
        <v>1812</v>
      </c>
      <c r="I1098" s="1">
        <v>1858.3</v>
      </c>
      <c r="J1098">
        <v>2022372506.25</v>
      </c>
      <c r="K1098">
        <v>1095617</v>
      </c>
      <c r="L1098" t="s">
        <v>78</v>
      </c>
      <c r="M1098" t="s">
        <v>17</v>
      </c>
      <c r="N1098">
        <v>69660</v>
      </c>
      <c r="O1098">
        <v>1928.7</v>
      </c>
      <c r="P1098">
        <v>961</v>
      </c>
      <c r="Q1098" s="1">
        <v>265.35000000000002</v>
      </c>
      <c r="R1098" s="1">
        <v>82.5</v>
      </c>
      <c r="S1098" s="3">
        <v>0.17609226741367157</v>
      </c>
      <c r="T1098" s="3">
        <v>0.1684121245703476</v>
      </c>
    </row>
    <row r="1099" spans="1:20" x14ac:dyDescent="0.25">
      <c r="A1099" t="s">
        <v>78</v>
      </c>
      <c r="B1099" t="s">
        <v>79</v>
      </c>
      <c r="C1099" t="s">
        <v>1610</v>
      </c>
      <c r="D1099" t="s">
        <v>1611</v>
      </c>
      <c r="E1099">
        <v>871.05</v>
      </c>
      <c r="F1099">
        <v>875</v>
      </c>
      <c r="G1099">
        <v>892.55</v>
      </c>
      <c r="H1099">
        <v>850</v>
      </c>
      <c r="I1099" s="1">
        <v>855.4</v>
      </c>
      <c r="J1099">
        <v>222948895.25</v>
      </c>
      <c r="K1099">
        <v>255129</v>
      </c>
      <c r="L1099" t="s">
        <v>78</v>
      </c>
      <c r="M1099" t="s">
        <v>17</v>
      </c>
      <c r="N1099">
        <v>19832</v>
      </c>
      <c r="O1099">
        <v>934</v>
      </c>
      <c r="P1099">
        <v>615</v>
      </c>
      <c r="Q1099" s="1">
        <v>1822.5</v>
      </c>
      <c r="R1099" s="1">
        <v>591</v>
      </c>
      <c r="S1099" s="3">
        <v>-6.1087453667628022E-2</v>
      </c>
      <c r="T1099" s="3">
        <v>1.8649300184904183E-2</v>
      </c>
    </row>
    <row r="1100" spans="1:20" x14ac:dyDescent="0.25">
      <c r="A1100" t="s">
        <v>78</v>
      </c>
      <c r="B1100" t="s">
        <v>79</v>
      </c>
      <c r="C1100" t="s">
        <v>1612</v>
      </c>
      <c r="D1100" t="s">
        <v>1613</v>
      </c>
      <c r="E1100">
        <v>319.2</v>
      </c>
      <c r="F1100">
        <v>319</v>
      </c>
      <c r="G1100">
        <v>321.8</v>
      </c>
      <c r="H1100">
        <v>311.60000000000002</v>
      </c>
      <c r="I1100" s="1">
        <v>312.75</v>
      </c>
      <c r="J1100">
        <v>258792177.19999999</v>
      </c>
      <c r="K1100">
        <v>820189</v>
      </c>
      <c r="L1100" t="s">
        <v>78</v>
      </c>
      <c r="M1100" t="s">
        <v>17</v>
      </c>
      <c r="N1100">
        <v>15547</v>
      </c>
      <c r="O1100">
        <v>470.9</v>
      </c>
      <c r="P1100">
        <v>258.14999999999998</v>
      </c>
      <c r="Q1100" s="1">
        <v>282.45</v>
      </c>
      <c r="R1100" s="1">
        <v>200</v>
      </c>
      <c r="S1100" s="3">
        <v>8.5280421214886104E-3</v>
      </c>
      <c r="T1100" s="3">
        <v>2.2593550718678079E-2</v>
      </c>
    </row>
    <row r="1101" spans="1:20" x14ac:dyDescent="0.25">
      <c r="A1101" t="s">
        <v>78</v>
      </c>
      <c r="B1101" t="s">
        <v>79</v>
      </c>
      <c r="C1101" t="s">
        <v>1614</v>
      </c>
      <c r="D1101" t="s">
        <v>1615</v>
      </c>
      <c r="E1101">
        <v>85.07</v>
      </c>
      <c r="F1101">
        <v>86.35</v>
      </c>
      <c r="G1101">
        <v>102.08</v>
      </c>
      <c r="H1101">
        <v>84.42</v>
      </c>
      <c r="I1101" s="1">
        <v>102.08</v>
      </c>
      <c r="J1101">
        <v>106687273.40000001</v>
      </c>
      <c r="K1101">
        <v>1064318</v>
      </c>
      <c r="L1101" t="s">
        <v>78</v>
      </c>
      <c r="M1101" t="s">
        <v>17</v>
      </c>
      <c r="N1101">
        <v>8376</v>
      </c>
      <c r="O1101">
        <v>102.08</v>
      </c>
      <c r="P1101">
        <v>61</v>
      </c>
      <c r="Q1101" s="1">
        <v>112.5</v>
      </c>
      <c r="R1101" s="1">
        <v>71.55</v>
      </c>
      <c r="S1101" s="3">
        <v>-8.0669859838586877E-3</v>
      </c>
      <c r="T1101" s="3">
        <v>1.7916900981758355E-2</v>
      </c>
    </row>
    <row r="1102" spans="1:20" x14ac:dyDescent="0.25">
      <c r="A1102" t="s">
        <v>78</v>
      </c>
      <c r="B1102" t="s">
        <v>79</v>
      </c>
      <c r="C1102" t="s">
        <v>1616</v>
      </c>
      <c r="D1102" t="s">
        <v>1617</v>
      </c>
      <c r="E1102">
        <v>270.5</v>
      </c>
      <c r="F1102">
        <v>270.5</v>
      </c>
      <c r="G1102">
        <v>279</v>
      </c>
      <c r="H1102">
        <v>267.64999999999998</v>
      </c>
      <c r="I1102" s="1">
        <v>270.60000000000002</v>
      </c>
      <c r="J1102">
        <v>6695721.8499999996</v>
      </c>
      <c r="K1102">
        <v>24597</v>
      </c>
      <c r="L1102" t="s">
        <v>78</v>
      </c>
      <c r="M1102" t="s">
        <v>17</v>
      </c>
      <c r="N1102">
        <v>2494</v>
      </c>
      <c r="O1102">
        <v>522.20000000000005</v>
      </c>
      <c r="P1102">
        <v>205.05</v>
      </c>
      <c r="Q1102" s="1">
        <v>110.75</v>
      </c>
      <c r="R1102" s="1" t="str">
        <v/>
      </c>
      <c r="S1102" s="3">
        <v>7.7288452823910614E-2</v>
      </c>
      <c r="T1102" s="3">
        <v>0</v>
      </c>
    </row>
    <row r="1103" spans="1:20" x14ac:dyDescent="0.25">
      <c r="A1103" t="s">
        <v>78</v>
      </c>
      <c r="B1103" t="s">
        <v>287</v>
      </c>
      <c r="C1103" t="s">
        <v>5855</v>
      </c>
      <c r="D1103" t="s">
        <v>5854</v>
      </c>
      <c r="E1103">
        <v>231</v>
      </c>
      <c r="F1103">
        <v>221.3</v>
      </c>
      <c r="G1103">
        <v>221.3</v>
      </c>
      <c r="H1103">
        <v>221.3</v>
      </c>
      <c r="I1103" s="1">
        <v>221.3</v>
      </c>
      <c r="J1103">
        <v>110650</v>
      </c>
      <c r="K1103">
        <v>500</v>
      </c>
      <c r="L1103" t="s">
        <v>78</v>
      </c>
      <c r="M1103" t="s">
        <v>17</v>
      </c>
      <c r="N1103">
        <v>1</v>
      </c>
      <c r="O1103">
        <v>309.75</v>
      </c>
      <c r="P1103">
        <v>215</v>
      </c>
      <c r="Q1103" s="1" t="str">
        <v/>
      </c>
      <c r="R1103" s="1" t="str">
        <v/>
      </c>
      <c r="S1103" s="3">
        <v>0</v>
      </c>
      <c r="T1103" s="3">
        <v>0</v>
      </c>
    </row>
    <row r="1104" spans="1:20" x14ac:dyDescent="0.25">
      <c r="A1104" t="s">
        <v>78</v>
      </c>
      <c r="B1104" t="s">
        <v>79</v>
      </c>
      <c r="C1104" t="s">
        <v>5853</v>
      </c>
      <c r="D1104" t="s">
        <v>5852</v>
      </c>
      <c r="E1104">
        <v>198.76</v>
      </c>
      <c r="F1104">
        <v>199.8</v>
      </c>
      <c r="G1104">
        <v>201</v>
      </c>
      <c r="H1104">
        <v>190.8</v>
      </c>
      <c r="I1104" s="1">
        <v>194.53</v>
      </c>
      <c r="J1104">
        <v>13431501.359999999</v>
      </c>
      <c r="K1104">
        <v>68675</v>
      </c>
      <c r="L1104" t="s">
        <v>78</v>
      </c>
      <c r="M1104" t="s">
        <v>17</v>
      </c>
      <c r="N1104">
        <v>2056</v>
      </c>
      <c r="O1104">
        <v>215</v>
      </c>
      <c r="P1104">
        <v>88.4</v>
      </c>
      <c r="Q1104" s="1" t="str">
        <v/>
      </c>
      <c r="R1104" s="1" t="str">
        <v/>
      </c>
      <c r="S1104" s="3">
        <v>0</v>
      </c>
      <c r="T1104" s="3">
        <v>0</v>
      </c>
    </row>
    <row r="1105" spans="1:20" x14ac:dyDescent="0.25">
      <c r="A1105" t="s">
        <v>78</v>
      </c>
      <c r="B1105" t="s">
        <v>79</v>
      </c>
      <c r="C1105" t="s">
        <v>5851</v>
      </c>
      <c r="D1105" t="s">
        <v>5850</v>
      </c>
      <c r="E1105">
        <v>20.190000000000001</v>
      </c>
      <c r="F1105">
        <v>20.190000000000001</v>
      </c>
      <c r="G1105">
        <v>20.440000000000001</v>
      </c>
      <c r="H1105">
        <v>19.22</v>
      </c>
      <c r="I1105" s="1">
        <v>19.489999999999998</v>
      </c>
      <c r="J1105">
        <v>9238060.0299999993</v>
      </c>
      <c r="K1105">
        <v>467765</v>
      </c>
      <c r="L1105" t="s">
        <v>78</v>
      </c>
      <c r="M1105" t="s">
        <v>17</v>
      </c>
      <c r="N1105">
        <v>2655</v>
      </c>
      <c r="O1105">
        <v>29.25</v>
      </c>
      <c r="P1105">
        <v>9.9</v>
      </c>
      <c r="Q1105" s="1" t="str">
        <v/>
      </c>
      <c r="R1105" s="1" t="str">
        <v/>
      </c>
      <c r="S1105" s="3">
        <v>0</v>
      </c>
      <c r="T1105" s="3">
        <v>0</v>
      </c>
    </row>
    <row r="1106" spans="1:20" x14ac:dyDescent="0.25">
      <c r="A1106" t="s">
        <v>78</v>
      </c>
      <c r="B1106" t="s">
        <v>79</v>
      </c>
      <c r="C1106" t="s">
        <v>5849</v>
      </c>
      <c r="D1106" t="s">
        <v>5848</v>
      </c>
      <c r="E1106">
        <v>119.04</v>
      </c>
      <c r="F1106">
        <v>119.04</v>
      </c>
      <c r="G1106">
        <v>122.5</v>
      </c>
      <c r="H1106">
        <v>116.46</v>
      </c>
      <c r="I1106" s="1">
        <v>119.97</v>
      </c>
      <c r="J1106">
        <v>13785163.210000001</v>
      </c>
      <c r="K1106">
        <v>115114</v>
      </c>
      <c r="L1106" t="s">
        <v>78</v>
      </c>
      <c r="M1106" t="s">
        <v>17</v>
      </c>
      <c r="N1106">
        <v>5053</v>
      </c>
      <c r="O1106">
        <v>136.99</v>
      </c>
      <c r="P1106">
        <v>69.150000000000006</v>
      </c>
      <c r="Q1106" s="1" t="str">
        <v/>
      </c>
      <c r="R1106" s="1" t="str">
        <v/>
      </c>
      <c r="S1106" s="3">
        <v>0</v>
      </c>
      <c r="T1106" s="3">
        <v>0</v>
      </c>
    </row>
    <row r="1107" spans="1:20" x14ac:dyDescent="0.25">
      <c r="A1107" t="s">
        <v>78</v>
      </c>
      <c r="B1107" t="s">
        <v>79</v>
      </c>
      <c r="C1107" t="s">
        <v>5847</v>
      </c>
      <c r="D1107" t="s">
        <v>5846</v>
      </c>
      <c r="E1107">
        <v>150.22</v>
      </c>
      <c r="F1107">
        <v>149.1</v>
      </c>
      <c r="G1107">
        <v>151.59</v>
      </c>
      <c r="H1107">
        <v>148.05000000000001</v>
      </c>
      <c r="I1107" s="1">
        <v>149.91</v>
      </c>
      <c r="J1107">
        <v>33170313.66</v>
      </c>
      <c r="K1107">
        <v>221605</v>
      </c>
      <c r="L1107" t="s">
        <v>78</v>
      </c>
      <c r="M1107" t="s">
        <v>17</v>
      </c>
      <c r="N1107">
        <v>7364</v>
      </c>
      <c r="O1107">
        <v>173.84</v>
      </c>
      <c r="P1107">
        <v>143.78</v>
      </c>
      <c r="Q1107" s="1" t="str">
        <v/>
      </c>
      <c r="R1107" s="1" t="str">
        <v/>
      </c>
      <c r="S1107" s="3">
        <v>0</v>
      </c>
      <c r="T1107" s="3">
        <v>0</v>
      </c>
    </row>
    <row r="1108" spans="1:20" x14ac:dyDescent="0.25">
      <c r="A1108" t="s">
        <v>78</v>
      </c>
      <c r="B1108" t="s">
        <v>79</v>
      </c>
      <c r="C1108" t="s">
        <v>5845</v>
      </c>
      <c r="D1108" t="s">
        <v>5844</v>
      </c>
      <c r="E1108">
        <v>670.75</v>
      </c>
      <c r="F1108">
        <v>670.75</v>
      </c>
      <c r="G1108">
        <v>681.4</v>
      </c>
      <c r="H1108">
        <v>654.04999999999995</v>
      </c>
      <c r="I1108" s="1">
        <v>659.9</v>
      </c>
      <c r="J1108">
        <v>54002268.700000003</v>
      </c>
      <c r="K1108">
        <v>80657</v>
      </c>
      <c r="L1108" t="s">
        <v>78</v>
      </c>
      <c r="M1108" t="s">
        <v>17</v>
      </c>
      <c r="N1108">
        <v>5703</v>
      </c>
      <c r="O1108">
        <v>767.9</v>
      </c>
      <c r="P1108">
        <v>448.6</v>
      </c>
      <c r="Q1108" s="1" t="str">
        <v/>
      </c>
      <c r="R1108" s="1" t="str">
        <v/>
      </c>
      <c r="S1108" s="3">
        <v>0</v>
      </c>
      <c r="T1108" s="3">
        <v>0</v>
      </c>
    </row>
    <row r="1109" spans="1:20" x14ac:dyDescent="0.25">
      <c r="A1109" t="s">
        <v>78</v>
      </c>
      <c r="B1109" t="s">
        <v>79</v>
      </c>
      <c r="C1109" t="s">
        <v>5843</v>
      </c>
      <c r="D1109" t="s">
        <v>5842</v>
      </c>
      <c r="E1109">
        <v>740.95</v>
      </c>
      <c r="F1109">
        <v>744.9</v>
      </c>
      <c r="G1109">
        <v>754.9</v>
      </c>
      <c r="H1109">
        <v>731</v>
      </c>
      <c r="I1109" s="1">
        <v>742.15</v>
      </c>
      <c r="J1109">
        <v>48442924.899999999</v>
      </c>
      <c r="K1109">
        <v>65687</v>
      </c>
      <c r="L1109" t="s">
        <v>78</v>
      </c>
      <c r="M1109" t="s">
        <v>17</v>
      </c>
      <c r="N1109">
        <v>4681</v>
      </c>
      <c r="O1109">
        <v>1021.95</v>
      </c>
      <c r="P1109">
        <v>627.95000000000005</v>
      </c>
      <c r="Q1109" s="1" t="str">
        <v/>
      </c>
      <c r="R1109" s="1" t="str">
        <v/>
      </c>
      <c r="S1109" s="3">
        <v>0</v>
      </c>
      <c r="T1109" s="3">
        <v>0</v>
      </c>
    </row>
    <row r="1110" spans="1:20" x14ac:dyDescent="0.25">
      <c r="A1110" t="s">
        <v>78</v>
      </c>
      <c r="B1110" t="s">
        <v>79</v>
      </c>
      <c r="C1110" t="s">
        <v>1618</v>
      </c>
      <c r="D1110" t="s">
        <v>1619</v>
      </c>
      <c r="E1110">
        <v>4952.6499999999996</v>
      </c>
      <c r="F1110">
        <v>4905</v>
      </c>
      <c r="G1110">
        <v>5064.1000000000004</v>
      </c>
      <c r="H1110">
        <v>4870</v>
      </c>
      <c r="I1110" s="1">
        <v>4896.5</v>
      </c>
      <c r="J1110">
        <v>204688330</v>
      </c>
      <c r="K1110">
        <v>41491</v>
      </c>
      <c r="L1110" t="s">
        <v>78</v>
      </c>
      <c r="M1110" t="s">
        <v>17</v>
      </c>
      <c r="N1110">
        <v>13465</v>
      </c>
      <c r="O1110">
        <v>5300</v>
      </c>
      <c r="P1110">
        <v>2059.9</v>
      </c>
      <c r="Q1110" s="1">
        <v>1035.1500000000001</v>
      </c>
      <c r="R1110" s="1">
        <v>650.75</v>
      </c>
      <c r="S1110" s="3">
        <v>0.13825667563131305</v>
      </c>
      <c r="T1110" s="3">
        <v>0.10611321081383673</v>
      </c>
    </row>
    <row r="1111" spans="1:20" x14ac:dyDescent="0.25">
      <c r="A1111" t="s">
        <v>78</v>
      </c>
      <c r="B1111" t="s">
        <v>79</v>
      </c>
      <c r="C1111" t="s">
        <v>1620</v>
      </c>
      <c r="D1111" t="s">
        <v>1621</v>
      </c>
      <c r="E1111">
        <v>968.4</v>
      </c>
      <c r="F1111">
        <v>1007.7</v>
      </c>
      <c r="G1111">
        <v>1007.7</v>
      </c>
      <c r="H1111">
        <v>960</v>
      </c>
      <c r="I1111" s="1">
        <v>961.8</v>
      </c>
      <c r="J1111">
        <v>310760290.30000001</v>
      </c>
      <c r="K1111">
        <v>321962</v>
      </c>
      <c r="L1111" t="s">
        <v>78</v>
      </c>
      <c r="M1111" t="s">
        <v>17</v>
      </c>
      <c r="N1111">
        <v>8656</v>
      </c>
      <c r="O1111">
        <v>1039.55</v>
      </c>
      <c r="P1111">
        <v>535</v>
      </c>
      <c r="Q1111" s="1">
        <v>722</v>
      </c>
      <c r="R1111" s="1">
        <v>417</v>
      </c>
      <c r="S1111" s="3">
        <v>2.4186305632414751E-2</v>
      </c>
      <c r="T1111" s="3">
        <v>4.2647479096524554E-2</v>
      </c>
    </row>
    <row r="1112" spans="1:20" x14ac:dyDescent="0.25">
      <c r="A1112" t="s">
        <v>78</v>
      </c>
      <c r="B1112" t="s">
        <v>79</v>
      </c>
      <c r="C1112" t="s">
        <v>1622</v>
      </c>
      <c r="D1112" t="s">
        <v>1623</v>
      </c>
      <c r="E1112">
        <v>996.7</v>
      </c>
      <c r="F1112">
        <v>991.1</v>
      </c>
      <c r="G1112">
        <v>1002.5</v>
      </c>
      <c r="H1112">
        <v>955.5</v>
      </c>
      <c r="I1112" s="1">
        <v>961.75</v>
      </c>
      <c r="J1112">
        <v>127014992.45</v>
      </c>
      <c r="K1112">
        <v>130381</v>
      </c>
      <c r="L1112" t="s">
        <v>78</v>
      </c>
      <c r="M1112" t="s">
        <v>17</v>
      </c>
      <c r="N1112">
        <v>8872</v>
      </c>
      <c r="O1112">
        <v>1083</v>
      </c>
      <c r="P1112">
        <v>368.1</v>
      </c>
      <c r="Q1112" s="1">
        <v>401.3</v>
      </c>
      <c r="R1112" s="1">
        <v>186.15</v>
      </c>
      <c r="S1112" s="3">
        <v>7.555532045099822E-2</v>
      </c>
      <c r="T1112" s="3">
        <v>8.5526496879600789E-2</v>
      </c>
    </row>
    <row r="1113" spans="1:20" x14ac:dyDescent="0.25">
      <c r="A1113" t="s">
        <v>78</v>
      </c>
      <c r="B1113" t="s">
        <v>79</v>
      </c>
      <c r="C1113" t="s">
        <v>1624</v>
      </c>
      <c r="D1113" t="s">
        <v>1625</v>
      </c>
      <c r="E1113">
        <v>1191.2</v>
      </c>
      <c r="F1113">
        <v>1209</v>
      </c>
      <c r="G1113">
        <v>1209</v>
      </c>
      <c r="H1113">
        <v>1165.1500000000001</v>
      </c>
      <c r="I1113" s="1">
        <v>1193</v>
      </c>
      <c r="J1113">
        <v>43130555.149999999</v>
      </c>
      <c r="K1113">
        <v>36484</v>
      </c>
      <c r="L1113" t="s">
        <v>78</v>
      </c>
      <c r="M1113" t="s">
        <v>17</v>
      </c>
      <c r="N1113">
        <v>5708</v>
      </c>
      <c r="O1113">
        <v>1467.4</v>
      </c>
      <c r="P1113">
        <v>955.55</v>
      </c>
      <c r="Q1113" s="1">
        <v>503</v>
      </c>
      <c r="R1113" s="1" t="str">
        <v/>
      </c>
      <c r="S1113" s="3">
        <v>7.4622769246354581E-2</v>
      </c>
      <c r="T1113" s="3">
        <v>0</v>
      </c>
    </row>
    <row r="1114" spans="1:20" x14ac:dyDescent="0.25">
      <c r="A1114" t="s">
        <v>78</v>
      </c>
      <c r="B1114" t="s">
        <v>79</v>
      </c>
      <c r="C1114" t="s">
        <v>1626</v>
      </c>
      <c r="D1114" t="s">
        <v>1627</v>
      </c>
      <c r="E1114">
        <v>226.56</v>
      </c>
      <c r="F1114">
        <v>227.98</v>
      </c>
      <c r="G1114">
        <v>227.98</v>
      </c>
      <c r="H1114">
        <v>221.4</v>
      </c>
      <c r="I1114" s="1">
        <v>223.46</v>
      </c>
      <c r="J1114">
        <v>860909820.51999998</v>
      </c>
      <c r="K1114">
        <v>3846955</v>
      </c>
      <c r="L1114" t="s">
        <v>78</v>
      </c>
      <c r="M1114" t="s">
        <v>17</v>
      </c>
      <c r="N1114">
        <v>32753</v>
      </c>
      <c r="O1114">
        <v>286.55</v>
      </c>
      <c r="P1114">
        <v>192</v>
      </c>
      <c r="Q1114" s="1">
        <v>61.25</v>
      </c>
      <c r="R1114" s="1">
        <v>95.4</v>
      </c>
      <c r="S1114" s="3">
        <v>0.11388701638916054</v>
      </c>
      <c r="T1114" s="3">
        <v>4.3451935812022002E-2</v>
      </c>
    </row>
    <row r="1115" spans="1:20" x14ac:dyDescent="0.25">
      <c r="A1115" t="s">
        <v>78</v>
      </c>
      <c r="B1115" t="s">
        <v>287</v>
      </c>
      <c r="C1115" t="s">
        <v>5841</v>
      </c>
      <c r="D1115" t="s">
        <v>5840</v>
      </c>
      <c r="E1115">
        <v>47.9</v>
      </c>
      <c r="F1115">
        <v>45</v>
      </c>
      <c r="G1115">
        <v>45.1</v>
      </c>
      <c r="H1115">
        <v>43.25</v>
      </c>
      <c r="I1115" s="1">
        <v>43.25</v>
      </c>
      <c r="J1115">
        <v>801000</v>
      </c>
      <c r="K1115">
        <v>18000</v>
      </c>
      <c r="L1115" t="s">
        <v>78</v>
      </c>
      <c r="M1115" t="s">
        <v>17</v>
      </c>
      <c r="N1115">
        <v>6</v>
      </c>
      <c r="O1115">
        <v>58.4</v>
      </c>
      <c r="P1115">
        <v>35.5</v>
      </c>
      <c r="Q1115" s="1" t="str">
        <v/>
      </c>
      <c r="R1115" s="1" t="str">
        <v/>
      </c>
      <c r="S1115" s="3">
        <v>0</v>
      </c>
      <c r="T1115" s="3">
        <v>0</v>
      </c>
    </row>
    <row r="1116" spans="1:20" x14ac:dyDescent="0.25">
      <c r="A1116" t="s">
        <v>78</v>
      </c>
      <c r="B1116" t="s">
        <v>79</v>
      </c>
      <c r="C1116" t="s">
        <v>1628</v>
      </c>
      <c r="D1116" t="s">
        <v>1629</v>
      </c>
      <c r="E1116">
        <v>169.3</v>
      </c>
      <c r="F1116">
        <v>168.9</v>
      </c>
      <c r="G1116">
        <v>169.68</v>
      </c>
      <c r="H1116">
        <v>164</v>
      </c>
      <c r="I1116" s="1">
        <v>165.83</v>
      </c>
      <c r="J1116">
        <v>21505087.73</v>
      </c>
      <c r="K1116">
        <v>129715</v>
      </c>
      <c r="L1116" t="s">
        <v>78</v>
      </c>
      <c r="M1116" t="s">
        <v>17</v>
      </c>
      <c r="N1116">
        <v>4957</v>
      </c>
      <c r="O1116">
        <v>225.85</v>
      </c>
      <c r="P1116">
        <v>126.4</v>
      </c>
      <c r="Q1116" s="1">
        <v>76.3</v>
      </c>
      <c r="R1116" s="1" t="str">
        <v/>
      </c>
      <c r="S1116" s="3">
        <v>6.6829165735174501E-2</v>
      </c>
      <c r="T1116" s="3">
        <v>0</v>
      </c>
    </row>
    <row r="1117" spans="1:20" x14ac:dyDescent="0.25">
      <c r="A1117" t="s">
        <v>78</v>
      </c>
      <c r="B1117" t="s">
        <v>79</v>
      </c>
      <c r="C1117" t="s">
        <v>5839</v>
      </c>
      <c r="D1117" t="s">
        <v>5838</v>
      </c>
      <c r="E1117">
        <v>26.66</v>
      </c>
      <c r="F1117">
        <v>26.99</v>
      </c>
      <c r="G1117">
        <v>26.99</v>
      </c>
      <c r="H1117">
        <v>24.92</v>
      </c>
      <c r="I1117" s="1">
        <v>25.08</v>
      </c>
      <c r="J1117">
        <v>5422072.6200000001</v>
      </c>
      <c r="K1117">
        <v>212745</v>
      </c>
      <c r="L1117" t="s">
        <v>78</v>
      </c>
      <c r="M1117" t="s">
        <v>17</v>
      </c>
      <c r="N1117">
        <v>1719</v>
      </c>
      <c r="O1117">
        <v>510</v>
      </c>
      <c r="P1117">
        <v>20.95</v>
      </c>
      <c r="Q1117" s="1" t="str">
        <v/>
      </c>
      <c r="R1117" s="1" t="str">
        <v/>
      </c>
      <c r="S1117" s="3">
        <v>0</v>
      </c>
      <c r="T1117" s="3">
        <v>0</v>
      </c>
    </row>
    <row r="1118" spans="1:20" x14ac:dyDescent="0.25">
      <c r="A1118" t="s">
        <v>78</v>
      </c>
      <c r="B1118" t="s">
        <v>79</v>
      </c>
      <c r="C1118" t="s">
        <v>1634</v>
      </c>
      <c r="D1118" t="s">
        <v>1635</v>
      </c>
      <c r="E1118">
        <v>2998</v>
      </c>
      <c r="F1118">
        <v>2988</v>
      </c>
      <c r="G1118">
        <v>3037.35</v>
      </c>
      <c r="H1118">
        <v>2972.25</v>
      </c>
      <c r="I1118" s="1">
        <v>2988.95</v>
      </c>
      <c r="J1118">
        <v>1052610821.05</v>
      </c>
      <c r="K1118">
        <v>349847</v>
      </c>
      <c r="L1118" t="s">
        <v>78</v>
      </c>
      <c r="M1118" t="s">
        <v>17</v>
      </c>
      <c r="N1118">
        <v>43406</v>
      </c>
      <c r="O1118">
        <v>3055</v>
      </c>
      <c r="P1118">
        <v>1943.7</v>
      </c>
      <c r="Q1118" s="1">
        <v>3363</v>
      </c>
      <c r="R1118" s="1">
        <v>1065.05</v>
      </c>
      <c r="S1118" s="3">
        <v>-9.7778229800538075E-3</v>
      </c>
      <c r="T1118" s="3">
        <v>5.291948177320438E-2</v>
      </c>
    </row>
    <row r="1119" spans="1:20" x14ac:dyDescent="0.25">
      <c r="A1119" t="s">
        <v>78</v>
      </c>
      <c r="B1119" t="s">
        <v>79</v>
      </c>
      <c r="C1119" t="s">
        <v>1636</v>
      </c>
      <c r="D1119" t="s">
        <v>1637</v>
      </c>
      <c r="E1119">
        <v>160.58000000000001</v>
      </c>
      <c r="F1119">
        <v>163</v>
      </c>
      <c r="G1119">
        <v>164.5</v>
      </c>
      <c r="H1119">
        <v>159.22</v>
      </c>
      <c r="I1119" s="1">
        <v>160.66999999999999</v>
      </c>
      <c r="J1119">
        <v>10698044.279999999</v>
      </c>
      <c r="K1119">
        <v>66040</v>
      </c>
      <c r="L1119" t="s">
        <v>78</v>
      </c>
      <c r="M1119" t="s">
        <v>17</v>
      </c>
      <c r="N1119">
        <v>1327</v>
      </c>
      <c r="O1119">
        <v>209.85</v>
      </c>
      <c r="P1119">
        <v>128.15</v>
      </c>
      <c r="Q1119" s="1">
        <v>105.15</v>
      </c>
      <c r="R1119" s="1">
        <v>34.9</v>
      </c>
      <c r="S1119" s="3">
        <v>3.5961922852924655E-2</v>
      </c>
      <c r="T1119" s="3">
        <v>7.9287906796268404E-2</v>
      </c>
    </row>
    <row r="1120" spans="1:20" x14ac:dyDescent="0.25">
      <c r="A1120" t="s">
        <v>78</v>
      </c>
      <c r="B1120" t="s">
        <v>79</v>
      </c>
      <c r="C1120" t="s">
        <v>5837</v>
      </c>
      <c r="D1120" t="s">
        <v>5836</v>
      </c>
      <c r="E1120">
        <v>44.98</v>
      </c>
      <c r="F1120">
        <v>45.8</v>
      </c>
      <c r="G1120">
        <v>46.24</v>
      </c>
      <c r="H1120">
        <v>42.2</v>
      </c>
      <c r="I1120" s="1">
        <v>42.81</v>
      </c>
      <c r="J1120">
        <v>5956284.0300000003</v>
      </c>
      <c r="K1120">
        <v>136858</v>
      </c>
      <c r="L1120" t="s">
        <v>78</v>
      </c>
      <c r="M1120" t="s">
        <v>17</v>
      </c>
      <c r="N1120">
        <v>1704</v>
      </c>
      <c r="O1120">
        <v>57</v>
      </c>
      <c r="P1120">
        <v>40.200000000000003</v>
      </c>
      <c r="Q1120" s="1" t="str">
        <v/>
      </c>
      <c r="R1120" s="1" t="str">
        <v/>
      </c>
      <c r="S1120" s="3">
        <v>0</v>
      </c>
      <c r="T1120" s="3">
        <v>0</v>
      </c>
    </row>
    <row r="1121" spans="1:20" x14ac:dyDescent="0.25">
      <c r="A1121" t="s">
        <v>78</v>
      </c>
      <c r="B1121" t="s">
        <v>79</v>
      </c>
      <c r="C1121" t="s">
        <v>5835</v>
      </c>
      <c r="D1121" t="s">
        <v>5834</v>
      </c>
      <c r="E1121">
        <v>654.4</v>
      </c>
      <c r="F1121">
        <v>660</v>
      </c>
      <c r="G1121">
        <v>660</v>
      </c>
      <c r="H1121">
        <v>626.04999999999995</v>
      </c>
      <c r="I1121" s="1">
        <v>631.85</v>
      </c>
      <c r="J1121">
        <v>115209495.25</v>
      </c>
      <c r="K1121">
        <v>180937</v>
      </c>
      <c r="L1121" t="s">
        <v>78</v>
      </c>
      <c r="M1121" t="s">
        <v>17</v>
      </c>
      <c r="N1121">
        <v>12130</v>
      </c>
      <c r="O1121">
        <v>905</v>
      </c>
      <c r="P1121">
        <v>626.04999999999995</v>
      </c>
      <c r="Q1121" s="1" t="str">
        <v/>
      </c>
      <c r="R1121" s="1" t="str">
        <v/>
      </c>
      <c r="S1121" s="3">
        <v>0</v>
      </c>
      <c r="T1121" s="3">
        <v>0</v>
      </c>
    </row>
    <row r="1122" spans="1:20" x14ac:dyDescent="0.25">
      <c r="A1122" t="s">
        <v>78</v>
      </c>
      <c r="B1122" t="s">
        <v>79</v>
      </c>
      <c r="C1122" t="s">
        <v>1638</v>
      </c>
      <c r="D1122" t="s">
        <v>1639</v>
      </c>
      <c r="E1122">
        <v>332.35</v>
      </c>
      <c r="F1122">
        <v>334.05</v>
      </c>
      <c r="G1122">
        <v>335.55</v>
      </c>
      <c r="H1122">
        <v>326</v>
      </c>
      <c r="I1122" s="1">
        <v>327.45</v>
      </c>
      <c r="J1122">
        <v>53435915.25</v>
      </c>
      <c r="K1122">
        <v>162905</v>
      </c>
      <c r="L1122" t="s">
        <v>78</v>
      </c>
      <c r="M1122" t="s">
        <v>17</v>
      </c>
      <c r="N1122">
        <v>5866</v>
      </c>
      <c r="O1122">
        <v>479.75</v>
      </c>
      <c r="P1122">
        <v>290.39999999999998</v>
      </c>
      <c r="Q1122" s="1">
        <v>268.39999999999998</v>
      </c>
      <c r="R1122" s="1">
        <v>188.7</v>
      </c>
      <c r="S1122" s="3">
        <v>1.6709481362987999E-2</v>
      </c>
      <c r="T1122" s="3">
        <v>2.7926589506105159E-2</v>
      </c>
    </row>
    <row r="1123" spans="1:20" x14ac:dyDescent="0.25">
      <c r="A1123" t="s">
        <v>78</v>
      </c>
      <c r="B1123" t="s">
        <v>79</v>
      </c>
      <c r="C1123" t="s">
        <v>1640</v>
      </c>
      <c r="D1123" t="s">
        <v>1641</v>
      </c>
      <c r="E1123">
        <v>23.85</v>
      </c>
      <c r="F1123">
        <v>23.85</v>
      </c>
      <c r="G1123">
        <v>26.23</v>
      </c>
      <c r="H1123">
        <v>23.18</v>
      </c>
      <c r="I1123" s="1">
        <v>24.68</v>
      </c>
      <c r="J1123">
        <v>7418966.2000000002</v>
      </c>
      <c r="K1123">
        <v>296367</v>
      </c>
      <c r="L1123" t="s">
        <v>78</v>
      </c>
      <c r="M1123" t="s">
        <v>17</v>
      </c>
      <c r="N1123">
        <v>1111</v>
      </c>
      <c r="O1123">
        <v>30.2</v>
      </c>
      <c r="P1123">
        <v>19</v>
      </c>
      <c r="Q1123" s="1">
        <v>82.9</v>
      </c>
      <c r="R1123" s="1">
        <v>11.5</v>
      </c>
      <c r="S1123" s="3">
        <v>-9.6039989064017006E-2</v>
      </c>
      <c r="T1123" s="3">
        <v>3.8898895373618458E-2</v>
      </c>
    </row>
    <row r="1124" spans="1:20" x14ac:dyDescent="0.25">
      <c r="A1124" t="s">
        <v>78</v>
      </c>
      <c r="B1124" t="s">
        <v>79</v>
      </c>
      <c r="C1124" t="s">
        <v>5833</v>
      </c>
      <c r="D1124" t="s">
        <v>5832</v>
      </c>
      <c r="E1124">
        <v>557.5</v>
      </c>
      <c r="F1124">
        <v>553</v>
      </c>
      <c r="G1124">
        <v>556</v>
      </c>
      <c r="H1124">
        <v>537</v>
      </c>
      <c r="I1124" s="1">
        <v>539.70000000000005</v>
      </c>
      <c r="J1124">
        <v>300966885.10000002</v>
      </c>
      <c r="K1124">
        <v>552960</v>
      </c>
      <c r="L1124" t="s">
        <v>78</v>
      </c>
      <c r="M1124" t="s">
        <v>17</v>
      </c>
      <c r="N1124">
        <v>14386</v>
      </c>
      <c r="O1124">
        <v>575</v>
      </c>
      <c r="P1124">
        <v>362</v>
      </c>
      <c r="Q1124" s="1" t="str">
        <v/>
      </c>
      <c r="R1124" s="1" t="str">
        <v/>
      </c>
      <c r="S1124" s="3">
        <v>0</v>
      </c>
      <c r="T1124" s="3">
        <v>0</v>
      </c>
    </row>
    <row r="1125" spans="1:20" x14ac:dyDescent="0.25">
      <c r="A1125" t="s">
        <v>78</v>
      </c>
      <c r="B1125" t="s">
        <v>79</v>
      </c>
      <c r="C1125" t="s">
        <v>1642</v>
      </c>
      <c r="D1125" t="s">
        <v>1643</v>
      </c>
      <c r="E1125">
        <v>465.05</v>
      </c>
      <c r="F1125">
        <v>464</v>
      </c>
      <c r="G1125">
        <v>465</v>
      </c>
      <c r="H1125">
        <v>452.65</v>
      </c>
      <c r="I1125" s="1">
        <v>457</v>
      </c>
      <c r="J1125">
        <v>531189838.35000002</v>
      </c>
      <c r="K1125">
        <v>1160068</v>
      </c>
      <c r="L1125" t="s">
        <v>78</v>
      </c>
      <c r="M1125" t="s">
        <v>17</v>
      </c>
      <c r="N1125">
        <v>25395</v>
      </c>
      <c r="O1125">
        <v>484.3</v>
      </c>
      <c r="P1125">
        <v>328.15</v>
      </c>
      <c r="Q1125" s="1">
        <v>659.15</v>
      </c>
      <c r="R1125" s="1">
        <v>350</v>
      </c>
      <c r="S1125" s="3">
        <v>-3.0061208746100521E-2</v>
      </c>
      <c r="T1125" s="3">
        <v>1.3419450917592224E-2</v>
      </c>
    </row>
    <row r="1126" spans="1:20" x14ac:dyDescent="0.25">
      <c r="A1126" t="s">
        <v>78</v>
      </c>
      <c r="B1126" t="s">
        <v>287</v>
      </c>
      <c r="C1126" t="s">
        <v>5831</v>
      </c>
      <c r="D1126" t="s">
        <v>5830</v>
      </c>
      <c r="E1126">
        <v>298.10000000000002</v>
      </c>
      <c r="F1126">
        <v>295</v>
      </c>
      <c r="G1126">
        <v>296</v>
      </c>
      <c r="H1126">
        <v>289</v>
      </c>
      <c r="I1126" s="1">
        <v>294</v>
      </c>
      <c r="J1126">
        <v>12670825</v>
      </c>
      <c r="K1126">
        <v>43500</v>
      </c>
      <c r="L1126" t="s">
        <v>78</v>
      </c>
      <c r="M1126" t="s">
        <v>17</v>
      </c>
      <c r="N1126">
        <v>70</v>
      </c>
      <c r="O1126">
        <v>364</v>
      </c>
      <c r="P1126">
        <v>187.5</v>
      </c>
      <c r="Q1126" s="1" t="str">
        <v/>
      </c>
      <c r="R1126" s="1" t="str">
        <v/>
      </c>
      <c r="S1126" s="3">
        <v>0</v>
      </c>
      <c r="T1126" s="3">
        <v>0</v>
      </c>
    </row>
    <row r="1127" spans="1:20" x14ac:dyDescent="0.25">
      <c r="A1127" t="s">
        <v>78</v>
      </c>
      <c r="B1127" t="s">
        <v>79</v>
      </c>
      <c r="C1127" t="s">
        <v>1644</v>
      </c>
      <c r="D1127" t="s">
        <v>1645</v>
      </c>
      <c r="E1127">
        <v>30.37</v>
      </c>
      <c r="F1127">
        <v>30.37</v>
      </c>
      <c r="G1127">
        <v>30.37</v>
      </c>
      <c r="H1127">
        <v>29.9</v>
      </c>
      <c r="I1127" s="1">
        <v>29.93</v>
      </c>
      <c r="J1127">
        <v>703627.11</v>
      </c>
      <c r="K1127">
        <v>23428</v>
      </c>
      <c r="L1127" t="s">
        <v>78</v>
      </c>
      <c r="M1127" t="s">
        <v>17</v>
      </c>
      <c r="N1127">
        <v>226</v>
      </c>
      <c r="O1127">
        <v>38.799999999999997</v>
      </c>
      <c r="P1127">
        <v>18.5</v>
      </c>
      <c r="Q1127" s="1">
        <v>15.75</v>
      </c>
      <c r="R1127" s="1" t="str">
        <v/>
      </c>
      <c r="S1127" s="3">
        <v>5.4958834127889267E-2</v>
      </c>
      <c r="T1127" s="3">
        <v>0</v>
      </c>
    </row>
    <row r="1128" spans="1:20" x14ac:dyDescent="0.25">
      <c r="A1128" t="s">
        <v>78</v>
      </c>
      <c r="B1128" t="s">
        <v>79</v>
      </c>
      <c r="C1128" t="s">
        <v>1646</v>
      </c>
      <c r="D1128" t="s">
        <v>1647</v>
      </c>
      <c r="E1128">
        <v>15922.3</v>
      </c>
      <c r="F1128">
        <v>15949.95</v>
      </c>
      <c r="G1128">
        <v>16070</v>
      </c>
      <c r="H1128">
        <v>15651.6</v>
      </c>
      <c r="I1128" s="1">
        <v>15736.8</v>
      </c>
      <c r="J1128">
        <v>24078321.300000001</v>
      </c>
      <c r="K1128">
        <v>1525</v>
      </c>
      <c r="L1128" t="s">
        <v>78</v>
      </c>
      <c r="M1128" t="s">
        <v>17</v>
      </c>
      <c r="N1128">
        <v>816</v>
      </c>
      <c r="O1128">
        <v>17794.150000000001</v>
      </c>
      <c r="P1128">
        <v>12722.3</v>
      </c>
      <c r="Q1128" s="1">
        <v>7639.65</v>
      </c>
      <c r="R1128" s="1">
        <v>4527.1499999999996</v>
      </c>
      <c r="S1128" s="3">
        <v>6.207107267371792E-2</v>
      </c>
      <c r="T1128" s="3">
        <v>6.4240447628465702E-2</v>
      </c>
    </row>
    <row r="1129" spans="1:20" x14ac:dyDescent="0.25">
      <c r="A1129" t="s">
        <v>78</v>
      </c>
      <c r="B1129" t="s">
        <v>287</v>
      </c>
      <c r="C1129" t="s">
        <v>5829</v>
      </c>
      <c r="D1129" t="s">
        <v>5828</v>
      </c>
      <c r="E1129">
        <v>152.69999999999999</v>
      </c>
      <c r="F1129">
        <v>156</v>
      </c>
      <c r="G1129">
        <v>156</v>
      </c>
      <c r="H1129">
        <v>149.80000000000001</v>
      </c>
      <c r="I1129" s="1">
        <v>150.65</v>
      </c>
      <c r="J1129">
        <v>14029520</v>
      </c>
      <c r="K1129">
        <v>92800</v>
      </c>
      <c r="L1129" t="s">
        <v>78</v>
      </c>
      <c r="M1129" t="s">
        <v>17</v>
      </c>
      <c r="N1129">
        <v>54</v>
      </c>
      <c r="O1129">
        <v>157.4</v>
      </c>
      <c r="P1129">
        <v>40.549999999999997</v>
      </c>
      <c r="Q1129" s="1" t="str">
        <v/>
      </c>
      <c r="R1129" s="1" t="str">
        <v/>
      </c>
      <c r="S1129" s="3">
        <v>0</v>
      </c>
      <c r="T1129" s="3">
        <v>0</v>
      </c>
    </row>
    <row r="1130" spans="1:20" x14ac:dyDescent="0.25">
      <c r="A1130" t="s">
        <v>78</v>
      </c>
      <c r="B1130" t="s">
        <v>79</v>
      </c>
      <c r="C1130" t="s">
        <v>1648</v>
      </c>
      <c r="D1130" t="s">
        <v>1649</v>
      </c>
      <c r="E1130">
        <v>145.63</v>
      </c>
      <c r="F1130">
        <v>146.80000000000001</v>
      </c>
      <c r="G1130">
        <v>146.80000000000001</v>
      </c>
      <c r="H1130">
        <v>143.16</v>
      </c>
      <c r="I1130" s="1">
        <v>144.94999999999999</v>
      </c>
      <c r="J1130">
        <v>222040591.97999999</v>
      </c>
      <c r="K1130">
        <v>1534249</v>
      </c>
      <c r="L1130" t="s">
        <v>78</v>
      </c>
      <c r="M1130" t="s">
        <v>17</v>
      </c>
      <c r="N1130">
        <v>25350</v>
      </c>
      <c r="O1130">
        <v>158</v>
      </c>
      <c r="P1130">
        <v>90.2</v>
      </c>
      <c r="Q1130" s="1">
        <v>41.2</v>
      </c>
      <c r="R1130" s="1">
        <v>63.8</v>
      </c>
      <c r="S1130" s="3">
        <v>0.11052093560098064</v>
      </c>
      <c r="T1130" s="3">
        <v>4.1861807728721612E-2</v>
      </c>
    </row>
    <row r="1131" spans="1:20" x14ac:dyDescent="0.25">
      <c r="A1131" t="s">
        <v>78</v>
      </c>
      <c r="B1131" t="s">
        <v>79</v>
      </c>
      <c r="C1131" t="s">
        <v>1650</v>
      </c>
      <c r="D1131" t="s">
        <v>1651</v>
      </c>
      <c r="E1131">
        <v>44.68</v>
      </c>
      <c r="F1131">
        <v>45.5</v>
      </c>
      <c r="G1131">
        <v>45.99</v>
      </c>
      <c r="H1131">
        <v>42.5</v>
      </c>
      <c r="I1131" s="1">
        <v>43.12</v>
      </c>
      <c r="J1131">
        <v>3946687.84</v>
      </c>
      <c r="K1131">
        <v>89663</v>
      </c>
      <c r="L1131" t="s">
        <v>78</v>
      </c>
      <c r="M1131" t="s">
        <v>17</v>
      </c>
      <c r="N1131">
        <v>901</v>
      </c>
      <c r="O1131">
        <v>56.7</v>
      </c>
      <c r="P1131">
        <v>31.55</v>
      </c>
      <c r="Q1131" s="1">
        <v>12.85</v>
      </c>
      <c r="R1131" s="1" t="str">
        <v/>
      </c>
      <c r="S1131" s="3">
        <v>0.1061515580109027</v>
      </c>
      <c r="T1131" s="3">
        <v>0</v>
      </c>
    </row>
    <row r="1132" spans="1:20" x14ac:dyDescent="0.25">
      <c r="A1132" t="s">
        <v>78</v>
      </c>
      <c r="B1132" t="s">
        <v>79</v>
      </c>
      <c r="C1132" t="s">
        <v>1652</v>
      </c>
      <c r="D1132" t="s">
        <v>1653</v>
      </c>
      <c r="E1132">
        <v>211.82</v>
      </c>
      <c r="F1132">
        <v>211.36</v>
      </c>
      <c r="G1132">
        <v>212.95</v>
      </c>
      <c r="H1132">
        <v>206.78</v>
      </c>
      <c r="I1132" s="1">
        <v>210.39</v>
      </c>
      <c r="J1132">
        <v>899029.14</v>
      </c>
      <c r="K1132">
        <v>4294</v>
      </c>
      <c r="L1132" t="s">
        <v>78</v>
      </c>
      <c r="M1132" t="s">
        <v>17</v>
      </c>
      <c r="N1132">
        <v>642</v>
      </c>
      <c r="O1132">
        <v>248.6</v>
      </c>
      <c r="P1132">
        <v>120.3</v>
      </c>
      <c r="Q1132" s="1">
        <v>80</v>
      </c>
      <c r="R1132" s="1" t="str">
        <v/>
      </c>
      <c r="S1132" s="3">
        <v>8.391341718148615E-2</v>
      </c>
      <c r="T1132" s="3">
        <v>0</v>
      </c>
    </row>
    <row r="1133" spans="1:20" x14ac:dyDescent="0.25">
      <c r="A1133" t="s">
        <v>78</v>
      </c>
      <c r="B1133" t="s">
        <v>79</v>
      </c>
      <c r="C1133" t="s">
        <v>1654</v>
      </c>
      <c r="D1133" t="s">
        <v>1655</v>
      </c>
      <c r="E1133">
        <v>1473.55</v>
      </c>
      <c r="F1133">
        <v>1480.65</v>
      </c>
      <c r="G1133">
        <v>1480.65</v>
      </c>
      <c r="H1133">
        <v>1435</v>
      </c>
      <c r="I1133" s="1">
        <v>1449</v>
      </c>
      <c r="J1133">
        <v>199541911.80000001</v>
      </c>
      <c r="K1133">
        <v>137675</v>
      </c>
      <c r="L1133" t="s">
        <v>78</v>
      </c>
      <c r="M1133" t="s">
        <v>17</v>
      </c>
      <c r="N1133">
        <v>3740</v>
      </c>
      <c r="O1133">
        <v>1526.6</v>
      </c>
      <c r="P1133">
        <v>963.9</v>
      </c>
      <c r="Q1133" s="1">
        <v>455.3</v>
      </c>
      <c r="R1133" s="1">
        <v>265</v>
      </c>
      <c r="S1133" s="3">
        <v>0.10127951580078243</v>
      </c>
      <c r="T1133" s="3">
        <v>8.8606497990071365E-2</v>
      </c>
    </row>
    <row r="1134" spans="1:20" x14ac:dyDescent="0.25">
      <c r="A1134" t="s">
        <v>78</v>
      </c>
      <c r="B1134" t="s">
        <v>79</v>
      </c>
      <c r="C1134" t="s">
        <v>5827</v>
      </c>
      <c r="D1134" t="s">
        <v>5826</v>
      </c>
      <c r="E1134">
        <v>324</v>
      </c>
      <c r="F1134">
        <v>338.4</v>
      </c>
      <c r="G1134">
        <v>338.5</v>
      </c>
      <c r="H1134">
        <v>307.8</v>
      </c>
      <c r="I1134" s="1">
        <v>310.55</v>
      </c>
      <c r="J1134">
        <v>745201.15</v>
      </c>
      <c r="K1134">
        <v>2394</v>
      </c>
      <c r="L1134" t="s">
        <v>78</v>
      </c>
      <c r="M1134" t="s">
        <v>17</v>
      </c>
      <c r="N1134">
        <v>102</v>
      </c>
      <c r="O1134">
        <v>396.65</v>
      </c>
      <c r="P1134">
        <v>30.9</v>
      </c>
      <c r="Q1134" s="1" t="str">
        <v/>
      </c>
      <c r="R1134" s="1" t="str">
        <v/>
      </c>
      <c r="S1134" s="3">
        <v>0</v>
      </c>
      <c r="T1134" s="3">
        <v>0</v>
      </c>
    </row>
    <row r="1135" spans="1:20" x14ac:dyDescent="0.25">
      <c r="A1135" t="s">
        <v>78</v>
      </c>
      <c r="B1135" t="s">
        <v>79</v>
      </c>
      <c r="C1135" t="s">
        <v>1656</v>
      </c>
      <c r="D1135" t="s">
        <v>1657</v>
      </c>
      <c r="E1135">
        <v>17.02</v>
      </c>
      <c r="F1135">
        <v>17.03</v>
      </c>
      <c r="G1135">
        <v>17.399999999999999</v>
      </c>
      <c r="H1135">
        <v>16.8</v>
      </c>
      <c r="I1135" s="1">
        <v>16.940000000000001</v>
      </c>
      <c r="J1135">
        <v>1254841.04</v>
      </c>
      <c r="K1135">
        <v>73538</v>
      </c>
      <c r="L1135" t="s">
        <v>78</v>
      </c>
      <c r="M1135" t="s">
        <v>17</v>
      </c>
      <c r="N1135">
        <v>435</v>
      </c>
      <c r="O1135">
        <v>27.35</v>
      </c>
      <c r="P1135">
        <v>11.05</v>
      </c>
      <c r="Q1135" s="1">
        <v>71</v>
      </c>
      <c r="R1135" s="1">
        <v>46.55</v>
      </c>
      <c r="S1135" s="3">
        <v>-0.1125622038950902</v>
      </c>
      <c r="T1135" s="3">
        <v>-4.9260129442074474E-2</v>
      </c>
    </row>
    <row r="1136" spans="1:20" x14ac:dyDescent="0.25">
      <c r="A1136" t="s">
        <v>78</v>
      </c>
      <c r="B1136" t="s">
        <v>79</v>
      </c>
      <c r="C1136" t="s">
        <v>1658</v>
      </c>
      <c r="D1136" t="s">
        <v>1659</v>
      </c>
      <c r="E1136">
        <v>416.3</v>
      </c>
      <c r="F1136">
        <v>415.85</v>
      </c>
      <c r="G1136">
        <v>417.95</v>
      </c>
      <c r="H1136">
        <v>392.1</v>
      </c>
      <c r="I1136" s="1">
        <v>405.65</v>
      </c>
      <c r="J1136">
        <v>47663636.200000003</v>
      </c>
      <c r="K1136">
        <v>117925</v>
      </c>
      <c r="L1136" t="s">
        <v>78</v>
      </c>
      <c r="M1136" t="s">
        <v>17</v>
      </c>
      <c r="N1136">
        <v>4970</v>
      </c>
      <c r="O1136">
        <v>449</v>
      </c>
      <c r="P1136">
        <v>224.95</v>
      </c>
      <c r="Q1136" s="1">
        <v>178.1</v>
      </c>
      <c r="R1136" s="1">
        <v>101.5</v>
      </c>
      <c r="S1136" s="3">
        <v>7.1002858766827437E-2</v>
      </c>
      <c r="T1136" s="3">
        <v>7.168658993311583E-2</v>
      </c>
    </row>
    <row r="1137" spans="1:20" x14ac:dyDescent="0.25">
      <c r="A1137" t="s">
        <v>78</v>
      </c>
      <c r="B1137" t="s">
        <v>79</v>
      </c>
      <c r="C1137" t="s">
        <v>1660</v>
      </c>
      <c r="D1137" t="s">
        <v>1661</v>
      </c>
      <c r="E1137">
        <v>807</v>
      </c>
      <c r="F1137">
        <v>810</v>
      </c>
      <c r="G1137">
        <v>813.95</v>
      </c>
      <c r="H1137">
        <v>788</v>
      </c>
      <c r="I1137" s="1">
        <v>795.7</v>
      </c>
      <c r="J1137">
        <v>3505020417.4499998</v>
      </c>
      <c r="K1137">
        <v>4410032</v>
      </c>
      <c r="L1137" t="s">
        <v>78</v>
      </c>
      <c r="M1137" t="s">
        <v>17</v>
      </c>
      <c r="N1137">
        <v>80239</v>
      </c>
      <c r="O1137">
        <v>826.75</v>
      </c>
      <c r="P1137">
        <v>382.7</v>
      </c>
      <c r="Q1137" s="1">
        <v>458</v>
      </c>
      <c r="R1137" s="1">
        <v>520.70000000000005</v>
      </c>
      <c r="S1137" s="3">
        <v>4.7105216886304202E-2</v>
      </c>
      <c r="T1137" s="3">
        <v>2.1416916448039558E-2</v>
      </c>
    </row>
    <row r="1138" spans="1:20" x14ac:dyDescent="0.25">
      <c r="A1138" t="s">
        <v>78</v>
      </c>
      <c r="B1138" t="s">
        <v>79</v>
      </c>
      <c r="C1138" t="s">
        <v>1662</v>
      </c>
      <c r="D1138" t="s">
        <v>1663</v>
      </c>
      <c r="E1138">
        <v>452.55</v>
      </c>
      <c r="F1138">
        <v>451</v>
      </c>
      <c r="G1138">
        <v>451.4</v>
      </c>
      <c r="H1138">
        <v>442.3</v>
      </c>
      <c r="I1138" s="1">
        <v>448.25</v>
      </c>
      <c r="J1138">
        <v>58335209.799999997</v>
      </c>
      <c r="K1138">
        <v>130413</v>
      </c>
      <c r="L1138" t="s">
        <v>78</v>
      </c>
      <c r="M1138" t="s">
        <v>17</v>
      </c>
      <c r="N1138">
        <v>8444</v>
      </c>
      <c r="O1138">
        <v>497.45</v>
      </c>
      <c r="P1138">
        <v>230.15</v>
      </c>
      <c r="Q1138" s="1">
        <v>408</v>
      </c>
      <c r="R1138" s="1" t="str">
        <v/>
      </c>
      <c r="S1138" s="3">
        <v>7.8711440291847623E-3</v>
      </c>
      <c r="T1138" s="3">
        <v>0</v>
      </c>
    </row>
    <row r="1139" spans="1:20" x14ac:dyDescent="0.25">
      <c r="A1139" t="s">
        <v>78</v>
      </c>
      <c r="B1139" t="s">
        <v>79</v>
      </c>
      <c r="C1139" t="s">
        <v>5825</v>
      </c>
      <c r="D1139" t="s">
        <v>5824</v>
      </c>
      <c r="E1139">
        <v>620.25</v>
      </c>
      <c r="F1139">
        <v>625</v>
      </c>
      <c r="G1139">
        <v>639</v>
      </c>
      <c r="H1139">
        <v>603.20000000000005</v>
      </c>
      <c r="I1139" s="1">
        <v>606.9</v>
      </c>
      <c r="J1139">
        <v>31194147.600000001</v>
      </c>
      <c r="K1139">
        <v>50564</v>
      </c>
      <c r="L1139" t="s">
        <v>78</v>
      </c>
      <c r="M1139" t="s">
        <v>17</v>
      </c>
      <c r="N1139">
        <v>5730</v>
      </c>
      <c r="O1139">
        <v>900</v>
      </c>
      <c r="P1139">
        <v>463.2</v>
      </c>
      <c r="Q1139" s="1" t="str">
        <v/>
      </c>
      <c r="R1139" s="1" t="str">
        <v/>
      </c>
      <c r="S1139" s="3">
        <v>0</v>
      </c>
      <c r="T1139" s="3">
        <v>0</v>
      </c>
    </row>
    <row r="1140" spans="1:20" x14ac:dyDescent="0.25">
      <c r="A1140" t="s">
        <v>78</v>
      </c>
      <c r="B1140" t="s">
        <v>79</v>
      </c>
      <c r="C1140" t="s">
        <v>1664</v>
      </c>
      <c r="D1140" t="s">
        <v>1665</v>
      </c>
      <c r="E1140">
        <v>640.65</v>
      </c>
      <c r="F1140">
        <v>644</v>
      </c>
      <c r="G1140">
        <v>646.04999999999995</v>
      </c>
      <c r="H1140">
        <v>630.1</v>
      </c>
      <c r="I1140" s="1">
        <v>633.6</v>
      </c>
      <c r="J1140">
        <v>27678378.850000001</v>
      </c>
      <c r="K1140">
        <v>43511</v>
      </c>
      <c r="L1140" t="s">
        <v>78</v>
      </c>
      <c r="M1140" t="s">
        <v>17</v>
      </c>
      <c r="N1140">
        <v>6353</v>
      </c>
      <c r="O1140">
        <v>755.15</v>
      </c>
      <c r="P1140">
        <v>391.95</v>
      </c>
      <c r="Q1140" s="1">
        <v>355</v>
      </c>
      <c r="R1140" s="1">
        <v>143</v>
      </c>
      <c r="S1140" s="3">
        <v>4.945922139245762E-2</v>
      </c>
      <c r="T1140" s="3">
        <v>7.7224579898485191E-2</v>
      </c>
    </row>
    <row r="1141" spans="1:20" x14ac:dyDescent="0.25">
      <c r="A1141" t="s">
        <v>78</v>
      </c>
      <c r="B1141" t="s">
        <v>79</v>
      </c>
      <c r="C1141" t="s">
        <v>1666</v>
      </c>
      <c r="D1141" t="s">
        <v>1667</v>
      </c>
      <c r="E1141">
        <v>8617.5</v>
      </c>
      <c r="F1141">
        <v>8630</v>
      </c>
      <c r="G1141">
        <v>8703.7000000000007</v>
      </c>
      <c r="H1141">
        <v>8286.4500000000007</v>
      </c>
      <c r="I1141" s="1">
        <v>8406.7999999999993</v>
      </c>
      <c r="J1141">
        <v>781749169.70000005</v>
      </c>
      <c r="K1141">
        <v>92687</v>
      </c>
      <c r="L1141" t="s">
        <v>78</v>
      </c>
      <c r="M1141" t="s">
        <v>17</v>
      </c>
      <c r="N1141">
        <v>23174</v>
      </c>
      <c r="O1141">
        <v>9935.0499999999993</v>
      </c>
      <c r="P1141">
        <v>4343</v>
      </c>
      <c r="Q1141" s="1">
        <v>1632.55</v>
      </c>
      <c r="R1141" s="1">
        <v>484.95</v>
      </c>
      <c r="S1141" s="3">
        <v>0.14634062969333606</v>
      </c>
      <c r="T1141" s="3">
        <v>0.15322158567425226</v>
      </c>
    </row>
    <row r="1142" spans="1:20" x14ac:dyDescent="0.25">
      <c r="A1142" t="s">
        <v>78</v>
      </c>
      <c r="B1142" t="s">
        <v>287</v>
      </c>
      <c r="C1142" t="s">
        <v>5823</v>
      </c>
      <c r="D1142" t="s">
        <v>5822</v>
      </c>
      <c r="E1142">
        <v>112</v>
      </c>
      <c r="F1142">
        <v>115</v>
      </c>
      <c r="G1142">
        <v>115</v>
      </c>
      <c r="H1142">
        <v>110.25</v>
      </c>
      <c r="I1142" s="1">
        <v>110.25</v>
      </c>
      <c r="J1142">
        <v>339250</v>
      </c>
      <c r="K1142">
        <v>3000</v>
      </c>
      <c r="L1142" t="s">
        <v>78</v>
      </c>
      <c r="M1142" t="s">
        <v>17</v>
      </c>
      <c r="N1142">
        <v>3</v>
      </c>
      <c r="O1142">
        <v>154.1</v>
      </c>
      <c r="P1142">
        <v>67.55</v>
      </c>
      <c r="Q1142" s="1" t="str">
        <v/>
      </c>
      <c r="R1142" s="1" t="str">
        <v/>
      </c>
      <c r="S1142" s="3">
        <v>0</v>
      </c>
      <c r="T1142" s="3">
        <v>0</v>
      </c>
    </row>
    <row r="1143" spans="1:20" x14ac:dyDescent="0.25">
      <c r="A1143" t="s">
        <v>78</v>
      </c>
      <c r="B1143" t="s">
        <v>79</v>
      </c>
      <c r="C1143" t="s">
        <v>5821</v>
      </c>
      <c r="D1143" t="s">
        <v>5820</v>
      </c>
      <c r="E1143">
        <v>81.89</v>
      </c>
      <c r="F1143">
        <v>81.88</v>
      </c>
      <c r="G1143">
        <v>86.49</v>
      </c>
      <c r="H1143">
        <v>80.010000000000005</v>
      </c>
      <c r="I1143" s="1">
        <v>82.38</v>
      </c>
      <c r="J1143">
        <v>1080790197.02</v>
      </c>
      <c r="K1143">
        <v>12923175</v>
      </c>
      <c r="L1143" t="s">
        <v>78</v>
      </c>
      <c r="M1143" t="s">
        <v>17</v>
      </c>
      <c r="N1143">
        <v>59986</v>
      </c>
      <c r="O1143">
        <v>88.55</v>
      </c>
      <c r="P1143">
        <v>39.6</v>
      </c>
      <c r="Q1143" s="1" t="str">
        <v/>
      </c>
      <c r="R1143" s="1" t="str">
        <v/>
      </c>
      <c r="S1143" s="3">
        <v>0</v>
      </c>
      <c r="T1143" s="3">
        <v>0</v>
      </c>
    </row>
    <row r="1144" spans="1:20" x14ac:dyDescent="0.25">
      <c r="A1144" t="s">
        <v>78</v>
      </c>
      <c r="B1144" t="s">
        <v>79</v>
      </c>
      <c r="C1144" t="s">
        <v>5819</v>
      </c>
      <c r="D1144" t="s">
        <v>5818</v>
      </c>
      <c r="E1144">
        <v>733.95</v>
      </c>
      <c r="F1144">
        <v>734.5</v>
      </c>
      <c r="G1144">
        <v>749</v>
      </c>
      <c r="H1144">
        <v>731.15</v>
      </c>
      <c r="I1144" s="1">
        <v>739.2</v>
      </c>
      <c r="J1144">
        <v>360263810.60000002</v>
      </c>
      <c r="K1144">
        <v>485778</v>
      </c>
      <c r="L1144" t="s">
        <v>78</v>
      </c>
      <c r="M1144" t="s">
        <v>17</v>
      </c>
      <c r="N1144">
        <v>25774</v>
      </c>
      <c r="O1144">
        <v>786</v>
      </c>
      <c r="P1144">
        <v>492</v>
      </c>
      <c r="Q1144" s="1" t="str">
        <v/>
      </c>
      <c r="R1144" s="1" t="str">
        <v/>
      </c>
      <c r="S1144" s="3">
        <v>0</v>
      </c>
      <c r="T1144" s="3">
        <v>0</v>
      </c>
    </row>
    <row r="1145" spans="1:20" x14ac:dyDescent="0.25">
      <c r="A1145" t="s">
        <v>78</v>
      </c>
      <c r="B1145" t="s">
        <v>79</v>
      </c>
      <c r="C1145" t="s">
        <v>1668</v>
      </c>
      <c r="D1145" t="s">
        <v>1669</v>
      </c>
      <c r="E1145">
        <v>1459.95</v>
      </c>
      <c r="F1145">
        <v>1457.5</v>
      </c>
      <c r="G1145">
        <v>1500</v>
      </c>
      <c r="H1145">
        <v>1414</v>
      </c>
      <c r="I1145" s="1">
        <v>1476.6</v>
      </c>
      <c r="J1145">
        <v>1531236093.8</v>
      </c>
      <c r="K1145">
        <v>1056179</v>
      </c>
      <c r="L1145" t="s">
        <v>78</v>
      </c>
      <c r="M1145" t="s">
        <v>17</v>
      </c>
      <c r="N1145">
        <v>75780</v>
      </c>
      <c r="O1145">
        <v>1649.95</v>
      </c>
      <c r="P1145">
        <v>641.04999999999995</v>
      </c>
      <c r="Q1145" s="1">
        <v>821</v>
      </c>
      <c r="R1145" s="1" t="str">
        <v/>
      </c>
      <c r="S1145" s="3">
        <v>5.0130588494674111E-2</v>
      </c>
      <c r="T1145" s="3">
        <v>0</v>
      </c>
    </row>
    <row r="1146" spans="1:20" x14ac:dyDescent="0.25">
      <c r="A1146" t="s">
        <v>78</v>
      </c>
      <c r="B1146" t="s">
        <v>79</v>
      </c>
      <c r="C1146" t="s">
        <v>3263</v>
      </c>
      <c r="D1146" t="s">
        <v>3264</v>
      </c>
      <c r="E1146">
        <v>426.5</v>
      </c>
      <c r="F1146">
        <v>420</v>
      </c>
      <c r="G1146">
        <v>430</v>
      </c>
      <c r="H1146">
        <v>419.95</v>
      </c>
      <c r="I1146" s="1">
        <v>425.1</v>
      </c>
      <c r="J1146">
        <v>15340385</v>
      </c>
      <c r="K1146">
        <v>36002</v>
      </c>
      <c r="L1146" t="s">
        <v>78</v>
      </c>
      <c r="M1146" t="s">
        <v>17</v>
      </c>
      <c r="N1146">
        <v>711</v>
      </c>
      <c r="O1146">
        <v>475.75</v>
      </c>
      <c r="P1146">
        <v>200.25</v>
      </c>
      <c r="Q1146" s="1">
        <v>45.6</v>
      </c>
      <c r="R1146" s="1">
        <v>41</v>
      </c>
      <c r="S1146" s="3">
        <v>0.20446408655824189</v>
      </c>
      <c r="T1146" s="3">
        <v>0.12397732537740747</v>
      </c>
    </row>
    <row r="1147" spans="1:20" x14ac:dyDescent="0.25">
      <c r="A1147" t="s">
        <v>78</v>
      </c>
      <c r="B1147" t="s">
        <v>79</v>
      </c>
      <c r="C1147" t="s">
        <v>3265</v>
      </c>
      <c r="D1147" t="s">
        <v>3266</v>
      </c>
      <c r="E1147">
        <v>70.760000000000005</v>
      </c>
      <c r="F1147">
        <v>71.010000000000005</v>
      </c>
      <c r="G1147">
        <v>72.2</v>
      </c>
      <c r="H1147">
        <v>67.7</v>
      </c>
      <c r="I1147" s="1">
        <v>68.900000000000006</v>
      </c>
      <c r="J1147">
        <v>7609057.2400000002</v>
      </c>
      <c r="K1147">
        <v>109788</v>
      </c>
      <c r="L1147" t="s">
        <v>78</v>
      </c>
      <c r="M1147" t="s">
        <v>17</v>
      </c>
      <c r="N1147">
        <v>2449</v>
      </c>
      <c r="O1147">
        <v>111</v>
      </c>
      <c r="P1147">
        <v>48.5</v>
      </c>
      <c r="Q1147" s="1">
        <v>46.7</v>
      </c>
      <c r="R1147" s="1">
        <v>17</v>
      </c>
      <c r="S1147" s="3">
        <v>3.294023679889313E-2</v>
      </c>
      <c r="T1147" s="3">
        <v>7.2437206937310705E-2</v>
      </c>
    </row>
    <row r="1148" spans="1:20" x14ac:dyDescent="0.25">
      <c r="A1148" t="s">
        <v>78</v>
      </c>
      <c r="B1148" t="s">
        <v>79</v>
      </c>
      <c r="C1148" t="s">
        <v>3267</v>
      </c>
      <c r="D1148" t="s">
        <v>3268</v>
      </c>
      <c r="E1148">
        <v>145.69</v>
      </c>
      <c r="F1148">
        <v>144.82</v>
      </c>
      <c r="G1148">
        <v>144.82</v>
      </c>
      <c r="H1148">
        <v>140.5</v>
      </c>
      <c r="I1148" s="1">
        <v>143</v>
      </c>
      <c r="J1148">
        <v>7223078.2400000002</v>
      </c>
      <c r="K1148">
        <v>50716</v>
      </c>
      <c r="L1148" t="s">
        <v>78</v>
      </c>
      <c r="M1148" t="s">
        <v>17</v>
      </c>
      <c r="N1148">
        <v>1224</v>
      </c>
      <c r="O1148">
        <v>171.7</v>
      </c>
      <c r="P1148">
        <v>107.75</v>
      </c>
      <c r="Q1148" s="1">
        <v>119.05</v>
      </c>
      <c r="R1148" s="1">
        <v>65</v>
      </c>
      <c r="S1148" s="3">
        <v>1.5392348562780933E-2</v>
      </c>
      <c r="T1148" s="3">
        <v>4.0187804683324835E-2</v>
      </c>
    </row>
    <row r="1149" spans="1:20" x14ac:dyDescent="0.25">
      <c r="A1149" t="s">
        <v>78</v>
      </c>
      <c r="B1149" t="s">
        <v>79</v>
      </c>
      <c r="C1149" t="s">
        <v>5817</v>
      </c>
      <c r="D1149" t="s">
        <v>5816</v>
      </c>
      <c r="E1149">
        <v>572.20000000000005</v>
      </c>
      <c r="F1149">
        <v>582</v>
      </c>
      <c r="G1149">
        <v>584.9</v>
      </c>
      <c r="H1149">
        <v>567.6</v>
      </c>
      <c r="I1149" s="1">
        <v>580.25</v>
      </c>
      <c r="J1149">
        <v>1049423.45</v>
      </c>
      <c r="K1149">
        <v>1810</v>
      </c>
      <c r="L1149" t="s">
        <v>78</v>
      </c>
      <c r="M1149" t="s">
        <v>17</v>
      </c>
      <c r="N1149">
        <v>107</v>
      </c>
      <c r="O1149">
        <v>774.9</v>
      </c>
      <c r="P1149">
        <v>484.2</v>
      </c>
      <c r="Q1149" s="1" t="str">
        <v/>
      </c>
      <c r="R1149" s="1" t="str">
        <v/>
      </c>
      <c r="S1149" s="3">
        <v>0</v>
      </c>
      <c r="T1149" s="3">
        <v>0</v>
      </c>
    </row>
    <row r="1150" spans="1:20" x14ac:dyDescent="0.25">
      <c r="A1150" t="s">
        <v>78</v>
      </c>
      <c r="B1150" t="s">
        <v>287</v>
      </c>
      <c r="C1150" t="s">
        <v>5815</v>
      </c>
      <c r="D1150" t="s">
        <v>5814</v>
      </c>
      <c r="E1150">
        <v>36</v>
      </c>
      <c r="F1150">
        <v>36</v>
      </c>
      <c r="G1150">
        <v>36</v>
      </c>
      <c r="H1150">
        <v>34.200000000000003</v>
      </c>
      <c r="I1150" s="1">
        <v>34.200000000000003</v>
      </c>
      <c r="J1150">
        <v>1871850</v>
      </c>
      <c r="K1150">
        <v>54000</v>
      </c>
      <c r="L1150" t="s">
        <v>78</v>
      </c>
      <c r="M1150" t="s">
        <v>17</v>
      </c>
      <c r="N1150">
        <v>18</v>
      </c>
      <c r="O1150">
        <v>59</v>
      </c>
      <c r="P1150">
        <v>28.65</v>
      </c>
      <c r="Q1150" s="1" t="str">
        <v/>
      </c>
      <c r="R1150" s="1" t="str">
        <v/>
      </c>
      <c r="S1150" s="3">
        <v>0</v>
      </c>
      <c r="T1150" s="3">
        <v>0</v>
      </c>
    </row>
    <row r="1151" spans="1:20" x14ac:dyDescent="0.25">
      <c r="A1151" t="s">
        <v>78</v>
      </c>
      <c r="B1151" t="s">
        <v>79</v>
      </c>
      <c r="C1151" t="s">
        <v>5813</v>
      </c>
      <c r="D1151" t="s">
        <v>5812</v>
      </c>
      <c r="E1151">
        <v>184.35</v>
      </c>
      <c r="F1151">
        <v>189.9</v>
      </c>
      <c r="G1151">
        <v>189.95</v>
      </c>
      <c r="H1151">
        <v>182.73</v>
      </c>
      <c r="I1151" s="1">
        <v>184.57</v>
      </c>
      <c r="J1151">
        <v>7005944314.1199999</v>
      </c>
      <c r="K1151">
        <v>37665072</v>
      </c>
      <c r="L1151" t="s">
        <v>78</v>
      </c>
      <c r="M1151" t="s">
        <v>17</v>
      </c>
      <c r="N1151">
        <v>149547</v>
      </c>
      <c r="O1151">
        <v>194.25</v>
      </c>
      <c r="P1151">
        <v>116.5</v>
      </c>
      <c r="Q1151" s="1" t="str">
        <v/>
      </c>
      <c r="R1151" s="1" t="str">
        <v/>
      </c>
      <c r="S1151" s="3">
        <v>0</v>
      </c>
      <c r="T1151" s="3">
        <v>0</v>
      </c>
    </row>
    <row r="1152" spans="1:20" x14ac:dyDescent="0.25">
      <c r="A1152" t="s">
        <v>78</v>
      </c>
      <c r="B1152" t="s">
        <v>79</v>
      </c>
      <c r="C1152" t="s">
        <v>5811</v>
      </c>
      <c r="D1152" t="s">
        <v>811</v>
      </c>
      <c r="E1152">
        <v>292.35000000000002</v>
      </c>
      <c r="F1152">
        <v>292.35000000000002</v>
      </c>
      <c r="G1152">
        <v>298</v>
      </c>
      <c r="H1152">
        <v>290.3</v>
      </c>
      <c r="I1152" s="1">
        <v>292.3</v>
      </c>
      <c r="J1152">
        <v>561371046.79999995</v>
      </c>
      <c r="K1152">
        <v>1917010</v>
      </c>
      <c r="L1152" t="s">
        <v>78</v>
      </c>
      <c r="M1152" t="s">
        <v>17</v>
      </c>
      <c r="N1152">
        <v>32443</v>
      </c>
      <c r="O1152">
        <v>298</v>
      </c>
      <c r="P1152">
        <v>135.5</v>
      </c>
      <c r="Q1152" s="1" t="str">
        <v/>
      </c>
      <c r="R1152" s="1" t="str">
        <v/>
      </c>
      <c r="S1152" s="3">
        <v>0</v>
      </c>
      <c r="T1152" s="3">
        <v>0</v>
      </c>
    </row>
    <row r="1153" spans="1:20" x14ac:dyDescent="0.25">
      <c r="A1153" t="s">
        <v>78</v>
      </c>
      <c r="B1153" t="s">
        <v>79</v>
      </c>
      <c r="C1153" t="s">
        <v>1670</v>
      </c>
      <c r="D1153" t="s">
        <v>1671</v>
      </c>
      <c r="E1153">
        <v>4867.3999999999996</v>
      </c>
      <c r="F1153">
        <v>4865.2</v>
      </c>
      <c r="G1153">
        <v>4940</v>
      </c>
      <c r="H1153">
        <v>4728.05</v>
      </c>
      <c r="I1153" s="1">
        <v>4849.95</v>
      </c>
      <c r="J1153">
        <v>2222602726.3499999</v>
      </c>
      <c r="K1153">
        <v>463557</v>
      </c>
      <c r="L1153" t="s">
        <v>78</v>
      </c>
      <c r="M1153" t="s">
        <v>17</v>
      </c>
      <c r="N1153">
        <v>45794</v>
      </c>
      <c r="O1153">
        <v>5873.35</v>
      </c>
      <c r="P1153">
        <v>3920.05</v>
      </c>
      <c r="Q1153" s="1">
        <v>3346.25</v>
      </c>
      <c r="R1153" s="1">
        <v>1591.1</v>
      </c>
      <c r="S1153" s="3">
        <v>3.1410558852438042E-2</v>
      </c>
      <c r="T1153" s="3">
        <v>5.7276879514035928E-2</v>
      </c>
    </row>
    <row r="1154" spans="1:20" x14ac:dyDescent="0.25">
      <c r="A1154" t="s">
        <v>78</v>
      </c>
      <c r="B1154" t="s">
        <v>79</v>
      </c>
      <c r="C1154" t="s">
        <v>1672</v>
      </c>
      <c r="D1154" t="s">
        <v>1673</v>
      </c>
      <c r="E1154">
        <v>2802.4</v>
      </c>
      <c r="F1154">
        <v>2800</v>
      </c>
      <c r="G1154">
        <v>2935</v>
      </c>
      <c r="H1154">
        <v>2798.75</v>
      </c>
      <c r="I1154" s="1">
        <v>2915.85</v>
      </c>
      <c r="J1154">
        <v>18196255.649999999</v>
      </c>
      <c r="K1154">
        <v>6310</v>
      </c>
      <c r="L1154" t="s">
        <v>78</v>
      </c>
      <c r="M1154" t="s">
        <v>17</v>
      </c>
      <c r="N1154">
        <v>2025</v>
      </c>
      <c r="O1154">
        <v>3033.8</v>
      </c>
      <c r="P1154">
        <v>1985.05</v>
      </c>
      <c r="Q1154" s="1">
        <v>1491</v>
      </c>
      <c r="R1154" s="1">
        <v>1082</v>
      </c>
      <c r="S1154" s="3">
        <v>5.748438026330871E-2</v>
      </c>
      <c r="T1154" s="3">
        <v>5.0788005574413875E-2</v>
      </c>
    </row>
    <row r="1155" spans="1:20" x14ac:dyDescent="0.25">
      <c r="A1155" t="s">
        <v>78</v>
      </c>
      <c r="B1155" t="s">
        <v>79</v>
      </c>
      <c r="C1155" t="s">
        <v>1674</v>
      </c>
      <c r="D1155" t="s">
        <v>1675</v>
      </c>
      <c r="E1155">
        <v>561.70000000000005</v>
      </c>
      <c r="F1155">
        <v>561.95000000000005</v>
      </c>
      <c r="G1155">
        <v>568.70000000000005</v>
      </c>
      <c r="H1155">
        <v>555</v>
      </c>
      <c r="I1155" s="1">
        <v>560.6</v>
      </c>
      <c r="J1155">
        <v>81018466.599999994</v>
      </c>
      <c r="K1155">
        <v>144454</v>
      </c>
      <c r="L1155" t="s">
        <v>78</v>
      </c>
      <c r="M1155" t="s">
        <v>17</v>
      </c>
      <c r="N1155">
        <v>7434</v>
      </c>
      <c r="O1155">
        <v>609.95000000000005</v>
      </c>
      <c r="P1155">
        <v>332.35</v>
      </c>
      <c r="Q1155" s="1">
        <v>169</v>
      </c>
      <c r="R1155" s="1">
        <v>81.7</v>
      </c>
      <c r="S1155" s="3">
        <v>0.10508885516473021</v>
      </c>
      <c r="T1155" s="3">
        <v>0.10102872232303683</v>
      </c>
    </row>
    <row r="1156" spans="1:20" x14ac:dyDescent="0.25">
      <c r="A1156" t="s">
        <v>78</v>
      </c>
      <c r="B1156" t="s">
        <v>79</v>
      </c>
      <c r="C1156" t="s">
        <v>238</v>
      </c>
      <c r="D1156" t="s">
        <v>239</v>
      </c>
      <c r="E1156">
        <v>1845.05</v>
      </c>
      <c r="F1156">
        <v>1825</v>
      </c>
      <c r="G1156">
        <v>1841.5</v>
      </c>
      <c r="H1156">
        <v>1812.25</v>
      </c>
      <c r="I1156" s="1">
        <v>1817.25</v>
      </c>
      <c r="J1156">
        <v>1156387293.6500001</v>
      </c>
      <c r="K1156">
        <v>634064</v>
      </c>
      <c r="L1156" t="s">
        <v>78</v>
      </c>
      <c r="M1156" t="s">
        <v>17</v>
      </c>
      <c r="N1156">
        <v>42990</v>
      </c>
      <c r="O1156">
        <v>1848</v>
      </c>
      <c r="P1156">
        <v>928.65</v>
      </c>
      <c r="Q1156" s="1">
        <v>1170</v>
      </c>
      <c r="R1156" s="1">
        <v>742.15</v>
      </c>
      <c r="S1156" s="3">
        <v>3.7374897415308972E-2</v>
      </c>
      <c r="T1156" s="3">
        <v>4.5768364095879255E-2</v>
      </c>
    </row>
    <row r="1157" spans="1:20" x14ac:dyDescent="0.25">
      <c r="A1157" t="s">
        <v>78</v>
      </c>
      <c r="B1157" t="s">
        <v>79</v>
      </c>
      <c r="C1157" t="s">
        <v>1676</v>
      </c>
      <c r="D1157" t="s">
        <v>1677</v>
      </c>
      <c r="E1157">
        <v>1973.65</v>
      </c>
      <c r="F1157">
        <v>1975</v>
      </c>
      <c r="G1157">
        <v>1975</v>
      </c>
      <c r="H1157">
        <v>1881</v>
      </c>
      <c r="I1157" s="1">
        <v>1902.5</v>
      </c>
      <c r="J1157">
        <v>546811419.5</v>
      </c>
      <c r="K1157">
        <v>285568</v>
      </c>
      <c r="L1157" t="s">
        <v>78</v>
      </c>
      <c r="M1157" t="s">
        <v>17</v>
      </c>
      <c r="N1157">
        <v>21909</v>
      </c>
      <c r="O1157">
        <v>2024.8</v>
      </c>
      <c r="P1157">
        <v>1071.75</v>
      </c>
      <c r="Q1157" s="1">
        <v>3643.45</v>
      </c>
      <c r="R1157" s="1">
        <v>1083</v>
      </c>
      <c r="S1157" s="3">
        <v>-5.2707015599201656E-2</v>
      </c>
      <c r="T1157" s="3">
        <v>2.8556398249409254E-2</v>
      </c>
    </row>
    <row r="1158" spans="1:20" x14ac:dyDescent="0.25">
      <c r="A1158" t="s">
        <v>78</v>
      </c>
      <c r="B1158" t="s">
        <v>79</v>
      </c>
      <c r="C1158" t="s">
        <v>1678</v>
      </c>
      <c r="D1158" t="s">
        <v>1679</v>
      </c>
      <c r="E1158">
        <v>265.95</v>
      </c>
      <c r="F1158">
        <v>265.95</v>
      </c>
      <c r="G1158">
        <v>268.25</v>
      </c>
      <c r="H1158">
        <v>259</v>
      </c>
      <c r="I1158" s="1">
        <v>260.64999999999998</v>
      </c>
      <c r="J1158">
        <v>399899388.60000002</v>
      </c>
      <c r="K1158">
        <v>1529221</v>
      </c>
      <c r="L1158" t="s">
        <v>78</v>
      </c>
      <c r="M1158" t="s">
        <v>17</v>
      </c>
      <c r="N1158">
        <v>30505</v>
      </c>
      <c r="O1158">
        <v>320.95</v>
      </c>
      <c r="P1158">
        <v>220</v>
      </c>
      <c r="Q1158" s="1">
        <v>257</v>
      </c>
      <c r="R1158" s="1" t="str">
        <v/>
      </c>
      <c r="S1158" s="3">
        <v>1.1758930139302848E-3</v>
      </c>
      <c r="T1158" s="3">
        <v>0</v>
      </c>
    </row>
    <row r="1159" spans="1:20" x14ac:dyDescent="0.25">
      <c r="A1159" t="s">
        <v>78</v>
      </c>
      <c r="B1159" t="s">
        <v>79</v>
      </c>
      <c r="C1159" t="s">
        <v>3273</v>
      </c>
      <c r="D1159" t="s">
        <v>5810</v>
      </c>
      <c r="E1159">
        <v>111.78</v>
      </c>
      <c r="F1159">
        <v>112.89</v>
      </c>
      <c r="G1159">
        <v>122</v>
      </c>
      <c r="H1159">
        <v>109.99</v>
      </c>
      <c r="I1159" s="1">
        <v>117.97</v>
      </c>
      <c r="J1159">
        <v>59275887.289999999</v>
      </c>
      <c r="K1159">
        <v>504585</v>
      </c>
      <c r="L1159" t="s">
        <v>78</v>
      </c>
      <c r="M1159" t="s">
        <v>17</v>
      </c>
      <c r="N1159">
        <v>7075</v>
      </c>
      <c r="O1159">
        <v>144.30000000000001</v>
      </c>
      <c r="P1159">
        <v>97.9</v>
      </c>
      <c r="Q1159" s="1">
        <v>58.55</v>
      </c>
      <c r="R1159" s="1">
        <v>20.5</v>
      </c>
      <c r="S1159" s="3">
        <v>6.0116815549730696E-2</v>
      </c>
      <c r="T1159" s="3">
        <v>9.1390263191683863E-2</v>
      </c>
    </row>
    <row r="1160" spans="1:20" x14ac:dyDescent="0.25">
      <c r="A1160" t="s">
        <v>78</v>
      </c>
      <c r="B1160" t="s">
        <v>79</v>
      </c>
      <c r="C1160" t="s">
        <v>1680</v>
      </c>
      <c r="D1160" t="s">
        <v>1681</v>
      </c>
      <c r="E1160">
        <v>5.99</v>
      </c>
      <c r="F1160">
        <v>5.99</v>
      </c>
      <c r="G1160">
        <v>6.09</v>
      </c>
      <c r="H1160">
        <v>5.73</v>
      </c>
      <c r="I1160" s="1">
        <v>5.86</v>
      </c>
      <c r="J1160">
        <v>175564.63</v>
      </c>
      <c r="K1160">
        <v>29888</v>
      </c>
      <c r="L1160" t="s">
        <v>78</v>
      </c>
      <c r="M1160" t="s">
        <v>17</v>
      </c>
      <c r="N1160">
        <v>150</v>
      </c>
      <c r="O1160">
        <v>8.8000000000000007</v>
      </c>
      <c r="P1160">
        <v>4.7</v>
      </c>
      <c r="Q1160" s="1">
        <v>5.5</v>
      </c>
      <c r="R1160" s="1">
        <v>4.4000000000000004</v>
      </c>
      <c r="S1160" s="3">
        <v>5.2974413639315099E-3</v>
      </c>
      <c r="T1160" s="3">
        <v>1.4422420701257987E-2</v>
      </c>
    </row>
    <row r="1161" spans="1:20" x14ac:dyDescent="0.25">
      <c r="A1161" t="s">
        <v>78</v>
      </c>
      <c r="B1161" t="s">
        <v>79</v>
      </c>
      <c r="C1161" t="s">
        <v>1682</v>
      </c>
      <c r="D1161" t="s">
        <v>1683</v>
      </c>
      <c r="E1161">
        <v>297.3</v>
      </c>
      <c r="F1161">
        <v>298.85000000000002</v>
      </c>
      <c r="G1161">
        <v>298.89999999999998</v>
      </c>
      <c r="H1161">
        <v>291</v>
      </c>
      <c r="I1161" s="1">
        <v>295.2</v>
      </c>
      <c r="J1161">
        <v>649212521.54999995</v>
      </c>
      <c r="K1161">
        <v>2203883</v>
      </c>
      <c r="L1161" t="s">
        <v>78</v>
      </c>
      <c r="M1161" t="s">
        <v>17</v>
      </c>
      <c r="N1161">
        <v>25779</v>
      </c>
      <c r="O1161">
        <v>325.35000000000002</v>
      </c>
      <c r="P1161">
        <v>237.35</v>
      </c>
      <c r="Q1161" s="1">
        <v>156.30000000000001</v>
      </c>
      <c r="R1161" s="1">
        <v>358.9</v>
      </c>
      <c r="S1161" s="3">
        <v>5.4418736688020442E-2</v>
      </c>
      <c r="T1161" s="3">
        <v>-9.7166701520907672E-3</v>
      </c>
    </row>
    <row r="1162" spans="1:20" x14ac:dyDescent="0.25">
      <c r="A1162" t="s">
        <v>78</v>
      </c>
      <c r="B1162" t="s">
        <v>79</v>
      </c>
      <c r="C1162" t="s">
        <v>1684</v>
      </c>
      <c r="D1162" t="s">
        <v>1685</v>
      </c>
      <c r="E1162">
        <v>139.41999999999999</v>
      </c>
      <c r="F1162">
        <v>139</v>
      </c>
      <c r="G1162">
        <v>141.84</v>
      </c>
      <c r="H1162">
        <v>138</v>
      </c>
      <c r="I1162" s="1">
        <v>138.55000000000001</v>
      </c>
      <c r="J1162">
        <v>8673069.3599999994</v>
      </c>
      <c r="K1162">
        <v>62403</v>
      </c>
      <c r="L1162" t="s">
        <v>78</v>
      </c>
      <c r="M1162" t="s">
        <v>17</v>
      </c>
      <c r="N1162">
        <v>2178</v>
      </c>
      <c r="O1162">
        <v>175</v>
      </c>
      <c r="P1162">
        <v>117.5</v>
      </c>
      <c r="Q1162" s="1">
        <v>390</v>
      </c>
      <c r="R1162" s="1">
        <v>70.55</v>
      </c>
      <c r="S1162" s="3">
        <v>-8.2628676404425727E-2</v>
      </c>
      <c r="T1162" s="3">
        <v>3.4302202752538369E-2</v>
      </c>
    </row>
    <row r="1163" spans="1:20" x14ac:dyDescent="0.25">
      <c r="A1163" t="s">
        <v>78</v>
      </c>
      <c r="B1163" t="s">
        <v>79</v>
      </c>
      <c r="C1163" t="s">
        <v>1688</v>
      </c>
      <c r="D1163" t="s">
        <v>1689</v>
      </c>
      <c r="E1163">
        <v>49.37</v>
      </c>
      <c r="F1163">
        <v>50.8</v>
      </c>
      <c r="G1163">
        <v>50.8</v>
      </c>
      <c r="H1163">
        <v>47.51</v>
      </c>
      <c r="I1163" s="1">
        <v>47.83</v>
      </c>
      <c r="J1163">
        <v>459738.54</v>
      </c>
      <c r="K1163">
        <v>9521</v>
      </c>
      <c r="L1163" t="s">
        <v>78</v>
      </c>
      <c r="M1163" t="s">
        <v>17</v>
      </c>
      <c r="N1163">
        <v>239</v>
      </c>
      <c r="O1163">
        <v>91.75</v>
      </c>
      <c r="P1163">
        <v>37</v>
      </c>
      <c r="Q1163" s="1">
        <v>65</v>
      </c>
      <c r="R1163" s="1">
        <v>27.5</v>
      </c>
      <c r="S1163" s="3">
        <v>-2.5237263083561556E-2</v>
      </c>
      <c r="T1163" s="3">
        <v>2.8044236245414966E-2</v>
      </c>
    </row>
    <row r="1164" spans="1:20" x14ac:dyDescent="0.25">
      <c r="A1164" t="s">
        <v>78</v>
      </c>
      <c r="B1164" t="s">
        <v>287</v>
      </c>
      <c r="C1164" t="s">
        <v>5809</v>
      </c>
      <c r="D1164" t="s">
        <v>5808</v>
      </c>
      <c r="E1164">
        <v>157.85</v>
      </c>
      <c r="F1164">
        <v>154</v>
      </c>
      <c r="G1164">
        <v>154</v>
      </c>
      <c r="H1164">
        <v>146</v>
      </c>
      <c r="I1164" s="1">
        <v>150.05000000000001</v>
      </c>
      <c r="J1164">
        <v>905620</v>
      </c>
      <c r="K1164">
        <v>6000</v>
      </c>
      <c r="L1164" t="s">
        <v>78</v>
      </c>
      <c r="M1164" t="s">
        <v>17</v>
      </c>
      <c r="N1164">
        <v>15</v>
      </c>
      <c r="O1164">
        <v>376.95</v>
      </c>
      <c r="P1164">
        <v>143.05000000000001</v>
      </c>
      <c r="Q1164" s="1" t="str">
        <v/>
      </c>
      <c r="R1164" s="1" t="str">
        <v/>
      </c>
      <c r="S1164" s="3">
        <v>0</v>
      </c>
      <c r="T1164" s="3">
        <v>0</v>
      </c>
    </row>
    <row r="1165" spans="1:20" x14ac:dyDescent="0.25">
      <c r="A1165" t="s">
        <v>78</v>
      </c>
      <c r="B1165" t="s">
        <v>287</v>
      </c>
      <c r="C1165" t="s">
        <v>5807</v>
      </c>
      <c r="D1165" t="s">
        <v>5806</v>
      </c>
      <c r="E1165">
        <v>169.05</v>
      </c>
      <c r="F1165">
        <v>170</v>
      </c>
      <c r="G1165">
        <v>178.7</v>
      </c>
      <c r="H1165">
        <v>166.85</v>
      </c>
      <c r="I1165" s="1">
        <v>177.15</v>
      </c>
      <c r="J1165">
        <v>23485350</v>
      </c>
      <c r="K1165">
        <v>136000</v>
      </c>
      <c r="L1165" t="s">
        <v>78</v>
      </c>
      <c r="M1165" t="s">
        <v>17</v>
      </c>
      <c r="N1165">
        <v>119</v>
      </c>
      <c r="O1165">
        <v>194.65</v>
      </c>
      <c r="P1165">
        <v>96</v>
      </c>
      <c r="Q1165" s="1" t="str">
        <v/>
      </c>
      <c r="R1165" s="1" t="str">
        <v/>
      </c>
      <c r="S1165" s="3">
        <v>0</v>
      </c>
      <c r="T1165" s="3">
        <v>0</v>
      </c>
    </row>
    <row r="1166" spans="1:20" x14ac:dyDescent="0.25">
      <c r="A1166" t="s">
        <v>78</v>
      </c>
      <c r="B1166" t="s">
        <v>79</v>
      </c>
      <c r="C1166" t="s">
        <v>1692</v>
      </c>
      <c r="D1166" t="s">
        <v>1693</v>
      </c>
      <c r="E1166">
        <v>123.29</v>
      </c>
      <c r="F1166">
        <v>123.6</v>
      </c>
      <c r="G1166">
        <v>124.5</v>
      </c>
      <c r="H1166">
        <v>118.11</v>
      </c>
      <c r="I1166" s="1">
        <v>118.89</v>
      </c>
      <c r="J1166">
        <v>151351838.56999999</v>
      </c>
      <c r="K1166">
        <v>1256895</v>
      </c>
      <c r="L1166" t="s">
        <v>78</v>
      </c>
      <c r="M1166" t="s">
        <v>17</v>
      </c>
      <c r="N1166">
        <v>16231</v>
      </c>
      <c r="O1166">
        <v>134</v>
      </c>
      <c r="P1166">
        <v>70.650000000000006</v>
      </c>
      <c r="Q1166" s="1">
        <v>32.049999999999997</v>
      </c>
      <c r="R1166" s="1">
        <v>21.3</v>
      </c>
      <c r="S1166" s="3">
        <v>0.11543202106761274</v>
      </c>
      <c r="T1166" s="3">
        <v>8.9727317592254385E-2</v>
      </c>
    </row>
    <row r="1167" spans="1:20" x14ac:dyDescent="0.25">
      <c r="A1167" t="s">
        <v>78</v>
      </c>
      <c r="B1167" t="s">
        <v>79</v>
      </c>
      <c r="C1167" t="s">
        <v>1694</v>
      </c>
      <c r="D1167" t="s">
        <v>1695</v>
      </c>
      <c r="E1167">
        <v>799.2</v>
      </c>
      <c r="F1167">
        <v>799.2</v>
      </c>
      <c r="G1167">
        <v>810.9</v>
      </c>
      <c r="H1167">
        <v>782</v>
      </c>
      <c r="I1167" s="1">
        <v>797.15</v>
      </c>
      <c r="J1167">
        <v>22759524.550000001</v>
      </c>
      <c r="K1167">
        <v>28720</v>
      </c>
      <c r="L1167" t="s">
        <v>78</v>
      </c>
      <c r="M1167" t="s">
        <v>17</v>
      </c>
      <c r="N1167">
        <v>3857</v>
      </c>
      <c r="O1167">
        <v>865.65</v>
      </c>
      <c r="P1167">
        <v>404</v>
      </c>
      <c r="Q1167" s="1">
        <v>319.89999999999998</v>
      </c>
      <c r="R1167" s="1">
        <v>104.85</v>
      </c>
      <c r="S1167" s="3">
        <v>7.9055586529120037E-2</v>
      </c>
      <c r="T1167" s="3">
        <v>0.10668610651806487</v>
      </c>
    </row>
    <row r="1168" spans="1:20" x14ac:dyDescent="0.25">
      <c r="A1168" t="s">
        <v>78</v>
      </c>
      <c r="B1168" t="s">
        <v>79</v>
      </c>
      <c r="C1168" t="s">
        <v>5805</v>
      </c>
      <c r="D1168" t="s">
        <v>5804</v>
      </c>
      <c r="E1168">
        <v>51.24</v>
      </c>
      <c r="F1168">
        <v>51.24</v>
      </c>
      <c r="G1168">
        <v>51.24</v>
      </c>
      <c r="H1168">
        <v>50</v>
      </c>
      <c r="I1168" s="1">
        <v>50.29</v>
      </c>
      <c r="J1168">
        <v>4827006.72</v>
      </c>
      <c r="K1168">
        <v>95652</v>
      </c>
      <c r="L1168" t="s">
        <v>78</v>
      </c>
      <c r="M1168" t="s">
        <v>17</v>
      </c>
      <c r="N1168">
        <v>1019</v>
      </c>
      <c r="O1168">
        <v>81.599999999999994</v>
      </c>
      <c r="P1168">
        <v>42</v>
      </c>
      <c r="Q1168" s="1" t="str">
        <v/>
      </c>
      <c r="R1168" s="1">
        <v>4.3499999999999996</v>
      </c>
      <c r="S1168" s="3">
        <v>0</v>
      </c>
      <c r="T1168" s="3">
        <v>0.1301094637536957</v>
      </c>
    </row>
    <row r="1169" spans="1:20" x14ac:dyDescent="0.25">
      <c r="A1169" t="s">
        <v>78</v>
      </c>
      <c r="B1169" t="s">
        <v>287</v>
      </c>
      <c r="C1169" t="s">
        <v>5803</v>
      </c>
      <c r="D1169" t="s">
        <v>5802</v>
      </c>
      <c r="E1169">
        <v>97.5</v>
      </c>
      <c r="F1169">
        <v>97</v>
      </c>
      <c r="G1169">
        <v>97</v>
      </c>
      <c r="H1169">
        <v>97</v>
      </c>
      <c r="I1169" s="1">
        <v>97</v>
      </c>
      <c r="J1169">
        <v>194000</v>
      </c>
      <c r="K1169">
        <v>2000</v>
      </c>
      <c r="L1169" t="s">
        <v>78</v>
      </c>
      <c r="M1169" t="s">
        <v>17</v>
      </c>
      <c r="N1169">
        <v>1</v>
      </c>
      <c r="O1169">
        <v>143.05000000000001</v>
      </c>
      <c r="P1169">
        <v>76</v>
      </c>
      <c r="Q1169" s="1" t="str">
        <v/>
      </c>
      <c r="R1169" s="1" t="str">
        <v/>
      </c>
      <c r="S1169" s="3">
        <v>0</v>
      </c>
      <c r="T1169" s="3">
        <v>0</v>
      </c>
    </row>
    <row r="1170" spans="1:20" x14ac:dyDescent="0.25">
      <c r="A1170" t="s">
        <v>78</v>
      </c>
      <c r="B1170" t="s">
        <v>79</v>
      </c>
      <c r="C1170" t="s">
        <v>1696</v>
      </c>
      <c r="D1170" t="s">
        <v>1697</v>
      </c>
      <c r="E1170">
        <v>67.69</v>
      </c>
      <c r="F1170">
        <v>67.98</v>
      </c>
      <c r="G1170">
        <v>69.900000000000006</v>
      </c>
      <c r="H1170">
        <v>66.7</v>
      </c>
      <c r="I1170" s="1">
        <v>67.19</v>
      </c>
      <c r="J1170">
        <v>3095623093.3299999</v>
      </c>
      <c r="K1170">
        <v>45368604</v>
      </c>
      <c r="L1170" t="s">
        <v>78</v>
      </c>
      <c r="M1170" t="s">
        <v>17</v>
      </c>
      <c r="N1170">
        <v>118054</v>
      </c>
      <c r="O1170">
        <v>73.5</v>
      </c>
      <c r="P1170">
        <v>30.75</v>
      </c>
      <c r="Q1170" s="1">
        <v>23.4</v>
      </c>
      <c r="R1170" s="1">
        <v>14.85</v>
      </c>
      <c r="S1170" s="3">
        <v>9.1877873608977145E-2</v>
      </c>
      <c r="T1170" s="3">
        <v>7.8353018068505254E-2</v>
      </c>
    </row>
    <row r="1171" spans="1:20" x14ac:dyDescent="0.25">
      <c r="A1171" t="s">
        <v>78</v>
      </c>
      <c r="B1171" t="s">
        <v>79</v>
      </c>
      <c r="C1171" t="s">
        <v>3277</v>
      </c>
      <c r="D1171" t="s">
        <v>3278</v>
      </c>
      <c r="E1171">
        <v>167.33</v>
      </c>
      <c r="F1171">
        <v>170</v>
      </c>
      <c r="G1171">
        <v>172</v>
      </c>
      <c r="H1171">
        <v>165.6</v>
      </c>
      <c r="I1171" s="1">
        <v>166.35</v>
      </c>
      <c r="J1171">
        <v>4187023.98</v>
      </c>
      <c r="K1171">
        <v>24830</v>
      </c>
      <c r="L1171" t="s">
        <v>78</v>
      </c>
      <c r="M1171" t="s">
        <v>17</v>
      </c>
      <c r="N1171">
        <v>1289</v>
      </c>
      <c r="O1171">
        <v>184.7</v>
      </c>
      <c r="P1171">
        <v>105.4</v>
      </c>
      <c r="Q1171" s="1">
        <v>112.8</v>
      </c>
      <c r="R1171" s="1">
        <v>80.349999999999994</v>
      </c>
      <c r="S1171" s="3">
        <v>3.2902849347677954E-2</v>
      </c>
      <c r="T1171" s="3">
        <v>3.7034470604761394E-2</v>
      </c>
    </row>
    <row r="1172" spans="1:20" x14ac:dyDescent="0.25">
      <c r="A1172" t="s">
        <v>78</v>
      </c>
      <c r="B1172" t="s">
        <v>79</v>
      </c>
      <c r="C1172" t="s">
        <v>1698</v>
      </c>
      <c r="D1172" t="s">
        <v>1699</v>
      </c>
      <c r="E1172">
        <v>101.57</v>
      </c>
      <c r="F1172">
        <v>100.05</v>
      </c>
      <c r="G1172">
        <v>102.72</v>
      </c>
      <c r="H1172">
        <v>100.05</v>
      </c>
      <c r="I1172" s="1">
        <v>100.98</v>
      </c>
      <c r="J1172">
        <v>1209531.1200000001</v>
      </c>
      <c r="K1172">
        <v>11928</v>
      </c>
      <c r="L1172" t="s">
        <v>78</v>
      </c>
      <c r="M1172" t="s">
        <v>17</v>
      </c>
      <c r="N1172">
        <v>796</v>
      </c>
      <c r="O1172">
        <v>144.44999999999999</v>
      </c>
      <c r="P1172">
        <v>70.400000000000006</v>
      </c>
      <c r="Q1172" s="1">
        <v>88.5</v>
      </c>
      <c r="R1172" s="1">
        <v>136.15</v>
      </c>
      <c r="S1172" s="3">
        <v>1.1053975778408276E-2</v>
      </c>
      <c r="T1172" s="3">
        <v>-1.4822601784574507E-2</v>
      </c>
    </row>
    <row r="1173" spans="1:20" x14ac:dyDescent="0.25">
      <c r="A1173" t="s">
        <v>78</v>
      </c>
      <c r="B1173" t="s">
        <v>79</v>
      </c>
      <c r="C1173" t="s">
        <v>1702</v>
      </c>
      <c r="D1173" t="s">
        <v>1703</v>
      </c>
      <c r="E1173">
        <v>66.36</v>
      </c>
      <c r="F1173">
        <v>67</v>
      </c>
      <c r="G1173">
        <v>67.89</v>
      </c>
      <c r="H1173">
        <v>64.709999999999994</v>
      </c>
      <c r="I1173" s="1">
        <v>65.989999999999995</v>
      </c>
      <c r="J1173">
        <v>2236533.88</v>
      </c>
      <c r="K1173">
        <v>33834</v>
      </c>
      <c r="L1173" t="s">
        <v>78</v>
      </c>
      <c r="M1173" t="s">
        <v>17</v>
      </c>
      <c r="N1173">
        <v>972</v>
      </c>
      <c r="O1173">
        <v>102.45</v>
      </c>
      <c r="P1173">
        <v>59.15</v>
      </c>
      <c r="Q1173" s="1">
        <v>106.25</v>
      </c>
      <c r="R1173" s="1">
        <v>247</v>
      </c>
      <c r="S1173" s="3">
        <v>-3.8913598393521265E-2</v>
      </c>
      <c r="T1173" s="3">
        <v>-6.3829924698609264E-2</v>
      </c>
    </row>
    <row r="1174" spans="1:20" x14ac:dyDescent="0.25">
      <c r="A1174" t="s">
        <v>78</v>
      </c>
      <c r="B1174" t="s">
        <v>287</v>
      </c>
      <c r="C1174" t="s">
        <v>1704</v>
      </c>
      <c r="D1174" t="s">
        <v>1705</v>
      </c>
      <c r="E1174">
        <v>108.1</v>
      </c>
      <c r="F1174">
        <v>115.1</v>
      </c>
      <c r="G1174">
        <v>115.1</v>
      </c>
      <c r="H1174">
        <v>108</v>
      </c>
      <c r="I1174" s="1">
        <v>108.05</v>
      </c>
      <c r="J1174">
        <v>1145175</v>
      </c>
      <c r="K1174">
        <v>10500</v>
      </c>
      <c r="L1174" t="s">
        <v>78</v>
      </c>
      <c r="M1174" t="s">
        <v>17</v>
      </c>
      <c r="N1174">
        <v>4</v>
      </c>
      <c r="O1174">
        <v>159.35</v>
      </c>
      <c r="P1174">
        <v>79.2</v>
      </c>
      <c r="Q1174" s="1">
        <v>86.25</v>
      </c>
      <c r="R1174" s="1" t="str">
        <v/>
      </c>
      <c r="S1174" s="3">
        <v>1.8956097004236172E-2</v>
      </c>
      <c r="T1174" s="3">
        <v>0</v>
      </c>
    </row>
    <row r="1175" spans="1:20" x14ac:dyDescent="0.25">
      <c r="A1175" t="s">
        <v>78</v>
      </c>
      <c r="B1175" t="s">
        <v>79</v>
      </c>
      <c r="C1175" t="s">
        <v>1708</v>
      </c>
      <c r="D1175" t="s">
        <v>1709</v>
      </c>
      <c r="E1175">
        <v>605.29999999999995</v>
      </c>
      <c r="F1175">
        <v>611.95000000000005</v>
      </c>
      <c r="G1175">
        <v>614.1</v>
      </c>
      <c r="H1175">
        <v>604</v>
      </c>
      <c r="I1175" s="1">
        <v>609.15</v>
      </c>
      <c r="J1175">
        <v>151922478.75</v>
      </c>
      <c r="K1175">
        <v>249172</v>
      </c>
      <c r="L1175" t="s">
        <v>78</v>
      </c>
      <c r="M1175" t="s">
        <v>17</v>
      </c>
      <c r="N1175">
        <v>14075</v>
      </c>
      <c r="O1175">
        <v>678.8</v>
      </c>
      <c r="P1175">
        <v>472.9</v>
      </c>
      <c r="Q1175" s="1">
        <v>673</v>
      </c>
      <c r="R1175" s="1">
        <v>391</v>
      </c>
      <c r="S1175" s="3">
        <v>-8.2723266686542951E-3</v>
      </c>
      <c r="T1175" s="3">
        <v>2.2402969447622434E-2</v>
      </c>
    </row>
    <row r="1176" spans="1:20" x14ac:dyDescent="0.25">
      <c r="A1176" t="s">
        <v>78</v>
      </c>
      <c r="B1176" t="s">
        <v>79</v>
      </c>
      <c r="C1176" t="s">
        <v>1710</v>
      </c>
      <c r="D1176" t="s">
        <v>1711</v>
      </c>
      <c r="E1176">
        <v>534.5</v>
      </c>
      <c r="F1176">
        <v>533.70000000000005</v>
      </c>
      <c r="G1176">
        <v>536.35</v>
      </c>
      <c r="H1176">
        <v>520.35</v>
      </c>
      <c r="I1176" s="1">
        <v>523.65</v>
      </c>
      <c r="J1176">
        <v>79668086</v>
      </c>
      <c r="K1176">
        <v>151144</v>
      </c>
      <c r="L1176" t="s">
        <v>78</v>
      </c>
      <c r="M1176" t="s">
        <v>17</v>
      </c>
      <c r="N1176">
        <v>8011</v>
      </c>
      <c r="O1176">
        <v>554.70000000000005</v>
      </c>
      <c r="P1176">
        <v>348.05</v>
      </c>
      <c r="Q1176" s="1">
        <v>573</v>
      </c>
      <c r="R1176" s="1">
        <v>440</v>
      </c>
      <c r="S1176" s="3">
        <v>-7.4770893160077678E-3</v>
      </c>
      <c r="T1176" s="3">
        <v>8.7356085837613229E-3</v>
      </c>
    </row>
    <row r="1177" spans="1:20" x14ac:dyDescent="0.25">
      <c r="A1177" t="s">
        <v>78</v>
      </c>
      <c r="B1177" t="s">
        <v>79</v>
      </c>
      <c r="C1177" t="s">
        <v>1712</v>
      </c>
      <c r="D1177" t="s">
        <v>1713</v>
      </c>
      <c r="E1177">
        <v>9369.7000000000007</v>
      </c>
      <c r="F1177">
        <v>9369.7000000000007</v>
      </c>
      <c r="G1177">
        <v>9424</v>
      </c>
      <c r="H1177">
        <v>9320.5</v>
      </c>
      <c r="I1177" s="1">
        <v>9401.4</v>
      </c>
      <c r="J1177">
        <v>84489073.200000003</v>
      </c>
      <c r="K1177">
        <v>9008</v>
      </c>
      <c r="L1177" t="s">
        <v>78</v>
      </c>
      <c r="M1177" t="s">
        <v>17</v>
      </c>
      <c r="N1177">
        <v>1982</v>
      </c>
      <c r="O1177">
        <v>9490</v>
      </c>
      <c r="P1177">
        <v>5421.4</v>
      </c>
      <c r="Q1177" s="1">
        <v>3779</v>
      </c>
      <c r="R1177" s="1">
        <v>4000</v>
      </c>
      <c r="S1177" s="3">
        <v>7.8908554549931509E-2</v>
      </c>
      <c r="T1177" s="3">
        <v>4.3629783186860838E-2</v>
      </c>
    </row>
    <row r="1178" spans="1:20" x14ac:dyDescent="0.25">
      <c r="A1178" t="s">
        <v>78</v>
      </c>
      <c r="B1178" t="s">
        <v>79</v>
      </c>
      <c r="C1178" t="s">
        <v>1714</v>
      </c>
      <c r="D1178" t="s">
        <v>1715</v>
      </c>
      <c r="E1178">
        <v>656.6</v>
      </c>
      <c r="F1178">
        <v>660.5</v>
      </c>
      <c r="G1178">
        <v>662.5</v>
      </c>
      <c r="H1178">
        <v>641.85</v>
      </c>
      <c r="I1178" s="1">
        <v>649.75</v>
      </c>
      <c r="J1178">
        <v>245183588.44999999</v>
      </c>
      <c r="K1178">
        <v>377453</v>
      </c>
      <c r="L1178" t="s">
        <v>78</v>
      </c>
      <c r="M1178" t="s">
        <v>17</v>
      </c>
      <c r="N1178">
        <v>18369</v>
      </c>
      <c r="O1178">
        <v>1097</v>
      </c>
      <c r="P1178">
        <v>464.85</v>
      </c>
      <c r="Q1178" s="1">
        <v>310</v>
      </c>
      <c r="R1178" s="1">
        <v>423.7</v>
      </c>
      <c r="S1178" s="3">
        <v>6.3609112556271663E-2</v>
      </c>
      <c r="T1178" s="3">
        <v>2.1596288989123913E-2</v>
      </c>
    </row>
    <row r="1179" spans="1:20" x14ac:dyDescent="0.25">
      <c r="A1179" t="s">
        <v>78</v>
      </c>
      <c r="B1179" t="s">
        <v>79</v>
      </c>
      <c r="C1179" t="s">
        <v>1716</v>
      </c>
      <c r="D1179" t="s">
        <v>1717</v>
      </c>
      <c r="E1179">
        <v>1209.5999999999999</v>
      </c>
      <c r="F1179">
        <v>1209.8499999999999</v>
      </c>
      <c r="G1179">
        <v>1217</v>
      </c>
      <c r="H1179">
        <v>1181</v>
      </c>
      <c r="I1179" s="1">
        <v>1201.95</v>
      </c>
      <c r="J1179">
        <v>59032851.649999999</v>
      </c>
      <c r="K1179">
        <v>49112</v>
      </c>
      <c r="L1179" t="s">
        <v>78</v>
      </c>
      <c r="M1179" t="s">
        <v>17</v>
      </c>
      <c r="N1179">
        <v>4230</v>
      </c>
      <c r="O1179">
        <v>1359</v>
      </c>
      <c r="P1179">
        <v>955</v>
      </c>
      <c r="Q1179" s="1">
        <v>1014.15</v>
      </c>
      <c r="R1179" s="1">
        <v>487</v>
      </c>
      <c r="S1179" s="3">
        <v>1.4258565160565118E-2</v>
      </c>
      <c r="T1179" s="3">
        <v>4.6181722636825073E-2</v>
      </c>
    </row>
    <row r="1180" spans="1:20" x14ac:dyDescent="0.25">
      <c r="A1180" t="s">
        <v>78</v>
      </c>
      <c r="B1180" t="s">
        <v>287</v>
      </c>
      <c r="C1180" t="s">
        <v>5801</v>
      </c>
      <c r="D1180" t="s">
        <v>5800</v>
      </c>
      <c r="E1180">
        <v>120.5</v>
      </c>
      <c r="F1180">
        <v>120.5</v>
      </c>
      <c r="G1180">
        <v>120.5</v>
      </c>
      <c r="H1180">
        <v>119.25</v>
      </c>
      <c r="I1180" s="1">
        <v>119.75</v>
      </c>
      <c r="J1180">
        <v>383000</v>
      </c>
      <c r="K1180">
        <v>3200</v>
      </c>
      <c r="L1180" t="s">
        <v>78</v>
      </c>
      <c r="M1180" t="s">
        <v>17</v>
      </c>
      <c r="N1180">
        <v>4</v>
      </c>
      <c r="O1180">
        <v>229.45</v>
      </c>
      <c r="P1180">
        <v>113.9</v>
      </c>
      <c r="Q1180" s="1" t="str">
        <v/>
      </c>
      <c r="R1180" s="1" t="str">
        <v/>
      </c>
      <c r="S1180" s="3">
        <v>0</v>
      </c>
      <c r="T1180" s="3">
        <v>0</v>
      </c>
    </row>
    <row r="1181" spans="1:20" x14ac:dyDescent="0.25">
      <c r="A1181" t="s">
        <v>78</v>
      </c>
      <c r="B1181" t="s">
        <v>287</v>
      </c>
      <c r="C1181" t="s">
        <v>5799</v>
      </c>
      <c r="D1181" t="s">
        <v>5798</v>
      </c>
      <c r="E1181">
        <v>42.05</v>
      </c>
      <c r="F1181">
        <v>42.85</v>
      </c>
      <c r="G1181">
        <v>42.85</v>
      </c>
      <c r="H1181">
        <v>41.65</v>
      </c>
      <c r="I1181" s="1">
        <v>41.65</v>
      </c>
      <c r="J1181">
        <v>337440</v>
      </c>
      <c r="K1181">
        <v>8000</v>
      </c>
      <c r="L1181" t="s">
        <v>78</v>
      </c>
      <c r="M1181" t="s">
        <v>17</v>
      </c>
      <c r="N1181">
        <v>5</v>
      </c>
      <c r="O1181">
        <v>80</v>
      </c>
      <c r="P1181">
        <v>32.549999999999997</v>
      </c>
      <c r="Q1181" s="1" t="str">
        <v/>
      </c>
      <c r="R1181" s="1" t="str">
        <v/>
      </c>
      <c r="S1181" s="3">
        <v>0</v>
      </c>
      <c r="T1181" s="3">
        <v>0</v>
      </c>
    </row>
    <row r="1182" spans="1:20" x14ac:dyDescent="0.25">
      <c r="A1182" t="s">
        <v>78</v>
      </c>
      <c r="B1182" t="s">
        <v>79</v>
      </c>
      <c r="C1182" t="s">
        <v>5797</v>
      </c>
      <c r="D1182" t="s">
        <v>5796</v>
      </c>
      <c r="E1182">
        <v>1379.6</v>
      </c>
      <c r="F1182">
        <v>1385</v>
      </c>
      <c r="G1182">
        <v>1385</v>
      </c>
      <c r="H1182">
        <v>1370.1</v>
      </c>
      <c r="I1182" s="1">
        <v>1373.7</v>
      </c>
      <c r="J1182">
        <v>8230365</v>
      </c>
      <c r="K1182">
        <v>5991</v>
      </c>
      <c r="L1182" t="s">
        <v>78</v>
      </c>
      <c r="M1182" t="s">
        <v>17</v>
      </c>
      <c r="N1182">
        <v>773</v>
      </c>
      <c r="O1182">
        <v>1569</v>
      </c>
      <c r="P1182">
        <v>800</v>
      </c>
      <c r="Q1182" s="1" t="str">
        <v/>
      </c>
      <c r="R1182" s="1" t="str">
        <v/>
      </c>
      <c r="S1182" s="3">
        <v>0</v>
      </c>
      <c r="T1182" s="3">
        <v>0</v>
      </c>
    </row>
    <row r="1183" spans="1:20" x14ac:dyDescent="0.25">
      <c r="A1183" t="s">
        <v>78</v>
      </c>
      <c r="B1183" t="s">
        <v>79</v>
      </c>
      <c r="C1183" t="s">
        <v>1720</v>
      </c>
      <c r="D1183" t="s">
        <v>1721</v>
      </c>
      <c r="E1183">
        <v>42.79</v>
      </c>
      <c r="F1183">
        <v>42.79</v>
      </c>
      <c r="G1183">
        <v>43.15</v>
      </c>
      <c r="H1183">
        <v>41.31</v>
      </c>
      <c r="I1183" s="1">
        <v>41.49</v>
      </c>
      <c r="J1183">
        <v>934203.2</v>
      </c>
      <c r="K1183">
        <v>22276</v>
      </c>
      <c r="L1183" t="s">
        <v>78</v>
      </c>
      <c r="M1183" t="s">
        <v>17</v>
      </c>
      <c r="N1183">
        <v>342</v>
      </c>
      <c r="O1183">
        <v>69.900000000000006</v>
      </c>
      <c r="P1183">
        <v>31.1</v>
      </c>
      <c r="Q1183" s="1">
        <v>35.35</v>
      </c>
      <c r="R1183" s="1">
        <v>19.25</v>
      </c>
      <c r="S1183" s="3">
        <v>1.343562782527763E-2</v>
      </c>
      <c r="T1183" s="3">
        <v>3.9121911562903122E-2</v>
      </c>
    </row>
    <row r="1184" spans="1:20" x14ac:dyDescent="0.25">
      <c r="A1184" t="s">
        <v>78</v>
      </c>
      <c r="B1184" t="s">
        <v>79</v>
      </c>
      <c r="C1184" t="s">
        <v>3279</v>
      </c>
      <c r="D1184" t="s">
        <v>3280</v>
      </c>
      <c r="E1184">
        <v>32.85</v>
      </c>
      <c r="F1184">
        <v>33.6</v>
      </c>
      <c r="G1184">
        <v>34.479999999999997</v>
      </c>
      <c r="H1184">
        <v>31.51</v>
      </c>
      <c r="I1184" s="1">
        <v>33.83</v>
      </c>
      <c r="J1184">
        <v>8749302.0999999996</v>
      </c>
      <c r="K1184">
        <v>263247</v>
      </c>
      <c r="L1184" t="s">
        <v>78</v>
      </c>
      <c r="M1184" t="s">
        <v>17</v>
      </c>
      <c r="N1184">
        <v>2415</v>
      </c>
      <c r="O1184">
        <v>46</v>
      </c>
      <c r="P1184">
        <v>22.65</v>
      </c>
      <c r="Q1184" s="1">
        <v>18.100000000000001</v>
      </c>
      <c r="R1184" s="1">
        <v>5.15</v>
      </c>
      <c r="S1184" s="3">
        <v>5.3501807928313827E-2</v>
      </c>
      <c r="T1184" s="3">
        <v>9.8632275644324752E-2</v>
      </c>
    </row>
    <row r="1185" spans="1:20" x14ac:dyDescent="0.25">
      <c r="A1185" t="s">
        <v>78</v>
      </c>
      <c r="B1185" t="s">
        <v>79</v>
      </c>
      <c r="C1185" t="s">
        <v>1724</v>
      </c>
      <c r="D1185" t="s">
        <v>1725</v>
      </c>
      <c r="E1185">
        <v>100.03</v>
      </c>
      <c r="F1185">
        <v>100.49</v>
      </c>
      <c r="G1185">
        <v>100.49</v>
      </c>
      <c r="H1185">
        <v>98.1</v>
      </c>
      <c r="I1185" s="1">
        <v>98.72</v>
      </c>
      <c r="J1185">
        <v>5694393.9800000004</v>
      </c>
      <c r="K1185">
        <v>57468</v>
      </c>
      <c r="L1185" t="s">
        <v>78</v>
      </c>
      <c r="M1185" t="s">
        <v>17</v>
      </c>
      <c r="N1185">
        <v>1817</v>
      </c>
      <c r="O1185">
        <v>155.94999999999999</v>
      </c>
      <c r="P1185">
        <v>91.1</v>
      </c>
      <c r="Q1185" s="1">
        <v>69.099999999999994</v>
      </c>
      <c r="R1185" s="1">
        <v>34.5</v>
      </c>
      <c r="S1185" s="3">
        <v>3.0174016244798763E-2</v>
      </c>
      <c r="T1185" s="3">
        <v>5.3942214924851628E-2</v>
      </c>
    </row>
    <row r="1186" spans="1:20" x14ac:dyDescent="0.25">
      <c r="A1186" t="s">
        <v>78</v>
      </c>
      <c r="B1186" t="s">
        <v>79</v>
      </c>
      <c r="C1186" t="s">
        <v>1726</v>
      </c>
      <c r="D1186" t="s">
        <v>1727</v>
      </c>
      <c r="E1186">
        <v>57.87</v>
      </c>
      <c r="F1186">
        <v>59.39</v>
      </c>
      <c r="G1186">
        <v>59.79</v>
      </c>
      <c r="H1186">
        <v>55.97</v>
      </c>
      <c r="I1186" s="1">
        <v>56.18</v>
      </c>
      <c r="J1186">
        <v>4163779.06</v>
      </c>
      <c r="K1186">
        <v>72531</v>
      </c>
      <c r="L1186" t="s">
        <v>78</v>
      </c>
      <c r="M1186" t="s">
        <v>17</v>
      </c>
      <c r="N1186">
        <v>678</v>
      </c>
      <c r="O1186">
        <v>107</v>
      </c>
      <c r="P1186">
        <v>39.549999999999997</v>
      </c>
      <c r="Q1186" s="1">
        <v>32.700000000000003</v>
      </c>
      <c r="R1186" s="1">
        <v>15.4</v>
      </c>
      <c r="S1186" s="3">
        <v>4.613122510058898E-2</v>
      </c>
      <c r="T1186" s="3">
        <v>6.6811430134217309E-2</v>
      </c>
    </row>
    <row r="1187" spans="1:20" x14ac:dyDescent="0.25">
      <c r="A1187" t="s">
        <v>78</v>
      </c>
      <c r="B1187" t="s">
        <v>79</v>
      </c>
      <c r="C1187" t="s">
        <v>3281</v>
      </c>
      <c r="D1187" t="s">
        <v>3282</v>
      </c>
      <c r="E1187">
        <v>99.65</v>
      </c>
      <c r="F1187">
        <v>99.5</v>
      </c>
      <c r="G1187">
        <v>99.95</v>
      </c>
      <c r="H1187">
        <v>96.28</v>
      </c>
      <c r="I1187" s="1">
        <v>97.13</v>
      </c>
      <c r="J1187">
        <v>94687555.379999995</v>
      </c>
      <c r="K1187">
        <v>970697</v>
      </c>
      <c r="L1187" t="s">
        <v>78</v>
      </c>
      <c r="M1187" t="s">
        <v>17</v>
      </c>
      <c r="N1187">
        <v>10227</v>
      </c>
      <c r="O1187">
        <v>104.95</v>
      </c>
      <c r="P1187">
        <v>55.95</v>
      </c>
      <c r="Q1187" s="1">
        <v>81.2</v>
      </c>
      <c r="R1187" s="1">
        <v>22.55</v>
      </c>
      <c r="S1187" s="3">
        <v>1.5039897923841083E-2</v>
      </c>
      <c r="T1187" s="3">
        <v>7.570447695630933E-2</v>
      </c>
    </row>
    <row r="1188" spans="1:20" x14ac:dyDescent="0.25">
      <c r="A1188" t="s">
        <v>78</v>
      </c>
      <c r="B1188" t="s">
        <v>79</v>
      </c>
      <c r="C1188" t="s">
        <v>1728</v>
      </c>
      <c r="D1188" t="s">
        <v>1729</v>
      </c>
      <c r="E1188">
        <v>220.63</v>
      </c>
      <c r="F1188">
        <v>226</v>
      </c>
      <c r="G1188">
        <v>229.4</v>
      </c>
      <c r="H1188">
        <v>222.3</v>
      </c>
      <c r="I1188" s="1">
        <v>228.32</v>
      </c>
      <c r="J1188">
        <v>5028363518.0900002</v>
      </c>
      <c r="K1188">
        <v>22158543</v>
      </c>
      <c r="L1188" t="s">
        <v>78</v>
      </c>
      <c r="M1188" t="s">
        <v>17</v>
      </c>
      <c r="N1188">
        <v>93823</v>
      </c>
      <c r="O1188">
        <v>229.75</v>
      </c>
      <c r="P1188">
        <v>124.85</v>
      </c>
      <c r="Q1188" s="1">
        <v>184.55</v>
      </c>
      <c r="R1188" s="1">
        <v>121.7</v>
      </c>
      <c r="S1188" s="3">
        <v>1.7893854153693267E-2</v>
      </c>
      <c r="T1188" s="3">
        <v>3.1941757636549051E-2</v>
      </c>
    </row>
    <row r="1189" spans="1:20" x14ac:dyDescent="0.25">
      <c r="A1189" t="s">
        <v>78</v>
      </c>
      <c r="B1189" t="s">
        <v>79</v>
      </c>
      <c r="C1189" t="s">
        <v>1730</v>
      </c>
      <c r="D1189" t="s">
        <v>1731</v>
      </c>
      <c r="E1189">
        <v>106.14</v>
      </c>
      <c r="F1189">
        <v>108.7</v>
      </c>
      <c r="G1189">
        <v>108.7</v>
      </c>
      <c r="H1189">
        <v>104.15</v>
      </c>
      <c r="I1189" s="1">
        <v>105.03</v>
      </c>
      <c r="J1189">
        <v>6173057.0199999996</v>
      </c>
      <c r="K1189">
        <v>58149</v>
      </c>
      <c r="L1189" t="s">
        <v>78</v>
      </c>
      <c r="M1189" t="s">
        <v>17</v>
      </c>
      <c r="N1189">
        <v>1244</v>
      </c>
      <c r="O1189">
        <v>132.44999999999999</v>
      </c>
      <c r="P1189">
        <v>90.8</v>
      </c>
      <c r="Q1189" s="1">
        <v>160</v>
      </c>
      <c r="R1189" s="1">
        <v>37.200000000000003</v>
      </c>
      <c r="S1189" s="3">
        <v>-3.4469237572537392E-2</v>
      </c>
      <c r="T1189" s="3">
        <v>5.3237171679181516E-2</v>
      </c>
    </row>
    <row r="1190" spans="1:20" x14ac:dyDescent="0.25">
      <c r="A1190" t="s">
        <v>78</v>
      </c>
      <c r="B1190" t="s">
        <v>79</v>
      </c>
      <c r="C1190" t="s">
        <v>1732</v>
      </c>
      <c r="D1190" t="s">
        <v>1733</v>
      </c>
      <c r="E1190">
        <v>130.22999999999999</v>
      </c>
      <c r="F1190">
        <v>130.22999999999999</v>
      </c>
      <c r="G1190">
        <v>130.75</v>
      </c>
      <c r="H1190">
        <v>127.01</v>
      </c>
      <c r="I1190" s="1">
        <v>129.19</v>
      </c>
      <c r="J1190">
        <v>44774954</v>
      </c>
      <c r="K1190">
        <v>347917</v>
      </c>
      <c r="L1190" t="s">
        <v>78</v>
      </c>
      <c r="M1190" t="s">
        <v>17</v>
      </c>
      <c r="N1190">
        <v>4334</v>
      </c>
      <c r="O1190">
        <v>156.1</v>
      </c>
      <c r="P1190">
        <v>94.4</v>
      </c>
      <c r="Q1190" s="1">
        <v>85.25</v>
      </c>
      <c r="R1190" s="1">
        <v>31</v>
      </c>
      <c r="S1190" s="3">
        <v>3.524833941599792E-2</v>
      </c>
      <c r="T1190" s="3">
        <v>7.3931019760055783E-2</v>
      </c>
    </row>
    <row r="1191" spans="1:20" x14ac:dyDescent="0.25">
      <c r="A1191" t="s">
        <v>78</v>
      </c>
      <c r="B1191" t="s">
        <v>79</v>
      </c>
      <c r="C1191" t="s">
        <v>1734</v>
      </c>
      <c r="D1191" t="s">
        <v>1735</v>
      </c>
      <c r="E1191">
        <v>903.8</v>
      </c>
      <c r="F1191">
        <v>903</v>
      </c>
      <c r="G1191">
        <v>926.8</v>
      </c>
      <c r="H1191">
        <v>887.5</v>
      </c>
      <c r="I1191" s="1">
        <v>919.9</v>
      </c>
      <c r="J1191">
        <v>246258488.09999999</v>
      </c>
      <c r="K1191">
        <v>268905</v>
      </c>
      <c r="L1191" t="s">
        <v>78</v>
      </c>
      <c r="M1191" t="s">
        <v>17</v>
      </c>
      <c r="N1191">
        <v>8179</v>
      </c>
      <c r="O1191">
        <v>948</v>
      </c>
      <c r="P1191">
        <v>283</v>
      </c>
      <c r="Q1191" s="1">
        <v>411.5</v>
      </c>
      <c r="R1191" s="1">
        <v>228.35</v>
      </c>
      <c r="S1191" s="3">
        <v>6.9336107573635841E-2</v>
      </c>
      <c r="T1191" s="3">
        <v>7.2112624615340959E-2</v>
      </c>
    </row>
    <row r="1192" spans="1:20" x14ac:dyDescent="0.25">
      <c r="A1192" t="s">
        <v>78</v>
      </c>
      <c r="B1192" t="s">
        <v>79</v>
      </c>
      <c r="C1192" t="s">
        <v>1736</v>
      </c>
      <c r="D1192" t="s">
        <v>1737</v>
      </c>
      <c r="E1192">
        <v>472.55</v>
      </c>
      <c r="F1192">
        <v>470</v>
      </c>
      <c r="G1192">
        <v>497.95</v>
      </c>
      <c r="H1192">
        <v>470</v>
      </c>
      <c r="I1192" s="1">
        <v>482.5</v>
      </c>
      <c r="J1192">
        <v>417530037.85000002</v>
      </c>
      <c r="K1192">
        <v>858971</v>
      </c>
      <c r="L1192" t="s">
        <v>78</v>
      </c>
      <c r="M1192" t="s">
        <v>17</v>
      </c>
      <c r="N1192">
        <v>28818</v>
      </c>
      <c r="O1192">
        <v>513.70000000000005</v>
      </c>
      <c r="P1192">
        <v>129.35</v>
      </c>
      <c r="Q1192" s="1">
        <v>115.6</v>
      </c>
      <c r="R1192" s="1">
        <v>45.5</v>
      </c>
      <c r="S1192" s="3">
        <v>0.12644923296746868</v>
      </c>
      <c r="T1192" s="3">
        <v>0.12524273055779744</v>
      </c>
    </row>
    <row r="1193" spans="1:20" x14ac:dyDescent="0.25">
      <c r="A1193" t="s">
        <v>78</v>
      </c>
      <c r="B1193" t="s">
        <v>79</v>
      </c>
      <c r="C1193" t="s">
        <v>1738</v>
      </c>
      <c r="D1193" t="s">
        <v>1739</v>
      </c>
      <c r="E1193">
        <v>196.04</v>
      </c>
      <c r="F1193">
        <v>195.16</v>
      </c>
      <c r="G1193">
        <v>197.64</v>
      </c>
      <c r="H1193">
        <v>192.96</v>
      </c>
      <c r="I1193" s="1">
        <v>196.39</v>
      </c>
      <c r="J1193">
        <v>117913699.92</v>
      </c>
      <c r="K1193">
        <v>603679</v>
      </c>
      <c r="L1193" t="s">
        <v>78</v>
      </c>
      <c r="M1193" t="s">
        <v>17</v>
      </c>
      <c r="N1193">
        <v>8736</v>
      </c>
      <c r="O1193">
        <v>249.3</v>
      </c>
      <c r="P1193">
        <v>112.4</v>
      </c>
      <c r="Q1193" s="1">
        <v>58.5</v>
      </c>
      <c r="R1193" s="1">
        <v>25.4</v>
      </c>
      <c r="S1193" s="3">
        <v>0.10619143628887473</v>
      </c>
      <c r="T1193" s="3">
        <v>0.10761788401007388</v>
      </c>
    </row>
    <row r="1194" spans="1:20" x14ac:dyDescent="0.25">
      <c r="A1194" t="s">
        <v>78</v>
      </c>
      <c r="B1194" t="s">
        <v>79</v>
      </c>
      <c r="C1194" t="s">
        <v>5795</v>
      </c>
      <c r="D1194" t="s">
        <v>5794</v>
      </c>
      <c r="E1194">
        <v>2115.6999999999998</v>
      </c>
      <c r="F1194">
        <v>2140</v>
      </c>
      <c r="G1194">
        <v>2142.8000000000002</v>
      </c>
      <c r="H1194">
        <v>2116.15</v>
      </c>
      <c r="I1194" s="1">
        <v>2138.85</v>
      </c>
      <c r="J1194">
        <v>645967380</v>
      </c>
      <c r="K1194">
        <v>303275</v>
      </c>
      <c r="L1194" t="s">
        <v>78</v>
      </c>
      <c r="M1194" t="s">
        <v>17</v>
      </c>
      <c r="N1194">
        <v>45563</v>
      </c>
      <c r="O1194">
        <v>2490</v>
      </c>
      <c r="P1194">
        <v>1683.05</v>
      </c>
      <c r="Q1194" s="1" t="str">
        <v/>
      </c>
      <c r="R1194" s="1" t="str">
        <v/>
      </c>
      <c r="S1194" s="3">
        <v>0</v>
      </c>
      <c r="T1194" s="3">
        <v>0</v>
      </c>
    </row>
    <row r="1195" spans="1:20" x14ac:dyDescent="0.25">
      <c r="A1195" t="s">
        <v>78</v>
      </c>
      <c r="B1195" t="s">
        <v>79</v>
      </c>
      <c r="C1195" t="s">
        <v>5793</v>
      </c>
      <c r="D1195" t="s">
        <v>5792</v>
      </c>
      <c r="E1195">
        <v>212.89</v>
      </c>
      <c r="F1195">
        <v>239.8</v>
      </c>
      <c r="G1195">
        <v>255.46</v>
      </c>
      <c r="H1195">
        <v>225.24</v>
      </c>
      <c r="I1195" s="1">
        <v>244.02</v>
      </c>
      <c r="J1195">
        <v>170253889.53999999</v>
      </c>
      <c r="K1195">
        <v>703100</v>
      </c>
      <c r="L1195" t="s">
        <v>78</v>
      </c>
      <c r="M1195" t="s">
        <v>17</v>
      </c>
      <c r="N1195">
        <v>11750</v>
      </c>
      <c r="O1195">
        <v>255.46</v>
      </c>
      <c r="P1195">
        <v>116</v>
      </c>
      <c r="Q1195" s="1" t="str">
        <v/>
      </c>
      <c r="R1195" s="1" t="str">
        <v/>
      </c>
      <c r="S1195" s="3">
        <v>0</v>
      </c>
      <c r="T1195" s="3">
        <v>0</v>
      </c>
    </row>
    <row r="1196" spans="1:20" x14ac:dyDescent="0.25">
      <c r="A1196" t="s">
        <v>78</v>
      </c>
      <c r="B1196" t="s">
        <v>79</v>
      </c>
      <c r="C1196" t="s">
        <v>5791</v>
      </c>
      <c r="D1196" t="s">
        <v>5790</v>
      </c>
      <c r="E1196">
        <v>647.75</v>
      </c>
      <c r="F1196">
        <v>644.1</v>
      </c>
      <c r="G1196">
        <v>663.05</v>
      </c>
      <c r="H1196">
        <v>635</v>
      </c>
      <c r="I1196" s="1">
        <v>659.65</v>
      </c>
      <c r="J1196">
        <v>18870767.050000001</v>
      </c>
      <c r="K1196">
        <v>28976</v>
      </c>
      <c r="L1196" t="s">
        <v>78</v>
      </c>
      <c r="M1196" t="s">
        <v>17</v>
      </c>
      <c r="N1196">
        <v>1198</v>
      </c>
      <c r="O1196">
        <v>2384.9499999999998</v>
      </c>
      <c r="P1196">
        <v>301.55</v>
      </c>
      <c r="Q1196" s="1" t="str">
        <v/>
      </c>
      <c r="R1196" s="1" t="str">
        <v/>
      </c>
      <c r="S1196" s="3">
        <v>0</v>
      </c>
      <c r="T1196" s="3">
        <v>0</v>
      </c>
    </row>
    <row r="1197" spans="1:20" x14ac:dyDescent="0.25">
      <c r="A1197" t="s">
        <v>78</v>
      </c>
      <c r="B1197" t="s">
        <v>79</v>
      </c>
      <c r="C1197" t="s">
        <v>5789</v>
      </c>
      <c r="D1197" t="s">
        <v>5788</v>
      </c>
      <c r="E1197">
        <v>415.95</v>
      </c>
      <c r="F1197">
        <v>424.7</v>
      </c>
      <c r="G1197">
        <v>436.7</v>
      </c>
      <c r="H1197">
        <v>415.1</v>
      </c>
      <c r="I1197" s="1">
        <v>436.7</v>
      </c>
      <c r="J1197">
        <v>27998008.300000001</v>
      </c>
      <c r="K1197">
        <v>64908</v>
      </c>
      <c r="L1197" t="s">
        <v>78</v>
      </c>
      <c r="M1197" t="s">
        <v>17</v>
      </c>
      <c r="N1197">
        <v>1928</v>
      </c>
      <c r="O1197">
        <v>479</v>
      </c>
      <c r="P1197">
        <v>270</v>
      </c>
      <c r="Q1197" s="1" t="str">
        <v/>
      </c>
      <c r="R1197" s="1" t="str">
        <v/>
      </c>
      <c r="S1197" s="3">
        <v>0</v>
      </c>
      <c r="T1197" s="3">
        <v>0</v>
      </c>
    </row>
    <row r="1198" spans="1:20" x14ac:dyDescent="0.25">
      <c r="A1198" t="s">
        <v>78</v>
      </c>
      <c r="B1198" t="s">
        <v>79</v>
      </c>
      <c r="C1198" t="s">
        <v>3285</v>
      </c>
      <c r="D1198" t="s">
        <v>3286</v>
      </c>
      <c r="E1198">
        <v>21.67</v>
      </c>
      <c r="F1198">
        <v>22.47</v>
      </c>
      <c r="G1198">
        <v>22.47</v>
      </c>
      <c r="H1198">
        <v>21.29</v>
      </c>
      <c r="I1198" s="1">
        <v>21.5</v>
      </c>
      <c r="J1198">
        <v>270807.8</v>
      </c>
      <c r="K1198">
        <v>12515</v>
      </c>
      <c r="L1198" t="s">
        <v>78</v>
      </c>
      <c r="M1198" t="s">
        <v>17</v>
      </c>
      <c r="N1198">
        <v>215</v>
      </c>
      <c r="O1198">
        <v>26.65</v>
      </c>
      <c r="P1198">
        <v>18</v>
      </c>
      <c r="Q1198" s="1">
        <v>14</v>
      </c>
      <c r="R1198" s="1">
        <v>15.9</v>
      </c>
      <c r="S1198" s="3">
        <v>3.6396335386638112E-2</v>
      </c>
      <c r="T1198" s="3">
        <v>1.5192682184960837E-2</v>
      </c>
    </row>
    <row r="1199" spans="1:20" x14ac:dyDescent="0.25">
      <c r="A1199" t="s">
        <v>78</v>
      </c>
      <c r="B1199" t="s">
        <v>79</v>
      </c>
      <c r="C1199" t="s">
        <v>5787</v>
      </c>
      <c r="D1199" t="s">
        <v>5786</v>
      </c>
      <c r="E1199">
        <v>1063.8499999999999</v>
      </c>
      <c r="F1199">
        <v>1063.8499999999999</v>
      </c>
      <c r="G1199">
        <v>1067.3</v>
      </c>
      <c r="H1199">
        <v>1033.75</v>
      </c>
      <c r="I1199" s="1">
        <v>1038.6500000000001</v>
      </c>
      <c r="J1199">
        <v>68847130.75</v>
      </c>
      <c r="K1199">
        <v>65855</v>
      </c>
      <c r="L1199" t="s">
        <v>78</v>
      </c>
      <c r="M1199" t="s">
        <v>17</v>
      </c>
      <c r="N1199">
        <v>10411</v>
      </c>
      <c r="O1199">
        <v>1487.9</v>
      </c>
      <c r="P1199">
        <v>886.05</v>
      </c>
      <c r="Q1199" s="1" t="str">
        <v/>
      </c>
      <c r="R1199" s="1" t="str">
        <v/>
      </c>
      <c r="S1199" s="3">
        <v>0</v>
      </c>
      <c r="T1199" s="3">
        <v>0</v>
      </c>
    </row>
    <row r="1200" spans="1:20" x14ac:dyDescent="0.25">
      <c r="A1200" t="s">
        <v>78</v>
      </c>
      <c r="B1200" t="s">
        <v>79</v>
      </c>
      <c r="C1200" t="s">
        <v>5785</v>
      </c>
      <c r="D1200" t="s">
        <v>5784</v>
      </c>
      <c r="E1200">
        <v>2477.6</v>
      </c>
      <c r="F1200">
        <v>2430</v>
      </c>
      <c r="G1200">
        <v>2445</v>
      </c>
      <c r="H1200">
        <v>2279.9499999999998</v>
      </c>
      <c r="I1200" s="1">
        <v>2375.5</v>
      </c>
      <c r="J1200">
        <v>1202949831.2</v>
      </c>
      <c r="K1200">
        <v>514295</v>
      </c>
      <c r="L1200" t="s">
        <v>78</v>
      </c>
      <c r="M1200" t="s">
        <v>17</v>
      </c>
      <c r="N1200">
        <v>48042</v>
      </c>
      <c r="O1200">
        <v>2747.85</v>
      </c>
      <c r="P1200">
        <v>1425.2</v>
      </c>
      <c r="Q1200" s="1" t="str">
        <v/>
      </c>
      <c r="R1200" s="1" t="str">
        <v/>
      </c>
      <c r="S1200" s="3">
        <v>0</v>
      </c>
      <c r="T1200" s="3">
        <v>0</v>
      </c>
    </row>
    <row r="1201" spans="1:20" x14ac:dyDescent="0.25">
      <c r="A1201" t="s">
        <v>78</v>
      </c>
      <c r="B1201" t="s">
        <v>79</v>
      </c>
      <c r="C1201" t="s">
        <v>1740</v>
      </c>
      <c r="D1201" t="s">
        <v>1741</v>
      </c>
      <c r="E1201">
        <v>73.45</v>
      </c>
      <c r="F1201">
        <v>74.849999999999994</v>
      </c>
      <c r="G1201">
        <v>74.849999999999994</v>
      </c>
      <c r="H1201">
        <v>71.75</v>
      </c>
      <c r="I1201" s="1">
        <v>72.64</v>
      </c>
      <c r="J1201">
        <v>1936838.36</v>
      </c>
      <c r="K1201">
        <v>26571</v>
      </c>
      <c r="L1201" t="s">
        <v>78</v>
      </c>
      <c r="M1201" t="s">
        <v>17</v>
      </c>
      <c r="N1201">
        <v>519</v>
      </c>
      <c r="O1201">
        <v>102</v>
      </c>
      <c r="P1201">
        <v>50.3</v>
      </c>
      <c r="Q1201" s="1">
        <v>58.35</v>
      </c>
      <c r="R1201" s="1">
        <v>17.05</v>
      </c>
      <c r="S1201" s="3">
        <v>1.8422333453717687E-2</v>
      </c>
      <c r="T1201" s="3">
        <v>7.5116028915156008E-2</v>
      </c>
    </row>
    <row r="1202" spans="1:20" x14ac:dyDescent="0.25">
      <c r="A1202" t="s">
        <v>78</v>
      </c>
      <c r="B1202" t="s">
        <v>79</v>
      </c>
      <c r="C1202" t="s">
        <v>1742</v>
      </c>
      <c r="D1202" t="s">
        <v>1743</v>
      </c>
      <c r="E1202">
        <v>588.45000000000005</v>
      </c>
      <c r="F1202">
        <v>583.6</v>
      </c>
      <c r="G1202">
        <v>592.6</v>
      </c>
      <c r="H1202">
        <v>565</v>
      </c>
      <c r="I1202" s="1">
        <v>579.15</v>
      </c>
      <c r="J1202">
        <v>56934649.850000001</v>
      </c>
      <c r="K1202">
        <v>98563</v>
      </c>
      <c r="L1202" t="s">
        <v>78</v>
      </c>
      <c r="M1202" t="s">
        <v>17</v>
      </c>
      <c r="N1202">
        <v>1779</v>
      </c>
      <c r="O1202">
        <v>647.4</v>
      </c>
      <c r="P1202">
        <v>311.95</v>
      </c>
      <c r="Q1202" s="1">
        <v>84</v>
      </c>
      <c r="R1202" s="1">
        <v>78</v>
      </c>
      <c r="S1202" s="3">
        <v>0.17456209463103223</v>
      </c>
      <c r="T1202" s="3">
        <v>0.10537841885347587</v>
      </c>
    </row>
    <row r="1203" spans="1:20" x14ac:dyDescent="0.25">
      <c r="A1203" t="s">
        <v>78</v>
      </c>
      <c r="B1203" t="s">
        <v>287</v>
      </c>
      <c r="C1203" t="s">
        <v>5783</v>
      </c>
      <c r="D1203" t="s">
        <v>5782</v>
      </c>
      <c r="E1203">
        <v>52.5</v>
      </c>
      <c r="F1203">
        <v>54.9</v>
      </c>
      <c r="G1203">
        <v>55</v>
      </c>
      <c r="H1203">
        <v>53</v>
      </c>
      <c r="I1203" s="1">
        <v>54.35</v>
      </c>
      <c r="J1203">
        <v>2121150</v>
      </c>
      <c r="K1203">
        <v>39000</v>
      </c>
      <c r="L1203" t="s">
        <v>78</v>
      </c>
      <c r="M1203" t="s">
        <v>17</v>
      </c>
      <c r="N1203">
        <v>13</v>
      </c>
      <c r="O1203">
        <v>65.8</v>
      </c>
      <c r="P1203">
        <v>37.049999999999997</v>
      </c>
      <c r="Q1203" s="1" t="str">
        <v/>
      </c>
      <c r="R1203" s="1" t="str">
        <v/>
      </c>
      <c r="S1203" s="3">
        <v>0</v>
      </c>
      <c r="T1203" s="3">
        <v>0</v>
      </c>
    </row>
    <row r="1204" spans="1:20" x14ac:dyDescent="0.25">
      <c r="A1204" t="s">
        <v>78</v>
      </c>
      <c r="B1204" t="s">
        <v>79</v>
      </c>
      <c r="C1204" t="s">
        <v>1746</v>
      </c>
      <c r="D1204" t="s">
        <v>1747</v>
      </c>
      <c r="E1204">
        <v>187.59</v>
      </c>
      <c r="F1204">
        <v>187.8</v>
      </c>
      <c r="G1204">
        <v>191.48</v>
      </c>
      <c r="H1204">
        <v>182.07</v>
      </c>
      <c r="I1204" s="1">
        <v>189.21</v>
      </c>
      <c r="J1204">
        <v>368530969.56</v>
      </c>
      <c r="K1204">
        <v>1975048</v>
      </c>
      <c r="L1204" t="s">
        <v>78</v>
      </c>
      <c r="M1204" t="s">
        <v>17</v>
      </c>
      <c r="N1204">
        <v>32729</v>
      </c>
      <c r="O1204">
        <v>197.05</v>
      </c>
      <c r="P1204">
        <v>97.45</v>
      </c>
      <c r="Q1204" s="1">
        <v>87.5</v>
      </c>
      <c r="R1204" s="1">
        <v>17</v>
      </c>
      <c r="S1204" s="3">
        <v>6.6378391168484097E-2</v>
      </c>
      <c r="T1204" s="3">
        <v>0.1279662436323703</v>
      </c>
    </row>
    <row r="1205" spans="1:20" x14ac:dyDescent="0.25">
      <c r="A1205" t="s">
        <v>78</v>
      </c>
      <c r="B1205" t="s">
        <v>79</v>
      </c>
      <c r="C1205" t="s">
        <v>1750</v>
      </c>
      <c r="D1205" t="s">
        <v>1751</v>
      </c>
      <c r="E1205">
        <v>292.14999999999998</v>
      </c>
      <c r="F1205">
        <v>293.35000000000002</v>
      </c>
      <c r="G1205">
        <v>297</v>
      </c>
      <c r="H1205">
        <v>289.55</v>
      </c>
      <c r="I1205" s="1">
        <v>290.05</v>
      </c>
      <c r="J1205">
        <v>61372752.399999999</v>
      </c>
      <c r="K1205">
        <v>209874</v>
      </c>
      <c r="L1205" t="s">
        <v>78</v>
      </c>
      <c r="M1205" t="s">
        <v>17</v>
      </c>
      <c r="N1205">
        <v>13148</v>
      </c>
      <c r="O1205">
        <v>1068</v>
      </c>
      <c r="P1205">
        <v>269.45</v>
      </c>
      <c r="Q1205" s="1">
        <v>862</v>
      </c>
      <c r="R1205" s="1">
        <v>583.29999999999995</v>
      </c>
      <c r="S1205" s="3">
        <v>-8.6769375083537104E-2</v>
      </c>
      <c r="T1205" s="3">
        <v>-3.4310847662599953E-2</v>
      </c>
    </row>
    <row r="1206" spans="1:20" x14ac:dyDescent="0.25">
      <c r="A1206" t="s">
        <v>78</v>
      </c>
      <c r="B1206" t="s">
        <v>287</v>
      </c>
      <c r="C1206" t="s">
        <v>5781</v>
      </c>
      <c r="D1206" t="s">
        <v>5780</v>
      </c>
      <c r="E1206">
        <v>137.05000000000001</v>
      </c>
      <c r="F1206">
        <v>138.9</v>
      </c>
      <c r="G1206">
        <v>164</v>
      </c>
      <c r="H1206">
        <v>131.15</v>
      </c>
      <c r="I1206" s="1">
        <v>158.9</v>
      </c>
      <c r="J1206">
        <v>130582200</v>
      </c>
      <c r="K1206">
        <v>876000</v>
      </c>
      <c r="L1206" t="s">
        <v>78</v>
      </c>
      <c r="M1206" t="s">
        <v>17</v>
      </c>
      <c r="N1206">
        <v>415</v>
      </c>
      <c r="O1206">
        <v>164</v>
      </c>
      <c r="P1206">
        <v>83.6</v>
      </c>
      <c r="Q1206" s="1" t="str">
        <v/>
      </c>
      <c r="R1206" s="1" t="str">
        <v/>
      </c>
      <c r="S1206" s="3">
        <v>0</v>
      </c>
      <c r="T1206" s="3">
        <v>0</v>
      </c>
    </row>
    <row r="1207" spans="1:20" x14ac:dyDescent="0.25">
      <c r="A1207" t="s">
        <v>78</v>
      </c>
      <c r="B1207" t="s">
        <v>79</v>
      </c>
      <c r="C1207" t="s">
        <v>1752</v>
      </c>
      <c r="D1207" t="s">
        <v>1753</v>
      </c>
      <c r="E1207">
        <v>2821.2</v>
      </c>
      <c r="F1207">
        <v>2841.1</v>
      </c>
      <c r="G1207">
        <v>2875</v>
      </c>
      <c r="H1207">
        <v>2692</v>
      </c>
      <c r="I1207" s="1">
        <v>2807.75</v>
      </c>
      <c r="J1207">
        <v>1248085567</v>
      </c>
      <c r="K1207">
        <v>449539</v>
      </c>
      <c r="L1207" t="s">
        <v>78</v>
      </c>
      <c r="M1207" t="s">
        <v>17</v>
      </c>
      <c r="N1207">
        <v>54448</v>
      </c>
      <c r="O1207">
        <v>3145</v>
      </c>
      <c r="P1207">
        <v>1964</v>
      </c>
      <c r="Q1207" s="1">
        <v>2450.0500000000002</v>
      </c>
      <c r="R1207" s="1">
        <v>453.6</v>
      </c>
      <c r="S1207" s="3">
        <v>1.1420978540198412E-2</v>
      </c>
      <c r="T1207" s="3">
        <v>9.5374411491781386E-2</v>
      </c>
    </row>
    <row r="1208" spans="1:20" x14ac:dyDescent="0.25">
      <c r="A1208" t="s">
        <v>78</v>
      </c>
      <c r="B1208" t="s">
        <v>79</v>
      </c>
      <c r="C1208" t="s">
        <v>1754</v>
      </c>
      <c r="D1208" t="s">
        <v>1755</v>
      </c>
      <c r="E1208">
        <v>605.9</v>
      </c>
      <c r="F1208">
        <v>606.65</v>
      </c>
      <c r="G1208">
        <v>608.95000000000005</v>
      </c>
      <c r="H1208">
        <v>577.95000000000005</v>
      </c>
      <c r="I1208" s="1">
        <v>581.15</v>
      </c>
      <c r="J1208">
        <v>55118780.450000003</v>
      </c>
      <c r="K1208">
        <v>94257</v>
      </c>
      <c r="L1208" t="s">
        <v>78</v>
      </c>
      <c r="M1208" t="s">
        <v>17</v>
      </c>
      <c r="N1208">
        <v>6736</v>
      </c>
      <c r="O1208">
        <v>722.6</v>
      </c>
      <c r="P1208">
        <v>499.25</v>
      </c>
      <c r="Q1208" s="1">
        <v>1090</v>
      </c>
      <c r="R1208" s="1">
        <v>524.95000000000005</v>
      </c>
      <c r="S1208" s="3">
        <v>-5.1060600546020574E-2</v>
      </c>
      <c r="T1208" s="3">
        <v>5.0954468785990858E-3</v>
      </c>
    </row>
    <row r="1209" spans="1:20" x14ac:dyDescent="0.25">
      <c r="A1209" t="s">
        <v>78</v>
      </c>
      <c r="B1209" t="s">
        <v>79</v>
      </c>
      <c r="C1209" t="s">
        <v>3289</v>
      </c>
      <c r="D1209" t="s">
        <v>3290</v>
      </c>
      <c r="E1209">
        <v>120.94</v>
      </c>
      <c r="F1209">
        <v>120.55</v>
      </c>
      <c r="G1209">
        <v>121.14</v>
      </c>
      <c r="H1209">
        <v>118.18</v>
      </c>
      <c r="I1209" s="1">
        <v>118.62</v>
      </c>
      <c r="J1209">
        <v>21967108.32</v>
      </c>
      <c r="K1209">
        <v>183860</v>
      </c>
      <c r="L1209" t="s">
        <v>78</v>
      </c>
      <c r="M1209" t="s">
        <v>17</v>
      </c>
      <c r="N1209">
        <v>3426</v>
      </c>
      <c r="O1209">
        <v>136.1</v>
      </c>
      <c r="P1209">
        <v>83.4</v>
      </c>
      <c r="Q1209" s="1">
        <v>95.7</v>
      </c>
      <c r="R1209" s="1">
        <v>38.549999999999997</v>
      </c>
      <c r="S1209" s="3">
        <v>1.8053258946391093E-2</v>
      </c>
      <c r="T1209" s="3">
        <v>5.7775029722918925E-2</v>
      </c>
    </row>
    <row r="1210" spans="1:20" x14ac:dyDescent="0.25">
      <c r="A1210" t="s">
        <v>78</v>
      </c>
      <c r="B1210" t="s">
        <v>79</v>
      </c>
      <c r="C1210" t="s">
        <v>5779</v>
      </c>
      <c r="D1210" t="s">
        <v>5778</v>
      </c>
      <c r="E1210">
        <v>536.1</v>
      </c>
      <c r="F1210">
        <v>536.1</v>
      </c>
      <c r="G1210">
        <v>580.79999999999995</v>
      </c>
      <c r="H1210">
        <v>532.1</v>
      </c>
      <c r="I1210" s="1">
        <v>561.95000000000005</v>
      </c>
      <c r="J1210">
        <v>177670607.19999999</v>
      </c>
      <c r="K1210">
        <v>319039</v>
      </c>
      <c r="L1210" t="s">
        <v>78</v>
      </c>
      <c r="M1210" t="s">
        <v>17</v>
      </c>
      <c r="N1210">
        <v>15962</v>
      </c>
      <c r="O1210">
        <v>580.79999999999995</v>
      </c>
      <c r="P1210">
        <v>242.75</v>
      </c>
      <c r="Q1210" s="1" t="str">
        <v/>
      </c>
      <c r="R1210" s="1" t="str">
        <v/>
      </c>
      <c r="S1210" s="3">
        <v>0</v>
      </c>
      <c r="T1210" s="3">
        <v>0</v>
      </c>
    </row>
    <row r="1211" spans="1:20" x14ac:dyDescent="0.25">
      <c r="A1211" t="s">
        <v>78</v>
      </c>
      <c r="B1211" t="s">
        <v>79</v>
      </c>
      <c r="C1211" t="s">
        <v>1756</v>
      </c>
      <c r="D1211" t="s">
        <v>1757</v>
      </c>
      <c r="E1211">
        <v>921</v>
      </c>
      <c r="F1211">
        <v>912.95</v>
      </c>
      <c r="G1211">
        <v>939.7</v>
      </c>
      <c r="H1211">
        <v>893.3</v>
      </c>
      <c r="I1211" s="1">
        <v>934.55</v>
      </c>
      <c r="J1211">
        <v>1757284375.8</v>
      </c>
      <c r="K1211">
        <v>1914995</v>
      </c>
      <c r="L1211" t="s">
        <v>78</v>
      </c>
      <c r="M1211" t="s">
        <v>17</v>
      </c>
      <c r="N1211">
        <v>65572</v>
      </c>
      <c r="O1211">
        <v>979.9</v>
      </c>
      <c r="P1211">
        <v>508.5</v>
      </c>
      <c r="Q1211" s="1">
        <v>266.25</v>
      </c>
      <c r="R1211" s="1" t="str">
        <v/>
      </c>
      <c r="S1211" s="3">
        <v>0.11030614590238019</v>
      </c>
      <c r="T1211" s="3">
        <v>0</v>
      </c>
    </row>
    <row r="1212" spans="1:20" x14ac:dyDescent="0.25">
      <c r="A1212" t="s">
        <v>78</v>
      </c>
      <c r="B1212" t="s">
        <v>79</v>
      </c>
      <c r="C1212" t="s">
        <v>1758</v>
      </c>
      <c r="D1212" t="s">
        <v>1759</v>
      </c>
      <c r="E1212">
        <v>313.64999999999998</v>
      </c>
      <c r="F1212">
        <v>318.45</v>
      </c>
      <c r="G1212">
        <v>319.5</v>
      </c>
      <c r="H1212">
        <v>304.39999999999998</v>
      </c>
      <c r="I1212" s="1">
        <v>309.35000000000002</v>
      </c>
      <c r="J1212">
        <v>14770127.65</v>
      </c>
      <c r="K1212">
        <v>47077</v>
      </c>
      <c r="L1212" t="s">
        <v>78</v>
      </c>
      <c r="M1212" t="s">
        <v>17</v>
      </c>
      <c r="N1212">
        <v>1861</v>
      </c>
      <c r="O1212">
        <v>338</v>
      </c>
      <c r="P1212">
        <v>129.30000000000001</v>
      </c>
      <c r="Q1212" s="1">
        <v>71.75</v>
      </c>
      <c r="R1212" s="1" t="str">
        <v/>
      </c>
      <c r="S1212" s="3">
        <v>0.12949856781620062</v>
      </c>
      <c r="T1212" s="3">
        <v>0</v>
      </c>
    </row>
    <row r="1213" spans="1:20" x14ac:dyDescent="0.25">
      <c r="A1213" t="s">
        <v>78</v>
      </c>
      <c r="B1213" t="s">
        <v>287</v>
      </c>
      <c r="C1213" t="s">
        <v>5777</v>
      </c>
      <c r="D1213" t="s">
        <v>5776</v>
      </c>
      <c r="E1213">
        <v>97.5</v>
      </c>
      <c r="F1213">
        <v>98.8</v>
      </c>
      <c r="G1213">
        <v>98.9</v>
      </c>
      <c r="H1213">
        <v>89.9</v>
      </c>
      <c r="I1213" s="1">
        <v>91.35</v>
      </c>
      <c r="J1213">
        <v>19515200</v>
      </c>
      <c r="K1213">
        <v>212000</v>
      </c>
      <c r="L1213" t="s">
        <v>78</v>
      </c>
      <c r="M1213" t="s">
        <v>17</v>
      </c>
      <c r="N1213">
        <v>101</v>
      </c>
      <c r="O1213">
        <v>145</v>
      </c>
      <c r="P1213">
        <v>65.55</v>
      </c>
      <c r="Q1213" s="1" t="str">
        <v/>
      </c>
      <c r="R1213" s="1" t="str">
        <v/>
      </c>
      <c r="S1213" s="3">
        <v>0</v>
      </c>
      <c r="T1213" s="3">
        <v>0</v>
      </c>
    </row>
    <row r="1214" spans="1:20" x14ac:dyDescent="0.25">
      <c r="A1214" t="s">
        <v>78</v>
      </c>
      <c r="B1214" t="s">
        <v>79</v>
      </c>
      <c r="C1214" t="s">
        <v>1762</v>
      </c>
      <c r="D1214" t="s">
        <v>1763</v>
      </c>
      <c r="E1214">
        <v>611.6</v>
      </c>
      <c r="F1214">
        <v>608</v>
      </c>
      <c r="G1214">
        <v>623.45000000000005</v>
      </c>
      <c r="H1214">
        <v>601.54999999999995</v>
      </c>
      <c r="I1214" s="1">
        <v>607.1</v>
      </c>
      <c r="J1214">
        <v>42576590.350000001</v>
      </c>
      <c r="K1214">
        <v>69818</v>
      </c>
      <c r="L1214" t="s">
        <v>78</v>
      </c>
      <c r="M1214" t="s">
        <v>17</v>
      </c>
      <c r="N1214">
        <v>5710</v>
      </c>
      <c r="O1214">
        <v>695.85</v>
      </c>
      <c r="P1214">
        <v>455</v>
      </c>
      <c r="Q1214" s="1">
        <v>493.5</v>
      </c>
      <c r="R1214" s="1">
        <v>234.2</v>
      </c>
      <c r="S1214" s="3">
        <v>1.7414109942342826E-2</v>
      </c>
      <c r="T1214" s="3">
        <v>4.8750883735235506E-2</v>
      </c>
    </row>
    <row r="1215" spans="1:20" x14ac:dyDescent="0.25">
      <c r="A1215" t="s">
        <v>78</v>
      </c>
      <c r="B1215" t="s">
        <v>79</v>
      </c>
      <c r="C1215" t="s">
        <v>1764</v>
      </c>
      <c r="D1215" t="s">
        <v>1765</v>
      </c>
      <c r="E1215">
        <v>1454.55</v>
      </c>
      <c r="F1215">
        <v>1464.9</v>
      </c>
      <c r="G1215">
        <v>1492.35</v>
      </c>
      <c r="H1215">
        <v>1424.75</v>
      </c>
      <c r="I1215" s="1">
        <v>1439.5</v>
      </c>
      <c r="J1215">
        <v>37582579.899999999</v>
      </c>
      <c r="K1215">
        <v>25729</v>
      </c>
      <c r="L1215" t="s">
        <v>78</v>
      </c>
      <c r="M1215" t="s">
        <v>17</v>
      </c>
      <c r="N1215">
        <v>4733</v>
      </c>
      <c r="O1215">
        <v>1660.95</v>
      </c>
      <c r="P1215">
        <v>970</v>
      </c>
      <c r="Q1215" s="1">
        <v>601.1</v>
      </c>
      <c r="R1215" s="1">
        <v>372.1</v>
      </c>
      <c r="S1215" s="3">
        <v>7.548761060706477E-2</v>
      </c>
      <c r="T1215" s="3">
        <v>6.994514263704299E-2</v>
      </c>
    </row>
    <row r="1216" spans="1:20" x14ac:dyDescent="0.25">
      <c r="A1216" t="s">
        <v>78</v>
      </c>
      <c r="B1216" t="s">
        <v>79</v>
      </c>
      <c r="C1216" t="s">
        <v>1766</v>
      </c>
      <c r="D1216" t="s">
        <v>1767</v>
      </c>
      <c r="E1216">
        <v>5405</v>
      </c>
      <c r="F1216">
        <v>5400</v>
      </c>
      <c r="G1216">
        <v>5427.2</v>
      </c>
      <c r="H1216">
        <v>5106.25</v>
      </c>
      <c r="I1216" s="1">
        <v>5190.75</v>
      </c>
      <c r="J1216">
        <v>11312331131.299999</v>
      </c>
      <c r="K1216">
        <v>2160160</v>
      </c>
      <c r="L1216" t="s">
        <v>78</v>
      </c>
      <c r="M1216" t="s">
        <v>17</v>
      </c>
      <c r="N1216">
        <v>175043</v>
      </c>
      <c r="O1216">
        <v>5860</v>
      </c>
      <c r="P1216">
        <v>1591.15</v>
      </c>
      <c r="Q1216" s="1">
        <v>256</v>
      </c>
      <c r="R1216" s="1" t="str">
        <v/>
      </c>
      <c r="S1216" s="3">
        <v>0.28503763067777621</v>
      </c>
      <c r="T1216" s="3">
        <v>0</v>
      </c>
    </row>
    <row r="1217" spans="1:20" x14ac:dyDescent="0.25">
      <c r="A1217" t="s">
        <v>78</v>
      </c>
      <c r="B1217" t="s">
        <v>79</v>
      </c>
      <c r="C1217" t="s">
        <v>1768</v>
      </c>
      <c r="D1217" t="s">
        <v>1769</v>
      </c>
      <c r="E1217">
        <v>226.16</v>
      </c>
      <c r="F1217">
        <v>225</v>
      </c>
      <c r="G1217">
        <v>227.85</v>
      </c>
      <c r="H1217">
        <v>223</v>
      </c>
      <c r="I1217" s="1">
        <v>224.01</v>
      </c>
      <c r="J1217">
        <v>4146471.26</v>
      </c>
      <c r="K1217">
        <v>18425</v>
      </c>
      <c r="L1217" t="s">
        <v>78</v>
      </c>
      <c r="M1217" t="s">
        <v>17</v>
      </c>
      <c r="N1217">
        <v>653</v>
      </c>
      <c r="O1217">
        <v>666</v>
      </c>
      <c r="P1217">
        <v>210</v>
      </c>
      <c r="Q1217" s="1">
        <v>122</v>
      </c>
      <c r="R1217" s="1">
        <v>50.75</v>
      </c>
      <c r="S1217" s="3">
        <v>5.1943217833347433E-2</v>
      </c>
      <c r="T1217" s="3">
        <v>7.7020354430675786E-2</v>
      </c>
    </row>
    <row r="1218" spans="1:20" x14ac:dyDescent="0.25">
      <c r="A1218" t="s">
        <v>78</v>
      </c>
      <c r="B1218" t="s">
        <v>79</v>
      </c>
      <c r="C1218" t="s">
        <v>3291</v>
      </c>
      <c r="D1218" t="s">
        <v>3292</v>
      </c>
      <c r="E1218">
        <v>4.58</v>
      </c>
      <c r="F1218">
        <v>4.7300000000000004</v>
      </c>
      <c r="G1218">
        <v>4.7300000000000004</v>
      </c>
      <c r="H1218">
        <v>4.3600000000000003</v>
      </c>
      <c r="I1218" s="1">
        <v>4.41</v>
      </c>
      <c r="J1218">
        <v>905760.02</v>
      </c>
      <c r="K1218">
        <v>201231</v>
      </c>
      <c r="L1218" t="s">
        <v>78</v>
      </c>
      <c r="M1218" t="s">
        <v>17</v>
      </c>
      <c r="N1218">
        <v>431</v>
      </c>
      <c r="O1218">
        <v>7.1</v>
      </c>
      <c r="P1218">
        <v>2.9</v>
      </c>
      <c r="Q1218" s="1">
        <v>11.9</v>
      </c>
      <c r="R1218" s="1">
        <v>2.35</v>
      </c>
      <c r="S1218" s="3">
        <v>-7.9392937395975305E-2</v>
      </c>
      <c r="T1218" s="3">
        <v>3.195569201901427E-2</v>
      </c>
    </row>
    <row r="1219" spans="1:20" x14ac:dyDescent="0.25">
      <c r="A1219" t="s">
        <v>78</v>
      </c>
      <c r="B1219" t="s">
        <v>79</v>
      </c>
      <c r="C1219" t="s">
        <v>1772</v>
      </c>
      <c r="D1219" t="s">
        <v>1773</v>
      </c>
      <c r="E1219">
        <v>36.35</v>
      </c>
      <c r="F1219">
        <v>36.75</v>
      </c>
      <c r="G1219">
        <v>38.159999999999997</v>
      </c>
      <c r="H1219">
        <v>36.58</v>
      </c>
      <c r="I1219" s="1">
        <v>37.89</v>
      </c>
      <c r="J1219">
        <v>4017578.14</v>
      </c>
      <c r="K1219">
        <v>106695</v>
      </c>
      <c r="L1219" t="s">
        <v>78</v>
      </c>
      <c r="M1219" t="s">
        <v>17</v>
      </c>
      <c r="N1219">
        <v>821</v>
      </c>
      <c r="O1219">
        <v>50.9</v>
      </c>
      <c r="P1219">
        <v>26.25</v>
      </c>
      <c r="Q1219" s="1">
        <v>59.1</v>
      </c>
      <c r="R1219" s="1">
        <v>255</v>
      </c>
      <c r="S1219" s="3">
        <v>-3.6367526171724562E-2</v>
      </c>
      <c r="T1219" s="3">
        <v>-9.0878572070125063E-2</v>
      </c>
    </row>
    <row r="1220" spans="1:20" x14ac:dyDescent="0.25">
      <c r="A1220" t="s">
        <v>78</v>
      </c>
      <c r="B1220" t="s">
        <v>79</v>
      </c>
      <c r="C1220" t="s">
        <v>3295</v>
      </c>
      <c r="D1220" t="s">
        <v>3296</v>
      </c>
      <c r="E1220">
        <v>29.83</v>
      </c>
      <c r="F1220">
        <v>29.94</v>
      </c>
      <c r="G1220">
        <v>30.01</v>
      </c>
      <c r="H1220">
        <v>28.56</v>
      </c>
      <c r="I1220" s="1">
        <v>28.93</v>
      </c>
      <c r="J1220">
        <v>12699274.5</v>
      </c>
      <c r="K1220">
        <v>434754</v>
      </c>
      <c r="L1220" t="s">
        <v>78</v>
      </c>
      <c r="M1220" t="s">
        <v>17</v>
      </c>
      <c r="N1220">
        <v>2095</v>
      </c>
      <c r="O1220">
        <v>37.85</v>
      </c>
      <c r="P1220">
        <v>18.399999999999999</v>
      </c>
      <c r="Q1220" s="1">
        <v>33.75</v>
      </c>
      <c r="R1220" s="1">
        <v>12.05</v>
      </c>
      <c r="S1220" s="3">
        <v>-1.2759671098546921E-2</v>
      </c>
      <c r="T1220" s="3">
        <v>4.4738631960216546E-2</v>
      </c>
    </row>
    <row r="1221" spans="1:20" x14ac:dyDescent="0.25">
      <c r="A1221" t="s">
        <v>78</v>
      </c>
      <c r="B1221" t="s">
        <v>79</v>
      </c>
      <c r="C1221" t="s">
        <v>1774</v>
      </c>
      <c r="D1221" t="s">
        <v>1775</v>
      </c>
      <c r="E1221">
        <v>3950.55</v>
      </c>
      <c r="F1221">
        <v>3950.55</v>
      </c>
      <c r="G1221">
        <v>4093.05</v>
      </c>
      <c r="H1221">
        <v>3888</v>
      </c>
      <c r="I1221" s="1">
        <v>4067.85</v>
      </c>
      <c r="J1221">
        <v>2870660560.8499999</v>
      </c>
      <c r="K1221">
        <v>716346</v>
      </c>
      <c r="L1221" t="s">
        <v>78</v>
      </c>
      <c r="M1221" t="s">
        <v>17</v>
      </c>
      <c r="N1221">
        <v>56234</v>
      </c>
      <c r="O1221">
        <v>4270</v>
      </c>
      <c r="P1221">
        <v>1538</v>
      </c>
      <c r="Q1221" s="1">
        <v>1681.25</v>
      </c>
      <c r="R1221" s="1">
        <v>849.35</v>
      </c>
      <c r="S1221" s="3">
        <v>7.64099891760186E-2</v>
      </c>
      <c r="T1221" s="3">
        <v>8.1422209071250196E-2</v>
      </c>
    </row>
    <row r="1222" spans="1:20" x14ac:dyDescent="0.25">
      <c r="A1222" t="s">
        <v>78</v>
      </c>
      <c r="B1222" t="s">
        <v>287</v>
      </c>
      <c r="C1222" t="s">
        <v>1776</v>
      </c>
      <c r="D1222" t="s">
        <v>1777</v>
      </c>
      <c r="E1222">
        <v>127.2</v>
      </c>
      <c r="F1222">
        <v>129</v>
      </c>
      <c r="G1222">
        <v>130</v>
      </c>
      <c r="H1222">
        <v>122</v>
      </c>
      <c r="I1222" s="1">
        <v>123</v>
      </c>
      <c r="J1222">
        <v>6535700</v>
      </c>
      <c r="K1222">
        <v>52000</v>
      </c>
      <c r="L1222" t="s">
        <v>78</v>
      </c>
      <c r="M1222" t="s">
        <v>17</v>
      </c>
      <c r="N1222">
        <v>25</v>
      </c>
      <c r="O1222">
        <v>130</v>
      </c>
      <c r="P1222">
        <v>30</v>
      </c>
      <c r="Q1222" s="1">
        <v>21</v>
      </c>
      <c r="R1222" s="1">
        <v>23</v>
      </c>
      <c r="S1222" s="3">
        <v>0.15870750003817058</v>
      </c>
      <c r="T1222" s="3">
        <v>8.7398988374145059E-2</v>
      </c>
    </row>
    <row r="1223" spans="1:20" x14ac:dyDescent="0.25">
      <c r="A1223" t="s">
        <v>78</v>
      </c>
      <c r="B1223" t="s">
        <v>79</v>
      </c>
      <c r="C1223" t="s">
        <v>5775</v>
      </c>
      <c r="D1223" t="s">
        <v>5774</v>
      </c>
      <c r="E1223">
        <v>1208.3</v>
      </c>
      <c r="F1223">
        <v>1211.5</v>
      </c>
      <c r="G1223">
        <v>1214</v>
      </c>
      <c r="H1223">
        <v>1193</v>
      </c>
      <c r="I1223" s="1">
        <v>1204.0999999999999</v>
      </c>
      <c r="J1223">
        <v>147873046.15000001</v>
      </c>
      <c r="K1223">
        <v>122905</v>
      </c>
      <c r="L1223" t="s">
        <v>78</v>
      </c>
      <c r="M1223" t="s">
        <v>17</v>
      </c>
      <c r="N1223">
        <v>14556</v>
      </c>
      <c r="O1223">
        <v>1513.9</v>
      </c>
      <c r="P1223">
        <v>655.65</v>
      </c>
      <c r="Q1223" s="1" t="str">
        <v/>
      </c>
      <c r="R1223" s="1" t="str">
        <v/>
      </c>
      <c r="S1223" s="3">
        <v>0</v>
      </c>
      <c r="T1223" s="3">
        <v>0</v>
      </c>
    </row>
    <row r="1224" spans="1:20" x14ac:dyDescent="0.25">
      <c r="A1224" t="s">
        <v>78</v>
      </c>
      <c r="B1224" t="s">
        <v>79</v>
      </c>
      <c r="C1224" t="s">
        <v>5773</v>
      </c>
      <c r="D1224" t="s">
        <v>5772</v>
      </c>
      <c r="E1224">
        <v>541.70000000000005</v>
      </c>
      <c r="F1224">
        <v>544.45000000000005</v>
      </c>
      <c r="G1224">
        <v>558.4</v>
      </c>
      <c r="H1224">
        <v>539.1</v>
      </c>
      <c r="I1224" s="1">
        <v>546.70000000000005</v>
      </c>
      <c r="J1224">
        <v>67063827</v>
      </c>
      <c r="K1224">
        <v>122826</v>
      </c>
      <c r="L1224" t="s">
        <v>78</v>
      </c>
      <c r="M1224" t="s">
        <v>17</v>
      </c>
      <c r="N1224">
        <v>12323</v>
      </c>
      <c r="O1224">
        <v>605</v>
      </c>
      <c r="P1224">
        <v>430.55</v>
      </c>
      <c r="Q1224" s="1" t="str">
        <v/>
      </c>
      <c r="R1224" s="1" t="str">
        <v/>
      </c>
      <c r="S1224" s="3">
        <v>0</v>
      </c>
      <c r="T1224" s="3">
        <v>0</v>
      </c>
    </row>
    <row r="1225" spans="1:20" x14ac:dyDescent="0.25">
      <c r="A1225" t="s">
        <v>78</v>
      </c>
      <c r="B1225" t="s">
        <v>79</v>
      </c>
      <c r="C1225" t="s">
        <v>5771</v>
      </c>
      <c r="D1225" t="s">
        <v>5770</v>
      </c>
      <c r="E1225">
        <v>476.3</v>
      </c>
      <c r="F1225">
        <v>480</v>
      </c>
      <c r="G1225">
        <v>480</v>
      </c>
      <c r="H1225">
        <v>465.05</v>
      </c>
      <c r="I1225" s="1">
        <v>468.05</v>
      </c>
      <c r="J1225">
        <v>6220158.25</v>
      </c>
      <c r="K1225">
        <v>13271</v>
      </c>
      <c r="L1225" t="s">
        <v>78</v>
      </c>
      <c r="M1225" t="s">
        <v>17</v>
      </c>
      <c r="N1225">
        <v>1207</v>
      </c>
      <c r="O1225">
        <v>845</v>
      </c>
      <c r="P1225">
        <v>355.45</v>
      </c>
      <c r="Q1225" s="1" t="str">
        <v/>
      </c>
      <c r="R1225" s="1" t="str">
        <v/>
      </c>
      <c r="S1225" s="3">
        <v>0</v>
      </c>
      <c r="T1225" s="3">
        <v>0</v>
      </c>
    </row>
    <row r="1226" spans="1:20" x14ac:dyDescent="0.25">
      <c r="A1226" t="s">
        <v>78</v>
      </c>
      <c r="B1226" t="s">
        <v>287</v>
      </c>
      <c r="C1226" t="s">
        <v>5769</v>
      </c>
      <c r="D1226" t="s">
        <v>5768</v>
      </c>
      <c r="E1226">
        <v>109.2</v>
      </c>
      <c r="F1226">
        <v>106.1</v>
      </c>
      <c r="G1226">
        <v>110</v>
      </c>
      <c r="H1226">
        <v>105</v>
      </c>
      <c r="I1226" s="1">
        <v>105</v>
      </c>
      <c r="J1226">
        <v>6460400</v>
      </c>
      <c r="K1226">
        <v>60000</v>
      </c>
      <c r="L1226" t="s">
        <v>78</v>
      </c>
      <c r="M1226" t="s">
        <v>17</v>
      </c>
      <c r="N1226">
        <v>15</v>
      </c>
      <c r="O1226">
        <v>159.4</v>
      </c>
      <c r="P1226">
        <v>105</v>
      </c>
      <c r="Q1226" s="1" t="str">
        <v/>
      </c>
      <c r="R1226" s="1" t="str">
        <v/>
      </c>
      <c r="S1226" s="3">
        <v>0</v>
      </c>
      <c r="T1226" s="3">
        <v>0</v>
      </c>
    </row>
    <row r="1227" spans="1:20" x14ac:dyDescent="0.25">
      <c r="A1227" t="s">
        <v>78</v>
      </c>
      <c r="B1227" t="s">
        <v>79</v>
      </c>
      <c r="C1227" t="s">
        <v>5767</v>
      </c>
      <c r="D1227" t="s">
        <v>5766</v>
      </c>
      <c r="E1227">
        <v>672.45</v>
      </c>
      <c r="F1227">
        <v>674.4</v>
      </c>
      <c r="G1227">
        <v>677</v>
      </c>
      <c r="H1227">
        <v>668</v>
      </c>
      <c r="I1227" s="1">
        <v>673.35</v>
      </c>
      <c r="J1227">
        <v>36289383.149999999</v>
      </c>
      <c r="K1227">
        <v>54040</v>
      </c>
      <c r="L1227" t="s">
        <v>78</v>
      </c>
      <c r="M1227" t="s">
        <v>17</v>
      </c>
      <c r="N1227">
        <v>5736</v>
      </c>
      <c r="O1227">
        <v>978</v>
      </c>
      <c r="P1227">
        <v>598.6</v>
      </c>
      <c r="Q1227" s="1" t="str">
        <v/>
      </c>
      <c r="R1227" s="1" t="str">
        <v/>
      </c>
      <c r="S1227" s="3">
        <v>0</v>
      </c>
      <c r="T1227" s="3">
        <v>0</v>
      </c>
    </row>
    <row r="1228" spans="1:20" x14ac:dyDescent="0.25">
      <c r="A1228" t="s">
        <v>78</v>
      </c>
      <c r="B1228" t="s">
        <v>79</v>
      </c>
      <c r="C1228" t="s">
        <v>3297</v>
      </c>
      <c r="D1228" t="s">
        <v>3298</v>
      </c>
      <c r="E1228">
        <v>70.5</v>
      </c>
      <c r="F1228">
        <v>71.5</v>
      </c>
      <c r="G1228">
        <v>71.5</v>
      </c>
      <c r="H1228">
        <v>67.8</v>
      </c>
      <c r="I1228" s="1">
        <v>68.33</v>
      </c>
      <c r="J1228">
        <v>11296731.539999999</v>
      </c>
      <c r="K1228">
        <v>163694</v>
      </c>
      <c r="L1228" t="s">
        <v>78</v>
      </c>
      <c r="M1228" t="s">
        <v>17</v>
      </c>
      <c r="N1228">
        <v>1249</v>
      </c>
      <c r="O1228">
        <v>107.25</v>
      </c>
      <c r="P1228">
        <v>41</v>
      </c>
      <c r="Q1228" s="1">
        <v>14.9</v>
      </c>
      <c r="R1228" s="1">
        <v>6.7</v>
      </c>
      <c r="S1228" s="3">
        <v>0.13532123954065711</v>
      </c>
      <c r="T1228" s="3">
        <v>0.12305031731602889</v>
      </c>
    </row>
    <row r="1229" spans="1:20" x14ac:dyDescent="0.25">
      <c r="A1229" t="s">
        <v>78</v>
      </c>
      <c r="B1229" t="s">
        <v>79</v>
      </c>
      <c r="C1229" t="s">
        <v>5765</v>
      </c>
      <c r="D1229" t="s">
        <v>5764</v>
      </c>
      <c r="E1229">
        <v>308.8</v>
      </c>
      <c r="F1229">
        <v>314.2</v>
      </c>
      <c r="G1229">
        <v>314.39999999999998</v>
      </c>
      <c r="H1229">
        <v>302</v>
      </c>
      <c r="I1229" s="1">
        <v>303.2</v>
      </c>
      <c r="J1229">
        <v>5329153.3</v>
      </c>
      <c r="K1229">
        <v>17361</v>
      </c>
      <c r="L1229" t="s">
        <v>78</v>
      </c>
      <c r="M1229" t="s">
        <v>17</v>
      </c>
      <c r="N1229">
        <v>1435</v>
      </c>
      <c r="O1229">
        <v>404.95</v>
      </c>
      <c r="P1229">
        <v>215</v>
      </c>
      <c r="Q1229" s="1" t="str">
        <v/>
      </c>
      <c r="R1229" s="1" t="str">
        <v/>
      </c>
      <c r="S1229" s="3">
        <v>0</v>
      </c>
      <c r="T1229" s="3">
        <v>0</v>
      </c>
    </row>
    <row r="1230" spans="1:20" x14ac:dyDescent="0.25">
      <c r="A1230" t="s">
        <v>78</v>
      </c>
      <c r="B1230" t="s">
        <v>79</v>
      </c>
      <c r="C1230" t="s">
        <v>1778</v>
      </c>
      <c r="D1230" t="s">
        <v>1779</v>
      </c>
      <c r="E1230">
        <v>135.91999999999999</v>
      </c>
      <c r="F1230">
        <v>136.88999999999999</v>
      </c>
      <c r="G1230">
        <v>138.49</v>
      </c>
      <c r="H1230">
        <v>125.15</v>
      </c>
      <c r="I1230" s="1">
        <v>131.18</v>
      </c>
      <c r="J1230">
        <v>37806442.369999997</v>
      </c>
      <c r="K1230">
        <v>285573</v>
      </c>
      <c r="L1230" t="s">
        <v>78</v>
      </c>
      <c r="M1230" t="s">
        <v>17</v>
      </c>
      <c r="N1230">
        <v>7997</v>
      </c>
      <c r="O1230">
        <v>166.4</v>
      </c>
      <c r="P1230">
        <v>108.1</v>
      </c>
      <c r="Q1230" s="1">
        <v>78.5</v>
      </c>
      <c r="R1230" s="1">
        <v>68.099999999999994</v>
      </c>
      <c r="S1230" s="3">
        <v>4.3717977796078333E-2</v>
      </c>
      <c r="T1230" s="3">
        <v>3.3304282805871388E-2</v>
      </c>
    </row>
    <row r="1231" spans="1:20" x14ac:dyDescent="0.25">
      <c r="A1231" t="s">
        <v>78</v>
      </c>
      <c r="B1231" t="s">
        <v>79</v>
      </c>
      <c r="C1231" t="s">
        <v>5763</v>
      </c>
      <c r="D1231" t="s">
        <v>5762</v>
      </c>
      <c r="E1231">
        <v>1339.9</v>
      </c>
      <c r="F1231">
        <v>1339.9</v>
      </c>
      <c r="G1231">
        <v>1349</v>
      </c>
      <c r="H1231">
        <v>1318.3</v>
      </c>
      <c r="I1231" s="1">
        <v>1334.75</v>
      </c>
      <c r="J1231">
        <v>85394973.299999997</v>
      </c>
      <c r="K1231">
        <v>63810</v>
      </c>
      <c r="L1231" t="s">
        <v>78</v>
      </c>
      <c r="M1231" t="s">
        <v>17</v>
      </c>
      <c r="N1231">
        <v>11229</v>
      </c>
      <c r="O1231">
        <v>1441.2</v>
      </c>
      <c r="P1231">
        <v>982.55</v>
      </c>
      <c r="Q1231" s="1" t="str">
        <v/>
      </c>
      <c r="R1231" s="1" t="str">
        <v/>
      </c>
      <c r="S1231" s="3">
        <v>0</v>
      </c>
      <c r="T1231" s="3">
        <v>0</v>
      </c>
    </row>
    <row r="1232" spans="1:20" x14ac:dyDescent="0.25">
      <c r="A1232" t="s">
        <v>78</v>
      </c>
      <c r="B1232" t="s">
        <v>79</v>
      </c>
      <c r="C1232" t="s">
        <v>1782</v>
      </c>
      <c r="D1232" t="s">
        <v>1783</v>
      </c>
      <c r="E1232">
        <v>2040.4</v>
      </c>
      <c r="F1232">
        <v>2038</v>
      </c>
      <c r="G1232">
        <v>2047.05</v>
      </c>
      <c r="H1232">
        <v>2010</v>
      </c>
      <c r="I1232" s="1">
        <v>2031.05</v>
      </c>
      <c r="J1232">
        <v>164058063.90000001</v>
      </c>
      <c r="K1232">
        <v>80859</v>
      </c>
      <c r="L1232" t="s">
        <v>78</v>
      </c>
      <c r="M1232" t="s">
        <v>17</v>
      </c>
      <c r="N1232">
        <v>11636</v>
      </c>
      <c r="O1232">
        <v>2117.5</v>
      </c>
      <c r="P1232">
        <v>1296</v>
      </c>
      <c r="Q1232" s="1">
        <v>2770.05</v>
      </c>
      <c r="R1232" s="1">
        <v>1010</v>
      </c>
      <c r="S1232" s="3">
        <v>-2.5527882437999749E-2</v>
      </c>
      <c r="T1232" s="3">
        <v>3.5527541896007264E-2</v>
      </c>
    </row>
    <row r="1233" spans="1:20" x14ac:dyDescent="0.25">
      <c r="A1233" t="s">
        <v>78</v>
      </c>
      <c r="B1233" t="s">
        <v>79</v>
      </c>
      <c r="C1233" t="s">
        <v>1784</v>
      </c>
      <c r="D1233" t="s">
        <v>1785</v>
      </c>
      <c r="E1233">
        <v>1039.45</v>
      </c>
      <c r="F1233">
        <v>1040</v>
      </c>
      <c r="G1233">
        <v>1041.75</v>
      </c>
      <c r="H1233">
        <v>1016.45</v>
      </c>
      <c r="I1233" s="1">
        <v>1038.5999999999999</v>
      </c>
      <c r="J1233">
        <v>1034429143.9</v>
      </c>
      <c r="K1233">
        <v>1002503</v>
      </c>
      <c r="L1233" t="s">
        <v>78</v>
      </c>
      <c r="M1233" t="s">
        <v>17</v>
      </c>
      <c r="N1233">
        <v>51684</v>
      </c>
      <c r="O1233">
        <v>1092</v>
      </c>
      <c r="P1233">
        <v>763</v>
      </c>
      <c r="Q1233" s="1">
        <v>1047.0999999999999</v>
      </c>
      <c r="R1233" s="1">
        <v>405</v>
      </c>
      <c r="S1233" s="3">
        <v>-6.7900153099076377E-4</v>
      </c>
      <c r="T1233" s="3">
        <v>4.8186267424863205E-2</v>
      </c>
    </row>
    <row r="1234" spans="1:20" x14ac:dyDescent="0.25">
      <c r="A1234" t="s">
        <v>78</v>
      </c>
      <c r="B1234" t="s">
        <v>79</v>
      </c>
      <c r="C1234" t="s">
        <v>1788</v>
      </c>
      <c r="D1234" t="s">
        <v>1789</v>
      </c>
      <c r="E1234">
        <v>1736.95</v>
      </c>
      <c r="F1234">
        <v>1735.05</v>
      </c>
      <c r="G1234">
        <v>1777.8</v>
      </c>
      <c r="H1234">
        <v>1712</v>
      </c>
      <c r="I1234" s="1">
        <v>1727.35</v>
      </c>
      <c r="J1234">
        <v>1313186221.2</v>
      </c>
      <c r="K1234">
        <v>753760</v>
      </c>
      <c r="L1234" t="s">
        <v>78</v>
      </c>
      <c r="M1234" t="s">
        <v>17</v>
      </c>
      <c r="N1234">
        <v>39112</v>
      </c>
      <c r="O1234">
        <v>1858.35</v>
      </c>
      <c r="P1234">
        <v>970.55</v>
      </c>
      <c r="Q1234" s="1">
        <v>1138.05</v>
      </c>
      <c r="R1234" s="1">
        <v>768.8</v>
      </c>
      <c r="S1234" s="3">
        <v>3.5384319409518028E-2</v>
      </c>
      <c r="T1234" s="3">
        <v>4.1282864856353907E-2</v>
      </c>
    </row>
    <row r="1235" spans="1:20" x14ac:dyDescent="0.25">
      <c r="A1235" t="s">
        <v>78</v>
      </c>
      <c r="B1235" t="s">
        <v>287</v>
      </c>
      <c r="C1235" t="s">
        <v>1790</v>
      </c>
      <c r="D1235" t="s">
        <v>1791</v>
      </c>
      <c r="E1235">
        <v>61</v>
      </c>
      <c r="F1235">
        <v>61</v>
      </c>
      <c r="G1235">
        <v>64.3</v>
      </c>
      <c r="H1235">
        <v>59.45</v>
      </c>
      <c r="I1235" s="1">
        <v>62.45</v>
      </c>
      <c r="J1235">
        <v>1016700</v>
      </c>
      <c r="K1235">
        <v>16500</v>
      </c>
      <c r="L1235" t="s">
        <v>78</v>
      </c>
      <c r="M1235" t="s">
        <v>17</v>
      </c>
      <c r="N1235">
        <v>11</v>
      </c>
      <c r="O1235">
        <v>96.95</v>
      </c>
      <c r="P1235">
        <v>46.5</v>
      </c>
      <c r="Q1235" s="1">
        <v>25.8</v>
      </c>
      <c r="R1235" s="1" t="str">
        <v/>
      </c>
      <c r="S1235" s="3">
        <v>7.6447189172191399E-2</v>
      </c>
      <c r="T1235" s="3">
        <v>0</v>
      </c>
    </row>
    <row r="1236" spans="1:20" x14ac:dyDescent="0.25">
      <c r="A1236" t="s">
        <v>78</v>
      </c>
      <c r="B1236" t="s">
        <v>79</v>
      </c>
      <c r="C1236" t="s">
        <v>5761</v>
      </c>
      <c r="D1236" t="s">
        <v>5760</v>
      </c>
      <c r="E1236">
        <v>192.29</v>
      </c>
      <c r="F1236">
        <v>195.15</v>
      </c>
      <c r="G1236">
        <v>199.19</v>
      </c>
      <c r="H1236">
        <v>192.28</v>
      </c>
      <c r="I1236" s="1">
        <v>197.29</v>
      </c>
      <c r="J1236">
        <v>3410305.83</v>
      </c>
      <c r="K1236">
        <v>17442</v>
      </c>
      <c r="L1236" t="s">
        <v>78</v>
      </c>
      <c r="M1236" t="s">
        <v>17</v>
      </c>
      <c r="N1236">
        <v>695</v>
      </c>
      <c r="O1236">
        <v>376</v>
      </c>
      <c r="P1236">
        <v>175.1</v>
      </c>
      <c r="Q1236" s="1" t="str">
        <v/>
      </c>
      <c r="R1236" s="1" t="str">
        <v/>
      </c>
      <c r="S1236" s="3">
        <v>0</v>
      </c>
      <c r="T1236" s="3">
        <v>0</v>
      </c>
    </row>
    <row r="1237" spans="1:20" x14ac:dyDescent="0.25">
      <c r="A1237" t="s">
        <v>78</v>
      </c>
      <c r="B1237" t="s">
        <v>79</v>
      </c>
      <c r="C1237" t="s">
        <v>1792</v>
      </c>
      <c r="D1237" t="s">
        <v>1793</v>
      </c>
      <c r="E1237">
        <v>447.05</v>
      </c>
      <c r="F1237">
        <v>446</v>
      </c>
      <c r="G1237">
        <v>464.05</v>
      </c>
      <c r="H1237">
        <v>443.35</v>
      </c>
      <c r="I1237" s="1">
        <v>452.4</v>
      </c>
      <c r="J1237">
        <v>132780202.84999999</v>
      </c>
      <c r="K1237">
        <v>293102</v>
      </c>
      <c r="L1237" t="s">
        <v>78</v>
      </c>
      <c r="M1237" t="s">
        <v>17</v>
      </c>
      <c r="N1237">
        <v>18170</v>
      </c>
      <c r="O1237">
        <v>505</v>
      </c>
      <c r="P1237">
        <v>320.55</v>
      </c>
      <c r="Q1237" s="1">
        <v>306.60000000000002</v>
      </c>
      <c r="R1237" s="1">
        <v>224.85</v>
      </c>
      <c r="S1237" s="3">
        <v>3.2949771265147643E-2</v>
      </c>
      <c r="T1237" s="3">
        <v>3.5555002925954815E-2</v>
      </c>
    </row>
    <row r="1238" spans="1:20" x14ac:dyDescent="0.25">
      <c r="A1238" t="s">
        <v>78</v>
      </c>
      <c r="B1238" t="s">
        <v>287</v>
      </c>
      <c r="C1238" t="s">
        <v>5759</v>
      </c>
      <c r="D1238" t="s">
        <v>5758</v>
      </c>
      <c r="E1238">
        <v>42.8</v>
      </c>
      <c r="F1238">
        <v>43</v>
      </c>
      <c r="G1238">
        <v>43.15</v>
      </c>
      <c r="H1238">
        <v>43</v>
      </c>
      <c r="I1238" s="1">
        <v>43.15</v>
      </c>
      <c r="J1238">
        <v>206640</v>
      </c>
      <c r="K1238">
        <v>4800</v>
      </c>
      <c r="L1238" t="s">
        <v>78</v>
      </c>
      <c r="M1238" t="s">
        <v>17</v>
      </c>
      <c r="N1238">
        <v>3</v>
      </c>
      <c r="O1238">
        <v>80.8</v>
      </c>
      <c r="P1238">
        <v>40.9</v>
      </c>
      <c r="Q1238" s="1" t="str">
        <v/>
      </c>
      <c r="R1238" s="1" t="str">
        <v/>
      </c>
      <c r="S1238" s="3">
        <v>0</v>
      </c>
      <c r="T1238" s="3">
        <v>0</v>
      </c>
    </row>
    <row r="1239" spans="1:20" x14ac:dyDescent="0.25">
      <c r="A1239" t="s">
        <v>78</v>
      </c>
      <c r="B1239" t="s">
        <v>79</v>
      </c>
      <c r="C1239" t="s">
        <v>1794</v>
      </c>
      <c r="D1239" t="s">
        <v>1795</v>
      </c>
      <c r="E1239">
        <v>503.6</v>
      </c>
      <c r="F1239">
        <v>504</v>
      </c>
      <c r="G1239">
        <v>507.45</v>
      </c>
      <c r="H1239">
        <v>485.55</v>
      </c>
      <c r="I1239" s="1">
        <v>491.75</v>
      </c>
      <c r="J1239">
        <v>574293703.25</v>
      </c>
      <c r="K1239">
        <v>1163671</v>
      </c>
      <c r="L1239" t="s">
        <v>78</v>
      </c>
      <c r="M1239" t="s">
        <v>17</v>
      </c>
      <c r="N1239">
        <v>31573</v>
      </c>
      <c r="O1239">
        <v>547.5</v>
      </c>
      <c r="P1239">
        <v>304</v>
      </c>
      <c r="Q1239" s="1">
        <v>198</v>
      </c>
      <c r="R1239" s="1">
        <v>113.5</v>
      </c>
      <c r="S1239" s="3">
        <v>7.8756100850895683E-2</v>
      </c>
      <c r="T1239" s="3">
        <v>7.6019123164985603E-2</v>
      </c>
    </row>
    <row r="1240" spans="1:20" x14ac:dyDescent="0.25">
      <c r="A1240" t="s">
        <v>78</v>
      </c>
      <c r="B1240" t="s">
        <v>287</v>
      </c>
      <c r="C1240" t="s">
        <v>5757</v>
      </c>
      <c r="D1240" t="s">
        <v>5756</v>
      </c>
      <c r="E1240">
        <v>42.1</v>
      </c>
      <c r="F1240">
        <v>40</v>
      </c>
      <c r="G1240">
        <v>40</v>
      </c>
      <c r="H1240">
        <v>40</v>
      </c>
      <c r="I1240" s="1">
        <v>40</v>
      </c>
      <c r="J1240">
        <v>176000</v>
      </c>
      <c r="K1240">
        <v>4400</v>
      </c>
      <c r="L1240" t="s">
        <v>78</v>
      </c>
      <c r="M1240" t="s">
        <v>17</v>
      </c>
      <c r="N1240">
        <v>1</v>
      </c>
      <c r="O1240">
        <v>48.35</v>
      </c>
      <c r="P1240">
        <v>22.05</v>
      </c>
      <c r="Q1240" s="1" t="str">
        <v/>
      </c>
      <c r="R1240" s="1" t="str">
        <v/>
      </c>
      <c r="S1240" s="3">
        <v>0</v>
      </c>
      <c r="T1240" s="3">
        <v>0</v>
      </c>
    </row>
    <row r="1241" spans="1:20" x14ac:dyDescent="0.25">
      <c r="A1241" t="s">
        <v>78</v>
      </c>
      <c r="B1241" t="s">
        <v>79</v>
      </c>
      <c r="C1241" t="s">
        <v>1796</v>
      </c>
      <c r="D1241" t="s">
        <v>1797</v>
      </c>
      <c r="E1241">
        <v>489.05</v>
      </c>
      <c r="F1241">
        <v>489.05</v>
      </c>
      <c r="G1241">
        <v>491</v>
      </c>
      <c r="H1241">
        <v>480.8</v>
      </c>
      <c r="I1241" s="1">
        <v>482.3</v>
      </c>
      <c r="J1241">
        <v>109537328.15000001</v>
      </c>
      <c r="K1241">
        <v>225561</v>
      </c>
      <c r="L1241" t="s">
        <v>78</v>
      </c>
      <c r="M1241" t="s">
        <v>17</v>
      </c>
      <c r="N1241">
        <v>10783</v>
      </c>
      <c r="O1241">
        <v>512.4</v>
      </c>
      <c r="P1241">
        <v>280</v>
      </c>
      <c r="Q1241" s="1">
        <v>137.15</v>
      </c>
      <c r="R1241" s="1">
        <v>97.3</v>
      </c>
      <c r="S1241" s="3">
        <v>0.11047841370587497</v>
      </c>
      <c r="T1241" s="3">
        <v>8.3281146739363265E-2</v>
      </c>
    </row>
    <row r="1242" spans="1:20" x14ac:dyDescent="0.25">
      <c r="A1242" t="s">
        <v>78</v>
      </c>
      <c r="B1242" t="s">
        <v>618</v>
      </c>
      <c r="C1242" t="s">
        <v>1800</v>
      </c>
      <c r="D1242" t="s">
        <v>1801</v>
      </c>
      <c r="E1242">
        <v>339.86</v>
      </c>
      <c r="F1242">
        <v>340.5</v>
      </c>
      <c r="G1242">
        <v>340.99</v>
      </c>
      <c r="H1242">
        <v>339</v>
      </c>
      <c r="I1242" s="1">
        <v>340.43</v>
      </c>
      <c r="J1242">
        <v>15695248.039999999</v>
      </c>
      <c r="K1242">
        <v>46137</v>
      </c>
      <c r="L1242" t="s">
        <v>78</v>
      </c>
      <c r="M1242" t="s">
        <v>17</v>
      </c>
      <c r="N1242">
        <v>2051</v>
      </c>
      <c r="O1242">
        <v>365</v>
      </c>
      <c r="P1242">
        <v>296</v>
      </c>
      <c r="Q1242" s="1">
        <v>280.05</v>
      </c>
      <c r="R1242" s="1" t="str">
        <v/>
      </c>
      <c r="S1242" s="3">
        <v>1.6403192873444938E-2</v>
      </c>
      <c r="T1242" s="3">
        <v>0</v>
      </c>
    </row>
    <row r="1243" spans="1:20" x14ac:dyDescent="0.25">
      <c r="A1243" t="s">
        <v>78</v>
      </c>
      <c r="B1243" t="s">
        <v>79</v>
      </c>
      <c r="C1243" t="s">
        <v>1802</v>
      </c>
      <c r="D1243" t="s">
        <v>1803</v>
      </c>
      <c r="E1243">
        <v>386.95</v>
      </c>
      <c r="F1243">
        <v>390.55</v>
      </c>
      <c r="G1243">
        <v>400</v>
      </c>
      <c r="H1243">
        <v>368</v>
      </c>
      <c r="I1243" s="1">
        <v>371.4</v>
      </c>
      <c r="J1243">
        <v>95307295.400000006</v>
      </c>
      <c r="K1243">
        <v>253015</v>
      </c>
      <c r="L1243" t="s">
        <v>78</v>
      </c>
      <c r="M1243" t="s">
        <v>17</v>
      </c>
      <c r="N1243">
        <v>8539</v>
      </c>
      <c r="O1243">
        <v>411</v>
      </c>
      <c r="P1243">
        <v>142.15</v>
      </c>
      <c r="Q1243" s="1">
        <v>90</v>
      </c>
      <c r="R1243" s="1">
        <v>36</v>
      </c>
      <c r="S1243" s="3">
        <v>0.12538196020615211</v>
      </c>
      <c r="T1243" s="3">
        <v>0.12369698844027077</v>
      </c>
    </row>
    <row r="1244" spans="1:20" x14ac:dyDescent="0.25">
      <c r="A1244" t="s">
        <v>78</v>
      </c>
      <c r="B1244" t="s">
        <v>79</v>
      </c>
      <c r="C1244" t="s">
        <v>1806</v>
      </c>
      <c r="D1244" t="s">
        <v>1807</v>
      </c>
      <c r="E1244">
        <v>21.21</v>
      </c>
      <c r="F1244">
        <v>21.3</v>
      </c>
      <c r="G1244">
        <v>21.44</v>
      </c>
      <c r="H1244">
        <v>20.5</v>
      </c>
      <c r="I1244" s="1">
        <v>20.66</v>
      </c>
      <c r="J1244">
        <v>8360392.9900000002</v>
      </c>
      <c r="K1244">
        <v>399675</v>
      </c>
      <c r="L1244" t="s">
        <v>78</v>
      </c>
      <c r="M1244" t="s">
        <v>17</v>
      </c>
      <c r="N1244">
        <v>1549</v>
      </c>
      <c r="O1244">
        <v>30.45</v>
      </c>
      <c r="P1244">
        <v>15.5</v>
      </c>
      <c r="Q1244" s="1">
        <v>21.5</v>
      </c>
      <c r="R1244" s="1">
        <v>12.7</v>
      </c>
      <c r="S1244" s="3">
        <v>-3.3156137926326767E-3</v>
      </c>
      <c r="T1244" s="3">
        <v>2.4614607674421141E-2</v>
      </c>
    </row>
    <row r="1245" spans="1:20" x14ac:dyDescent="0.25">
      <c r="A1245" t="s">
        <v>78</v>
      </c>
      <c r="B1245" t="s">
        <v>79</v>
      </c>
      <c r="C1245" t="s">
        <v>1808</v>
      </c>
      <c r="D1245" t="s">
        <v>1809</v>
      </c>
      <c r="E1245">
        <v>46.09</v>
      </c>
      <c r="F1245">
        <v>46.2</v>
      </c>
      <c r="G1245">
        <v>46.53</v>
      </c>
      <c r="H1245">
        <v>45.07</v>
      </c>
      <c r="I1245" s="1">
        <v>45.36</v>
      </c>
      <c r="J1245">
        <v>10078829.67</v>
      </c>
      <c r="K1245">
        <v>220611</v>
      </c>
      <c r="L1245" t="s">
        <v>78</v>
      </c>
      <c r="M1245" t="s">
        <v>17</v>
      </c>
      <c r="N1245">
        <v>2265</v>
      </c>
      <c r="O1245">
        <v>63.6</v>
      </c>
      <c r="P1245">
        <v>39.549999999999997</v>
      </c>
      <c r="Q1245" s="1">
        <v>55.55</v>
      </c>
      <c r="R1245" s="1">
        <v>61.4</v>
      </c>
      <c r="S1245" s="3">
        <v>-1.6745939547956001E-2</v>
      </c>
      <c r="T1245" s="3">
        <v>-1.5016774603807792E-2</v>
      </c>
    </row>
    <row r="1246" spans="1:20" x14ac:dyDescent="0.25">
      <c r="A1246" t="s">
        <v>78</v>
      </c>
      <c r="B1246" t="s">
        <v>79</v>
      </c>
      <c r="C1246" t="s">
        <v>1810</v>
      </c>
      <c r="D1246" t="s">
        <v>5755</v>
      </c>
      <c r="E1246">
        <v>131.86000000000001</v>
      </c>
      <c r="F1246">
        <v>130.01</v>
      </c>
      <c r="G1246">
        <v>136.18</v>
      </c>
      <c r="H1246">
        <v>128.99</v>
      </c>
      <c r="I1246" s="1">
        <v>131.12</v>
      </c>
      <c r="J1246">
        <v>5373483.4500000002</v>
      </c>
      <c r="K1246">
        <v>40893</v>
      </c>
      <c r="L1246" t="s">
        <v>78</v>
      </c>
      <c r="M1246" t="s">
        <v>17</v>
      </c>
      <c r="N1246">
        <v>1103</v>
      </c>
      <c r="O1246">
        <v>187.56</v>
      </c>
      <c r="P1246">
        <v>69.099999999999994</v>
      </c>
      <c r="Q1246" s="1">
        <v>39.5</v>
      </c>
      <c r="R1246" s="1">
        <v>36.5</v>
      </c>
      <c r="S1246" s="3">
        <v>0.1051536280447527</v>
      </c>
      <c r="T1246" s="3">
        <v>6.5991143176751255E-2</v>
      </c>
    </row>
    <row r="1247" spans="1:20" x14ac:dyDescent="0.25">
      <c r="A1247" t="s">
        <v>78</v>
      </c>
      <c r="B1247" t="s">
        <v>79</v>
      </c>
      <c r="C1247" t="s">
        <v>1812</v>
      </c>
      <c r="D1247" t="s">
        <v>1813</v>
      </c>
      <c r="E1247">
        <v>2.2200000000000002</v>
      </c>
      <c r="F1247">
        <v>2.2799999999999998</v>
      </c>
      <c r="G1247">
        <v>2.2799999999999998</v>
      </c>
      <c r="H1247">
        <v>1.81</v>
      </c>
      <c r="I1247" s="1">
        <v>2.17</v>
      </c>
      <c r="J1247">
        <v>4522611.38</v>
      </c>
      <c r="K1247">
        <v>2106558</v>
      </c>
      <c r="L1247" t="s">
        <v>78</v>
      </c>
      <c r="M1247" t="s">
        <v>17</v>
      </c>
      <c r="N1247">
        <v>2161</v>
      </c>
      <c r="O1247">
        <v>18.5</v>
      </c>
      <c r="P1247">
        <v>1.45</v>
      </c>
      <c r="Q1247" s="1">
        <v>11.6</v>
      </c>
      <c r="R1247" s="1" t="str">
        <v/>
      </c>
      <c r="S1247" s="3">
        <v>-0.13037207180101484</v>
      </c>
      <c r="T1247" s="3">
        <v>0</v>
      </c>
    </row>
    <row r="1248" spans="1:20" x14ac:dyDescent="0.25">
      <c r="A1248" t="s">
        <v>78</v>
      </c>
      <c r="B1248" t="s">
        <v>79</v>
      </c>
      <c r="C1248" t="s">
        <v>1814</v>
      </c>
      <c r="D1248" t="s">
        <v>1815</v>
      </c>
      <c r="E1248">
        <v>667.4</v>
      </c>
      <c r="F1248">
        <v>660</v>
      </c>
      <c r="G1248">
        <v>665.8</v>
      </c>
      <c r="H1248">
        <v>632.6</v>
      </c>
      <c r="I1248" s="1">
        <v>636.95000000000005</v>
      </c>
      <c r="J1248">
        <v>71757340.25</v>
      </c>
      <c r="K1248">
        <v>110348</v>
      </c>
      <c r="L1248" t="s">
        <v>78</v>
      </c>
      <c r="M1248" t="s">
        <v>17</v>
      </c>
      <c r="N1248">
        <v>12994</v>
      </c>
      <c r="O1248">
        <v>1403.95</v>
      </c>
      <c r="P1248">
        <v>632.6</v>
      </c>
      <c r="Q1248" s="1">
        <v>736.9</v>
      </c>
      <c r="R1248" s="1">
        <v>408.15</v>
      </c>
      <c r="S1248" s="3">
        <v>-1.2073279169424911E-2</v>
      </c>
      <c r="T1248" s="3">
        <v>2.2489800306147112E-2</v>
      </c>
    </row>
    <row r="1249" spans="1:20" x14ac:dyDescent="0.25">
      <c r="A1249" t="s">
        <v>78</v>
      </c>
      <c r="B1249" t="s">
        <v>79</v>
      </c>
      <c r="C1249" t="s">
        <v>1816</v>
      </c>
      <c r="D1249" t="s">
        <v>1817</v>
      </c>
      <c r="E1249">
        <v>302.3</v>
      </c>
      <c r="F1249">
        <v>302.5</v>
      </c>
      <c r="G1249">
        <v>306.45</v>
      </c>
      <c r="H1249">
        <v>291</v>
      </c>
      <c r="I1249" s="1">
        <v>294.60000000000002</v>
      </c>
      <c r="J1249">
        <v>33904279.799999997</v>
      </c>
      <c r="K1249">
        <v>113673</v>
      </c>
      <c r="L1249" t="s">
        <v>78</v>
      </c>
      <c r="M1249" t="s">
        <v>17</v>
      </c>
      <c r="N1249">
        <v>4974</v>
      </c>
      <c r="O1249">
        <v>323.2</v>
      </c>
      <c r="P1249">
        <v>182.6</v>
      </c>
      <c r="Q1249" s="1">
        <v>136</v>
      </c>
      <c r="R1249" s="1" t="str">
        <v/>
      </c>
      <c r="S1249" s="3">
        <v>6.6533462952642397E-2</v>
      </c>
      <c r="T1249" s="3">
        <v>0</v>
      </c>
    </row>
    <row r="1250" spans="1:20" x14ac:dyDescent="0.25">
      <c r="A1250" t="s">
        <v>78</v>
      </c>
      <c r="B1250" t="s">
        <v>79</v>
      </c>
      <c r="C1250" t="s">
        <v>1818</v>
      </c>
      <c r="D1250" t="s">
        <v>1819</v>
      </c>
      <c r="E1250">
        <v>90.97</v>
      </c>
      <c r="F1250">
        <v>91.19</v>
      </c>
      <c r="G1250">
        <v>94.3</v>
      </c>
      <c r="H1250">
        <v>87.74</v>
      </c>
      <c r="I1250" s="1">
        <v>90.7</v>
      </c>
      <c r="J1250">
        <v>1396039239.3</v>
      </c>
      <c r="K1250">
        <v>15293230</v>
      </c>
      <c r="L1250" t="s">
        <v>78</v>
      </c>
      <c r="M1250" t="s">
        <v>17</v>
      </c>
      <c r="N1250">
        <v>81791</v>
      </c>
      <c r="O1250">
        <v>101.9</v>
      </c>
      <c r="P1250">
        <v>32.799999999999997</v>
      </c>
      <c r="Q1250" s="1">
        <v>51.15</v>
      </c>
      <c r="R1250" s="1">
        <v>21.55</v>
      </c>
      <c r="S1250" s="3">
        <v>4.8890464921600874E-2</v>
      </c>
      <c r="T1250" s="3">
        <v>7.4461626695857763E-2</v>
      </c>
    </row>
    <row r="1251" spans="1:20" x14ac:dyDescent="0.25">
      <c r="A1251" t="s">
        <v>78</v>
      </c>
      <c r="B1251" t="s">
        <v>79</v>
      </c>
      <c r="C1251" t="s">
        <v>3301</v>
      </c>
      <c r="D1251" t="s">
        <v>3302</v>
      </c>
      <c r="E1251">
        <v>102.16</v>
      </c>
      <c r="F1251">
        <v>105</v>
      </c>
      <c r="G1251">
        <v>105</v>
      </c>
      <c r="H1251">
        <v>99.5</v>
      </c>
      <c r="I1251" s="1">
        <v>99.8</v>
      </c>
      <c r="J1251">
        <v>446425.21</v>
      </c>
      <c r="K1251">
        <v>4430</v>
      </c>
      <c r="L1251" t="s">
        <v>78</v>
      </c>
      <c r="M1251" t="s">
        <v>17</v>
      </c>
      <c r="N1251">
        <v>157</v>
      </c>
      <c r="O1251">
        <v>120.05</v>
      </c>
      <c r="P1251">
        <v>65.5</v>
      </c>
      <c r="Q1251" s="1">
        <v>69.25</v>
      </c>
      <c r="R1251" s="1">
        <v>39.049999999999997</v>
      </c>
      <c r="S1251" s="3">
        <v>3.0922212080065625E-2</v>
      </c>
      <c r="T1251" s="3">
        <v>4.8007321341718256E-2</v>
      </c>
    </row>
    <row r="1252" spans="1:20" x14ac:dyDescent="0.25">
      <c r="A1252" t="s">
        <v>78</v>
      </c>
      <c r="B1252" t="s">
        <v>79</v>
      </c>
      <c r="C1252" t="s">
        <v>5754</v>
      </c>
      <c r="D1252" t="s">
        <v>5753</v>
      </c>
      <c r="E1252">
        <v>138.53</v>
      </c>
      <c r="F1252">
        <v>139.80000000000001</v>
      </c>
      <c r="G1252">
        <v>145.44999999999999</v>
      </c>
      <c r="H1252">
        <v>137</v>
      </c>
      <c r="I1252" s="1">
        <v>144.31</v>
      </c>
      <c r="J1252">
        <v>16433801.49</v>
      </c>
      <c r="K1252">
        <v>114792</v>
      </c>
      <c r="L1252" t="s">
        <v>78</v>
      </c>
      <c r="M1252" t="s">
        <v>17</v>
      </c>
      <c r="N1252">
        <v>1409</v>
      </c>
      <c r="O1252">
        <v>158.69999999999999</v>
      </c>
      <c r="P1252">
        <v>70.25</v>
      </c>
      <c r="Q1252" s="1" t="str">
        <v/>
      </c>
      <c r="R1252" s="1" t="str">
        <v/>
      </c>
      <c r="S1252" s="3">
        <v>0</v>
      </c>
      <c r="T1252" s="3">
        <v>0</v>
      </c>
    </row>
    <row r="1253" spans="1:20" x14ac:dyDescent="0.25">
      <c r="A1253" t="s">
        <v>78</v>
      </c>
      <c r="B1253" t="s">
        <v>79</v>
      </c>
      <c r="C1253" t="s">
        <v>1824</v>
      </c>
      <c r="D1253" t="s">
        <v>1825</v>
      </c>
      <c r="E1253">
        <v>527.20000000000005</v>
      </c>
      <c r="F1253">
        <v>530</v>
      </c>
      <c r="G1253">
        <v>530</v>
      </c>
      <c r="H1253">
        <v>507.25</v>
      </c>
      <c r="I1253" s="1">
        <v>508.85</v>
      </c>
      <c r="J1253">
        <v>843010515.54999995</v>
      </c>
      <c r="K1253">
        <v>1637208</v>
      </c>
      <c r="L1253" t="s">
        <v>78</v>
      </c>
      <c r="M1253" t="s">
        <v>17</v>
      </c>
      <c r="N1253">
        <v>34268</v>
      </c>
      <c r="O1253">
        <v>588</v>
      </c>
      <c r="P1253">
        <v>182.05</v>
      </c>
      <c r="Q1253" s="1">
        <v>184.35</v>
      </c>
      <c r="R1253" s="1">
        <v>143</v>
      </c>
      <c r="S1253" s="3">
        <v>8.8292291627351638E-2</v>
      </c>
      <c r="T1253" s="3">
        <v>6.5485619339396228E-2</v>
      </c>
    </row>
    <row r="1254" spans="1:20" x14ac:dyDescent="0.25">
      <c r="A1254" t="s">
        <v>78</v>
      </c>
      <c r="B1254" t="s">
        <v>79</v>
      </c>
      <c r="C1254" t="s">
        <v>1826</v>
      </c>
      <c r="D1254" t="s">
        <v>1827</v>
      </c>
      <c r="E1254">
        <v>17.96</v>
      </c>
      <c r="F1254">
        <v>18</v>
      </c>
      <c r="G1254">
        <v>18.8</v>
      </c>
      <c r="H1254">
        <v>16.309999999999999</v>
      </c>
      <c r="I1254" s="1">
        <v>17.52</v>
      </c>
      <c r="J1254">
        <v>14124912.4</v>
      </c>
      <c r="K1254">
        <v>808313</v>
      </c>
      <c r="L1254" t="s">
        <v>78</v>
      </c>
      <c r="M1254" t="s">
        <v>17</v>
      </c>
      <c r="N1254">
        <v>2447</v>
      </c>
      <c r="O1254">
        <v>29.45</v>
      </c>
      <c r="P1254">
        <v>13.5</v>
      </c>
      <c r="Q1254" s="1">
        <v>25.8</v>
      </c>
      <c r="R1254" s="1">
        <v>19.5</v>
      </c>
      <c r="S1254" s="3">
        <v>-3.1738048443068712E-2</v>
      </c>
      <c r="T1254" s="3">
        <v>-5.336347984895351E-3</v>
      </c>
    </row>
    <row r="1255" spans="1:20" x14ac:dyDescent="0.25">
      <c r="A1255" t="s">
        <v>78</v>
      </c>
      <c r="B1255" t="s">
        <v>79</v>
      </c>
      <c r="C1255" t="s">
        <v>5752</v>
      </c>
      <c r="D1255" t="s">
        <v>5751</v>
      </c>
      <c r="E1255">
        <v>81.569999999999993</v>
      </c>
      <c r="F1255">
        <v>81.64</v>
      </c>
      <c r="G1255">
        <v>81.72</v>
      </c>
      <c r="H1255">
        <v>80.239999999999995</v>
      </c>
      <c r="I1255" s="1">
        <v>80.7</v>
      </c>
      <c r="J1255">
        <v>43247215.520000003</v>
      </c>
      <c r="K1255">
        <v>534883</v>
      </c>
      <c r="L1255" t="s">
        <v>78</v>
      </c>
      <c r="M1255" t="s">
        <v>17</v>
      </c>
      <c r="N1255">
        <v>5363</v>
      </c>
      <c r="O1255">
        <v>104.5</v>
      </c>
      <c r="P1255">
        <v>71.400000000000006</v>
      </c>
      <c r="Q1255" s="1" t="str">
        <v/>
      </c>
      <c r="R1255" s="1" t="str">
        <v/>
      </c>
      <c r="S1255" s="3">
        <v>0</v>
      </c>
      <c r="T1255" s="3">
        <v>0</v>
      </c>
    </row>
    <row r="1256" spans="1:20" x14ac:dyDescent="0.25">
      <c r="A1256" t="s">
        <v>78</v>
      </c>
      <c r="B1256" t="s">
        <v>79</v>
      </c>
      <c r="C1256" t="s">
        <v>1828</v>
      </c>
      <c r="D1256" t="s">
        <v>1829</v>
      </c>
      <c r="E1256">
        <v>271.3</v>
      </c>
      <c r="F1256">
        <v>272.95</v>
      </c>
      <c r="G1256">
        <v>274.75</v>
      </c>
      <c r="H1256">
        <v>261</v>
      </c>
      <c r="I1256" s="1">
        <v>262.89999999999998</v>
      </c>
      <c r="J1256">
        <v>29147950.100000001</v>
      </c>
      <c r="K1256">
        <v>109285</v>
      </c>
      <c r="L1256" t="s">
        <v>78</v>
      </c>
      <c r="M1256" t="s">
        <v>17</v>
      </c>
      <c r="N1256">
        <v>5622</v>
      </c>
      <c r="O1256">
        <v>398.55</v>
      </c>
      <c r="P1256">
        <v>180</v>
      </c>
      <c r="Q1256" s="1">
        <v>96.9</v>
      </c>
      <c r="R1256" s="1">
        <v>50.1</v>
      </c>
      <c r="S1256" s="3">
        <v>8.6731445912439975E-2</v>
      </c>
      <c r="T1256" s="3">
        <v>8.6370412679140696E-2</v>
      </c>
    </row>
    <row r="1257" spans="1:20" x14ac:dyDescent="0.25">
      <c r="A1257" t="s">
        <v>78</v>
      </c>
      <c r="B1257" t="s">
        <v>79</v>
      </c>
      <c r="C1257" t="s">
        <v>1832</v>
      </c>
      <c r="D1257" t="s">
        <v>1833</v>
      </c>
      <c r="E1257">
        <v>805.35</v>
      </c>
      <c r="F1257">
        <v>805.35</v>
      </c>
      <c r="G1257">
        <v>805.35</v>
      </c>
      <c r="H1257">
        <v>797.1</v>
      </c>
      <c r="I1257" s="1">
        <v>803.55</v>
      </c>
      <c r="J1257">
        <v>39733899.100000001</v>
      </c>
      <c r="K1257">
        <v>49559</v>
      </c>
      <c r="L1257" t="s">
        <v>78</v>
      </c>
      <c r="M1257" t="s">
        <v>17</v>
      </c>
      <c r="N1257">
        <v>5603</v>
      </c>
      <c r="O1257">
        <v>1077.95</v>
      </c>
      <c r="P1257">
        <v>714.6</v>
      </c>
      <c r="Q1257" s="1">
        <v>516.45000000000005</v>
      </c>
      <c r="R1257" s="1">
        <v>252</v>
      </c>
      <c r="S1257" s="3">
        <v>3.7525354654386334E-2</v>
      </c>
      <c r="T1257" s="3">
        <v>5.9660700936607025E-2</v>
      </c>
    </row>
    <row r="1258" spans="1:20" x14ac:dyDescent="0.25">
      <c r="A1258" t="s">
        <v>78</v>
      </c>
      <c r="B1258" t="s">
        <v>79</v>
      </c>
      <c r="C1258" t="s">
        <v>5750</v>
      </c>
      <c r="D1258" t="s">
        <v>5749</v>
      </c>
      <c r="E1258">
        <v>572.54999999999995</v>
      </c>
      <c r="F1258">
        <v>575</v>
      </c>
      <c r="G1258">
        <v>587</v>
      </c>
      <c r="H1258">
        <v>530</v>
      </c>
      <c r="I1258" s="1">
        <v>535.65</v>
      </c>
      <c r="J1258">
        <v>114070940.8</v>
      </c>
      <c r="K1258">
        <v>206854</v>
      </c>
      <c r="L1258" t="s">
        <v>78</v>
      </c>
      <c r="M1258" t="s">
        <v>17</v>
      </c>
      <c r="N1258">
        <v>8845</v>
      </c>
      <c r="O1258">
        <v>689.95</v>
      </c>
      <c r="P1258">
        <v>282.14999999999998</v>
      </c>
      <c r="Q1258" s="1" t="str">
        <v/>
      </c>
      <c r="R1258" s="1" t="str">
        <v/>
      </c>
      <c r="S1258" s="3">
        <v>0</v>
      </c>
      <c r="T1258" s="3">
        <v>0</v>
      </c>
    </row>
    <row r="1259" spans="1:20" x14ac:dyDescent="0.25">
      <c r="A1259" t="s">
        <v>78</v>
      </c>
      <c r="B1259" t="s">
        <v>287</v>
      </c>
      <c r="C1259" t="s">
        <v>5748</v>
      </c>
      <c r="D1259" t="s">
        <v>5747</v>
      </c>
      <c r="E1259">
        <v>38.1</v>
      </c>
      <c r="F1259">
        <v>39.25</v>
      </c>
      <c r="G1259">
        <v>39.85</v>
      </c>
      <c r="H1259">
        <v>39.25</v>
      </c>
      <c r="I1259" s="1">
        <v>39.6</v>
      </c>
      <c r="J1259">
        <v>316200</v>
      </c>
      <c r="K1259">
        <v>8000</v>
      </c>
      <c r="L1259" t="s">
        <v>78</v>
      </c>
      <c r="M1259" t="s">
        <v>17</v>
      </c>
      <c r="N1259">
        <v>4</v>
      </c>
      <c r="O1259">
        <v>75</v>
      </c>
      <c r="P1259">
        <v>31</v>
      </c>
      <c r="Q1259" s="1" t="str">
        <v/>
      </c>
      <c r="R1259" s="1" t="str">
        <v/>
      </c>
      <c r="S1259" s="3">
        <v>0</v>
      </c>
      <c r="T1259" s="3">
        <v>0</v>
      </c>
    </row>
    <row r="1260" spans="1:20" x14ac:dyDescent="0.25">
      <c r="A1260" t="s">
        <v>78</v>
      </c>
      <c r="B1260" t="s">
        <v>79</v>
      </c>
      <c r="C1260" t="s">
        <v>1834</v>
      </c>
      <c r="D1260" t="s">
        <v>1835</v>
      </c>
      <c r="E1260">
        <v>651.65</v>
      </c>
      <c r="F1260">
        <v>651.6</v>
      </c>
      <c r="G1260">
        <v>654.95000000000005</v>
      </c>
      <c r="H1260">
        <v>638.1</v>
      </c>
      <c r="I1260" s="1">
        <v>645.1</v>
      </c>
      <c r="J1260">
        <v>39823458.600000001</v>
      </c>
      <c r="K1260">
        <v>61640</v>
      </c>
      <c r="L1260" t="s">
        <v>78</v>
      </c>
      <c r="M1260" t="s">
        <v>17</v>
      </c>
      <c r="N1260">
        <v>4020</v>
      </c>
      <c r="O1260">
        <v>918</v>
      </c>
      <c r="P1260">
        <v>565</v>
      </c>
      <c r="Q1260" s="1">
        <v>355.2</v>
      </c>
      <c r="R1260" s="1">
        <v>260.10000000000002</v>
      </c>
      <c r="S1260" s="3">
        <v>5.0984167652269097E-2</v>
      </c>
      <c r="T1260" s="3">
        <v>4.6438073388852974E-2</v>
      </c>
    </row>
    <row r="1261" spans="1:20" x14ac:dyDescent="0.25">
      <c r="A1261" t="s">
        <v>78</v>
      </c>
      <c r="B1261" t="s">
        <v>79</v>
      </c>
      <c r="C1261" t="s">
        <v>1838</v>
      </c>
      <c r="D1261" t="s">
        <v>1839</v>
      </c>
      <c r="E1261">
        <v>57.92</v>
      </c>
      <c r="F1261">
        <v>57.99</v>
      </c>
      <c r="G1261">
        <v>58.49</v>
      </c>
      <c r="H1261">
        <v>56.02</v>
      </c>
      <c r="I1261" s="1">
        <v>56.58</v>
      </c>
      <c r="J1261">
        <v>307231026.42000002</v>
      </c>
      <c r="K1261">
        <v>5403864</v>
      </c>
      <c r="L1261" t="s">
        <v>78</v>
      </c>
      <c r="M1261" t="s">
        <v>17</v>
      </c>
      <c r="N1261">
        <v>25382</v>
      </c>
      <c r="O1261">
        <v>60.75</v>
      </c>
      <c r="P1261">
        <v>28.6</v>
      </c>
      <c r="Q1261" s="1">
        <v>65.5</v>
      </c>
      <c r="R1261" s="1">
        <v>16.55</v>
      </c>
      <c r="S1261" s="3">
        <v>-1.2125435264528917E-2</v>
      </c>
      <c r="T1261" s="3">
        <v>6.3355860184779456E-2</v>
      </c>
    </row>
    <row r="1262" spans="1:20" x14ac:dyDescent="0.25">
      <c r="A1262" t="s">
        <v>78</v>
      </c>
      <c r="B1262" t="s">
        <v>287</v>
      </c>
      <c r="C1262" t="s">
        <v>5746</v>
      </c>
      <c r="D1262" t="s">
        <v>5745</v>
      </c>
      <c r="E1262">
        <v>205.1</v>
      </c>
      <c r="F1262">
        <v>200.1</v>
      </c>
      <c r="G1262">
        <v>210</v>
      </c>
      <c r="H1262">
        <v>195</v>
      </c>
      <c r="I1262" s="1">
        <v>196.55</v>
      </c>
      <c r="J1262">
        <v>54168800</v>
      </c>
      <c r="K1262">
        <v>270400</v>
      </c>
      <c r="L1262" t="s">
        <v>78</v>
      </c>
      <c r="M1262" t="s">
        <v>17</v>
      </c>
      <c r="N1262">
        <v>269</v>
      </c>
      <c r="O1262">
        <v>213.4</v>
      </c>
      <c r="P1262">
        <v>78.599999999999994</v>
      </c>
      <c r="Q1262" s="1" t="str">
        <v/>
      </c>
      <c r="R1262" s="1" t="str">
        <v/>
      </c>
      <c r="S1262" s="3">
        <v>0</v>
      </c>
      <c r="T1262" s="3">
        <v>0</v>
      </c>
    </row>
    <row r="1263" spans="1:20" x14ac:dyDescent="0.25">
      <c r="A1263" t="s">
        <v>78</v>
      </c>
      <c r="B1263" t="s">
        <v>79</v>
      </c>
      <c r="C1263" t="s">
        <v>1840</v>
      </c>
      <c r="D1263" t="s">
        <v>1841</v>
      </c>
      <c r="E1263">
        <v>550.85</v>
      </c>
      <c r="F1263">
        <v>559</v>
      </c>
      <c r="G1263">
        <v>560.70000000000005</v>
      </c>
      <c r="H1263">
        <v>538</v>
      </c>
      <c r="I1263" s="1">
        <v>542.85</v>
      </c>
      <c r="J1263">
        <v>600245130.64999998</v>
      </c>
      <c r="K1263">
        <v>1104870</v>
      </c>
      <c r="L1263" t="s">
        <v>78</v>
      </c>
      <c r="M1263" t="s">
        <v>17</v>
      </c>
      <c r="N1263">
        <v>30035</v>
      </c>
      <c r="O1263">
        <v>2678.1</v>
      </c>
      <c r="P1263">
        <v>517</v>
      </c>
      <c r="Q1263" s="1">
        <v>1067.6500000000001</v>
      </c>
      <c r="R1263" s="1">
        <v>601.29999999999995</v>
      </c>
      <c r="S1263" s="3">
        <v>-5.4806097130260523E-2</v>
      </c>
      <c r="T1263" s="3">
        <v>-5.0972117354257662E-3</v>
      </c>
    </row>
    <row r="1264" spans="1:20" x14ac:dyDescent="0.25">
      <c r="A1264" t="s">
        <v>78</v>
      </c>
      <c r="B1264" t="s">
        <v>79</v>
      </c>
      <c r="C1264" t="s">
        <v>5744</v>
      </c>
      <c r="D1264" t="s">
        <v>5743</v>
      </c>
      <c r="E1264">
        <v>154.96</v>
      </c>
      <c r="F1264">
        <v>155.19999999999999</v>
      </c>
      <c r="G1264">
        <v>156.19999999999999</v>
      </c>
      <c r="H1264">
        <v>152</v>
      </c>
      <c r="I1264" s="1">
        <v>152.71</v>
      </c>
      <c r="J1264">
        <v>24331380.91</v>
      </c>
      <c r="K1264">
        <v>158691</v>
      </c>
      <c r="L1264" t="s">
        <v>78</v>
      </c>
      <c r="M1264" t="s">
        <v>17</v>
      </c>
      <c r="N1264">
        <v>3217</v>
      </c>
      <c r="O1264">
        <v>248.15</v>
      </c>
      <c r="P1264">
        <v>88.85</v>
      </c>
      <c r="Q1264" s="1" t="str">
        <v/>
      </c>
      <c r="R1264" s="1" t="str">
        <v/>
      </c>
      <c r="S1264" s="3">
        <v>0</v>
      </c>
      <c r="T1264" s="3">
        <v>0</v>
      </c>
    </row>
    <row r="1265" spans="1:20" x14ac:dyDescent="0.25">
      <c r="A1265" t="s">
        <v>78</v>
      </c>
      <c r="B1265" t="s">
        <v>79</v>
      </c>
      <c r="C1265" t="s">
        <v>1842</v>
      </c>
      <c r="D1265" t="s">
        <v>1843</v>
      </c>
      <c r="E1265">
        <v>37.659999999999997</v>
      </c>
      <c r="F1265">
        <v>37.659999999999997</v>
      </c>
      <c r="G1265">
        <v>38.799999999999997</v>
      </c>
      <c r="H1265">
        <v>37.15</v>
      </c>
      <c r="I1265" s="1">
        <v>38.25</v>
      </c>
      <c r="J1265">
        <v>594913.98</v>
      </c>
      <c r="K1265">
        <v>15627</v>
      </c>
      <c r="L1265" t="s">
        <v>78</v>
      </c>
      <c r="M1265" t="s">
        <v>17</v>
      </c>
      <c r="N1265">
        <v>391</v>
      </c>
      <c r="O1265">
        <v>50.9</v>
      </c>
      <c r="P1265">
        <v>28.75</v>
      </c>
      <c r="Q1265" s="1">
        <v>22.15</v>
      </c>
      <c r="R1265" s="1" t="str">
        <v/>
      </c>
      <c r="S1265" s="3">
        <v>4.6577697567511844E-2</v>
      </c>
      <c r="T1265" s="3">
        <v>0</v>
      </c>
    </row>
    <row r="1266" spans="1:20" x14ac:dyDescent="0.25">
      <c r="A1266" t="s">
        <v>78</v>
      </c>
      <c r="B1266" t="s">
        <v>79</v>
      </c>
      <c r="C1266" t="s">
        <v>1844</v>
      </c>
      <c r="D1266" t="s">
        <v>1845</v>
      </c>
      <c r="E1266">
        <v>2799.45</v>
      </c>
      <c r="F1266">
        <v>2810</v>
      </c>
      <c r="G1266">
        <v>2860</v>
      </c>
      <c r="H1266">
        <v>2772.5</v>
      </c>
      <c r="I1266" s="1">
        <v>2833.25</v>
      </c>
      <c r="J1266">
        <v>2484411466.25</v>
      </c>
      <c r="K1266">
        <v>880873</v>
      </c>
      <c r="L1266" t="s">
        <v>78</v>
      </c>
      <c r="M1266" t="s">
        <v>17</v>
      </c>
      <c r="N1266">
        <v>58287</v>
      </c>
      <c r="O1266">
        <v>2860</v>
      </c>
      <c r="P1266">
        <v>2069.1</v>
      </c>
      <c r="Q1266" s="1">
        <v>2330.9499999999998</v>
      </c>
      <c r="R1266" s="1">
        <v>925.05</v>
      </c>
      <c r="S1266" s="3">
        <v>1.6395331623041409E-2</v>
      </c>
      <c r="T1266" s="3">
        <v>5.7529944385300569E-2</v>
      </c>
    </row>
    <row r="1267" spans="1:20" x14ac:dyDescent="0.25">
      <c r="A1267" t="s">
        <v>78</v>
      </c>
      <c r="B1267" t="s">
        <v>79</v>
      </c>
      <c r="C1267" t="s">
        <v>1846</v>
      </c>
      <c r="D1267" t="s">
        <v>1847</v>
      </c>
      <c r="E1267">
        <v>2062.8000000000002</v>
      </c>
      <c r="F1267">
        <v>2084.3000000000002</v>
      </c>
      <c r="G1267">
        <v>2119</v>
      </c>
      <c r="H1267">
        <v>2051.1</v>
      </c>
      <c r="I1267" s="1">
        <v>2091.3000000000002</v>
      </c>
      <c r="J1267">
        <v>71546380.900000006</v>
      </c>
      <c r="K1267">
        <v>34206</v>
      </c>
      <c r="L1267" t="s">
        <v>78</v>
      </c>
      <c r="M1267" t="s">
        <v>17</v>
      </c>
      <c r="N1267">
        <v>4145</v>
      </c>
      <c r="O1267">
        <v>2162</v>
      </c>
      <c r="P1267">
        <v>1078.8</v>
      </c>
      <c r="Q1267" s="1">
        <v>618.04999999999995</v>
      </c>
      <c r="R1267" s="1">
        <v>513.20000000000005</v>
      </c>
      <c r="S1267" s="3">
        <v>0.1069195568739707</v>
      </c>
      <c r="T1267" s="3">
        <v>7.2728398110935233E-2</v>
      </c>
    </row>
    <row r="1268" spans="1:20" x14ac:dyDescent="0.25">
      <c r="A1268" t="s">
        <v>78</v>
      </c>
      <c r="B1268" t="s">
        <v>287</v>
      </c>
      <c r="C1268" t="s">
        <v>1848</v>
      </c>
      <c r="D1268" t="s">
        <v>1849</v>
      </c>
      <c r="E1268">
        <v>39.9</v>
      </c>
      <c r="F1268">
        <v>39.6</v>
      </c>
      <c r="G1268">
        <v>39.6</v>
      </c>
      <c r="H1268">
        <v>39.6</v>
      </c>
      <c r="I1268" s="1">
        <v>39.6</v>
      </c>
      <c r="J1268">
        <v>79200</v>
      </c>
      <c r="K1268">
        <v>2000</v>
      </c>
      <c r="L1268" t="s">
        <v>78</v>
      </c>
      <c r="M1268" t="s">
        <v>17</v>
      </c>
      <c r="N1268">
        <v>1</v>
      </c>
      <c r="O1268">
        <v>50.5</v>
      </c>
      <c r="P1268">
        <v>30.05</v>
      </c>
      <c r="Q1268" s="1">
        <v>24.2</v>
      </c>
      <c r="R1268" s="1">
        <v>30.95</v>
      </c>
      <c r="S1268" s="3">
        <v>4.1893475283676596E-2</v>
      </c>
      <c r="T1268" s="3">
        <v>1.239221238900523E-2</v>
      </c>
    </row>
    <row r="1269" spans="1:20" x14ac:dyDescent="0.25">
      <c r="A1269" t="s">
        <v>78</v>
      </c>
      <c r="B1269" t="s">
        <v>79</v>
      </c>
      <c r="C1269" t="s">
        <v>1850</v>
      </c>
      <c r="D1269" t="s">
        <v>1851</v>
      </c>
      <c r="E1269">
        <v>133181.6</v>
      </c>
      <c r="F1269">
        <v>132701.1</v>
      </c>
      <c r="G1269">
        <v>133174.85</v>
      </c>
      <c r="H1269">
        <v>130786</v>
      </c>
      <c r="I1269" s="1">
        <v>132300.85</v>
      </c>
      <c r="J1269">
        <v>749952586.14999998</v>
      </c>
      <c r="K1269">
        <v>5679</v>
      </c>
      <c r="L1269" t="s">
        <v>78</v>
      </c>
      <c r="M1269" t="s">
        <v>17</v>
      </c>
      <c r="N1269">
        <v>4510</v>
      </c>
      <c r="O1269">
        <v>151445</v>
      </c>
      <c r="P1269">
        <v>101400.05</v>
      </c>
      <c r="Q1269" s="1">
        <v>81625</v>
      </c>
      <c r="R1269" s="1">
        <v>53175.85</v>
      </c>
      <c r="S1269" s="3">
        <v>4.1066056382590643E-2</v>
      </c>
      <c r="T1269" s="3">
        <v>4.6602024465636882E-2</v>
      </c>
    </row>
    <row r="1270" spans="1:20" x14ac:dyDescent="0.25">
      <c r="A1270" t="s">
        <v>78</v>
      </c>
      <c r="B1270" t="s">
        <v>79</v>
      </c>
      <c r="C1270" t="s">
        <v>1854</v>
      </c>
      <c r="D1270" t="s">
        <v>1854</v>
      </c>
      <c r="E1270">
        <v>238.61</v>
      </c>
      <c r="F1270">
        <v>239.5</v>
      </c>
      <c r="G1270">
        <v>241.2</v>
      </c>
      <c r="H1270">
        <v>228.11</v>
      </c>
      <c r="I1270" s="1">
        <v>229.13</v>
      </c>
      <c r="J1270">
        <v>1933805546.0599999</v>
      </c>
      <c r="K1270">
        <v>8308978</v>
      </c>
      <c r="L1270" t="s">
        <v>78</v>
      </c>
      <c r="M1270" t="s">
        <v>17</v>
      </c>
      <c r="N1270">
        <v>80435</v>
      </c>
      <c r="O1270">
        <v>289.25</v>
      </c>
      <c r="P1270">
        <v>80.25</v>
      </c>
      <c r="Q1270" s="1">
        <v>47</v>
      </c>
      <c r="R1270" s="1">
        <v>57.2</v>
      </c>
      <c r="S1270" s="3">
        <v>0.1411218154596694</v>
      </c>
      <c r="T1270" s="3">
        <v>7.1809972151806845E-2</v>
      </c>
    </row>
    <row r="1271" spans="1:20" x14ac:dyDescent="0.25">
      <c r="A1271" t="s">
        <v>78</v>
      </c>
      <c r="B1271" t="s">
        <v>79</v>
      </c>
      <c r="C1271" t="s">
        <v>3305</v>
      </c>
      <c r="D1271" t="s">
        <v>3306</v>
      </c>
      <c r="E1271">
        <v>27.64</v>
      </c>
      <c r="F1271">
        <v>27.15</v>
      </c>
      <c r="G1271">
        <v>27.69</v>
      </c>
      <c r="H1271">
        <v>26.67</v>
      </c>
      <c r="I1271" s="1">
        <v>27.03</v>
      </c>
      <c r="J1271">
        <v>9882027.2100000009</v>
      </c>
      <c r="K1271">
        <v>365425</v>
      </c>
      <c r="L1271" t="s">
        <v>78</v>
      </c>
      <c r="M1271" t="s">
        <v>17</v>
      </c>
      <c r="N1271">
        <v>1528</v>
      </c>
      <c r="O1271">
        <v>33.4</v>
      </c>
      <c r="P1271">
        <v>22.45</v>
      </c>
      <c r="Q1271" s="1">
        <v>10.55</v>
      </c>
      <c r="R1271" s="1">
        <v>6.1</v>
      </c>
      <c r="S1271" s="3">
        <v>8.155713205603532E-2</v>
      </c>
      <c r="T1271" s="3">
        <v>7.7229176000686239E-2</v>
      </c>
    </row>
    <row r="1272" spans="1:20" x14ac:dyDescent="0.25">
      <c r="A1272" t="s">
        <v>78</v>
      </c>
      <c r="B1272" t="s">
        <v>79</v>
      </c>
      <c r="C1272" t="s">
        <v>1855</v>
      </c>
      <c r="D1272" t="s">
        <v>1856</v>
      </c>
      <c r="E1272">
        <v>899.3</v>
      </c>
      <c r="F1272">
        <v>899.3</v>
      </c>
      <c r="G1272">
        <v>904.75</v>
      </c>
      <c r="H1272">
        <v>866</v>
      </c>
      <c r="I1272" s="1">
        <v>869.5</v>
      </c>
      <c r="J1272">
        <v>234248221.40000001</v>
      </c>
      <c r="K1272">
        <v>266576</v>
      </c>
      <c r="L1272" t="s">
        <v>78</v>
      </c>
      <c r="M1272" t="s">
        <v>17</v>
      </c>
      <c r="N1272">
        <v>13234</v>
      </c>
      <c r="O1272">
        <v>1165</v>
      </c>
      <c r="P1272">
        <v>376</v>
      </c>
      <c r="Q1272" s="1">
        <v>304.14999999999998</v>
      </c>
      <c r="R1272" s="1">
        <v>91.5</v>
      </c>
      <c r="S1272" s="3">
        <v>9.1478403879540426E-2</v>
      </c>
      <c r="T1272" s="3">
        <v>0.11909163353967878</v>
      </c>
    </row>
    <row r="1273" spans="1:20" x14ac:dyDescent="0.25">
      <c r="A1273" t="s">
        <v>78</v>
      </c>
      <c r="B1273" t="s">
        <v>79</v>
      </c>
      <c r="C1273" t="s">
        <v>5742</v>
      </c>
      <c r="D1273" t="s">
        <v>5741</v>
      </c>
      <c r="E1273">
        <v>75.72</v>
      </c>
      <c r="F1273">
        <v>76</v>
      </c>
      <c r="G1273">
        <v>76</v>
      </c>
      <c r="H1273">
        <v>73.8</v>
      </c>
      <c r="I1273" s="1">
        <v>74.45</v>
      </c>
      <c r="J1273">
        <v>511457325.77999997</v>
      </c>
      <c r="K1273">
        <v>6859502</v>
      </c>
      <c r="L1273" t="s">
        <v>78</v>
      </c>
      <c r="M1273" t="s">
        <v>17</v>
      </c>
      <c r="N1273">
        <v>72831</v>
      </c>
      <c r="O1273">
        <v>80</v>
      </c>
      <c r="P1273">
        <v>57.6</v>
      </c>
      <c r="Q1273" s="1" t="str">
        <v/>
      </c>
      <c r="R1273" s="1" t="str">
        <v/>
      </c>
      <c r="S1273" s="3">
        <v>0</v>
      </c>
      <c r="T1273" s="3">
        <v>0</v>
      </c>
    </row>
    <row r="1274" spans="1:20" x14ac:dyDescent="0.25">
      <c r="A1274" t="s">
        <v>78</v>
      </c>
      <c r="B1274" t="s">
        <v>79</v>
      </c>
      <c r="C1274" t="s">
        <v>1857</v>
      </c>
      <c r="D1274" t="s">
        <v>1858</v>
      </c>
      <c r="E1274">
        <v>1981.1</v>
      </c>
      <c r="F1274">
        <v>1988.2</v>
      </c>
      <c r="G1274">
        <v>2004.2</v>
      </c>
      <c r="H1274">
        <v>1924.7</v>
      </c>
      <c r="I1274" s="1">
        <v>1947.3</v>
      </c>
      <c r="J1274">
        <v>477712525.75</v>
      </c>
      <c r="K1274">
        <v>245183</v>
      </c>
      <c r="L1274" t="s">
        <v>78</v>
      </c>
      <c r="M1274" t="s">
        <v>17</v>
      </c>
      <c r="N1274">
        <v>24345</v>
      </c>
      <c r="O1274">
        <v>2920.35</v>
      </c>
      <c r="P1274">
        <v>1600</v>
      </c>
      <c r="Q1274" s="1">
        <v>1445.15</v>
      </c>
      <c r="R1274" s="1" t="str">
        <v/>
      </c>
      <c r="S1274" s="3">
        <v>2.5163955389927883E-2</v>
      </c>
      <c r="T1274" s="3">
        <v>0</v>
      </c>
    </row>
    <row r="1275" spans="1:20" x14ac:dyDescent="0.25">
      <c r="A1275" t="s">
        <v>78</v>
      </c>
      <c r="B1275" t="s">
        <v>79</v>
      </c>
      <c r="C1275" t="s">
        <v>1859</v>
      </c>
      <c r="D1275" t="s">
        <v>1860</v>
      </c>
      <c r="E1275">
        <v>53.4</v>
      </c>
      <c r="F1275">
        <v>54.84</v>
      </c>
      <c r="G1275">
        <v>64.08</v>
      </c>
      <c r="H1275">
        <v>54.52</v>
      </c>
      <c r="I1275" s="1">
        <v>64.08</v>
      </c>
      <c r="J1275">
        <v>8500942277.5500002</v>
      </c>
      <c r="K1275">
        <v>140963660</v>
      </c>
      <c r="L1275" t="s">
        <v>78</v>
      </c>
      <c r="M1275" t="s">
        <v>17</v>
      </c>
      <c r="N1275">
        <v>300868</v>
      </c>
      <c r="O1275">
        <v>64.08</v>
      </c>
      <c r="P1275">
        <v>19.25</v>
      </c>
      <c r="Q1275" s="1">
        <v>21.35</v>
      </c>
      <c r="R1275" s="1">
        <v>7</v>
      </c>
      <c r="S1275" s="3">
        <v>9.5915456065139182E-2</v>
      </c>
      <c r="T1275" s="3">
        <v>0.11700442020076895</v>
      </c>
    </row>
    <row r="1276" spans="1:20" x14ac:dyDescent="0.25">
      <c r="A1276" t="s">
        <v>78</v>
      </c>
      <c r="B1276" t="s">
        <v>79</v>
      </c>
      <c r="C1276" t="s">
        <v>5740</v>
      </c>
      <c r="D1276" t="s">
        <v>5739</v>
      </c>
      <c r="E1276">
        <v>114.55</v>
      </c>
      <c r="F1276">
        <v>114.8</v>
      </c>
      <c r="G1276">
        <v>114.99</v>
      </c>
      <c r="H1276">
        <v>112</v>
      </c>
      <c r="I1276" s="1">
        <v>113.88</v>
      </c>
      <c r="J1276">
        <v>13471839.92</v>
      </c>
      <c r="K1276">
        <v>118974</v>
      </c>
      <c r="L1276" t="s">
        <v>78</v>
      </c>
      <c r="M1276" t="s">
        <v>17</v>
      </c>
      <c r="N1276">
        <v>2230</v>
      </c>
      <c r="O1276">
        <v>274.39999999999998</v>
      </c>
      <c r="P1276">
        <v>102.65</v>
      </c>
      <c r="Q1276" s="1" t="str">
        <v/>
      </c>
      <c r="R1276" s="1" t="str">
        <v/>
      </c>
      <c r="S1276" s="3">
        <v>0</v>
      </c>
      <c r="T1276" s="3">
        <v>0</v>
      </c>
    </row>
    <row r="1277" spans="1:20" x14ac:dyDescent="0.25">
      <c r="A1277" t="s">
        <v>78</v>
      </c>
      <c r="B1277" t="s">
        <v>79</v>
      </c>
      <c r="C1277" t="s">
        <v>5738</v>
      </c>
      <c r="D1277" t="s">
        <v>5737</v>
      </c>
      <c r="E1277">
        <v>170.14</v>
      </c>
      <c r="F1277">
        <v>171.6</v>
      </c>
      <c r="G1277">
        <v>171.6</v>
      </c>
      <c r="H1277">
        <v>165.25</v>
      </c>
      <c r="I1277" s="1">
        <v>167.18</v>
      </c>
      <c r="J1277">
        <v>19138085.609999999</v>
      </c>
      <c r="K1277">
        <v>114201</v>
      </c>
      <c r="L1277" t="s">
        <v>78</v>
      </c>
      <c r="M1277" t="s">
        <v>17</v>
      </c>
      <c r="N1277">
        <v>4547</v>
      </c>
      <c r="O1277">
        <v>324.8</v>
      </c>
      <c r="P1277">
        <v>145.19999999999999</v>
      </c>
      <c r="Q1277" s="1" t="str">
        <v/>
      </c>
      <c r="R1277" s="1" t="str">
        <v/>
      </c>
      <c r="S1277" s="3">
        <v>0</v>
      </c>
      <c r="T1277" s="3">
        <v>0</v>
      </c>
    </row>
    <row r="1278" spans="1:20" x14ac:dyDescent="0.25">
      <c r="A1278" t="s">
        <v>78</v>
      </c>
      <c r="B1278" t="s">
        <v>79</v>
      </c>
      <c r="C1278" t="s">
        <v>3311</v>
      </c>
      <c r="D1278" t="s">
        <v>3312</v>
      </c>
      <c r="E1278">
        <v>173.48</v>
      </c>
      <c r="F1278">
        <v>174.45</v>
      </c>
      <c r="G1278">
        <v>182.9</v>
      </c>
      <c r="H1278">
        <v>169.1</v>
      </c>
      <c r="I1278" s="1">
        <v>180.57</v>
      </c>
      <c r="J1278">
        <v>236278994.31</v>
      </c>
      <c r="K1278">
        <v>1323955</v>
      </c>
      <c r="L1278" t="s">
        <v>78</v>
      </c>
      <c r="M1278" t="s">
        <v>17</v>
      </c>
      <c r="N1278">
        <v>24748</v>
      </c>
      <c r="O1278">
        <v>212.8</v>
      </c>
      <c r="P1278">
        <v>120.9</v>
      </c>
      <c r="Q1278" s="1">
        <v>136.05000000000001</v>
      </c>
      <c r="R1278" s="1">
        <v>34</v>
      </c>
      <c r="S1278" s="3">
        <v>2.387181428231111E-2</v>
      </c>
      <c r="T1278" s="3">
        <v>8.702235938546754E-2</v>
      </c>
    </row>
    <row r="1279" spans="1:20" x14ac:dyDescent="0.25">
      <c r="A1279" t="s">
        <v>78</v>
      </c>
      <c r="B1279" t="s">
        <v>79</v>
      </c>
      <c r="C1279" t="s">
        <v>5736</v>
      </c>
      <c r="D1279" t="s">
        <v>5735</v>
      </c>
      <c r="E1279">
        <v>54.22</v>
      </c>
      <c r="F1279">
        <v>54.15</v>
      </c>
      <c r="G1279">
        <v>54.15</v>
      </c>
      <c r="H1279">
        <v>50.06</v>
      </c>
      <c r="I1279" s="1">
        <v>51.7</v>
      </c>
      <c r="J1279">
        <v>594131116.05999994</v>
      </c>
      <c r="K1279">
        <v>11384853</v>
      </c>
      <c r="L1279" t="s">
        <v>78</v>
      </c>
      <c r="M1279" t="s">
        <v>17</v>
      </c>
      <c r="N1279">
        <v>48152</v>
      </c>
      <c r="O1279">
        <v>56.56</v>
      </c>
      <c r="P1279">
        <v>30</v>
      </c>
      <c r="Q1279" s="1" t="str">
        <v/>
      </c>
      <c r="R1279" s="1" t="str">
        <v/>
      </c>
      <c r="S1279" s="3">
        <v>0</v>
      </c>
      <c r="T1279" s="3">
        <v>0</v>
      </c>
    </row>
    <row r="1280" spans="1:20" x14ac:dyDescent="0.25">
      <c r="A1280" t="s">
        <v>78</v>
      </c>
      <c r="B1280" t="s">
        <v>79</v>
      </c>
      <c r="C1280" t="s">
        <v>1861</v>
      </c>
      <c r="D1280" t="s">
        <v>1862</v>
      </c>
      <c r="E1280">
        <v>71.13</v>
      </c>
      <c r="F1280">
        <v>71.87</v>
      </c>
      <c r="G1280">
        <v>72.5</v>
      </c>
      <c r="H1280">
        <v>69.41</v>
      </c>
      <c r="I1280" s="1">
        <v>70</v>
      </c>
      <c r="J1280">
        <v>882435.85</v>
      </c>
      <c r="K1280">
        <v>12474</v>
      </c>
      <c r="L1280" t="s">
        <v>78</v>
      </c>
      <c r="M1280" t="s">
        <v>17</v>
      </c>
      <c r="N1280">
        <v>267</v>
      </c>
      <c r="O1280">
        <v>99.05</v>
      </c>
      <c r="P1280">
        <v>48.6</v>
      </c>
      <c r="Q1280" s="1">
        <v>36.799999999999997</v>
      </c>
      <c r="R1280" s="1">
        <v>33</v>
      </c>
      <c r="S1280" s="3">
        <v>5.5044679645549266E-2</v>
      </c>
      <c r="T1280" s="3">
        <v>3.8293804048865621E-2</v>
      </c>
    </row>
    <row r="1281" spans="1:20" x14ac:dyDescent="0.25">
      <c r="A1281" t="s">
        <v>78</v>
      </c>
      <c r="B1281" t="s">
        <v>79</v>
      </c>
      <c r="C1281" t="s">
        <v>1863</v>
      </c>
      <c r="D1281" t="s">
        <v>1864</v>
      </c>
      <c r="E1281">
        <v>90.16</v>
      </c>
      <c r="F1281">
        <v>90.15</v>
      </c>
      <c r="G1281">
        <v>90.6</v>
      </c>
      <c r="H1281">
        <v>87.71</v>
      </c>
      <c r="I1281" s="1">
        <v>88.05</v>
      </c>
      <c r="J1281">
        <v>12212491.27</v>
      </c>
      <c r="K1281">
        <v>137926</v>
      </c>
      <c r="L1281" t="s">
        <v>78</v>
      </c>
      <c r="M1281" t="s">
        <v>17</v>
      </c>
      <c r="N1281">
        <v>3337</v>
      </c>
      <c r="O1281">
        <v>115</v>
      </c>
      <c r="P1281">
        <v>50.5</v>
      </c>
      <c r="Q1281" s="1">
        <v>67.099999999999994</v>
      </c>
      <c r="R1281" s="1">
        <v>34.35</v>
      </c>
      <c r="S1281" s="3">
        <v>2.2901706982394465E-2</v>
      </c>
      <c r="T1281" s="3">
        <v>4.8163270072796527E-2</v>
      </c>
    </row>
    <row r="1282" spans="1:20" x14ac:dyDescent="0.25">
      <c r="A1282" t="s">
        <v>78</v>
      </c>
      <c r="B1282" t="s">
        <v>79</v>
      </c>
      <c r="C1282" t="s">
        <v>1865</v>
      </c>
      <c r="D1282" t="s">
        <v>1866</v>
      </c>
      <c r="E1282">
        <v>161.06</v>
      </c>
      <c r="F1282">
        <v>161.25</v>
      </c>
      <c r="G1282">
        <v>161.85</v>
      </c>
      <c r="H1282">
        <v>158</v>
      </c>
      <c r="I1282" s="1">
        <v>158.80000000000001</v>
      </c>
      <c r="J1282">
        <v>9664749.0999999996</v>
      </c>
      <c r="K1282">
        <v>60472</v>
      </c>
      <c r="L1282" t="s">
        <v>78</v>
      </c>
      <c r="M1282" t="s">
        <v>17</v>
      </c>
      <c r="N1282">
        <v>3135</v>
      </c>
      <c r="O1282">
        <v>211.9</v>
      </c>
      <c r="P1282">
        <v>126.4</v>
      </c>
      <c r="Q1282" s="1">
        <v>148.55000000000001</v>
      </c>
      <c r="R1282" s="1">
        <v>129</v>
      </c>
      <c r="S1282" s="3">
        <v>5.5758162290473479E-3</v>
      </c>
      <c r="T1282" s="3">
        <v>1.0440087635184225E-2</v>
      </c>
    </row>
    <row r="1283" spans="1:20" x14ac:dyDescent="0.25">
      <c r="A1283" t="s">
        <v>78</v>
      </c>
      <c r="B1283" t="s">
        <v>79</v>
      </c>
      <c r="C1283" t="s">
        <v>1867</v>
      </c>
      <c r="D1283" t="s">
        <v>1868</v>
      </c>
      <c r="E1283">
        <v>57.37</v>
      </c>
      <c r="F1283">
        <v>57</v>
      </c>
      <c r="G1283">
        <v>58.19</v>
      </c>
      <c r="H1283">
        <v>54.83</v>
      </c>
      <c r="I1283" s="1">
        <v>55.46</v>
      </c>
      <c r="J1283">
        <v>17892902.98</v>
      </c>
      <c r="K1283">
        <v>316836</v>
      </c>
      <c r="L1283" t="s">
        <v>78</v>
      </c>
      <c r="M1283" t="s">
        <v>17</v>
      </c>
      <c r="N1283">
        <v>4276</v>
      </c>
      <c r="O1283">
        <v>71.900000000000006</v>
      </c>
      <c r="P1283">
        <v>39.950000000000003</v>
      </c>
      <c r="Q1283" s="1">
        <v>30.3</v>
      </c>
      <c r="R1283" s="1">
        <v>15.6</v>
      </c>
      <c r="S1283" s="3">
        <v>5.1666652624419607E-2</v>
      </c>
      <c r="T1283" s="3">
        <v>6.543676693312328E-2</v>
      </c>
    </row>
    <row r="1284" spans="1:20" x14ac:dyDescent="0.25">
      <c r="A1284" t="s">
        <v>78</v>
      </c>
      <c r="B1284" t="s">
        <v>79</v>
      </c>
      <c r="C1284" t="s">
        <v>1869</v>
      </c>
      <c r="D1284" t="s">
        <v>1870</v>
      </c>
      <c r="E1284">
        <v>306.3</v>
      </c>
      <c r="F1284">
        <v>306.3</v>
      </c>
      <c r="G1284">
        <v>309.25</v>
      </c>
      <c r="H1284">
        <v>303</v>
      </c>
      <c r="I1284" s="1">
        <v>304.25</v>
      </c>
      <c r="J1284">
        <v>6347890.5999999996</v>
      </c>
      <c r="K1284">
        <v>20826</v>
      </c>
      <c r="L1284" t="s">
        <v>78</v>
      </c>
      <c r="M1284" t="s">
        <v>17</v>
      </c>
      <c r="N1284">
        <v>1522</v>
      </c>
      <c r="O1284">
        <v>460</v>
      </c>
      <c r="P1284">
        <v>262</v>
      </c>
      <c r="Q1284" s="1">
        <v>405</v>
      </c>
      <c r="R1284" s="1">
        <v>560</v>
      </c>
      <c r="S1284" s="3">
        <v>-2.3554600386769153E-2</v>
      </c>
      <c r="T1284" s="3">
        <v>-3.002758596963262E-2</v>
      </c>
    </row>
    <row r="1285" spans="1:20" x14ac:dyDescent="0.25">
      <c r="A1285" t="s">
        <v>78</v>
      </c>
      <c r="B1285" t="s">
        <v>79</v>
      </c>
      <c r="C1285" t="s">
        <v>246</v>
      </c>
      <c r="D1285" t="s">
        <v>247</v>
      </c>
      <c r="E1285">
        <v>1834.65</v>
      </c>
      <c r="F1285">
        <v>1862.15</v>
      </c>
      <c r="G1285">
        <v>1885.95</v>
      </c>
      <c r="H1285">
        <v>1825.8</v>
      </c>
      <c r="I1285" s="1">
        <v>1848.15</v>
      </c>
      <c r="J1285">
        <v>3030540254.0999999</v>
      </c>
      <c r="K1285">
        <v>1628821</v>
      </c>
      <c r="L1285" t="s">
        <v>78</v>
      </c>
      <c r="M1285" t="s">
        <v>17</v>
      </c>
      <c r="N1285">
        <v>58466</v>
      </c>
      <c r="O1285">
        <v>1885.95</v>
      </c>
      <c r="P1285">
        <v>1182.3499999999999</v>
      </c>
      <c r="Q1285" s="1">
        <v>1533</v>
      </c>
      <c r="R1285" s="1">
        <v>593</v>
      </c>
      <c r="S1285" s="3">
        <v>1.5701877295257738E-2</v>
      </c>
      <c r="T1285" s="3">
        <v>5.8450635540957752E-2</v>
      </c>
    </row>
    <row r="1286" spans="1:20" x14ac:dyDescent="0.25">
      <c r="A1286" t="s">
        <v>78</v>
      </c>
      <c r="B1286" t="s">
        <v>79</v>
      </c>
      <c r="C1286" t="s">
        <v>5734</v>
      </c>
      <c r="D1286" t="s">
        <v>5733</v>
      </c>
      <c r="E1286">
        <v>244.75</v>
      </c>
      <c r="F1286">
        <v>244.1</v>
      </c>
      <c r="G1286">
        <v>245.79</v>
      </c>
      <c r="H1286">
        <v>240.01</v>
      </c>
      <c r="I1286" s="1">
        <v>240.75</v>
      </c>
      <c r="J1286">
        <v>35705640.939999998</v>
      </c>
      <c r="K1286">
        <v>147659</v>
      </c>
      <c r="L1286" t="s">
        <v>78</v>
      </c>
      <c r="M1286" t="s">
        <v>17</v>
      </c>
      <c r="N1286">
        <v>4811</v>
      </c>
      <c r="O1286">
        <v>281</v>
      </c>
      <c r="P1286">
        <v>196.6</v>
      </c>
      <c r="Q1286" s="1" t="str">
        <v/>
      </c>
      <c r="R1286" s="1" t="str">
        <v/>
      </c>
      <c r="S1286" s="3">
        <v>0</v>
      </c>
      <c r="T1286" s="3">
        <v>0</v>
      </c>
    </row>
    <row r="1287" spans="1:20" x14ac:dyDescent="0.25">
      <c r="A1287" t="s">
        <v>78</v>
      </c>
      <c r="B1287" t="s">
        <v>79</v>
      </c>
      <c r="C1287" t="s">
        <v>5732</v>
      </c>
      <c r="D1287" t="s">
        <v>5731</v>
      </c>
      <c r="E1287">
        <v>223.02</v>
      </c>
      <c r="F1287">
        <v>223</v>
      </c>
      <c r="G1287">
        <v>225.25</v>
      </c>
      <c r="H1287">
        <v>220.49</v>
      </c>
      <c r="I1287" s="1">
        <v>222.05</v>
      </c>
      <c r="J1287">
        <v>6758340.4100000001</v>
      </c>
      <c r="K1287">
        <v>30405</v>
      </c>
      <c r="L1287" t="s">
        <v>78</v>
      </c>
      <c r="M1287" t="s">
        <v>17</v>
      </c>
      <c r="N1287">
        <v>1684</v>
      </c>
      <c r="O1287">
        <v>382</v>
      </c>
      <c r="P1287">
        <v>165</v>
      </c>
      <c r="Q1287" s="1" t="str">
        <v/>
      </c>
      <c r="R1287" s="1" t="str">
        <v/>
      </c>
      <c r="S1287" s="3">
        <v>0</v>
      </c>
      <c r="T1287" s="3">
        <v>0</v>
      </c>
    </row>
    <row r="1288" spans="1:20" x14ac:dyDescent="0.25">
      <c r="A1288" t="s">
        <v>78</v>
      </c>
      <c r="B1288" t="s">
        <v>287</v>
      </c>
      <c r="C1288" t="s">
        <v>5730</v>
      </c>
      <c r="D1288" t="s">
        <v>5729</v>
      </c>
      <c r="E1288">
        <v>63.2</v>
      </c>
      <c r="F1288">
        <v>65.5</v>
      </c>
      <c r="G1288">
        <v>66.849999999999994</v>
      </c>
      <c r="H1288">
        <v>59.5</v>
      </c>
      <c r="I1288" s="1">
        <v>60.25</v>
      </c>
      <c r="J1288">
        <v>22822920</v>
      </c>
      <c r="K1288">
        <v>366000</v>
      </c>
      <c r="L1288" t="s">
        <v>78</v>
      </c>
      <c r="M1288" t="s">
        <v>17</v>
      </c>
      <c r="N1288">
        <v>297</v>
      </c>
      <c r="O1288">
        <v>87</v>
      </c>
      <c r="P1288">
        <v>36</v>
      </c>
      <c r="Q1288" s="1" t="str">
        <v/>
      </c>
      <c r="R1288" s="1" t="str">
        <v/>
      </c>
      <c r="S1288" s="3">
        <v>0</v>
      </c>
      <c r="T1288" s="3">
        <v>0</v>
      </c>
    </row>
    <row r="1289" spans="1:20" x14ac:dyDescent="0.25">
      <c r="A1289" t="s">
        <v>78</v>
      </c>
      <c r="B1289" t="s">
        <v>287</v>
      </c>
      <c r="C1289" t="s">
        <v>5728</v>
      </c>
      <c r="D1289" t="s">
        <v>5727</v>
      </c>
      <c r="E1289">
        <v>139.5</v>
      </c>
      <c r="F1289">
        <v>139.5</v>
      </c>
      <c r="G1289">
        <v>139.5</v>
      </c>
      <c r="H1289">
        <v>137</v>
      </c>
      <c r="I1289" s="1">
        <v>137.15</v>
      </c>
      <c r="J1289">
        <v>660780</v>
      </c>
      <c r="K1289">
        <v>4800</v>
      </c>
      <c r="L1289" t="s">
        <v>78</v>
      </c>
      <c r="M1289" t="s">
        <v>17</v>
      </c>
      <c r="N1289">
        <v>4</v>
      </c>
      <c r="O1289">
        <v>184</v>
      </c>
      <c r="P1289">
        <v>106</v>
      </c>
      <c r="Q1289" s="1" t="str">
        <v/>
      </c>
      <c r="R1289" s="1" t="str">
        <v/>
      </c>
      <c r="S1289" s="3">
        <v>0</v>
      </c>
      <c r="T1289" s="3">
        <v>0</v>
      </c>
    </row>
    <row r="1290" spans="1:20" x14ac:dyDescent="0.25">
      <c r="A1290" t="s">
        <v>78</v>
      </c>
      <c r="B1290" t="s">
        <v>79</v>
      </c>
      <c r="C1290" t="s">
        <v>1871</v>
      </c>
      <c r="D1290" t="s">
        <v>1872</v>
      </c>
      <c r="E1290">
        <v>67.489999999999995</v>
      </c>
      <c r="F1290">
        <v>67.650000000000006</v>
      </c>
      <c r="G1290">
        <v>67.989999999999995</v>
      </c>
      <c r="H1290">
        <v>66.42</v>
      </c>
      <c r="I1290" s="1">
        <v>66.84</v>
      </c>
      <c r="J1290">
        <v>5298321.3899999997</v>
      </c>
      <c r="K1290">
        <v>78862</v>
      </c>
      <c r="L1290" t="s">
        <v>78</v>
      </c>
      <c r="M1290" t="s">
        <v>17</v>
      </c>
      <c r="N1290">
        <v>2053</v>
      </c>
      <c r="O1290">
        <v>90.15</v>
      </c>
      <c r="P1290">
        <v>55.55</v>
      </c>
      <c r="Q1290" s="1">
        <v>77</v>
      </c>
      <c r="R1290" s="1">
        <v>28.25</v>
      </c>
      <c r="S1290" s="3">
        <v>-1.1722723632246468E-2</v>
      </c>
      <c r="T1290" s="3">
        <v>4.3976344294316849E-2</v>
      </c>
    </row>
    <row r="1291" spans="1:20" x14ac:dyDescent="0.25">
      <c r="A1291" t="s">
        <v>78</v>
      </c>
      <c r="B1291" t="s">
        <v>79</v>
      </c>
      <c r="C1291" t="s">
        <v>3313</v>
      </c>
      <c r="D1291" t="s">
        <v>3314</v>
      </c>
      <c r="E1291">
        <v>11.74</v>
      </c>
      <c r="F1291">
        <v>11.74</v>
      </c>
      <c r="G1291">
        <v>11.97</v>
      </c>
      <c r="H1291">
        <v>11.52</v>
      </c>
      <c r="I1291" s="1">
        <v>11.74</v>
      </c>
      <c r="J1291">
        <v>18934538.760000002</v>
      </c>
      <c r="K1291">
        <v>1611816</v>
      </c>
      <c r="L1291" t="s">
        <v>78</v>
      </c>
      <c r="M1291" t="s">
        <v>17</v>
      </c>
      <c r="N1291">
        <v>3128</v>
      </c>
      <c r="O1291">
        <v>15.85</v>
      </c>
      <c r="P1291">
        <v>7.9</v>
      </c>
      <c r="Q1291" s="1">
        <v>18</v>
      </c>
      <c r="R1291" s="1">
        <v>4.6500000000000004</v>
      </c>
      <c r="S1291" s="3">
        <v>-3.4987439782106611E-2</v>
      </c>
      <c r="T1291" s="3">
        <v>4.7369067825021594E-2</v>
      </c>
    </row>
    <row r="1292" spans="1:20" x14ac:dyDescent="0.25">
      <c r="A1292" t="s">
        <v>78</v>
      </c>
      <c r="B1292" t="s">
        <v>79</v>
      </c>
      <c r="C1292" t="s">
        <v>1875</v>
      </c>
      <c r="D1292" t="s">
        <v>1876</v>
      </c>
      <c r="E1292">
        <v>35.26</v>
      </c>
      <c r="F1292">
        <v>35.950000000000003</v>
      </c>
      <c r="G1292">
        <v>38.78</v>
      </c>
      <c r="H1292">
        <v>34.86</v>
      </c>
      <c r="I1292" s="1">
        <v>38.78</v>
      </c>
      <c r="J1292">
        <v>13063774.869999999</v>
      </c>
      <c r="K1292">
        <v>347410</v>
      </c>
      <c r="L1292" t="s">
        <v>78</v>
      </c>
      <c r="M1292" t="s">
        <v>17</v>
      </c>
      <c r="N1292">
        <v>2368</v>
      </c>
      <c r="O1292">
        <v>80.05</v>
      </c>
      <c r="P1292">
        <v>27.75</v>
      </c>
      <c r="Q1292" s="1">
        <v>32</v>
      </c>
      <c r="R1292" s="1">
        <v>15.6</v>
      </c>
      <c r="S1292" s="3">
        <v>1.6142974563421175E-2</v>
      </c>
      <c r="T1292" s="3">
        <v>4.65580705018529E-2</v>
      </c>
    </row>
    <row r="1293" spans="1:20" x14ac:dyDescent="0.25">
      <c r="A1293" t="s">
        <v>78</v>
      </c>
      <c r="B1293" t="s">
        <v>79</v>
      </c>
      <c r="C1293" t="s">
        <v>1877</v>
      </c>
      <c r="D1293" t="s">
        <v>1878</v>
      </c>
      <c r="E1293">
        <v>326.45</v>
      </c>
      <c r="F1293">
        <v>335</v>
      </c>
      <c r="G1293">
        <v>340</v>
      </c>
      <c r="H1293">
        <v>316</v>
      </c>
      <c r="I1293" s="1">
        <v>322.39999999999998</v>
      </c>
      <c r="J1293">
        <v>14049854.25</v>
      </c>
      <c r="K1293">
        <v>43094</v>
      </c>
      <c r="L1293" t="s">
        <v>78</v>
      </c>
      <c r="M1293" t="s">
        <v>17</v>
      </c>
      <c r="N1293">
        <v>2806</v>
      </c>
      <c r="O1293">
        <v>358.8</v>
      </c>
      <c r="P1293">
        <v>263.5</v>
      </c>
      <c r="Q1293" s="1">
        <v>218.05</v>
      </c>
      <c r="R1293" s="1">
        <v>70.2</v>
      </c>
      <c r="S1293" s="3">
        <v>3.3125890315299111E-2</v>
      </c>
      <c r="T1293" s="3">
        <v>7.9157336110070808E-2</v>
      </c>
    </row>
    <row r="1294" spans="1:20" x14ac:dyDescent="0.25">
      <c r="A1294" t="s">
        <v>78</v>
      </c>
      <c r="B1294" t="s">
        <v>79</v>
      </c>
      <c r="C1294" t="s">
        <v>1879</v>
      </c>
      <c r="D1294" t="s">
        <v>1880</v>
      </c>
      <c r="E1294">
        <v>136.44</v>
      </c>
      <c r="F1294">
        <v>135.1</v>
      </c>
      <c r="G1294">
        <v>139</v>
      </c>
      <c r="H1294">
        <v>133</v>
      </c>
      <c r="I1294" s="1">
        <v>133.19999999999999</v>
      </c>
      <c r="J1294">
        <v>7485771.21</v>
      </c>
      <c r="K1294">
        <v>55380</v>
      </c>
      <c r="L1294" t="s">
        <v>78</v>
      </c>
      <c r="M1294" t="s">
        <v>17</v>
      </c>
      <c r="N1294">
        <v>2514</v>
      </c>
      <c r="O1294">
        <v>161.9</v>
      </c>
      <c r="P1294">
        <v>105.6</v>
      </c>
      <c r="Q1294" s="1">
        <v>110</v>
      </c>
      <c r="R1294" s="1">
        <v>28.6</v>
      </c>
      <c r="S1294" s="3">
        <v>1.6075457941761684E-2</v>
      </c>
      <c r="T1294" s="3">
        <v>7.9912615099454687E-2</v>
      </c>
    </row>
    <row r="1295" spans="1:20" x14ac:dyDescent="0.25">
      <c r="A1295" t="s">
        <v>78</v>
      </c>
      <c r="B1295" t="s">
        <v>79</v>
      </c>
      <c r="C1295" t="s">
        <v>1881</v>
      </c>
      <c r="D1295" t="s">
        <v>1882</v>
      </c>
      <c r="E1295">
        <v>285.91000000000003</v>
      </c>
      <c r="F1295">
        <v>289</v>
      </c>
      <c r="G1295">
        <v>289.86</v>
      </c>
      <c r="H1295">
        <v>272.85000000000002</v>
      </c>
      <c r="I1295" s="1">
        <v>280.26</v>
      </c>
      <c r="J1295">
        <v>9234323.8499999996</v>
      </c>
      <c r="K1295">
        <v>32975</v>
      </c>
      <c r="L1295" t="s">
        <v>78</v>
      </c>
      <c r="M1295" t="s">
        <v>17</v>
      </c>
      <c r="N1295">
        <v>1188</v>
      </c>
      <c r="O1295">
        <v>334.89</v>
      </c>
      <c r="P1295">
        <v>167.3</v>
      </c>
      <c r="Q1295" s="1">
        <v>201.6</v>
      </c>
      <c r="R1295" s="1">
        <v>27.5</v>
      </c>
      <c r="S1295" s="3">
        <v>2.7832980972362531E-2</v>
      </c>
      <c r="T1295" s="3">
        <v>0.12301049158676736</v>
      </c>
    </row>
    <row r="1296" spans="1:20" x14ac:dyDescent="0.25">
      <c r="A1296" t="s">
        <v>78</v>
      </c>
      <c r="B1296" t="s">
        <v>79</v>
      </c>
      <c r="C1296" t="s">
        <v>3315</v>
      </c>
      <c r="D1296" t="s">
        <v>3316</v>
      </c>
      <c r="E1296">
        <v>309.25</v>
      </c>
      <c r="F1296">
        <v>309.89999999999998</v>
      </c>
      <c r="G1296">
        <v>319.95</v>
      </c>
      <c r="H1296">
        <v>305.2</v>
      </c>
      <c r="I1296" s="1">
        <v>307.8</v>
      </c>
      <c r="J1296">
        <v>24458778.899999999</v>
      </c>
      <c r="K1296">
        <v>78423</v>
      </c>
      <c r="L1296" t="s">
        <v>78</v>
      </c>
      <c r="M1296" t="s">
        <v>17</v>
      </c>
      <c r="N1296">
        <v>5988</v>
      </c>
      <c r="O1296">
        <v>359.6</v>
      </c>
      <c r="P1296">
        <v>225</v>
      </c>
      <c r="Q1296" s="1">
        <v>307.14999999999998</v>
      </c>
      <c r="R1296" s="1">
        <v>63.15</v>
      </c>
      <c r="S1296" s="3">
        <v>1.7618166773769595E-4</v>
      </c>
      <c r="T1296" s="3">
        <v>8.2370449775948096E-2</v>
      </c>
    </row>
    <row r="1297" spans="1:20" x14ac:dyDescent="0.25">
      <c r="A1297" t="s">
        <v>78</v>
      </c>
      <c r="B1297" t="s">
        <v>79</v>
      </c>
      <c r="C1297" t="s">
        <v>1883</v>
      </c>
      <c r="D1297" t="s">
        <v>1884</v>
      </c>
      <c r="E1297">
        <v>662.4</v>
      </c>
      <c r="F1297">
        <v>666.7</v>
      </c>
      <c r="G1297">
        <v>674</v>
      </c>
      <c r="H1297">
        <v>650</v>
      </c>
      <c r="I1297" s="1">
        <v>651.9</v>
      </c>
      <c r="J1297">
        <v>368859244.55000001</v>
      </c>
      <c r="K1297">
        <v>558109</v>
      </c>
      <c r="L1297" t="s">
        <v>78</v>
      </c>
      <c r="M1297" t="s">
        <v>17</v>
      </c>
      <c r="N1297">
        <v>27661</v>
      </c>
      <c r="O1297">
        <v>685.9</v>
      </c>
      <c r="P1297">
        <v>295.7</v>
      </c>
      <c r="Q1297" s="1">
        <v>400.5</v>
      </c>
      <c r="R1297" s="1" t="str">
        <v/>
      </c>
      <c r="S1297" s="3">
        <v>4.1433487489776821E-2</v>
      </c>
      <c r="T1297" s="3">
        <v>0</v>
      </c>
    </row>
    <row r="1298" spans="1:20" x14ac:dyDescent="0.25">
      <c r="A1298" t="s">
        <v>78</v>
      </c>
      <c r="B1298" t="s">
        <v>287</v>
      </c>
      <c r="C1298" t="s">
        <v>5726</v>
      </c>
      <c r="D1298" t="s">
        <v>5725</v>
      </c>
      <c r="E1298">
        <v>121.3</v>
      </c>
      <c r="F1298">
        <v>120.5</v>
      </c>
      <c r="G1298">
        <v>130.85</v>
      </c>
      <c r="H1298">
        <v>113.05</v>
      </c>
      <c r="I1298" s="1">
        <v>127.9</v>
      </c>
      <c r="J1298">
        <v>16068400</v>
      </c>
      <c r="K1298">
        <v>129600</v>
      </c>
      <c r="L1298" t="s">
        <v>78</v>
      </c>
      <c r="M1298" t="s">
        <v>17</v>
      </c>
      <c r="N1298">
        <v>78</v>
      </c>
      <c r="O1298">
        <v>146</v>
      </c>
      <c r="P1298">
        <v>80</v>
      </c>
      <c r="Q1298" s="1" t="str">
        <v/>
      </c>
      <c r="R1298" s="1" t="str">
        <v/>
      </c>
      <c r="S1298" s="3">
        <v>0</v>
      </c>
      <c r="T1298" s="3">
        <v>0</v>
      </c>
    </row>
    <row r="1299" spans="1:20" x14ac:dyDescent="0.25">
      <c r="A1299" t="s">
        <v>78</v>
      </c>
      <c r="B1299" t="s">
        <v>79</v>
      </c>
      <c r="C1299" t="s">
        <v>1885</v>
      </c>
      <c r="D1299" t="s">
        <v>1886</v>
      </c>
      <c r="E1299">
        <v>1281.45</v>
      </c>
      <c r="F1299">
        <v>1286</v>
      </c>
      <c r="G1299">
        <v>1311</v>
      </c>
      <c r="H1299">
        <v>1255</v>
      </c>
      <c r="I1299" s="1">
        <v>1260.3499999999999</v>
      </c>
      <c r="J1299">
        <v>2759883347.6999998</v>
      </c>
      <c r="K1299">
        <v>2160509</v>
      </c>
      <c r="L1299" t="s">
        <v>78</v>
      </c>
      <c r="M1299" t="s">
        <v>17</v>
      </c>
      <c r="N1299">
        <v>77167</v>
      </c>
      <c r="O1299">
        <v>1311</v>
      </c>
      <c r="P1299">
        <v>708.05</v>
      </c>
      <c r="Q1299" s="1">
        <v>1084.5</v>
      </c>
      <c r="R1299" s="1">
        <v>490</v>
      </c>
      <c r="S1299" s="3">
        <v>1.2601269315080765E-2</v>
      </c>
      <c r="T1299" s="3">
        <v>4.8343289216739693E-2</v>
      </c>
    </row>
    <row r="1300" spans="1:20" x14ac:dyDescent="0.25">
      <c r="A1300" t="s">
        <v>78</v>
      </c>
      <c r="B1300" t="s">
        <v>79</v>
      </c>
      <c r="C1300" t="s">
        <v>1889</v>
      </c>
      <c r="D1300" t="s">
        <v>1890</v>
      </c>
      <c r="E1300">
        <v>199.84</v>
      </c>
      <c r="F1300">
        <v>199.05</v>
      </c>
      <c r="G1300">
        <v>199.05</v>
      </c>
      <c r="H1300">
        <v>191.5</v>
      </c>
      <c r="I1300" s="1">
        <v>192.25</v>
      </c>
      <c r="J1300">
        <v>4066973041.4299998</v>
      </c>
      <c r="K1300">
        <v>21079938</v>
      </c>
      <c r="L1300" t="s">
        <v>78</v>
      </c>
      <c r="M1300" t="s">
        <v>17</v>
      </c>
      <c r="N1300">
        <v>97245</v>
      </c>
      <c r="O1300">
        <v>209</v>
      </c>
      <c r="P1300">
        <v>86.2</v>
      </c>
      <c r="Q1300" s="1">
        <v>87</v>
      </c>
      <c r="R1300" s="1">
        <v>45.6</v>
      </c>
      <c r="S1300" s="3">
        <v>6.8305812466494142E-2</v>
      </c>
      <c r="T1300" s="3">
        <v>7.455330454695952E-2</v>
      </c>
    </row>
    <row r="1301" spans="1:20" x14ac:dyDescent="0.25">
      <c r="A1301" t="s">
        <v>78</v>
      </c>
      <c r="B1301" t="s">
        <v>79</v>
      </c>
      <c r="C1301" t="s">
        <v>5724</v>
      </c>
      <c r="D1301" t="s">
        <v>5723</v>
      </c>
      <c r="E1301">
        <v>846.55</v>
      </c>
      <c r="F1301">
        <v>846.05</v>
      </c>
      <c r="G1301">
        <v>848.95</v>
      </c>
      <c r="H1301">
        <v>804</v>
      </c>
      <c r="I1301" s="1">
        <v>815.8</v>
      </c>
      <c r="J1301">
        <v>702640712.89999998</v>
      </c>
      <c r="K1301">
        <v>856596</v>
      </c>
      <c r="L1301" t="s">
        <v>78</v>
      </c>
      <c r="M1301" t="s">
        <v>17</v>
      </c>
      <c r="N1301">
        <v>26260</v>
      </c>
      <c r="O1301">
        <v>850</v>
      </c>
      <c r="P1301">
        <v>325</v>
      </c>
      <c r="Q1301" s="1" t="str">
        <v/>
      </c>
      <c r="R1301" s="1" t="str">
        <v/>
      </c>
      <c r="S1301" s="3">
        <v>0</v>
      </c>
      <c r="T1301" s="3">
        <v>0</v>
      </c>
    </row>
    <row r="1302" spans="1:20" x14ac:dyDescent="0.25">
      <c r="A1302" t="s">
        <v>78</v>
      </c>
      <c r="B1302" t="s">
        <v>79</v>
      </c>
      <c r="C1302" t="s">
        <v>1891</v>
      </c>
      <c r="D1302" t="s">
        <v>1892</v>
      </c>
      <c r="E1302">
        <v>3665.35</v>
      </c>
      <c r="F1302">
        <v>3679</v>
      </c>
      <c r="G1302">
        <v>3696.2</v>
      </c>
      <c r="H1302">
        <v>3626.95</v>
      </c>
      <c r="I1302" s="1">
        <v>3661</v>
      </c>
      <c r="J1302">
        <v>1062153243.6</v>
      </c>
      <c r="K1302">
        <v>290141</v>
      </c>
      <c r="L1302" t="s">
        <v>78</v>
      </c>
      <c r="M1302" t="s">
        <v>17</v>
      </c>
      <c r="N1302">
        <v>25896</v>
      </c>
      <c r="O1302">
        <v>4724.25</v>
      </c>
      <c r="P1302">
        <v>2875.95</v>
      </c>
      <c r="Q1302" s="1">
        <v>3826.5</v>
      </c>
      <c r="R1302" s="1">
        <v>595</v>
      </c>
      <c r="S1302" s="3">
        <v>-3.6777382542068082E-3</v>
      </c>
      <c r="T1302" s="3">
        <v>9.50464240145803E-2</v>
      </c>
    </row>
    <row r="1303" spans="1:20" x14ac:dyDescent="0.25">
      <c r="A1303" t="s">
        <v>78</v>
      </c>
      <c r="B1303" t="s">
        <v>79</v>
      </c>
      <c r="C1303" t="s">
        <v>1893</v>
      </c>
      <c r="D1303" t="s">
        <v>1894</v>
      </c>
      <c r="E1303">
        <v>117.17</v>
      </c>
      <c r="F1303">
        <v>116.5</v>
      </c>
      <c r="G1303">
        <v>118.5</v>
      </c>
      <c r="H1303">
        <v>114.82</v>
      </c>
      <c r="I1303" s="1">
        <v>117.33</v>
      </c>
      <c r="J1303">
        <v>122463828.69</v>
      </c>
      <c r="K1303">
        <v>1046334</v>
      </c>
      <c r="L1303" t="s">
        <v>78</v>
      </c>
      <c r="M1303" t="s">
        <v>17</v>
      </c>
      <c r="N1303">
        <v>8351</v>
      </c>
      <c r="O1303">
        <v>130.77000000000001</v>
      </c>
      <c r="P1303">
        <v>55.65</v>
      </c>
      <c r="Q1303" s="1">
        <v>51.7</v>
      </c>
      <c r="R1303" s="1">
        <v>23</v>
      </c>
      <c r="S1303" s="3">
        <v>7.0680461128885153E-2</v>
      </c>
      <c r="T1303" s="3">
        <v>8.4837486548519525E-2</v>
      </c>
    </row>
    <row r="1304" spans="1:20" x14ac:dyDescent="0.25">
      <c r="A1304" t="s">
        <v>78</v>
      </c>
      <c r="B1304" t="s">
        <v>79</v>
      </c>
      <c r="C1304" t="s">
        <v>1895</v>
      </c>
      <c r="D1304" t="s">
        <v>1896</v>
      </c>
      <c r="E1304">
        <v>156.84</v>
      </c>
      <c r="F1304">
        <v>157.15</v>
      </c>
      <c r="G1304">
        <v>157.97</v>
      </c>
      <c r="H1304">
        <v>153.80000000000001</v>
      </c>
      <c r="I1304" s="1">
        <v>154.04</v>
      </c>
      <c r="J1304">
        <v>23089540.52</v>
      </c>
      <c r="K1304">
        <v>148258</v>
      </c>
      <c r="L1304" t="s">
        <v>78</v>
      </c>
      <c r="M1304" t="s">
        <v>17</v>
      </c>
      <c r="N1304">
        <v>4052</v>
      </c>
      <c r="O1304">
        <v>175.9</v>
      </c>
      <c r="P1304">
        <v>129</v>
      </c>
      <c r="Q1304" s="1">
        <v>97.15</v>
      </c>
      <c r="R1304" s="1">
        <v>102</v>
      </c>
      <c r="S1304" s="3">
        <v>3.9160329005581307E-2</v>
      </c>
      <c r="T1304" s="3">
        <v>2.0814345533052503E-2</v>
      </c>
    </row>
    <row r="1305" spans="1:20" x14ac:dyDescent="0.25">
      <c r="A1305" t="s">
        <v>78</v>
      </c>
      <c r="B1305" t="s">
        <v>79</v>
      </c>
      <c r="C1305" t="s">
        <v>1897</v>
      </c>
      <c r="D1305" t="s">
        <v>1898</v>
      </c>
      <c r="E1305">
        <v>922.55</v>
      </c>
      <c r="F1305">
        <v>860.1</v>
      </c>
      <c r="G1305">
        <v>935</v>
      </c>
      <c r="H1305">
        <v>855</v>
      </c>
      <c r="I1305" s="1">
        <v>927.25</v>
      </c>
      <c r="J1305">
        <v>2246027024.5</v>
      </c>
      <c r="K1305">
        <v>2495667</v>
      </c>
      <c r="L1305" t="s">
        <v>78</v>
      </c>
      <c r="M1305" t="s">
        <v>17</v>
      </c>
      <c r="N1305">
        <v>79042</v>
      </c>
      <c r="O1305">
        <v>989.4</v>
      </c>
      <c r="P1305">
        <v>591.5</v>
      </c>
      <c r="Q1305" s="1">
        <v>1898.95</v>
      </c>
      <c r="R1305" s="1" t="str">
        <v/>
      </c>
      <c r="S1305" s="3">
        <v>-5.7986899167890682E-2</v>
      </c>
      <c r="T1305" s="3">
        <v>0</v>
      </c>
    </row>
    <row r="1306" spans="1:20" x14ac:dyDescent="0.25">
      <c r="A1306" t="s">
        <v>78</v>
      </c>
      <c r="B1306" t="s">
        <v>79</v>
      </c>
      <c r="C1306" t="s">
        <v>1899</v>
      </c>
      <c r="D1306" t="s">
        <v>1900</v>
      </c>
      <c r="E1306">
        <v>185.57</v>
      </c>
      <c r="F1306">
        <v>185.57</v>
      </c>
      <c r="G1306">
        <v>186.5</v>
      </c>
      <c r="H1306">
        <v>176.4</v>
      </c>
      <c r="I1306" s="1">
        <v>178.57</v>
      </c>
      <c r="J1306">
        <v>3798153386.1599998</v>
      </c>
      <c r="K1306">
        <v>21073564</v>
      </c>
      <c r="L1306" t="s">
        <v>78</v>
      </c>
      <c r="M1306" t="s">
        <v>17</v>
      </c>
      <c r="N1306">
        <v>147253</v>
      </c>
      <c r="O1306">
        <v>198.3</v>
      </c>
      <c r="P1306">
        <v>40.9</v>
      </c>
      <c r="Q1306" s="1">
        <v>51.9</v>
      </c>
      <c r="R1306" s="1">
        <v>50.65</v>
      </c>
      <c r="S1306" s="3">
        <v>0.10846017694261989</v>
      </c>
      <c r="T1306" s="3">
        <v>6.4992300702330308E-2</v>
      </c>
    </row>
    <row r="1307" spans="1:20" x14ac:dyDescent="0.25">
      <c r="A1307" t="s">
        <v>78</v>
      </c>
      <c r="B1307" t="s">
        <v>79</v>
      </c>
      <c r="C1307" t="s">
        <v>1905</v>
      </c>
      <c r="D1307" t="s">
        <v>1906</v>
      </c>
      <c r="E1307">
        <v>329.6</v>
      </c>
      <c r="F1307">
        <v>329.6</v>
      </c>
      <c r="G1307">
        <v>334.3</v>
      </c>
      <c r="H1307">
        <v>316.10000000000002</v>
      </c>
      <c r="I1307" s="1">
        <v>317.45</v>
      </c>
      <c r="J1307">
        <v>2183023540.5500002</v>
      </c>
      <c r="K1307">
        <v>6814655</v>
      </c>
      <c r="L1307" t="s">
        <v>78</v>
      </c>
      <c r="M1307" t="s">
        <v>17</v>
      </c>
      <c r="N1307">
        <v>68653</v>
      </c>
      <c r="O1307">
        <v>348.45</v>
      </c>
      <c r="P1307">
        <v>135.69999999999999</v>
      </c>
      <c r="Q1307" s="1">
        <v>91</v>
      </c>
      <c r="R1307" s="1">
        <v>76.5</v>
      </c>
      <c r="S1307" s="3">
        <v>0.10973554026584109</v>
      </c>
      <c r="T1307" s="3">
        <v>7.3702025022051254E-2</v>
      </c>
    </row>
    <row r="1308" spans="1:20" x14ac:dyDescent="0.25">
      <c r="A1308" t="s">
        <v>78</v>
      </c>
      <c r="B1308" t="s">
        <v>79</v>
      </c>
      <c r="C1308" t="s">
        <v>1907</v>
      </c>
      <c r="D1308" t="s">
        <v>1908</v>
      </c>
      <c r="E1308">
        <v>233.72</v>
      </c>
      <c r="F1308">
        <v>232.95</v>
      </c>
      <c r="G1308">
        <v>237.71</v>
      </c>
      <c r="H1308">
        <v>227.85</v>
      </c>
      <c r="I1308" s="1">
        <v>228.56</v>
      </c>
      <c r="J1308">
        <v>90777046.530000001</v>
      </c>
      <c r="K1308">
        <v>391731</v>
      </c>
      <c r="L1308" t="s">
        <v>78</v>
      </c>
      <c r="M1308" t="s">
        <v>17</v>
      </c>
      <c r="N1308">
        <v>11567</v>
      </c>
      <c r="O1308">
        <v>260</v>
      </c>
      <c r="P1308">
        <v>180</v>
      </c>
      <c r="Q1308" s="1">
        <v>245</v>
      </c>
      <c r="R1308" s="1">
        <v>121.4</v>
      </c>
      <c r="S1308" s="3">
        <v>-5.7715678565066764E-3</v>
      </c>
      <c r="T1308" s="3">
        <v>3.2123230154943005E-2</v>
      </c>
    </row>
    <row r="1309" spans="1:20" x14ac:dyDescent="0.25">
      <c r="A1309" t="s">
        <v>78</v>
      </c>
      <c r="B1309" t="s">
        <v>79</v>
      </c>
      <c r="C1309" t="s">
        <v>3319</v>
      </c>
      <c r="D1309" t="s">
        <v>3320</v>
      </c>
      <c r="E1309">
        <v>47.82</v>
      </c>
      <c r="F1309">
        <v>48.12</v>
      </c>
      <c r="G1309">
        <v>52.8</v>
      </c>
      <c r="H1309">
        <v>47.91</v>
      </c>
      <c r="I1309" s="1">
        <v>51.06</v>
      </c>
      <c r="J1309">
        <v>391272383.88</v>
      </c>
      <c r="K1309">
        <v>7740653</v>
      </c>
      <c r="L1309" t="s">
        <v>78</v>
      </c>
      <c r="M1309" t="s">
        <v>17</v>
      </c>
      <c r="N1309">
        <v>33534</v>
      </c>
      <c r="O1309">
        <v>57.54</v>
      </c>
      <c r="P1309">
        <v>18.5</v>
      </c>
      <c r="Q1309" s="1">
        <v>61.7</v>
      </c>
      <c r="R1309" s="1">
        <v>30.5</v>
      </c>
      <c r="S1309" s="3">
        <v>-1.5649792442030019E-2</v>
      </c>
      <c r="T1309" s="3">
        <v>2.6084012603385442E-2</v>
      </c>
    </row>
    <row r="1310" spans="1:20" x14ac:dyDescent="0.25">
      <c r="A1310" t="s">
        <v>78</v>
      </c>
      <c r="B1310" t="s">
        <v>79</v>
      </c>
      <c r="C1310" t="s">
        <v>5722</v>
      </c>
      <c r="D1310" t="s">
        <v>5721</v>
      </c>
      <c r="E1310">
        <v>96.35</v>
      </c>
      <c r="F1310">
        <v>97.98</v>
      </c>
      <c r="G1310">
        <v>99</v>
      </c>
      <c r="H1310">
        <v>90.45</v>
      </c>
      <c r="I1310" s="1">
        <v>95.14</v>
      </c>
      <c r="J1310">
        <v>1664543.97</v>
      </c>
      <c r="K1310">
        <v>17199</v>
      </c>
      <c r="L1310" t="s">
        <v>78</v>
      </c>
      <c r="M1310" t="s">
        <v>17</v>
      </c>
      <c r="N1310">
        <v>284</v>
      </c>
      <c r="O1310">
        <v>123.4</v>
      </c>
      <c r="P1310">
        <v>81.349999999999994</v>
      </c>
      <c r="Q1310" s="1" t="str">
        <v/>
      </c>
      <c r="R1310" s="1" t="str">
        <v/>
      </c>
      <c r="S1310" s="3">
        <v>0</v>
      </c>
      <c r="T1310" s="3">
        <v>0</v>
      </c>
    </row>
    <row r="1311" spans="1:20" x14ac:dyDescent="0.25">
      <c r="A1311" t="s">
        <v>78</v>
      </c>
      <c r="B1311" t="s">
        <v>79</v>
      </c>
      <c r="C1311" t="s">
        <v>1911</v>
      </c>
      <c r="D1311" t="s">
        <v>1912</v>
      </c>
      <c r="E1311">
        <v>1046.45</v>
      </c>
      <c r="F1311">
        <v>1046.45</v>
      </c>
      <c r="G1311">
        <v>1046.45</v>
      </c>
      <c r="H1311">
        <v>975.55</v>
      </c>
      <c r="I1311" s="1">
        <v>995.1</v>
      </c>
      <c r="J1311">
        <v>41343440.5</v>
      </c>
      <c r="K1311">
        <v>41574</v>
      </c>
      <c r="L1311" t="s">
        <v>78</v>
      </c>
      <c r="M1311" t="s">
        <v>17</v>
      </c>
      <c r="N1311">
        <v>7531</v>
      </c>
      <c r="O1311">
        <v>1117.95</v>
      </c>
      <c r="P1311">
        <v>701.15</v>
      </c>
      <c r="Q1311" s="1">
        <v>360</v>
      </c>
      <c r="R1311" s="1" t="str">
        <v/>
      </c>
      <c r="S1311" s="3">
        <v>8.8421266459671299E-2</v>
      </c>
      <c r="T1311" s="3">
        <v>0</v>
      </c>
    </row>
    <row r="1312" spans="1:20" x14ac:dyDescent="0.25">
      <c r="A1312" t="s">
        <v>78</v>
      </c>
      <c r="B1312" t="s">
        <v>79</v>
      </c>
      <c r="C1312" t="s">
        <v>1913</v>
      </c>
      <c r="D1312" t="s">
        <v>1914</v>
      </c>
      <c r="E1312">
        <v>223.5</v>
      </c>
      <c r="F1312">
        <v>223.5</v>
      </c>
      <c r="G1312">
        <v>224.97</v>
      </c>
      <c r="H1312">
        <v>220.78</v>
      </c>
      <c r="I1312" s="1">
        <v>221.05</v>
      </c>
      <c r="J1312">
        <v>33977490.109999999</v>
      </c>
      <c r="K1312">
        <v>152907</v>
      </c>
      <c r="L1312" t="s">
        <v>78</v>
      </c>
      <c r="M1312" t="s">
        <v>17</v>
      </c>
      <c r="N1312">
        <v>4162</v>
      </c>
      <c r="O1312">
        <v>307.85000000000002</v>
      </c>
      <c r="P1312">
        <v>186.05</v>
      </c>
      <c r="Q1312" s="1">
        <v>73.3</v>
      </c>
      <c r="R1312" s="1">
        <v>32.65</v>
      </c>
      <c r="S1312" s="3">
        <v>9.6349136079387776E-2</v>
      </c>
      <c r="T1312" s="3">
        <v>0.10029115754280404</v>
      </c>
    </row>
    <row r="1313" spans="1:20" x14ac:dyDescent="0.25">
      <c r="A1313" t="s">
        <v>78</v>
      </c>
      <c r="B1313" t="s">
        <v>79</v>
      </c>
      <c r="C1313" t="s">
        <v>1915</v>
      </c>
      <c r="D1313" t="s">
        <v>1916</v>
      </c>
      <c r="E1313">
        <v>31.92</v>
      </c>
      <c r="F1313">
        <v>31.92</v>
      </c>
      <c r="G1313">
        <v>33.4</v>
      </c>
      <c r="H1313">
        <v>30.94</v>
      </c>
      <c r="I1313" s="1">
        <v>31.43</v>
      </c>
      <c r="J1313">
        <v>48414770.090000004</v>
      </c>
      <c r="K1313">
        <v>1508511</v>
      </c>
      <c r="L1313" t="s">
        <v>78</v>
      </c>
      <c r="M1313" t="s">
        <v>17</v>
      </c>
      <c r="N1313">
        <v>8721</v>
      </c>
      <c r="O1313">
        <v>37.4</v>
      </c>
      <c r="P1313">
        <v>18.05</v>
      </c>
      <c r="Q1313" s="1">
        <v>14.7</v>
      </c>
      <c r="R1313" s="1">
        <v>5.15</v>
      </c>
      <c r="S1313" s="3">
        <v>6.5374392621086574E-2</v>
      </c>
      <c r="T1313" s="3">
        <v>9.4599758072726026E-2</v>
      </c>
    </row>
    <row r="1314" spans="1:20" x14ac:dyDescent="0.25">
      <c r="A1314" t="s">
        <v>78</v>
      </c>
      <c r="B1314" t="s">
        <v>79</v>
      </c>
      <c r="C1314" t="s">
        <v>1917</v>
      </c>
      <c r="D1314" t="s">
        <v>1918</v>
      </c>
      <c r="E1314">
        <v>29.1</v>
      </c>
      <c r="F1314">
        <v>28.8</v>
      </c>
      <c r="G1314">
        <v>29.35</v>
      </c>
      <c r="H1314">
        <v>28.49</v>
      </c>
      <c r="I1314" s="1">
        <v>28.59</v>
      </c>
      <c r="J1314">
        <v>15505285.59</v>
      </c>
      <c r="K1314">
        <v>538465</v>
      </c>
      <c r="L1314" t="s">
        <v>78</v>
      </c>
      <c r="M1314" t="s">
        <v>17</v>
      </c>
      <c r="N1314">
        <v>3646</v>
      </c>
      <c r="O1314">
        <v>45.7</v>
      </c>
      <c r="P1314">
        <v>21.25</v>
      </c>
      <c r="Q1314" s="1">
        <v>39.65</v>
      </c>
      <c r="R1314" s="1">
        <v>13.75</v>
      </c>
      <c r="S1314" s="3">
        <v>-2.6884820810671117E-2</v>
      </c>
      <c r="T1314" s="3">
        <v>3.7258178303263501E-2</v>
      </c>
    </row>
    <row r="1315" spans="1:20" x14ac:dyDescent="0.25">
      <c r="A1315" t="s">
        <v>78</v>
      </c>
      <c r="B1315" t="s">
        <v>79</v>
      </c>
      <c r="C1315" t="s">
        <v>1919</v>
      </c>
      <c r="D1315" t="s">
        <v>1920</v>
      </c>
      <c r="E1315">
        <v>149.61000000000001</v>
      </c>
      <c r="F1315">
        <v>149.61000000000001</v>
      </c>
      <c r="G1315">
        <v>150.24</v>
      </c>
      <c r="H1315">
        <v>146.11000000000001</v>
      </c>
      <c r="I1315" s="1">
        <v>146.79</v>
      </c>
      <c r="J1315">
        <v>14888032.82</v>
      </c>
      <c r="K1315">
        <v>101091</v>
      </c>
      <c r="L1315" t="s">
        <v>78</v>
      </c>
      <c r="M1315" t="s">
        <v>183</v>
      </c>
      <c r="N1315">
        <v>2496</v>
      </c>
      <c r="O1315">
        <v>194.3</v>
      </c>
      <c r="P1315">
        <v>93.65</v>
      </c>
      <c r="Q1315" s="1">
        <v>87.5</v>
      </c>
      <c r="R1315" s="1">
        <v>42.1</v>
      </c>
      <c r="S1315" s="3">
        <v>4.4056579989110167E-2</v>
      </c>
      <c r="T1315" s="3">
        <v>6.4402451667055383E-2</v>
      </c>
    </row>
    <row r="1316" spans="1:20" x14ac:dyDescent="0.25">
      <c r="A1316" t="s">
        <v>78</v>
      </c>
      <c r="B1316" t="s">
        <v>79</v>
      </c>
      <c r="C1316" t="s">
        <v>1921</v>
      </c>
      <c r="D1316" t="s">
        <v>1922</v>
      </c>
      <c r="E1316">
        <v>829.75</v>
      </c>
      <c r="F1316">
        <v>831</v>
      </c>
      <c r="G1316">
        <v>831.7</v>
      </c>
      <c r="H1316">
        <v>800.8</v>
      </c>
      <c r="I1316" s="1">
        <v>807.4</v>
      </c>
      <c r="J1316">
        <v>131047178.7</v>
      </c>
      <c r="K1316">
        <v>160907</v>
      </c>
      <c r="L1316" t="s">
        <v>78</v>
      </c>
      <c r="M1316" t="s">
        <v>17</v>
      </c>
      <c r="N1316">
        <v>13601</v>
      </c>
      <c r="O1316">
        <v>957</v>
      </c>
      <c r="P1316">
        <v>642.54999999999995</v>
      </c>
      <c r="Q1316" s="1">
        <v>374.35</v>
      </c>
      <c r="R1316" s="1">
        <v>270.75</v>
      </c>
      <c r="S1316" s="3">
        <v>6.6148194144298733E-2</v>
      </c>
      <c r="T1316" s="3">
        <v>5.6119400592345103E-2</v>
      </c>
    </row>
    <row r="1317" spans="1:20" x14ac:dyDescent="0.25">
      <c r="A1317" t="s">
        <v>78</v>
      </c>
      <c r="B1317" t="s">
        <v>79</v>
      </c>
      <c r="C1317" t="s">
        <v>1923</v>
      </c>
      <c r="D1317" t="s">
        <v>1924</v>
      </c>
      <c r="E1317">
        <v>1624.75</v>
      </c>
      <c r="F1317">
        <v>1641</v>
      </c>
      <c r="G1317">
        <v>1641</v>
      </c>
      <c r="H1317">
        <v>1587.1</v>
      </c>
      <c r="I1317" s="1">
        <v>1593.2</v>
      </c>
      <c r="J1317">
        <v>38781911.600000001</v>
      </c>
      <c r="K1317">
        <v>24209</v>
      </c>
      <c r="L1317" t="s">
        <v>78</v>
      </c>
      <c r="M1317" t="s">
        <v>17</v>
      </c>
      <c r="N1317">
        <v>4676</v>
      </c>
      <c r="O1317">
        <v>1859.3</v>
      </c>
      <c r="P1317">
        <v>1176</v>
      </c>
      <c r="Q1317" s="1">
        <v>882.5</v>
      </c>
      <c r="R1317" s="1">
        <v>338</v>
      </c>
      <c r="S1317" s="3">
        <v>5.0460271442235749E-2</v>
      </c>
      <c r="T1317" s="3">
        <v>8.0560883458929089E-2</v>
      </c>
    </row>
    <row r="1318" spans="1:20" x14ac:dyDescent="0.25">
      <c r="A1318" t="s">
        <v>78</v>
      </c>
      <c r="B1318" t="s">
        <v>79</v>
      </c>
      <c r="C1318" t="s">
        <v>1925</v>
      </c>
      <c r="D1318" t="s">
        <v>1926</v>
      </c>
      <c r="E1318">
        <v>935.35</v>
      </c>
      <c r="F1318">
        <v>933.5</v>
      </c>
      <c r="G1318">
        <v>938.5</v>
      </c>
      <c r="H1318">
        <v>911</v>
      </c>
      <c r="I1318" s="1">
        <v>922.75</v>
      </c>
      <c r="J1318">
        <v>77156465.099999994</v>
      </c>
      <c r="K1318">
        <v>83533</v>
      </c>
      <c r="L1318" t="s">
        <v>78</v>
      </c>
      <c r="M1318" t="s">
        <v>17</v>
      </c>
      <c r="N1318">
        <v>7065</v>
      </c>
      <c r="O1318">
        <v>1003</v>
      </c>
      <c r="P1318">
        <v>616.04999999999995</v>
      </c>
      <c r="Q1318" s="1">
        <v>624.95000000000005</v>
      </c>
      <c r="R1318" s="1">
        <v>548.85</v>
      </c>
      <c r="S1318" s="3">
        <v>3.3006922304589237E-2</v>
      </c>
      <c r="T1318" s="3">
        <v>2.6302391722189178E-2</v>
      </c>
    </row>
    <row r="1319" spans="1:20" x14ac:dyDescent="0.25">
      <c r="A1319" t="s">
        <v>78</v>
      </c>
      <c r="B1319" t="s">
        <v>79</v>
      </c>
      <c r="C1319" t="s">
        <v>5720</v>
      </c>
      <c r="D1319" t="s">
        <v>5719</v>
      </c>
      <c r="E1319">
        <v>2473.6999999999998</v>
      </c>
      <c r="F1319">
        <v>2450</v>
      </c>
      <c r="G1319">
        <v>2500</v>
      </c>
      <c r="H1319">
        <v>2417.4</v>
      </c>
      <c r="I1319" s="1">
        <v>2437</v>
      </c>
      <c r="J1319">
        <v>338582402.80000001</v>
      </c>
      <c r="K1319">
        <v>138235</v>
      </c>
      <c r="L1319" t="s">
        <v>78</v>
      </c>
      <c r="M1319" t="s">
        <v>17</v>
      </c>
      <c r="N1319">
        <v>18661</v>
      </c>
      <c r="O1319">
        <v>2771.95</v>
      </c>
      <c r="P1319">
        <v>738.6</v>
      </c>
      <c r="Q1319" s="1" t="str">
        <v/>
      </c>
      <c r="R1319" s="1" t="str">
        <v/>
      </c>
      <c r="S1319" s="3">
        <v>0</v>
      </c>
      <c r="T1319" s="3">
        <v>0</v>
      </c>
    </row>
    <row r="1320" spans="1:20" x14ac:dyDescent="0.25">
      <c r="A1320" t="s">
        <v>78</v>
      </c>
      <c r="B1320" t="s">
        <v>79</v>
      </c>
      <c r="C1320" t="s">
        <v>1927</v>
      </c>
      <c r="D1320" t="s">
        <v>1928</v>
      </c>
      <c r="E1320">
        <v>83.83</v>
      </c>
      <c r="F1320">
        <v>83.83</v>
      </c>
      <c r="G1320">
        <v>84.49</v>
      </c>
      <c r="H1320">
        <v>79.55</v>
      </c>
      <c r="I1320" s="1">
        <v>80.319999999999993</v>
      </c>
      <c r="J1320">
        <v>245843334.97</v>
      </c>
      <c r="K1320">
        <v>2998088</v>
      </c>
      <c r="L1320" t="s">
        <v>78</v>
      </c>
      <c r="M1320" t="s">
        <v>17</v>
      </c>
      <c r="N1320">
        <v>13414</v>
      </c>
      <c r="O1320">
        <v>135.69999999999999</v>
      </c>
      <c r="P1320">
        <v>57.15</v>
      </c>
      <c r="Q1320" s="1">
        <v>50.9</v>
      </c>
      <c r="R1320" s="1">
        <v>22.7</v>
      </c>
      <c r="S1320" s="3">
        <v>3.8744713307160561E-2</v>
      </c>
      <c r="T1320" s="3">
        <v>6.5184565283739726E-2</v>
      </c>
    </row>
    <row r="1321" spans="1:20" x14ac:dyDescent="0.25">
      <c r="A1321" t="s">
        <v>78</v>
      </c>
      <c r="B1321" t="s">
        <v>79</v>
      </c>
      <c r="C1321" t="s">
        <v>3321</v>
      </c>
      <c r="D1321" t="s">
        <v>3322</v>
      </c>
      <c r="E1321">
        <v>8482.2999999999993</v>
      </c>
      <c r="F1321">
        <v>8444.2000000000007</v>
      </c>
      <c r="G1321">
        <v>8650</v>
      </c>
      <c r="H1321">
        <v>8425</v>
      </c>
      <c r="I1321" s="1">
        <v>8479.4500000000007</v>
      </c>
      <c r="J1321">
        <v>258341865.55000001</v>
      </c>
      <c r="K1321">
        <v>30374</v>
      </c>
      <c r="L1321" t="s">
        <v>78</v>
      </c>
      <c r="M1321" t="s">
        <v>17</v>
      </c>
      <c r="N1321">
        <v>10243</v>
      </c>
      <c r="O1321">
        <v>8650</v>
      </c>
      <c r="P1321">
        <v>2900.05</v>
      </c>
      <c r="Q1321" s="1">
        <v>2165</v>
      </c>
      <c r="R1321" s="1">
        <v>497.95</v>
      </c>
      <c r="S1321" s="3">
        <v>0.12049300218647585</v>
      </c>
      <c r="T1321" s="3">
        <v>0.15219340434606354</v>
      </c>
    </row>
    <row r="1322" spans="1:20" x14ac:dyDescent="0.25">
      <c r="A1322" t="s">
        <v>78</v>
      </c>
      <c r="B1322" t="s">
        <v>79</v>
      </c>
      <c r="C1322" t="s">
        <v>3323</v>
      </c>
      <c r="D1322" t="s">
        <v>3324</v>
      </c>
      <c r="E1322">
        <v>1049.05</v>
      </c>
      <c r="F1322">
        <v>1054.9000000000001</v>
      </c>
      <c r="G1322">
        <v>1054.9000000000001</v>
      </c>
      <c r="H1322">
        <v>976</v>
      </c>
      <c r="I1322" s="1">
        <v>1026</v>
      </c>
      <c r="J1322">
        <v>921659278.10000002</v>
      </c>
      <c r="K1322">
        <v>908363</v>
      </c>
      <c r="L1322" t="s">
        <v>78</v>
      </c>
      <c r="M1322" t="s">
        <v>183</v>
      </c>
      <c r="N1322">
        <v>63649</v>
      </c>
      <c r="O1322">
        <v>1645</v>
      </c>
      <c r="P1322">
        <v>670.55</v>
      </c>
      <c r="Q1322" s="1">
        <v>680</v>
      </c>
      <c r="R1322" s="1">
        <v>285.64999999999998</v>
      </c>
      <c r="S1322" s="3">
        <v>3.4871763419576984E-2</v>
      </c>
      <c r="T1322" s="3">
        <v>6.5983422555194515E-2</v>
      </c>
    </row>
    <row r="1323" spans="1:20" x14ac:dyDescent="0.25">
      <c r="A1323" t="s">
        <v>78</v>
      </c>
      <c r="B1323" t="s">
        <v>287</v>
      </c>
      <c r="C1323" t="s">
        <v>5718</v>
      </c>
      <c r="D1323" t="s">
        <v>5717</v>
      </c>
      <c r="E1323">
        <v>126.05</v>
      </c>
      <c r="F1323">
        <v>125</v>
      </c>
      <c r="G1323">
        <v>132.30000000000001</v>
      </c>
      <c r="H1323">
        <v>121</v>
      </c>
      <c r="I1323" s="1">
        <v>130.65</v>
      </c>
      <c r="J1323">
        <v>18004200</v>
      </c>
      <c r="K1323">
        <v>141000</v>
      </c>
      <c r="L1323" t="s">
        <v>78</v>
      </c>
      <c r="M1323" t="s">
        <v>17</v>
      </c>
      <c r="N1323">
        <v>67</v>
      </c>
      <c r="O1323">
        <v>175</v>
      </c>
      <c r="P1323">
        <v>67.3</v>
      </c>
      <c r="Q1323" s="1" t="str">
        <v/>
      </c>
      <c r="R1323" s="1" t="str">
        <v/>
      </c>
      <c r="S1323" s="3">
        <v>0</v>
      </c>
      <c r="T1323" s="3">
        <v>0</v>
      </c>
    </row>
    <row r="1324" spans="1:20" x14ac:dyDescent="0.25">
      <c r="A1324" t="s">
        <v>78</v>
      </c>
      <c r="B1324" t="s">
        <v>79</v>
      </c>
      <c r="C1324" t="s">
        <v>1929</v>
      </c>
      <c r="D1324" t="s">
        <v>1930</v>
      </c>
      <c r="E1324">
        <v>7.34</v>
      </c>
      <c r="F1324">
        <v>7.4</v>
      </c>
      <c r="G1324">
        <v>7.51</v>
      </c>
      <c r="H1324">
        <v>7.01</v>
      </c>
      <c r="I1324" s="1">
        <v>7.12</v>
      </c>
      <c r="J1324">
        <v>210707.77</v>
      </c>
      <c r="K1324">
        <v>28840</v>
      </c>
      <c r="L1324" t="s">
        <v>78</v>
      </c>
      <c r="M1324" t="s">
        <v>17</v>
      </c>
      <c r="N1324">
        <v>111</v>
      </c>
      <c r="O1324">
        <v>8.8000000000000007</v>
      </c>
      <c r="P1324">
        <v>4.5999999999999996</v>
      </c>
      <c r="Q1324" s="1">
        <v>5.75</v>
      </c>
      <c r="R1324" s="1">
        <v>12.3</v>
      </c>
      <c r="S1324" s="3">
        <v>1.796851485606954E-2</v>
      </c>
      <c r="T1324" s="3">
        <v>-2.6949802028073289E-2</v>
      </c>
    </row>
    <row r="1325" spans="1:20" x14ac:dyDescent="0.25">
      <c r="A1325" t="s">
        <v>78</v>
      </c>
      <c r="B1325" t="s">
        <v>79</v>
      </c>
      <c r="C1325" t="s">
        <v>1931</v>
      </c>
      <c r="D1325" t="s">
        <v>1932</v>
      </c>
      <c r="E1325">
        <v>153.66999999999999</v>
      </c>
      <c r="F1325">
        <v>154.54</v>
      </c>
      <c r="G1325">
        <v>154.69999999999999</v>
      </c>
      <c r="H1325">
        <v>147.41999999999999</v>
      </c>
      <c r="I1325" s="1">
        <v>150.44</v>
      </c>
      <c r="J1325">
        <v>1768097141.8</v>
      </c>
      <c r="K1325">
        <v>11744239</v>
      </c>
      <c r="L1325" t="s">
        <v>78</v>
      </c>
      <c r="M1325" t="s">
        <v>17</v>
      </c>
      <c r="N1325">
        <v>67247</v>
      </c>
      <c r="O1325">
        <v>162.78</v>
      </c>
      <c r="P1325">
        <v>65.05</v>
      </c>
      <c r="Q1325" s="1">
        <v>61.5</v>
      </c>
      <c r="R1325" s="1">
        <v>33.25</v>
      </c>
      <c r="S1325" s="3">
        <v>7.7392672234098514E-2</v>
      </c>
      <c r="T1325" s="3">
        <v>7.8352210006535472E-2</v>
      </c>
    </row>
    <row r="1326" spans="1:20" x14ac:dyDescent="0.25">
      <c r="A1326" t="s">
        <v>78</v>
      </c>
      <c r="B1326" t="s">
        <v>79</v>
      </c>
      <c r="C1326" t="s">
        <v>5716</v>
      </c>
      <c r="D1326" t="s">
        <v>5715</v>
      </c>
      <c r="E1326">
        <v>41.93</v>
      </c>
      <c r="F1326">
        <v>42.3</v>
      </c>
      <c r="G1326">
        <v>42.3</v>
      </c>
      <c r="H1326">
        <v>40.5</v>
      </c>
      <c r="I1326" s="1">
        <v>41.24</v>
      </c>
      <c r="J1326">
        <v>1551613.66</v>
      </c>
      <c r="K1326">
        <v>37447</v>
      </c>
      <c r="L1326" t="s">
        <v>78</v>
      </c>
      <c r="M1326" t="s">
        <v>17</v>
      </c>
      <c r="N1326">
        <v>801</v>
      </c>
      <c r="O1326">
        <v>70</v>
      </c>
      <c r="P1326">
        <v>36.5</v>
      </c>
      <c r="Q1326" s="1" t="str">
        <v/>
      </c>
      <c r="R1326" s="1" t="str">
        <v/>
      </c>
      <c r="S1326" s="3">
        <v>0</v>
      </c>
      <c r="T1326" s="3">
        <v>0</v>
      </c>
    </row>
    <row r="1327" spans="1:20" x14ac:dyDescent="0.25">
      <c r="A1327" t="s">
        <v>78</v>
      </c>
      <c r="B1327" t="s">
        <v>862</v>
      </c>
      <c r="C1327" t="s">
        <v>5714</v>
      </c>
      <c r="D1327" t="s">
        <v>5713</v>
      </c>
      <c r="E1327">
        <v>23.18</v>
      </c>
      <c r="F1327">
        <v>19.600000000000001</v>
      </c>
      <c r="G1327">
        <v>21</v>
      </c>
      <c r="H1327">
        <v>18.54</v>
      </c>
      <c r="I1327" s="1">
        <v>18.54</v>
      </c>
      <c r="J1327">
        <v>1166243.1599999999</v>
      </c>
      <c r="K1327">
        <v>60984</v>
      </c>
      <c r="L1327" t="s">
        <v>78</v>
      </c>
      <c r="M1327" t="s">
        <v>17</v>
      </c>
      <c r="N1327">
        <v>143</v>
      </c>
      <c r="O1327">
        <v>21</v>
      </c>
      <c r="P1327">
        <v>18.54</v>
      </c>
      <c r="Q1327" s="1" t="str">
        <v/>
      </c>
      <c r="R1327" s="1" t="str">
        <v/>
      </c>
      <c r="S1327" s="3">
        <v>0</v>
      </c>
      <c r="T1327" s="3">
        <v>0</v>
      </c>
    </row>
    <row r="1328" spans="1:20" x14ac:dyDescent="0.25">
      <c r="A1328" t="s">
        <v>78</v>
      </c>
      <c r="B1328" t="s">
        <v>79</v>
      </c>
      <c r="C1328" t="s">
        <v>5712</v>
      </c>
      <c r="D1328" t="s">
        <v>5711</v>
      </c>
      <c r="E1328">
        <v>2714.45</v>
      </c>
      <c r="F1328">
        <v>2755.1</v>
      </c>
      <c r="G1328">
        <v>2755.1</v>
      </c>
      <c r="H1328">
        <v>2611</v>
      </c>
      <c r="I1328" s="1">
        <v>2615.75</v>
      </c>
      <c r="J1328">
        <v>13480878.75</v>
      </c>
      <c r="K1328">
        <v>5096</v>
      </c>
      <c r="L1328" t="s">
        <v>78</v>
      </c>
      <c r="M1328" t="s">
        <v>17</v>
      </c>
      <c r="N1328">
        <v>1376</v>
      </c>
      <c r="O1328">
        <v>2823.9</v>
      </c>
      <c r="P1328">
        <v>1728.1</v>
      </c>
      <c r="Q1328" s="1" t="str">
        <v/>
      </c>
      <c r="R1328" s="1" t="str">
        <v/>
      </c>
      <c r="S1328" s="3">
        <v>0</v>
      </c>
      <c r="T1328" s="3">
        <v>0</v>
      </c>
    </row>
    <row r="1329" spans="1:20" x14ac:dyDescent="0.25">
      <c r="A1329" t="s">
        <v>78</v>
      </c>
      <c r="B1329" t="s">
        <v>79</v>
      </c>
      <c r="C1329" t="s">
        <v>1933</v>
      </c>
      <c r="D1329" t="s">
        <v>1934</v>
      </c>
      <c r="E1329">
        <v>1244.1500000000001</v>
      </c>
      <c r="F1329">
        <v>1245</v>
      </c>
      <c r="G1329">
        <v>1264</v>
      </c>
      <c r="H1329">
        <v>1238.5999999999999</v>
      </c>
      <c r="I1329" s="1">
        <v>1242.4000000000001</v>
      </c>
      <c r="J1329">
        <v>439605275.60000002</v>
      </c>
      <c r="K1329">
        <v>352833</v>
      </c>
      <c r="L1329" t="s">
        <v>78</v>
      </c>
      <c r="M1329" t="s">
        <v>17</v>
      </c>
      <c r="N1329">
        <v>19886</v>
      </c>
      <c r="O1329">
        <v>1444.9</v>
      </c>
      <c r="P1329">
        <v>973.4</v>
      </c>
      <c r="Q1329" s="1">
        <v>490</v>
      </c>
      <c r="R1329" s="1">
        <v>210.25</v>
      </c>
      <c r="S1329" s="3">
        <v>8.0617791468669209E-2</v>
      </c>
      <c r="T1329" s="3">
        <v>9.2836384458234278E-2</v>
      </c>
    </row>
    <row r="1330" spans="1:20" x14ac:dyDescent="0.25">
      <c r="A1330" t="s">
        <v>78</v>
      </c>
      <c r="B1330" t="s">
        <v>79</v>
      </c>
      <c r="C1330" t="s">
        <v>1935</v>
      </c>
      <c r="D1330" t="s">
        <v>1936</v>
      </c>
      <c r="E1330">
        <v>113.21</v>
      </c>
      <c r="F1330">
        <v>113.45</v>
      </c>
      <c r="G1330">
        <v>114.6</v>
      </c>
      <c r="H1330">
        <v>107.5</v>
      </c>
      <c r="I1330" s="1">
        <v>108.3</v>
      </c>
      <c r="J1330">
        <v>9291615152.5300007</v>
      </c>
      <c r="K1330">
        <v>84893554</v>
      </c>
      <c r="L1330" t="s">
        <v>78</v>
      </c>
      <c r="M1330" t="s">
        <v>17</v>
      </c>
      <c r="N1330">
        <v>331438</v>
      </c>
      <c r="O1330">
        <v>118.4</v>
      </c>
      <c r="P1330">
        <v>45.35</v>
      </c>
      <c r="Q1330" s="1">
        <v>25.75</v>
      </c>
      <c r="R1330" s="1">
        <v>23.3</v>
      </c>
      <c r="S1330" s="3">
        <v>0.12716527785919274</v>
      </c>
      <c r="T1330" s="3">
        <v>7.980505277710237E-2</v>
      </c>
    </row>
    <row r="1331" spans="1:20" x14ac:dyDescent="0.25">
      <c r="A1331" t="s">
        <v>78</v>
      </c>
      <c r="B1331" t="s">
        <v>79</v>
      </c>
      <c r="C1331" t="s">
        <v>1937</v>
      </c>
      <c r="D1331" t="s">
        <v>1938</v>
      </c>
      <c r="E1331">
        <v>289.92</v>
      </c>
      <c r="F1331">
        <v>290</v>
      </c>
      <c r="G1331">
        <v>291.7</v>
      </c>
      <c r="H1331">
        <v>280</v>
      </c>
      <c r="I1331" s="1">
        <v>280.44</v>
      </c>
      <c r="J1331">
        <v>736236051.13</v>
      </c>
      <c r="K1331">
        <v>2596407</v>
      </c>
      <c r="L1331" t="s">
        <v>78</v>
      </c>
      <c r="M1331" t="s">
        <v>17</v>
      </c>
      <c r="N1331">
        <v>31521</v>
      </c>
      <c r="O1331">
        <v>324.7</v>
      </c>
      <c r="P1331">
        <v>115.2</v>
      </c>
      <c r="Q1331" s="1">
        <v>163</v>
      </c>
      <c r="R1331" s="1">
        <v>128.1</v>
      </c>
      <c r="S1331" s="3">
        <v>4.6255360621509922E-2</v>
      </c>
      <c r="T1331" s="3">
        <v>3.9932673609179181E-2</v>
      </c>
    </row>
    <row r="1332" spans="1:20" x14ac:dyDescent="0.25">
      <c r="A1332" t="s">
        <v>78</v>
      </c>
      <c r="B1332" t="s">
        <v>79</v>
      </c>
      <c r="C1332" t="s">
        <v>3325</v>
      </c>
      <c r="D1332" t="s">
        <v>3326</v>
      </c>
      <c r="E1332">
        <v>36.770000000000003</v>
      </c>
      <c r="F1332">
        <v>37.090000000000003</v>
      </c>
      <c r="G1332">
        <v>37.49</v>
      </c>
      <c r="H1332">
        <v>36.01</v>
      </c>
      <c r="I1332" s="1">
        <v>36.81</v>
      </c>
      <c r="J1332">
        <v>816314.61</v>
      </c>
      <c r="K1332">
        <v>22192</v>
      </c>
      <c r="L1332" t="s">
        <v>78</v>
      </c>
      <c r="M1332" t="s">
        <v>17</v>
      </c>
      <c r="N1332">
        <v>580</v>
      </c>
      <c r="O1332">
        <v>51</v>
      </c>
      <c r="P1332">
        <v>25.75</v>
      </c>
      <c r="Q1332" s="1">
        <v>17.8</v>
      </c>
      <c r="R1332" s="1">
        <v>7.65</v>
      </c>
      <c r="S1332" s="3">
        <v>6.2418157740914193E-2</v>
      </c>
      <c r="T1332" s="3">
        <v>8.1674361903613546E-2</v>
      </c>
    </row>
    <row r="1333" spans="1:20" x14ac:dyDescent="0.25">
      <c r="A1333" t="s">
        <v>78</v>
      </c>
      <c r="B1333" t="s">
        <v>287</v>
      </c>
      <c r="C1333" t="s">
        <v>5710</v>
      </c>
      <c r="D1333" t="s">
        <v>5709</v>
      </c>
      <c r="E1333">
        <v>34.950000000000003</v>
      </c>
      <c r="F1333">
        <v>34.15</v>
      </c>
      <c r="G1333">
        <v>34.5</v>
      </c>
      <c r="H1333">
        <v>33.35</v>
      </c>
      <c r="I1333" s="1">
        <v>33.6</v>
      </c>
      <c r="J1333">
        <v>950500</v>
      </c>
      <c r="K1333">
        <v>28000</v>
      </c>
      <c r="L1333" t="s">
        <v>78</v>
      </c>
      <c r="M1333" t="s">
        <v>17</v>
      </c>
      <c r="N1333">
        <v>27</v>
      </c>
      <c r="O1333">
        <v>57.2</v>
      </c>
      <c r="P1333">
        <v>27</v>
      </c>
      <c r="Q1333" s="1" t="str">
        <v/>
      </c>
      <c r="R1333" s="1" t="str">
        <v/>
      </c>
      <c r="S1333" s="3">
        <v>0</v>
      </c>
      <c r="T1333" s="3">
        <v>0</v>
      </c>
    </row>
    <row r="1334" spans="1:20" x14ac:dyDescent="0.25">
      <c r="A1334" t="s">
        <v>78</v>
      </c>
      <c r="B1334" t="s">
        <v>79</v>
      </c>
      <c r="C1334" t="s">
        <v>1939</v>
      </c>
      <c r="D1334" t="s">
        <v>1940</v>
      </c>
      <c r="E1334">
        <v>116.17</v>
      </c>
      <c r="F1334">
        <v>115.94</v>
      </c>
      <c r="G1334">
        <v>116.2</v>
      </c>
      <c r="H1334">
        <v>113</v>
      </c>
      <c r="I1334" s="1">
        <v>113.28</v>
      </c>
      <c r="J1334">
        <v>51477837.700000003</v>
      </c>
      <c r="K1334">
        <v>450084</v>
      </c>
      <c r="L1334" t="s">
        <v>78</v>
      </c>
      <c r="M1334" t="s">
        <v>17</v>
      </c>
      <c r="N1334">
        <v>5562</v>
      </c>
      <c r="O1334">
        <v>154.80000000000001</v>
      </c>
      <c r="P1334">
        <v>77.3</v>
      </c>
      <c r="Q1334" s="1">
        <v>281.35000000000002</v>
      </c>
      <c r="R1334" s="1">
        <v>97.35</v>
      </c>
      <c r="S1334" s="3">
        <v>-7.300898065049688E-2</v>
      </c>
      <c r="T1334" s="3">
        <v>7.6020954392708173E-3</v>
      </c>
    </row>
    <row r="1335" spans="1:20" x14ac:dyDescent="0.25">
      <c r="A1335" t="s">
        <v>78</v>
      </c>
      <c r="B1335" t="s">
        <v>79</v>
      </c>
      <c r="C1335" t="s">
        <v>5708</v>
      </c>
      <c r="D1335" t="s">
        <v>5707</v>
      </c>
      <c r="E1335">
        <v>467.65</v>
      </c>
      <c r="F1335">
        <v>465.15</v>
      </c>
      <c r="G1335">
        <v>488</v>
      </c>
      <c r="H1335">
        <v>465</v>
      </c>
      <c r="I1335" s="1">
        <v>483.25</v>
      </c>
      <c r="J1335">
        <v>136141827.34999999</v>
      </c>
      <c r="K1335">
        <v>284365</v>
      </c>
      <c r="L1335" t="s">
        <v>78</v>
      </c>
      <c r="M1335" t="s">
        <v>17</v>
      </c>
      <c r="N1335">
        <v>15049</v>
      </c>
      <c r="O1335">
        <v>576.9</v>
      </c>
      <c r="P1335">
        <v>342.3</v>
      </c>
      <c r="Q1335" s="1" t="str">
        <v/>
      </c>
      <c r="R1335" s="1" t="str">
        <v/>
      </c>
      <c r="S1335" s="3">
        <v>0</v>
      </c>
      <c r="T1335" s="3">
        <v>0</v>
      </c>
    </row>
    <row r="1336" spans="1:20" x14ac:dyDescent="0.25">
      <c r="A1336" t="s">
        <v>78</v>
      </c>
      <c r="B1336" t="s">
        <v>79</v>
      </c>
      <c r="C1336" t="s">
        <v>1941</v>
      </c>
      <c r="D1336" t="s">
        <v>1942</v>
      </c>
      <c r="E1336">
        <v>13.56</v>
      </c>
      <c r="F1336">
        <v>13.3</v>
      </c>
      <c r="G1336">
        <v>13.69</v>
      </c>
      <c r="H1336">
        <v>12.88</v>
      </c>
      <c r="I1336" s="1">
        <v>13.01</v>
      </c>
      <c r="J1336">
        <v>29798677.420000002</v>
      </c>
      <c r="K1336">
        <v>2277572</v>
      </c>
      <c r="L1336" t="s">
        <v>78</v>
      </c>
      <c r="M1336" t="s">
        <v>17</v>
      </c>
      <c r="N1336">
        <v>3417</v>
      </c>
      <c r="O1336">
        <v>14.81</v>
      </c>
      <c r="P1336">
        <v>9.5500000000000007</v>
      </c>
      <c r="Q1336" s="1">
        <v>6.5</v>
      </c>
      <c r="R1336" s="1">
        <v>5.7</v>
      </c>
      <c r="S1336" s="3">
        <v>5.9530984727832026E-2</v>
      </c>
      <c r="T1336" s="3">
        <v>4.210218904063745E-2</v>
      </c>
    </row>
    <row r="1337" spans="1:20" x14ac:dyDescent="0.25">
      <c r="A1337" t="s">
        <v>78</v>
      </c>
      <c r="B1337" t="s">
        <v>79</v>
      </c>
      <c r="C1337" t="s">
        <v>1943</v>
      </c>
      <c r="D1337" t="s">
        <v>1944</v>
      </c>
      <c r="E1337">
        <v>1938.5</v>
      </c>
      <c r="F1337">
        <v>1948.2</v>
      </c>
      <c r="G1337">
        <v>1948.2</v>
      </c>
      <c r="H1337">
        <v>1918.1</v>
      </c>
      <c r="I1337" s="1">
        <v>1933.35</v>
      </c>
      <c r="J1337">
        <v>92669682.5</v>
      </c>
      <c r="K1337">
        <v>47949</v>
      </c>
      <c r="L1337" t="s">
        <v>78</v>
      </c>
      <c r="M1337" t="s">
        <v>17</v>
      </c>
      <c r="N1337">
        <v>1774</v>
      </c>
      <c r="O1337">
        <v>2805</v>
      </c>
      <c r="P1337">
        <v>1690</v>
      </c>
      <c r="Q1337" s="1">
        <v>2500</v>
      </c>
      <c r="R1337" s="1">
        <v>1082.25</v>
      </c>
      <c r="S1337" s="3">
        <v>-2.1191934114301425E-2</v>
      </c>
      <c r="T1337" s="3">
        <v>2.9419153563604361E-2</v>
      </c>
    </row>
    <row r="1338" spans="1:20" x14ac:dyDescent="0.25">
      <c r="A1338" t="s">
        <v>78</v>
      </c>
      <c r="B1338" t="s">
        <v>79</v>
      </c>
      <c r="C1338" t="s">
        <v>5706</v>
      </c>
      <c r="D1338" t="s">
        <v>5705</v>
      </c>
      <c r="E1338">
        <v>479.4</v>
      </c>
      <c r="F1338">
        <v>483.45</v>
      </c>
      <c r="G1338">
        <v>485</v>
      </c>
      <c r="H1338">
        <v>457.1</v>
      </c>
      <c r="I1338" s="1">
        <v>468.55</v>
      </c>
      <c r="J1338">
        <v>1874947.6</v>
      </c>
      <c r="K1338">
        <v>3945</v>
      </c>
      <c r="L1338" t="s">
        <v>78</v>
      </c>
      <c r="M1338" t="s">
        <v>17</v>
      </c>
      <c r="N1338">
        <v>507</v>
      </c>
      <c r="O1338">
        <v>649.15</v>
      </c>
      <c r="P1338">
        <v>308</v>
      </c>
      <c r="Q1338" s="1" t="str">
        <v/>
      </c>
      <c r="R1338" s="1" t="str">
        <v/>
      </c>
      <c r="S1338" s="3">
        <v>0</v>
      </c>
      <c r="T1338" s="3">
        <v>0</v>
      </c>
    </row>
    <row r="1339" spans="1:20" x14ac:dyDescent="0.25">
      <c r="A1339" t="s">
        <v>78</v>
      </c>
      <c r="B1339" t="s">
        <v>79</v>
      </c>
      <c r="C1339" t="s">
        <v>1945</v>
      </c>
      <c r="D1339" t="s">
        <v>1946</v>
      </c>
      <c r="E1339">
        <v>583.95000000000005</v>
      </c>
      <c r="F1339">
        <v>589</v>
      </c>
      <c r="G1339">
        <v>589</v>
      </c>
      <c r="H1339">
        <v>575</v>
      </c>
      <c r="I1339" s="1">
        <v>582.5</v>
      </c>
      <c r="J1339">
        <v>7384759.9500000002</v>
      </c>
      <c r="K1339">
        <v>12687</v>
      </c>
      <c r="L1339" t="s">
        <v>78</v>
      </c>
      <c r="M1339" t="s">
        <v>17</v>
      </c>
      <c r="N1339">
        <v>1262</v>
      </c>
      <c r="O1339">
        <v>664.55</v>
      </c>
      <c r="P1339">
        <v>500</v>
      </c>
      <c r="Q1339" s="1">
        <v>1050.0999999999999</v>
      </c>
      <c r="R1339" s="1">
        <v>435</v>
      </c>
      <c r="S1339" s="3">
        <v>-4.7922929385121549E-2</v>
      </c>
      <c r="T1339" s="3">
        <v>1.4698133214587683E-2</v>
      </c>
    </row>
    <row r="1340" spans="1:20" x14ac:dyDescent="0.25">
      <c r="A1340" t="s">
        <v>78</v>
      </c>
      <c r="B1340" t="s">
        <v>79</v>
      </c>
      <c r="C1340" t="s">
        <v>1947</v>
      </c>
      <c r="D1340" t="s">
        <v>1948</v>
      </c>
      <c r="E1340">
        <v>47.85</v>
      </c>
      <c r="F1340">
        <v>48.1</v>
      </c>
      <c r="G1340">
        <v>49.89</v>
      </c>
      <c r="H1340">
        <v>46.05</v>
      </c>
      <c r="I1340" s="1">
        <v>47.2</v>
      </c>
      <c r="J1340">
        <v>6363350.2199999997</v>
      </c>
      <c r="K1340">
        <v>134302</v>
      </c>
      <c r="L1340" t="s">
        <v>78</v>
      </c>
      <c r="M1340" t="s">
        <v>17</v>
      </c>
      <c r="N1340">
        <v>3641</v>
      </c>
      <c r="O1340">
        <v>55.8</v>
      </c>
      <c r="P1340">
        <v>36.200000000000003</v>
      </c>
      <c r="Q1340" s="1">
        <v>48.4</v>
      </c>
      <c r="R1340" s="1" t="str">
        <v/>
      </c>
      <c r="S1340" s="3">
        <v>-2.0899730528058935E-3</v>
      </c>
      <c r="T1340" s="3">
        <v>0</v>
      </c>
    </row>
    <row r="1341" spans="1:20" x14ac:dyDescent="0.25">
      <c r="A1341" t="s">
        <v>78</v>
      </c>
      <c r="B1341" t="s">
        <v>79</v>
      </c>
      <c r="C1341" t="s">
        <v>1949</v>
      </c>
      <c r="D1341" t="s">
        <v>1950</v>
      </c>
      <c r="E1341">
        <v>75.61</v>
      </c>
      <c r="F1341">
        <v>77.400000000000006</v>
      </c>
      <c r="G1341">
        <v>79.680000000000007</v>
      </c>
      <c r="H1341">
        <v>73.3</v>
      </c>
      <c r="I1341" s="1">
        <v>75.2</v>
      </c>
      <c r="J1341">
        <v>30513757.300000001</v>
      </c>
      <c r="K1341">
        <v>398668</v>
      </c>
      <c r="L1341" t="s">
        <v>78</v>
      </c>
      <c r="M1341" t="s">
        <v>17</v>
      </c>
      <c r="N1341">
        <v>2389</v>
      </c>
      <c r="O1341">
        <v>88.9</v>
      </c>
      <c r="P1341">
        <v>17</v>
      </c>
      <c r="Q1341" s="1">
        <v>26.7</v>
      </c>
      <c r="R1341" s="1">
        <v>28.25</v>
      </c>
      <c r="S1341" s="3">
        <v>9.0123114336967181E-2</v>
      </c>
      <c r="T1341" s="3">
        <v>5.0142721171050564E-2</v>
      </c>
    </row>
    <row r="1342" spans="1:20" x14ac:dyDescent="0.25">
      <c r="A1342" t="s">
        <v>78</v>
      </c>
      <c r="B1342" t="s">
        <v>79</v>
      </c>
      <c r="C1342" t="s">
        <v>1951</v>
      </c>
      <c r="D1342" t="s">
        <v>1952</v>
      </c>
      <c r="E1342">
        <v>399.5</v>
      </c>
      <c r="F1342">
        <v>399.7</v>
      </c>
      <c r="G1342">
        <v>417.6</v>
      </c>
      <c r="H1342">
        <v>399.5</v>
      </c>
      <c r="I1342" s="1">
        <v>405.65</v>
      </c>
      <c r="J1342">
        <v>268234187.25</v>
      </c>
      <c r="K1342">
        <v>654205</v>
      </c>
      <c r="L1342" t="s">
        <v>78</v>
      </c>
      <c r="M1342" t="s">
        <v>17</v>
      </c>
      <c r="N1342">
        <v>29011</v>
      </c>
      <c r="O1342">
        <v>417.6</v>
      </c>
      <c r="P1342">
        <v>227</v>
      </c>
      <c r="Q1342" s="1">
        <v>174.5</v>
      </c>
      <c r="R1342" s="1">
        <v>64.099999999999994</v>
      </c>
      <c r="S1342" s="3">
        <v>7.2826940257147754E-2</v>
      </c>
      <c r="T1342" s="3">
        <v>9.6586086675010785E-2</v>
      </c>
    </row>
    <row r="1343" spans="1:20" x14ac:dyDescent="0.25">
      <c r="A1343" t="s">
        <v>78</v>
      </c>
      <c r="B1343" t="s">
        <v>79</v>
      </c>
      <c r="C1343" t="s">
        <v>3329</v>
      </c>
      <c r="D1343" t="s">
        <v>5704</v>
      </c>
      <c r="E1343">
        <v>54.36</v>
      </c>
      <c r="F1343">
        <v>57</v>
      </c>
      <c r="G1343">
        <v>57</v>
      </c>
      <c r="H1343">
        <v>52.12</v>
      </c>
      <c r="I1343" s="1">
        <v>52.81</v>
      </c>
      <c r="J1343">
        <v>12513.96</v>
      </c>
      <c r="K1343">
        <v>230</v>
      </c>
      <c r="L1343" t="s">
        <v>78</v>
      </c>
      <c r="M1343" t="s">
        <v>17</v>
      </c>
      <c r="N1343">
        <v>35</v>
      </c>
      <c r="O1343">
        <v>94.4</v>
      </c>
      <c r="P1343">
        <v>35.049999999999997</v>
      </c>
      <c r="Q1343" s="1">
        <v>25.85</v>
      </c>
      <c r="R1343" s="1">
        <v>32.4</v>
      </c>
      <c r="S1343" s="3">
        <v>6.1340250949308395E-2</v>
      </c>
      <c r="T1343" s="3">
        <v>2.4714185006238232E-2</v>
      </c>
    </row>
    <row r="1344" spans="1:20" x14ac:dyDescent="0.25">
      <c r="A1344" t="s">
        <v>78</v>
      </c>
      <c r="B1344" t="s">
        <v>79</v>
      </c>
      <c r="C1344" t="s">
        <v>1955</v>
      </c>
      <c r="D1344" t="s">
        <v>1956</v>
      </c>
      <c r="E1344">
        <v>293.06</v>
      </c>
      <c r="F1344">
        <v>291.86</v>
      </c>
      <c r="G1344">
        <v>294</v>
      </c>
      <c r="H1344">
        <v>275.5</v>
      </c>
      <c r="I1344" s="1">
        <v>278.3</v>
      </c>
      <c r="J1344">
        <v>3276523033.3499999</v>
      </c>
      <c r="K1344">
        <v>11621546</v>
      </c>
      <c r="L1344" t="s">
        <v>78</v>
      </c>
      <c r="M1344" t="s">
        <v>17</v>
      </c>
      <c r="N1344">
        <v>121401</v>
      </c>
      <c r="O1344">
        <v>311.8</v>
      </c>
      <c r="P1344">
        <v>106</v>
      </c>
      <c r="Q1344" s="1">
        <v>59.9</v>
      </c>
      <c r="R1344" s="1">
        <v>60.3</v>
      </c>
      <c r="S1344" s="3">
        <v>0.13655519656948512</v>
      </c>
      <c r="T1344" s="3">
        <v>7.9422850603293904E-2</v>
      </c>
    </row>
    <row r="1345" spans="1:20" x14ac:dyDescent="0.25">
      <c r="A1345" t="s">
        <v>78</v>
      </c>
      <c r="B1345" t="s">
        <v>79</v>
      </c>
      <c r="C1345" t="s">
        <v>250</v>
      </c>
      <c r="D1345" t="s">
        <v>251</v>
      </c>
      <c r="E1345">
        <v>246.72</v>
      </c>
      <c r="F1345">
        <v>246.4</v>
      </c>
      <c r="G1345">
        <v>246.4</v>
      </c>
      <c r="H1345">
        <v>240.71</v>
      </c>
      <c r="I1345" s="1">
        <v>241.9</v>
      </c>
      <c r="J1345">
        <v>1533356081.4000001</v>
      </c>
      <c r="K1345">
        <v>6314659</v>
      </c>
      <c r="L1345" t="s">
        <v>78</v>
      </c>
      <c r="M1345" t="s">
        <v>17</v>
      </c>
      <c r="N1345">
        <v>66649</v>
      </c>
      <c r="O1345">
        <v>286.35000000000002</v>
      </c>
      <c r="P1345">
        <v>110.25</v>
      </c>
      <c r="Q1345" s="1">
        <v>172.5</v>
      </c>
      <c r="R1345" s="1">
        <v>114.5</v>
      </c>
      <c r="S1345" s="3">
        <v>2.8577999239062457E-2</v>
      </c>
      <c r="T1345" s="3">
        <v>3.8084304011910541E-2</v>
      </c>
    </row>
    <row r="1346" spans="1:20" x14ac:dyDescent="0.25">
      <c r="A1346" t="s">
        <v>78</v>
      </c>
      <c r="B1346" t="s">
        <v>79</v>
      </c>
      <c r="C1346" t="s">
        <v>1957</v>
      </c>
      <c r="D1346" t="s">
        <v>1958</v>
      </c>
      <c r="E1346">
        <v>313.35000000000002</v>
      </c>
      <c r="F1346">
        <v>315.8</v>
      </c>
      <c r="G1346">
        <v>319.75</v>
      </c>
      <c r="H1346">
        <v>304.3</v>
      </c>
      <c r="I1346" s="1">
        <v>308.85000000000002</v>
      </c>
      <c r="J1346">
        <v>770121246.29999995</v>
      </c>
      <c r="K1346">
        <v>2486311</v>
      </c>
      <c r="L1346" t="s">
        <v>78</v>
      </c>
      <c r="M1346" t="s">
        <v>17</v>
      </c>
      <c r="N1346">
        <v>46353</v>
      </c>
      <c r="O1346">
        <v>319.75</v>
      </c>
      <c r="P1346">
        <v>207.95</v>
      </c>
      <c r="Q1346" s="1">
        <v>254.6</v>
      </c>
      <c r="R1346" s="1">
        <v>94</v>
      </c>
      <c r="S1346" s="3">
        <v>1.6227088348172769E-2</v>
      </c>
      <c r="T1346" s="3">
        <v>6.1247893938345177E-2</v>
      </c>
    </row>
    <row r="1347" spans="1:20" x14ac:dyDescent="0.25">
      <c r="A1347" t="s">
        <v>78</v>
      </c>
      <c r="B1347" t="s">
        <v>79</v>
      </c>
      <c r="C1347" t="s">
        <v>1961</v>
      </c>
      <c r="D1347" t="s">
        <v>1962</v>
      </c>
      <c r="E1347">
        <v>12.66</v>
      </c>
      <c r="F1347">
        <v>13.25</v>
      </c>
      <c r="G1347">
        <v>13.25</v>
      </c>
      <c r="H1347">
        <v>12.22</v>
      </c>
      <c r="I1347" s="1">
        <v>12.62</v>
      </c>
      <c r="J1347">
        <v>87016.59</v>
      </c>
      <c r="K1347">
        <v>6977</v>
      </c>
      <c r="L1347" t="s">
        <v>78</v>
      </c>
      <c r="M1347" t="s">
        <v>17</v>
      </c>
      <c r="N1347">
        <v>79</v>
      </c>
      <c r="O1347">
        <v>15.95</v>
      </c>
      <c r="P1347">
        <v>10.1</v>
      </c>
      <c r="Q1347" s="1">
        <v>6.6</v>
      </c>
      <c r="R1347" s="1" t="str">
        <v/>
      </c>
      <c r="S1347" s="3">
        <v>5.5503355475529537E-2</v>
      </c>
      <c r="T1347" s="3">
        <v>0</v>
      </c>
    </row>
    <row r="1348" spans="1:20" x14ac:dyDescent="0.25">
      <c r="A1348" t="s">
        <v>78</v>
      </c>
      <c r="B1348" t="s">
        <v>79</v>
      </c>
      <c r="C1348" t="s">
        <v>5703</v>
      </c>
      <c r="D1348" t="s">
        <v>5702</v>
      </c>
      <c r="E1348">
        <v>67.010000000000005</v>
      </c>
      <c r="F1348">
        <v>67.58</v>
      </c>
      <c r="G1348">
        <v>74.45</v>
      </c>
      <c r="H1348">
        <v>65.180000000000007</v>
      </c>
      <c r="I1348" s="1">
        <v>73.010000000000005</v>
      </c>
      <c r="J1348">
        <v>991734219.03999996</v>
      </c>
      <c r="K1348">
        <v>13739030</v>
      </c>
      <c r="L1348" t="s">
        <v>78</v>
      </c>
      <c r="M1348" t="s">
        <v>17</v>
      </c>
      <c r="N1348">
        <v>63966</v>
      </c>
      <c r="O1348">
        <v>77.2</v>
      </c>
      <c r="P1348">
        <v>45</v>
      </c>
      <c r="Q1348" s="1" t="str">
        <v/>
      </c>
      <c r="R1348" s="1" t="str">
        <v/>
      </c>
      <c r="S1348" s="3">
        <v>0</v>
      </c>
      <c r="T1348" s="3">
        <v>0</v>
      </c>
    </row>
    <row r="1349" spans="1:20" x14ac:dyDescent="0.25">
      <c r="A1349" t="s">
        <v>78</v>
      </c>
      <c r="B1349" t="s">
        <v>287</v>
      </c>
      <c r="C1349" t="s">
        <v>5701</v>
      </c>
      <c r="D1349" t="s">
        <v>5700</v>
      </c>
      <c r="E1349">
        <v>2105.8000000000002</v>
      </c>
      <c r="F1349">
        <v>2105.8000000000002</v>
      </c>
      <c r="G1349">
        <v>2105.8000000000002</v>
      </c>
      <c r="H1349">
        <v>1956</v>
      </c>
      <c r="I1349" s="1">
        <v>2018.1</v>
      </c>
      <c r="J1349">
        <v>48980355</v>
      </c>
      <c r="K1349">
        <v>24400</v>
      </c>
      <c r="L1349" t="s">
        <v>78</v>
      </c>
      <c r="M1349" t="s">
        <v>17</v>
      </c>
      <c r="N1349">
        <v>197</v>
      </c>
      <c r="O1349">
        <v>2840</v>
      </c>
      <c r="P1349">
        <v>730</v>
      </c>
      <c r="Q1349" s="1" t="str">
        <v/>
      </c>
      <c r="R1349" s="1" t="str">
        <v/>
      </c>
      <c r="S1349" s="3">
        <v>0</v>
      </c>
      <c r="T1349" s="3">
        <v>0</v>
      </c>
    </row>
    <row r="1350" spans="1:20" x14ac:dyDescent="0.25">
      <c r="A1350" t="s">
        <v>78</v>
      </c>
      <c r="B1350" t="s">
        <v>79</v>
      </c>
      <c r="C1350" t="s">
        <v>1965</v>
      </c>
      <c r="D1350" t="s">
        <v>1966</v>
      </c>
      <c r="E1350">
        <v>495.15</v>
      </c>
      <c r="F1350">
        <v>499</v>
      </c>
      <c r="G1350">
        <v>504</v>
      </c>
      <c r="H1350">
        <v>489</v>
      </c>
      <c r="I1350" s="1">
        <v>496.05</v>
      </c>
      <c r="J1350">
        <v>5158839.6500000004</v>
      </c>
      <c r="K1350">
        <v>10392</v>
      </c>
      <c r="L1350" t="s">
        <v>78</v>
      </c>
      <c r="M1350" t="s">
        <v>17</v>
      </c>
      <c r="N1350">
        <v>879</v>
      </c>
      <c r="O1350">
        <v>548</v>
      </c>
      <c r="P1350">
        <v>269</v>
      </c>
      <c r="Q1350" s="1">
        <v>241</v>
      </c>
      <c r="R1350" s="1">
        <v>154.1</v>
      </c>
      <c r="S1350" s="3">
        <v>6.2002895791941848E-2</v>
      </c>
      <c r="T1350" s="3">
        <v>6.0162011388566361E-2</v>
      </c>
    </row>
    <row r="1351" spans="1:20" x14ac:dyDescent="0.25">
      <c r="A1351" t="s">
        <v>78</v>
      </c>
      <c r="B1351" t="s">
        <v>79</v>
      </c>
      <c r="C1351" t="s">
        <v>1967</v>
      </c>
      <c r="D1351" t="s">
        <v>1968</v>
      </c>
      <c r="E1351">
        <v>329.45</v>
      </c>
      <c r="F1351">
        <v>326.5</v>
      </c>
      <c r="G1351">
        <v>331</v>
      </c>
      <c r="H1351">
        <v>322.5</v>
      </c>
      <c r="I1351" s="1">
        <v>323.8</v>
      </c>
      <c r="J1351">
        <v>29405734.300000001</v>
      </c>
      <c r="K1351">
        <v>90102</v>
      </c>
      <c r="L1351" t="s">
        <v>78</v>
      </c>
      <c r="M1351" t="s">
        <v>17</v>
      </c>
      <c r="N1351">
        <v>6410</v>
      </c>
      <c r="O1351">
        <v>401.55</v>
      </c>
      <c r="P1351">
        <v>213</v>
      </c>
      <c r="Q1351" s="1">
        <v>140.6</v>
      </c>
      <c r="R1351" s="1">
        <v>123</v>
      </c>
      <c r="S1351" s="3">
        <v>7.1990558409050998E-2</v>
      </c>
      <c r="T1351" s="3">
        <v>4.9559528895482652E-2</v>
      </c>
    </row>
    <row r="1352" spans="1:20" x14ac:dyDescent="0.25">
      <c r="A1352" t="s">
        <v>78</v>
      </c>
      <c r="B1352" t="s">
        <v>79</v>
      </c>
      <c r="C1352" t="s">
        <v>5699</v>
      </c>
      <c r="D1352" t="s">
        <v>5698</v>
      </c>
      <c r="E1352">
        <v>90.09</v>
      </c>
      <c r="F1352">
        <v>89.95</v>
      </c>
      <c r="G1352">
        <v>92.59</v>
      </c>
      <c r="H1352">
        <v>87.24</v>
      </c>
      <c r="I1352" s="1">
        <v>88.11</v>
      </c>
      <c r="J1352">
        <v>11654442.939999999</v>
      </c>
      <c r="K1352">
        <v>130551</v>
      </c>
      <c r="L1352" t="s">
        <v>78</v>
      </c>
      <c r="M1352" t="s">
        <v>17</v>
      </c>
      <c r="N1352">
        <v>3312</v>
      </c>
      <c r="O1352">
        <v>149</v>
      </c>
      <c r="P1352">
        <v>68.05</v>
      </c>
      <c r="Q1352" s="1" t="str">
        <v/>
      </c>
      <c r="R1352" s="1" t="str">
        <v/>
      </c>
      <c r="S1352" s="3">
        <v>0</v>
      </c>
      <c r="T1352" s="3">
        <v>0</v>
      </c>
    </row>
    <row r="1353" spans="1:20" x14ac:dyDescent="0.25">
      <c r="A1353" t="s">
        <v>78</v>
      </c>
      <c r="B1353" t="s">
        <v>79</v>
      </c>
      <c r="C1353" t="s">
        <v>1969</v>
      </c>
      <c r="D1353" t="s">
        <v>1970</v>
      </c>
      <c r="E1353">
        <v>4469.6000000000004</v>
      </c>
      <c r="F1353">
        <v>4486.8999999999996</v>
      </c>
      <c r="G1353">
        <v>4513.25</v>
      </c>
      <c r="H1353">
        <v>4377</v>
      </c>
      <c r="I1353" s="1">
        <v>4400.3999999999996</v>
      </c>
      <c r="J1353">
        <v>26416813.699999999</v>
      </c>
      <c r="K1353">
        <v>5976</v>
      </c>
      <c r="L1353" t="s">
        <v>78</v>
      </c>
      <c r="M1353" t="s">
        <v>17</v>
      </c>
      <c r="N1353">
        <v>1744</v>
      </c>
      <c r="O1353">
        <v>4775</v>
      </c>
      <c r="P1353">
        <v>2350.5</v>
      </c>
      <c r="Q1353" s="1">
        <v>1752.05</v>
      </c>
      <c r="R1353" s="1">
        <v>990</v>
      </c>
      <c r="S1353" s="3">
        <v>7.9763903729673791E-2</v>
      </c>
      <c r="T1353" s="3">
        <v>7.7395378456509123E-2</v>
      </c>
    </row>
    <row r="1354" spans="1:20" x14ac:dyDescent="0.25">
      <c r="A1354" t="s">
        <v>78</v>
      </c>
      <c r="B1354" t="s">
        <v>79</v>
      </c>
      <c r="C1354" t="s">
        <v>5697</v>
      </c>
      <c r="D1354" t="s">
        <v>5696</v>
      </c>
      <c r="E1354">
        <v>58.8</v>
      </c>
      <c r="F1354">
        <v>58.74</v>
      </c>
      <c r="G1354">
        <v>58.91</v>
      </c>
      <c r="H1354">
        <v>57.73</v>
      </c>
      <c r="I1354" s="1">
        <v>57.83</v>
      </c>
      <c r="J1354">
        <v>303226372.47000003</v>
      </c>
      <c r="K1354">
        <v>5219901</v>
      </c>
      <c r="L1354" t="s">
        <v>78</v>
      </c>
      <c r="M1354" t="s">
        <v>17</v>
      </c>
      <c r="N1354">
        <v>25322</v>
      </c>
      <c r="O1354">
        <v>73.7</v>
      </c>
      <c r="P1354">
        <v>39.15</v>
      </c>
      <c r="Q1354" s="1" t="str">
        <v/>
      </c>
      <c r="R1354" s="1" t="str">
        <v/>
      </c>
      <c r="S1354" s="3">
        <v>0</v>
      </c>
      <c r="T1354" s="3">
        <v>0</v>
      </c>
    </row>
    <row r="1355" spans="1:20" x14ac:dyDescent="0.25">
      <c r="A1355" t="s">
        <v>78</v>
      </c>
      <c r="B1355" t="s">
        <v>79</v>
      </c>
      <c r="C1355" t="s">
        <v>1971</v>
      </c>
      <c r="D1355" t="s">
        <v>1972</v>
      </c>
      <c r="E1355">
        <v>1462.15</v>
      </c>
      <c r="F1355">
        <v>1451</v>
      </c>
      <c r="G1355">
        <v>1520</v>
      </c>
      <c r="H1355">
        <v>1415</v>
      </c>
      <c r="I1355" s="1">
        <v>1478.05</v>
      </c>
      <c r="J1355">
        <v>138276245.5</v>
      </c>
      <c r="K1355">
        <v>93781</v>
      </c>
      <c r="L1355" t="s">
        <v>78</v>
      </c>
      <c r="M1355" t="s">
        <v>17</v>
      </c>
      <c r="N1355">
        <v>13626</v>
      </c>
      <c r="O1355">
        <v>1822.95</v>
      </c>
      <c r="P1355">
        <v>945</v>
      </c>
      <c r="Q1355" s="1">
        <v>694.8</v>
      </c>
      <c r="R1355" s="1">
        <v>302.85000000000002</v>
      </c>
      <c r="S1355" s="3">
        <v>6.4925213545135474E-2</v>
      </c>
      <c r="T1355" s="3">
        <v>8.2440979890400445E-2</v>
      </c>
    </row>
    <row r="1356" spans="1:20" x14ac:dyDescent="0.25">
      <c r="A1356" t="s">
        <v>78</v>
      </c>
      <c r="B1356" t="s">
        <v>79</v>
      </c>
      <c r="C1356" t="s">
        <v>1973</v>
      </c>
      <c r="D1356" t="s">
        <v>1974</v>
      </c>
      <c r="E1356">
        <v>274.60000000000002</v>
      </c>
      <c r="F1356">
        <v>274.60000000000002</v>
      </c>
      <c r="G1356">
        <v>275.8</v>
      </c>
      <c r="H1356">
        <v>269.05</v>
      </c>
      <c r="I1356" s="1">
        <v>270.8</v>
      </c>
      <c r="J1356">
        <v>4229560.8499999996</v>
      </c>
      <c r="K1356">
        <v>15577</v>
      </c>
      <c r="L1356" t="s">
        <v>78</v>
      </c>
      <c r="M1356" t="s">
        <v>17</v>
      </c>
      <c r="N1356">
        <v>935</v>
      </c>
      <c r="O1356">
        <v>468.8</v>
      </c>
      <c r="P1356">
        <v>240</v>
      </c>
      <c r="Q1356" s="1">
        <v>1570.6</v>
      </c>
      <c r="R1356" s="1" t="str">
        <v/>
      </c>
      <c r="S1356" s="3">
        <v>-0.13626220780350051</v>
      </c>
      <c r="T1356" s="3">
        <v>0</v>
      </c>
    </row>
    <row r="1357" spans="1:20" x14ac:dyDescent="0.25">
      <c r="A1357" t="s">
        <v>78</v>
      </c>
      <c r="B1357" t="s">
        <v>79</v>
      </c>
      <c r="C1357" t="s">
        <v>5695</v>
      </c>
      <c r="D1357" t="s">
        <v>5694</v>
      </c>
      <c r="E1357">
        <v>4938.95</v>
      </c>
      <c r="F1357">
        <v>4930</v>
      </c>
      <c r="G1357">
        <v>4980</v>
      </c>
      <c r="H1357">
        <v>4855</v>
      </c>
      <c r="I1357" s="1">
        <v>4922.3999999999996</v>
      </c>
      <c r="J1357">
        <v>172309150.15000001</v>
      </c>
      <c r="K1357">
        <v>35084</v>
      </c>
      <c r="L1357" t="s">
        <v>78</v>
      </c>
      <c r="M1357" t="s">
        <v>17</v>
      </c>
      <c r="N1357">
        <v>9705</v>
      </c>
      <c r="O1357">
        <v>5500</v>
      </c>
      <c r="P1357">
        <v>2100</v>
      </c>
      <c r="Q1357" s="1" t="str">
        <v/>
      </c>
      <c r="R1357" s="1" t="str">
        <v/>
      </c>
      <c r="S1357" s="3">
        <v>0</v>
      </c>
      <c r="T1357" s="3">
        <v>0</v>
      </c>
    </row>
    <row r="1358" spans="1:20" x14ac:dyDescent="0.25">
      <c r="A1358" t="s">
        <v>78</v>
      </c>
      <c r="B1358" t="s">
        <v>79</v>
      </c>
      <c r="C1358" t="s">
        <v>5693</v>
      </c>
      <c r="D1358" t="s">
        <v>5692</v>
      </c>
      <c r="E1358">
        <v>357.25</v>
      </c>
      <c r="F1358">
        <v>354</v>
      </c>
      <c r="G1358">
        <v>357.35</v>
      </c>
      <c r="H1358">
        <v>347.5</v>
      </c>
      <c r="I1358" s="1">
        <v>348.75</v>
      </c>
      <c r="J1358">
        <v>86193894.599999994</v>
      </c>
      <c r="K1358">
        <v>245152</v>
      </c>
      <c r="L1358" t="s">
        <v>78</v>
      </c>
      <c r="M1358" t="s">
        <v>17</v>
      </c>
      <c r="N1358">
        <v>11241</v>
      </c>
      <c r="O1358">
        <v>398</v>
      </c>
      <c r="P1358">
        <v>291.3</v>
      </c>
      <c r="Q1358" s="1" t="str">
        <v/>
      </c>
      <c r="R1358" s="1" t="str">
        <v/>
      </c>
      <c r="S1358" s="3">
        <v>0</v>
      </c>
      <c r="T1358" s="3">
        <v>0</v>
      </c>
    </row>
    <row r="1359" spans="1:20" x14ac:dyDescent="0.25">
      <c r="A1359" t="s">
        <v>78</v>
      </c>
      <c r="B1359" t="s">
        <v>618</v>
      </c>
      <c r="C1359" t="s">
        <v>5691</v>
      </c>
      <c r="D1359" t="s">
        <v>5690</v>
      </c>
      <c r="E1359">
        <v>150.13999999999999</v>
      </c>
      <c r="F1359">
        <v>152.69999999999999</v>
      </c>
      <c r="G1359">
        <v>152.69999999999999</v>
      </c>
      <c r="H1359">
        <v>148.6</v>
      </c>
      <c r="I1359" s="1">
        <v>149.85</v>
      </c>
      <c r="J1359">
        <v>427482448.87</v>
      </c>
      <c r="K1359">
        <v>2848682</v>
      </c>
      <c r="L1359" t="s">
        <v>78</v>
      </c>
      <c r="M1359" t="s">
        <v>17</v>
      </c>
      <c r="N1359">
        <v>2956</v>
      </c>
      <c r="O1359">
        <v>153.65</v>
      </c>
      <c r="P1359">
        <v>113</v>
      </c>
      <c r="Q1359" s="1" t="str">
        <v/>
      </c>
      <c r="R1359" s="1" t="str">
        <v/>
      </c>
      <c r="S1359" s="3">
        <v>0</v>
      </c>
      <c r="T1359" s="3">
        <v>0</v>
      </c>
    </row>
    <row r="1360" spans="1:20" x14ac:dyDescent="0.25">
      <c r="A1360" t="s">
        <v>78</v>
      </c>
      <c r="B1360" t="s">
        <v>1352</v>
      </c>
      <c r="C1360" t="s">
        <v>5689</v>
      </c>
      <c r="D1360" t="s">
        <v>5688</v>
      </c>
      <c r="E1360">
        <v>101.75</v>
      </c>
      <c r="F1360">
        <v>102</v>
      </c>
      <c r="G1360">
        <v>102</v>
      </c>
      <c r="H1360">
        <v>102</v>
      </c>
      <c r="I1360" s="1">
        <v>102</v>
      </c>
      <c r="J1360">
        <v>40800000</v>
      </c>
      <c r="K1360">
        <v>400000</v>
      </c>
      <c r="L1360" t="s">
        <v>78</v>
      </c>
      <c r="M1360" t="s">
        <v>17</v>
      </c>
      <c r="N1360">
        <v>1</v>
      </c>
      <c r="O1360">
        <v>102</v>
      </c>
      <c r="P1360">
        <v>100.2</v>
      </c>
      <c r="Q1360" s="1" t="str">
        <v/>
      </c>
      <c r="R1360" s="1" t="str">
        <v/>
      </c>
      <c r="S1360" s="3">
        <v>0</v>
      </c>
      <c r="T1360" s="3">
        <v>0</v>
      </c>
    </row>
    <row r="1361" spans="1:20" x14ac:dyDescent="0.25">
      <c r="A1361" t="s">
        <v>78</v>
      </c>
      <c r="B1361" t="s">
        <v>79</v>
      </c>
      <c r="C1361" t="s">
        <v>5687</v>
      </c>
      <c r="D1361" t="s">
        <v>5686</v>
      </c>
      <c r="E1361">
        <v>181.21</v>
      </c>
      <c r="F1361">
        <v>181.2</v>
      </c>
      <c r="G1361">
        <v>181.72</v>
      </c>
      <c r="H1361">
        <v>177.11</v>
      </c>
      <c r="I1361" s="1">
        <v>180.69</v>
      </c>
      <c r="J1361">
        <v>888143227.15999997</v>
      </c>
      <c r="K1361">
        <v>4935845</v>
      </c>
      <c r="L1361" t="s">
        <v>78</v>
      </c>
      <c r="M1361" t="s">
        <v>17</v>
      </c>
      <c r="N1361">
        <v>69437</v>
      </c>
      <c r="O1361">
        <v>195.5</v>
      </c>
      <c r="P1361">
        <v>130.1</v>
      </c>
      <c r="Q1361" s="1" t="str">
        <v/>
      </c>
      <c r="R1361" s="1" t="str">
        <v/>
      </c>
      <c r="S1361" s="3">
        <v>0</v>
      </c>
      <c r="T1361" s="3">
        <v>0</v>
      </c>
    </row>
    <row r="1362" spans="1:20" x14ac:dyDescent="0.25">
      <c r="A1362" t="s">
        <v>78</v>
      </c>
      <c r="B1362" t="s">
        <v>79</v>
      </c>
      <c r="C1362" t="s">
        <v>1977</v>
      </c>
      <c r="D1362" t="s">
        <v>1978</v>
      </c>
      <c r="E1362">
        <v>439.6</v>
      </c>
      <c r="F1362">
        <v>444</v>
      </c>
      <c r="G1362">
        <v>498</v>
      </c>
      <c r="H1362">
        <v>441.35</v>
      </c>
      <c r="I1362" s="1">
        <v>468.8</v>
      </c>
      <c r="J1362">
        <v>256774328.15000001</v>
      </c>
      <c r="K1362">
        <v>538249</v>
      </c>
      <c r="L1362" t="s">
        <v>78</v>
      </c>
      <c r="M1362" t="s">
        <v>17</v>
      </c>
      <c r="N1362">
        <v>48098</v>
      </c>
      <c r="O1362">
        <v>503.2</v>
      </c>
      <c r="P1362">
        <v>293</v>
      </c>
      <c r="Q1362" s="1">
        <v>945</v>
      </c>
      <c r="R1362" s="1">
        <v>184.15</v>
      </c>
      <c r="S1362" s="3">
        <v>-5.6743841153081953E-2</v>
      </c>
      <c r="T1362" s="3">
        <v>4.7803106831629361E-2</v>
      </c>
    </row>
    <row r="1363" spans="1:20" x14ac:dyDescent="0.25">
      <c r="A1363" t="s">
        <v>78</v>
      </c>
      <c r="B1363" t="s">
        <v>79</v>
      </c>
      <c r="C1363" t="s">
        <v>5685</v>
      </c>
      <c r="D1363" t="s">
        <v>5684</v>
      </c>
      <c r="E1363">
        <v>57.31</v>
      </c>
      <c r="F1363">
        <v>58.8</v>
      </c>
      <c r="G1363">
        <v>58.8</v>
      </c>
      <c r="H1363">
        <v>56.1</v>
      </c>
      <c r="I1363" s="1">
        <v>56.4</v>
      </c>
      <c r="J1363">
        <v>2419309.2400000002</v>
      </c>
      <c r="K1363">
        <v>42600</v>
      </c>
      <c r="L1363" t="s">
        <v>78</v>
      </c>
      <c r="M1363" t="s">
        <v>17</v>
      </c>
      <c r="N1363">
        <v>552</v>
      </c>
      <c r="O1363">
        <v>79.400000000000006</v>
      </c>
      <c r="P1363">
        <v>45</v>
      </c>
      <c r="Q1363" s="1" t="str">
        <v/>
      </c>
      <c r="R1363" s="1" t="str">
        <v/>
      </c>
      <c r="S1363" s="3">
        <v>0</v>
      </c>
      <c r="T1363" s="3">
        <v>0</v>
      </c>
    </row>
    <row r="1364" spans="1:20" x14ac:dyDescent="0.25">
      <c r="A1364" t="s">
        <v>78</v>
      </c>
      <c r="B1364" t="s">
        <v>79</v>
      </c>
      <c r="C1364" t="s">
        <v>1979</v>
      </c>
      <c r="D1364" t="s">
        <v>1980</v>
      </c>
      <c r="E1364">
        <v>1727.45</v>
      </c>
      <c r="F1364">
        <v>1731.45</v>
      </c>
      <c r="G1364">
        <v>1731.45</v>
      </c>
      <c r="H1364">
        <v>1685.2</v>
      </c>
      <c r="I1364" s="1">
        <v>1718.55</v>
      </c>
      <c r="J1364">
        <v>1590593231.7</v>
      </c>
      <c r="K1364">
        <v>930615</v>
      </c>
      <c r="L1364" t="s">
        <v>78</v>
      </c>
      <c r="M1364" t="s">
        <v>17</v>
      </c>
      <c r="N1364">
        <v>45072</v>
      </c>
      <c r="O1364">
        <v>1953.05</v>
      </c>
      <c r="P1364">
        <v>1029.75</v>
      </c>
      <c r="Q1364" s="1">
        <v>695.6</v>
      </c>
      <c r="R1364" s="1">
        <v>549.65</v>
      </c>
      <c r="S1364" s="3">
        <v>7.8284965516802085E-2</v>
      </c>
      <c r="T1364" s="3">
        <v>5.8620355995720574E-2</v>
      </c>
    </row>
    <row r="1365" spans="1:20" x14ac:dyDescent="0.25">
      <c r="A1365" t="s">
        <v>78</v>
      </c>
      <c r="B1365" t="s">
        <v>79</v>
      </c>
      <c r="C1365" t="s">
        <v>1981</v>
      </c>
      <c r="D1365" t="s">
        <v>1982</v>
      </c>
      <c r="E1365">
        <v>360.05</v>
      </c>
      <c r="F1365">
        <v>396.05</v>
      </c>
      <c r="G1365">
        <v>396.05</v>
      </c>
      <c r="H1365">
        <v>390.05</v>
      </c>
      <c r="I1365" s="1">
        <v>396.05</v>
      </c>
      <c r="J1365">
        <v>51748966</v>
      </c>
      <c r="K1365">
        <v>130700</v>
      </c>
      <c r="L1365" t="s">
        <v>78</v>
      </c>
      <c r="M1365" t="s">
        <v>17</v>
      </c>
      <c r="N1365">
        <v>1259</v>
      </c>
      <c r="O1365">
        <v>396.05</v>
      </c>
      <c r="P1365">
        <v>193.15</v>
      </c>
      <c r="Q1365" s="1">
        <v>1088.0999999999999</v>
      </c>
      <c r="R1365" s="1">
        <v>1110</v>
      </c>
      <c r="S1365" s="3">
        <v>-8.0771599320408449E-2</v>
      </c>
      <c r="T1365" s="3">
        <v>-5.0196845793118339E-2</v>
      </c>
    </row>
    <row r="1366" spans="1:20" x14ac:dyDescent="0.25">
      <c r="A1366" t="s">
        <v>78</v>
      </c>
      <c r="B1366" t="s">
        <v>79</v>
      </c>
      <c r="C1366" t="s">
        <v>252</v>
      </c>
      <c r="D1366" t="s">
        <v>253</v>
      </c>
      <c r="E1366">
        <v>11092.6</v>
      </c>
      <c r="F1366">
        <v>11044.05</v>
      </c>
      <c r="G1366">
        <v>11204.2</v>
      </c>
      <c r="H1366">
        <v>10827.35</v>
      </c>
      <c r="I1366" s="1">
        <v>10941.95</v>
      </c>
      <c r="J1366">
        <v>5318559843</v>
      </c>
      <c r="K1366">
        <v>486345</v>
      </c>
      <c r="L1366" t="s">
        <v>78</v>
      </c>
      <c r="M1366" t="s">
        <v>546</v>
      </c>
      <c r="N1366">
        <v>62624</v>
      </c>
      <c r="O1366">
        <v>11240</v>
      </c>
      <c r="P1366">
        <v>3779.25</v>
      </c>
      <c r="Q1366" s="1">
        <v>4006</v>
      </c>
      <c r="R1366" s="1">
        <v>3300</v>
      </c>
      <c r="S1366" s="3">
        <v>8.7339875699091518E-2</v>
      </c>
      <c r="T1366" s="3">
        <v>6.1731700964009484E-2</v>
      </c>
    </row>
    <row r="1367" spans="1:20" x14ac:dyDescent="0.25">
      <c r="A1367" t="s">
        <v>78</v>
      </c>
      <c r="B1367" t="s">
        <v>79</v>
      </c>
      <c r="C1367" t="s">
        <v>1983</v>
      </c>
      <c r="D1367" t="s">
        <v>1984</v>
      </c>
      <c r="E1367">
        <v>618.5</v>
      </c>
      <c r="F1367">
        <v>622</v>
      </c>
      <c r="G1367">
        <v>624.70000000000005</v>
      </c>
      <c r="H1367">
        <v>580</v>
      </c>
      <c r="I1367" s="1">
        <v>584.9</v>
      </c>
      <c r="J1367">
        <v>7461006465.5</v>
      </c>
      <c r="K1367">
        <v>12569307</v>
      </c>
      <c r="L1367" t="s">
        <v>78</v>
      </c>
      <c r="M1367" t="s">
        <v>17</v>
      </c>
      <c r="N1367">
        <v>255121</v>
      </c>
      <c r="O1367">
        <v>743.6</v>
      </c>
      <c r="P1367">
        <v>253.7</v>
      </c>
      <c r="Q1367" s="1">
        <v>153.55000000000001</v>
      </c>
      <c r="R1367" s="1">
        <v>156.65</v>
      </c>
      <c r="S1367" s="3">
        <v>0.11789921207011567</v>
      </c>
      <c r="T1367" s="3">
        <v>6.8050762278927257E-2</v>
      </c>
    </row>
    <row r="1368" spans="1:20" x14ac:dyDescent="0.25">
      <c r="A1368" t="s">
        <v>78</v>
      </c>
      <c r="B1368" t="s">
        <v>79</v>
      </c>
      <c r="C1368" t="s">
        <v>3335</v>
      </c>
      <c r="D1368" t="s">
        <v>3336</v>
      </c>
      <c r="E1368">
        <v>1812.9</v>
      </c>
      <c r="F1368">
        <v>1811</v>
      </c>
      <c r="G1368">
        <v>1815.85</v>
      </c>
      <c r="H1368">
        <v>1760</v>
      </c>
      <c r="I1368" s="1">
        <v>1763.7</v>
      </c>
      <c r="J1368">
        <v>1601638202.2</v>
      </c>
      <c r="K1368">
        <v>902425</v>
      </c>
      <c r="L1368" t="s">
        <v>78</v>
      </c>
      <c r="M1368" t="s">
        <v>17</v>
      </c>
      <c r="N1368">
        <v>43821</v>
      </c>
      <c r="O1368">
        <v>2221.9499999999998</v>
      </c>
      <c r="P1368">
        <v>1013</v>
      </c>
      <c r="Q1368" s="1">
        <v>236</v>
      </c>
      <c r="R1368" s="1">
        <v>183.3</v>
      </c>
      <c r="S1368" s="3">
        <v>0.18247706489027116</v>
      </c>
      <c r="T1368" s="3">
        <v>0.11978897827541846</v>
      </c>
    </row>
    <row r="1369" spans="1:20" x14ac:dyDescent="0.25">
      <c r="A1369" t="s">
        <v>78</v>
      </c>
      <c r="B1369" t="s">
        <v>287</v>
      </c>
      <c r="C1369" t="s">
        <v>5683</v>
      </c>
      <c r="D1369" t="s">
        <v>5682</v>
      </c>
      <c r="E1369">
        <v>70.650000000000006</v>
      </c>
      <c r="F1369">
        <v>68</v>
      </c>
      <c r="G1369">
        <v>68</v>
      </c>
      <c r="H1369">
        <v>68</v>
      </c>
      <c r="I1369" s="1">
        <v>68</v>
      </c>
      <c r="J1369">
        <v>326400</v>
      </c>
      <c r="K1369">
        <v>4800</v>
      </c>
      <c r="L1369" t="s">
        <v>78</v>
      </c>
      <c r="M1369" t="s">
        <v>17</v>
      </c>
      <c r="N1369">
        <v>2</v>
      </c>
      <c r="O1369">
        <v>98.7</v>
      </c>
      <c r="P1369">
        <v>37.25</v>
      </c>
      <c r="Q1369" s="1" t="str">
        <v/>
      </c>
      <c r="R1369" s="1" t="str">
        <v/>
      </c>
      <c r="S1369" s="3">
        <v>0</v>
      </c>
      <c r="T1369" s="3">
        <v>0</v>
      </c>
    </row>
    <row r="1370" spans="1:20" x14ac:dyDescent="0.25">
      <c r="A1370" t="s">
        <v>78</v>
      </c>
      <c r="B1370" t="s">
        <v>287</v>
      </c>
      <c r="C1370" t="s">
        <v>5681</v>
      </c>
      <c r="D1370" t="s">
        <v>5680</v>
      </c>
      <c r="E1370">
        <v>519</v>
      </c>
      <c r="F1370">
        <v>529</v>
      </c>
      <c r="G1370">
        <v>529</v>
      </c>
      <c r="H1370">
        <v>493.05</v>
      </c>
      <c r="I1370" s="1">
        <v>494.9</v>
      </c>
      <c r="J1370">
        <v>9023040</v>
      </c>
      <c r="K1370">
        <v>18000</v>
      </c>
      <c r="L1370" t="s">
        <v>78</v>
      </c>
      <c r="M1370" t="s">
        <v>17</v>
      </c>
      <c r="N1370">
        <v>29</v>
      </c>
      <c r="O1370">
        <v>539.95000000000005</v>
      </c>
      <c r="P1370">
        <v>165.85</v>
      </c>
      <c r="Q1370" s="1" t="str">
        <v/>
      </c>
      <c r="R1370" s="1" t="str">
        <v/>
      </c>
      <c r="S1370" s="3">
        <v>0</v>
      </c>
      <c r="T1370" s="3">
        <v>0</v>
      </c>
    </row>
    <row r="1371" spans="1:20" x14ac:dyDescent="0.25">
      <c r="A1371" t="s">
        <v>78</v>
      </c>
      <c r="B1371" t="s">
        <v>79</v>
      </c>
      <c r="C1371" t="s">
        <v>3337</v>
      </c>
      <c r="D1371" t="s">
        <v>3338</v>
      </c>
      <c r="E1371">
        <v>68.64</v>
      </c>
      <c r="F1371">
        <v>69</v>
      </c>
      <c r="G1371">
        <v>69.95</v>
      </c>
      <c r="H1371">
        <v>66.05</v>
      </c>
      <c r="I1371" s="1">
        <v>68.7</v>
      </c>
      <c r="J1371">
        <v>141959780.97</v>
      </c>
      <c r="K1371">
        <v>2075827</v>
      </c>
      <c r="L1371" t="s">
        <v>78</v>
      </c>
      <c r="M1371" t="s">
        <v>17</v>
      </c>
      <c r="N1371">
        <v>8111</v>
      </c>
      <c r="O1371">
        <v>77.2</v>
      </c>
      <c r="P1371">
        <v>27.85</v>
      </c>
      <c r="Q1371" s="1">
        <v>47.45</v>
      </c>
      <c r="R1371" s="1">
        <v>20</v>
      </c>
      <c r="S1371" s="3">
        <v>3.131984980206437E-2</v>
      </c>
      <c r="T1371" s="3">
        <v>6.3608163936965667E-2</v>
      </c>
    </row>
    <row r="1372" spans="1:20" x14ac:dyDescent="0.25">
      <c r="A1372" t="s">
        <v>78</v>
      </c>
      <c r="B1372" t="s">
        <v>79</v>
      </c>
      <c r="C1372" t="s">
        <v>1993</v>
      </c>
      <c r="D1372" t="s">
        <v>1994</v>
      </c>
      <c r="E1372">
        <v>79.03</v>
      </c>
      <c r="F1372">
        <v>78.599999999999994</v>
      </c>
      <c r="G1372">
        <v>89.5</v>
      </c>
      <c r="H1372">
        <v>76.819999999999993</v>
      </c>
      <c r="I1372" s="1">
        <v>87.11</v>
      </c>
      <c r="J1372">
        <v>1444489794.03</v>
      </c>
      <c r="K1372">
        <v>16776683</v>
      </c>
      <c r="L1372" t="s">
        <v>78</v>
      </c>
      <c r="M1372" t="s">
        <v>17</v>
      </c>
      <c r="N1372">
        <v>86305</v>
      </c>
      <c r="O1372">
        <v>128.4</v>
      </c>
      <c r="P1372">
        <v>59.55</v>
      </c>
      <c r="Q1372" s="1">
        <v>138.5</v>
      </c>
      <c r="R1372" s="1">
        <v>26.5</v>
      </c>
      <c r="S1372" s="3">
        <v>-3.7904492548940016E-2</v>
      </c>
      <c r="T1372" s="3">
        <v>6.1272608554122199E-2</v>
      </c>
    </row>
    <row r="1373" spans="1:20" x14ac:dyDescent="0.25">
      <c r="A1373" t="s">
        <v>78</v>
      </c>
      <c r="B1373" t="s">
        <v>79</v>
      </c>
      <c r="C1373" t="s">
        <v>3339</v>
      </c>
      <c r="D1373" t="s">
        <v>5679</v>
      </c>
      <c r="E1373">
        <v>488.1</v>
      </c>
      <c r="F1373">
        <v>492.1</v>
      </c>
      <c r="G1373">
        <v>500</v>
      </c>
      <c r="H1373">
        <v>470</v>
      </c>
      <c r="I1373" s="1">
        <v>474.8</v>
      </c>
      <c r="J1373">
        <v>81188074.900000006</v>
      </c>
      <c r="K1373">
        <v>169188</v>
      </c>
      <c r="L1373" t="s">
        <v>78</v>
      </c>
      <c r="M1373" t="s">
        <v>17</v>
      </c>
      <c r="N1373">
        <v>11060</v>
      </c>
      <c r="O1373">
        <v>740</v>
      </c>
      <c r="P1373">
        <v>334.3</v>
      </c>
      <c r="Q1373" s="1">
        <v>257.8</v>
      </c>
      <c r="R1373" s="1">
        <v>58.25</v>
      </c>
      <c r="S1373" s="3">
        <v>5.2209737143801282E-2</v>
      </c>
      <c r="T1373" s="3">
        <v>0.11054404562758058</v>
      </c>
    </row>
    <row r="1374" spans="1:20" x14ac:dyDescent="0.25">
      <c r="A1374" t="s">
        <v>78</v>
      </c>
      <c r="B1374" t="s">
        <v>79</v>
      </c>
      <c r="C1374" t="s">
        <v>3341</v>
      </c>
      <c r="D1374" t="s">
        <v>3342</v>
      </c>
      <c r="E1374">
        <v>396.65</v>
      </c>
      <c r="F1374">
        <v>397.95</v>
      </c>
      <c r="G1374">
        <v>408</v>
      </c>
      <c r="H1374">
        <v>382.6</v>
      </c>
      <c r="I1374" s="1">
        <v>388.4</v>
      </c>
      <c r="J1374">
        <v>114153330.7</v>
      </c>
      <c r="K1374">
        <v>292606</v>
      </c>
      <c r="L1374" t="s">
        <v>78</v>
      </c>
      <c r="M1374" t="s">
        <v>17</v>
      </c>
      <c r="N1374">
        <v>6368</v>
      </c>
      <c r="O1374">
        <v>431.5</v>
      </c>
      <c r="P1374">
        <v>201.95</v>
      </c>
      <c r="Q1374" s="1">
        <v>166.25</v>
      </c>
      <c r="R1374" s="1">
        <v>62.1</v>
      </c>
      <c r="S1374" s="3">
        <v>7.3271994642674976E-2</v>
      </c>
      <c r="T1374" s="3">
        <v>9.5942022298754592E-2</v>
      </c>
    </row>
    <row r="1375" spans="1:20" x14ac:dyDescent="0.25">
      <c r="A1375" t="s">
        <v>78</v>
      </c>
      <c r="B1375" t="s">
        <v>79</v>
      </c>
      <c r="C1375" t="s">
        <v>1995</v>
      </c>
      <c r="D1375" t="s">
        <v>1996</v>
      </c>
      <c r="E1375">
        <v>180.26</v>
      </c>
      <c r="F1375">
        <v>179.94</v>
      </c>
      <c r="G1375">
        <v>181.39</v>
      </c>
      <c r="H1375">
        <v>175</v>
      </c>
      <c r="I1375" s="1">
        <v>176.34</v>
      </c>
      <c r="J1375">
        <v>1820725.84</v>
      </c>
      <c r="K1375">
        <v>10225</v>
      </c>
      <c r="L1375" t="s">
        <v>78</v>
      </c>
      <c r="M1375" t="s">
        <v>17</v>
      </c>
      <c r="N1375">
        <v>434</v>
      </c>
      <c r="O1375">
        <v>229.4</v>
      </c>
      <c r="P1375">
        <v>135.6</v>
      </c>
      <c r="Q1375" s="1">
        <v>72.099999999999994</v>
      </c>
      <c r="R1375" s="1">
        <v>109.25</v>
      </c>
      <c r="S1375" s="3">
        <v>7.7377655871168738E-2</v>
      </c>
      <c r="T1375" s="3">
        <v>2.4214160477046276E-2</v>
      </c>
    </row>
    <row r="1376" spans="1:20" x14ac:dyDescent="0.25">
      <c r="A1376" t="s">
        <v>78</v>
      </c>
      <c r="B1376" t="s">
        <v>79</v>
      </c>
      <c r="C1376" t="s">
        <v>3345</v>
      </c>
      <c r="D1376" t="s">
        <v>3346</v>
      </c>
      <c r="E1376">
        <v>1139.8499999999999</v>
      </c>
      <c r="F1376">
        <v>1139.8499999999999</v>
      </c>
      <c r="G1376">
        <v>1171.9000000000001</v>
      </c>
      <c r="H1376">
        <v>1127.8499999999999</v>
      </c>
      <c r="I1376" s="1">
        <v>1163.75</v>
      </c>
      <c r="J1376">
        <v>100674051.15000001</v>
      </c>
      <c r="K1376">
        <v>87352</v>
      </c>
      <c r="L1376" t="s">
        <v>78</v>
      </c>
      <c r="M1376" t="s">
        <v>17</v>
      </c>
      <c r="N1376">
        <v>12609</v>
      </c>
      <c r="O1376">
        <v>1359.95</v>
      </c>
      <c r="P1376">
        <v>702.75</v>
      </c>
      <c r="Q1376" s="1">
        <v>518.6</v>
      </c>
      <c r="R1376" s="1" t="str">
        <v/>
      </c>
      <c r="S1376" s="3">
        <v>6.9676032884733674E-2</v>
      </c>
      <c r="T1376" s="3">
        <v>0</v>
      </c>
    </row>
    <row r="1377" spans="1:20" x14ac:dyDescent="0.25">
      <c r="A1377" t="s">
        <v>78</v>
      </c>
      <c r="B1377" t="s">
        <v>287</v>
      </c>
      <c r="C1377" t="s">
        <v>5678</v>
      </c>
      <c r="D1377" t="s">
        <v>5677</v>
      </c>
      <c r="E1377">
        <v>2388.4499999999998</v>
      </c>
      <c r="F1377">
        <v>2382</v>
      </c>
      <c r="G1377">
        <v>2382</v>
      </c>
      <c r="H1377">
        <v>2290.1</v>
      </c>
      <c r="I1377" s="1">
        <v>2310.9499999999998</v>
      </c>
      <c r="J1377">
        <v>82462462.5</v>
      </c>
      <c r="K1377">
        <v>35550</v>
      </c>
      <c r="L1377" t="s">
        <v>78</v>
      </c>
      <c r="M1377" t="s">
        <v>17</v>
      </c>
      <c r="N1377">
        <v>212</v>
      </c>
      <c r="O1377">
        <v>2984</v>
      </c>
      <c r="P1377">
        <v>281</v>
      </c>
      <c r="Q1377" s="1" t="str">
        <v/>
      </c>
      <c r="R1377" s="1" t="str">
        <v/>
      </c>
      <c r="S1377" s="3">
        <v>0</v>
      </c>
      <c r="T1377" s="3">
        <v>0</v>
      </c>
    </row>
    <row r="1378" spans="1:20" x14ac:dyDescent="0.25">
      <c r="A1378" t="s">
        <v>78</v>
      </c>
      <c r="B1378" t="s">
        <v>79</v>
      </c>
      <c r="C1378" t="s">
        <v>1997</v>
      </c>
      <c r="D1378" t="s">
        <v>1998</v>
      </c>
      <c r="E1378">
        <v>39.53</v>
      </c>
      <c r="F1378">
        <v>39.68</v>
      </c>
      <c r="G1378">
        <v>39.96</v>
      </c>
      <c r="H1378">
        <v>38.130000000000003</v>
      </c>
      <c r="I1378" s="1">
        <v>38.26</v>
      </c>
      <c r="J1378">
        <v>17917179.260000002</v>
      </c>
      <c r="K1378">
        <v>464802</v>
      </c>
      <c r="L1378" t="s">
        <v>78</v>
      </c>
      <c r="M1378" t="s">
        <v>17</v>
      </c>
      <c r="N1378">
        <v>5232</v>
      </c>
      <c r="O1378">
        <v>49.3</v>
      </c>
      <c r="P1378">
        <v>27</v>
      </c>
      <c r="Q1378" s="1">
        <v>28.45</v>
      </c>
      <c r="R1378" s="1">
        <v>18.3</v>
      </c>
      <c r="S1378" s="3">
        <v>2.4995340732605564E-2</v>
      </c>
      <c r="T1378" s="3">
        <v>3.7542566971471736E-2</v>
      </c>
    </row>
    <row r="1379" spans="1:20" x14ac:dyDescent="0.25">
      <c r="A1379" t="s">
        <v>78</v>
      </c>
      <c r="B1379" t="s">
        <v>79</v>
      </c>
      <c r="C1379" t="s">
        <v>2001</v>
      </c>
      <c r="D1379" t="s">
        <v>2002</v>
      </c>
      <c r="E1379">
        <v>11.31</v>
      </c>
      <c r="F1379">
        <v>11.89</v>
      </c>
      <c r="G1379">
        <v>11.89</v>
      </c>
      <c r="H1379">
        <v>10.9</v>
      </c>
      <c r="I1379" s="1">
        <v>11</v>
      </c>
      <c r="J1379">
        <v>1248699.07</v>
      </c>
      <c r="K1379">
        <v>112184</v>
      </c>
      <c r="L1379" t="s">
        <v>78</v>
      </c>
      <c r="M1379" t="s">
        <v>17</v>
      </c>
      <c r="N1379">
        <v>607</v>
      </c>
      <c r="O1379">
        <v>14.45</v>
      </c>
      <c r="P1379">
        <v>5.15</v>
      </c>
      <c r="Q1379" s="1">
        <v>10.6</v>
      </c>
      <c r="R1379" s="1">
        <v>12.5</v>
      </c>
      <c r="S1379" s="3">
        <v>3.0915416283598951E-3</v>
      </c>
      <c r="T1379" s="3">
        <v>-6.3678072423148935E-3</v>
      </c>
    </row>
    <row r="1380" spans="1:20" x14ac:dyDescent="0.25">
      <c r="A1380" t="s">
        <v>78</v>
      </c>
      <c r="B1380" t="s">
        <v>79</v>
      </c>
      <c r="C1380" t="s">
        <v>2003</v>
      </c>
      <c r="D1380" t="s">
        <v>2004</v>
      </c>
      <c r="E1380">
        <v>396.7</v>
      </c>
      <c r="F1380">
        <v>396.7</v>
      </c>
      <c r="G1380">
        <v>398</v>
      </c>
      <c r="H1380">
        <v>386.3</v>
      </c>
      <c r="I1380" s="1">
        <v>391.95</v>
      </c>
      <c r="J1380">
        <v>5149848.3</v>
      </c>
      <c r="K1380">
        <v>13191</v>
      </c>
      <c r="L1380" t="s">
        <v>78</v>
      </c>
      <c r="M1380" t="s">
        <v>17</v>
      </c>
      <c r="N1380">
        <v>1512</v>
      </c>
      <c r="O1380">
        <v>546.95000000000005</v>
      </c>
      <c r="P1380">
        <v>302</v>
      </c>
      <c r="Q1380" s="1">
        <v>321</v>
      </c>
      <c r="R1380" s="1">
        <v>118</v>
      </c>
      <c r="S1380" s="3">
        <v>1.6780330769367025E-2</v>
      </c>
      <c r="T1380" s="3">
        <v>6.1825516019812232E-2</v>
      </c>
    </row>
    <row r="1381" spans="1:20" x14ac:dyDescent="0.25">
      <c r="A1381" t="s">
        <v>78</v>
      </c>
      <c r="B1381" t="s">
        <v>79</v>
      </c>
      <c r="C1381" t="s">
        <v>2005</v>
      </c>
      <c r="D1381" t="s">
        <v>2006</v>
      </c>
      <c r="E1381">
        <v>303.10000000000002</v>
      </c>
      <c r="F1381">
        <v>305.89999999999998</v>
      </c>
      <c r="G1381">
        <v>332.9</v>
      </c>
      <c r="H1381">
        <v>304.3</v>
      </c>
      <c r="I1381" s="1">
        <v>324.64999999999998</v>
      </c>
      <c r="J1381">
        <v>2546828576.1500001</v>
      </c>
      <c r="K1381">
        <v>7946932</v>
      </c>
      <c r="L1381" t="s">
        <v>78</v>
      </c>
      <c r="M1381" t="s">
        <v>17</v>
      </c>
      <c r="N1381">
        <v>97611</v>
      </c>
      <c r="O1381">
        <v>332.9</v>
      </c>
      <c r="P1381">
        <v>138.6</v>
      </c>
      <c r="Q1381" s="1">
        <v>144.5</v>
      </c>
      <c r="R1381" s="1">
        <v>103.1</v>
      </c>
      <c r="S1381" s="3">
        <v>6.9782846787967534E-2</v>
      </c>
      <c r="T1381" s="3">
        <v>5.899569941725491E-2</v>
      </c>
    </row>
    <row r="1382" spans="1:20" x14ac:dyDescent="0.25">
      <c r="A1382" t="s">
        <v>78</v>
      </c>
      <c r="B1382" t="s">
        <v>79</v>
      </c>
      <c r="C1382" t="s">
        <v>5676</v>
      </c>
      <c r="D1382" t="s">
        <v>5675</v>
      </c>
      <c r="E1382">
        <v>52.14</v>
      </c>
      <c r="F1382">
        <v>52.14</v>
      </c>
      <c r="G1382">
        <v>52.14</v>
      </c>
      <c r="H1382">
        <v>49.61</v>
      </c>
      <c r="I1382" s="1">
        <v>51</v>
      </c>
      <c r="J1382">
        <v>37182974.630000003</v>
      </c>
      <c r="K1382">
        <v>724109</v>
      </c>
      <c r="L1382" t="s">
        <v>78</v>
      </c>
      <c r="M1382" t="s">
        <v>17</v>
      </c>
      <c r="N1382">
        <v>3503</v>
      </c>
      <c r="O1382">
        <v>57.89</v>
      </c>
      <c r="P1382">
        <v>40.1</v>
      </c>
      <c r="Q1382" s="1" t="str">
        <v/>
      </c>
      <c r="R1382" s="1" t="str">
        <v/>
      </c>
      <c r="S1382" s="3">
        <v>0</v>
      </c>
      <c r="T1382" s="3">
        <v>0</v>
      </c>
    </row>
    <row r="1383" spans="1:20" x14ac:dyDescent="0.25">
      <c r="A1383" t="s">
        <v>78</v>
      </c>
      <c r="B1383" t="s">
        <v>79</v>
      </c>
      <c r="C1383" t="s">
        <v>2007</v>
      </c>
      <c r="D1383" t="s">
        <v>2008</v>
      </c>
      <c r="E1383">
        <v>266.3</v>
      </c>
      <c r="F1383">
        <v>266.3</v>
      </c>
      <c r="G1383">
        <v>267.60000000000002</v>
      </c>
      <c r="H1383">
        <v>261.3</v>
      </c>
      <c r="I1383" s="1">
        <v>264.89999999999998</v>
      </c>
      <c r="J1383">
        <v>62872869.5</v>
      </c>
      <c r="K1383">
        <v>237916</v>
      </c>
      <c r="L1383" t="s">
        <v>78</v>
      </c>
      <c r="M1383" t="s">
        <v>17</v>
      </c>
      <c r="N1383">
        <v>11568</v>
      </c>
      <c r="O1383">
        <v>287.05</v>
      </c>
      <c r="P1383">
        <v>189</v>
      </c>
      <c r="Q1383" s="1">
        <v>330.1</v>
      </c>
      <c r="R1383" s="1">
        <v>151.69999999999999</v>
      </c>
      <c r="S1383" s="3">
        <v>-1.816983817295581E-2</v>
      </c>
      <c r="T1383" s="3">
        <v>2.8248748823272996E-2</v>
      </c>
    </row>
    <row r="1384" spans="1:20" x14ac:dyDescent="0.25">
      <c r="A1384" t="s">
        <v>78</v>
      </c>
      <c r="B1384" t="s">
        <v>79</v>
      </c>
      <c r="C1384" t="s">
        <v>2009</v>
      </c>
      <c r="D1384" t="s">
        <v>2010</v>
      </c>
      <c r="E1384">
        <v>135.16999999999999</v>
      </c>
      <c r="F1384">
        <v>135</v>
      </c>
      <c r="G1384">
        <v>137.99</v>
      </c>
      <c r="H1384">
        <v>131</v>
      </c>
      <c r="I1384" s="1">
        <v>132.16</v>
      </c>
      <c r="J1384">
        <v>30800299.93</v>
      </c>
      <c r="K1384">
        <v>229894</v>
      </c>
      <c r="L1384" t="s">
        <v>78</v>
      </c>
      <c r="M1384" t="s">
        <v>17</v>
      </c>
      <c r="N1384">
        <v>5500</v>
      </c>
      <c r="O1384">
        <v>154.80000000000001</v>
      </c>
      <c r="P1384">
        <v>79.05</v>
      </c>
      <c r="Q1384" s="1">
        <v>36.799999999999997</v>
      </c>
      <c r="R1384" s="1">
        <v>35.549999999999997</v>
      </c>
      <c r="S1384" s="3">
        <v>0.11242571009199609</v>
      </c>
      <c r="T1384" s="3">
        <v>6.7818415102935514E-2</v>
      </c>
    </row>
    <row r="1385" spans="1:20" x14ac:dyDescent="0.25">
      <c r="A1385" t="s">
        <v>78</v>
      </c>
      <c r="B1385" t="s">
        <v>79</v>
      </c>
      <c r="C1385" t="s">
        <v>2011</v>
      </c>
      <c r="D1385" t="s">
        <v>2012</v>
      </c>
      <c r="E1385">
        <v>101.61</v>
      </c>
      <c r="F1385">
        <v>103.65</v>
      </c>
      <c r="G1385">
        <v>103.69</v>
      </c>
      <c r="H1385">
        <v>100</v>
      </c>
      <c r="I1385" s="1">
        <v>100.19</v>
      </c>
      <c r="J1385">
        <v>2155081.9700000002</v>
      </c>
      <c r="K1385">
        <v>21513</v>
      </c>
      <c r="L1385" t="s">
        <v>78</v>
      </c>
      <c r="M1385" t="s">
        <v>17</v>
      </c>
      <c r="N1385">
        <v>340</v>
      </c>
      <c r="O1385">
        <v>120.65</v>
      </c>
      <c r="P1385">
        <v>79.400000000000006</v>
      </c>
      <c r="Q1385" s="1">
        <v>83</v>
      </c>
      <c r="R1385" s="1">
        <v>121.15</v>
      </c>
      <c r="S1385" s="3">
        <v>1.5809313477327613E-2</v>
      </c>
      <c r="T1385" s="3">
        <v>-9.4479367567161798E-3</v>
      </c>
    </row>
    <row r="1386" spans="1:20" x14ac:dyDescent="0.25">
      <c r="A1386" t="s">
        <v>78</v>
      </c>
      <c r="B1386" t="s">
        <v>79</v>
      </c>
      <c r="C1386" t="s">
        <v>2013</v>
      </c>
      <c r="D1386" t="s">
        <v>2014</v>
      </c>
      <c r="E1386">
        <v>58.22</v>
      </c>
      <c r="F1386">
        <v>58.19</v>
      </c>
      <c r="G1386">
        <v>58.22</v>
      </c>
      <c r="H1386">
        <v>55.79</v>
      </c>
      <c r="I1386" s="1">
        <v>56.59</v>
      </c>
      <c r="J1386">
        <v>149991682.59999999</v>
      </c>
      <c r="K1386">
        <v>2644247</v>
      </c>
      <c r="L1386" t="s">
        <v>78</v>
      </c>
      <c r="M1386" t="s">
        <v>17</v>
      </c>
      <c r="N1386">
        <v>14044</v>
      </c>
      <c r="O1386">
        <v>62.2</v>
      </c>
      <c r="P1386">
        <v>40.200000000000003</v>
      </c>
      <c r="Q1386" s="1">
        <v>29.3</v>
      </c>
      <c r="R1386" s="1">
        <v>26.2</v>
      </c>
      <c r="S1386" s="3">
        <v>5.6386087113582839E-2</v>
      </c>
      <c r="T1386" s="3">
        <v>3.9232601578947701E-2</v>
      </c>
    </row>
    <row r="1387" spans="1:20" x14ac:dyDescent="0.25">
      <c r="A1387" t="s">
        <v>78</v>
      </c>
      <c r="B1387" t="s">
        <v>79</v>
      </c>
      <c r="C1387" t="s">
        <v>2017</v>
      </c>
      <c r="D1387" t="s">
        <v>2018</v>
      </c>
      <c r="E1387">
        <v>7359.65</v>
      </c>
      <c r="F1387">
        <v>7415</v>
      </c>
      <c r="G1387">
        <v>7498.95</v>
      </c>
      <c r="H1387">
        <v>7251</v>
      </c>
      <c r="I1387" s="1">
        <v>7292.2</v>
      </c>
      <c r="J1387">
        <v>115734395.09999999</v>
      </c>
      <c r="K1387">
        <v>15745</v>
      </c>
      <c r="L1387" t="s">
        <v>78</v>
      </c>
      <c r="M1387" t="s">
        <v>17</v>
      </c>
      <c r="N1387">
        <v>4629</v>
      </c>
      <c r="O1387">
        <v>8500</v>
      </c>
      <c r="P1387">
        <v>3650</v>
      </c>
      <c r="Q1387" s="1">
        <v>3187</v>
      </c>
      <c r="R1387" s="1">
        <v>666</v>
      </c>
      <c r="S1387" s="3">
        <v>7.1411677854549493E-2</v>
      </c>
      <c r="T1387" s="3">
        <v>0.12704370184489089</v>
      </c>
    </row>
    <row r="1388" spans="1:20" x14ac:dyDescent="0.25">
      <c r="A1388" t="s">
        <v>78</v>
      </c>
      <c r="B1388" t="s">
        <v>79</v>
      </c>
      <c r="C1388" t="s">
        <v>2019</v>
      </c>
      <c r="D1388" t="s">
        <v>2020</v>
      </c>
      <c r="E1388">
        <v>19.13</v>
      </c>
      <c r="F1388">
        <v>19.96</v>
      </c>
      <c r="G1388">
        <v>19.96</v>
      </c>
      <c r="H1388">
        <v>19</v>
      </c>
      <c r="I1388" s="1">
        <v>19.07</v>
      </c>
      <c r="J1388">
        <v>157246.29999999999</v>
      </c>
      <c r="K1388">
        <v>8166</v>
      </c>
      <c r="L1388" t="s">
        <v>78</v>
      </c>
      <c r="M1388" t="s">
        <v>17</v>
      </c>
      <c r="N1388">
        <v>109</v>
      </c>
      <c r="O1388">
        <v>26.35</v>
      </c>
      <c r="P1388">
        <v>16.2</v>
      </c>
      <c r="Q1388" s="1">
        <v>35.85</v>
      </c>
      <c r="R1388" s="1" t="str">
        <v/>
      </c>
      <c r="S1388" s="3">
        <v>-5.1242705995065196E-2</v>
      </c>
      <c r="T1388" s="3">
        <v>0</v>
      </c>
    </row>
    <row r="1389" spans="1:20" x14ac:dyDescent="0.25">
      <c r="A1389" t="s">
        <v>78</v>
      </c>
      <c r="B1389" t="s">
        <v>79</v>
      </c>
      <c r="C1389" t="s">
        <v>2023</v>
      </c>
      <c r="D1389" t="s">
        <v>2024</v>
      </c>
      <c r="E1389">
        <v>44.57</v>
      </c>
      <c r="F1389">
        <v>44.3</v>
      </c>
      <c r="G1389">
        <v>45.1</v>
      </c>
      <c r="H1389">
        <v>43.7</v>
      </c>
      <c r="I1389" s="1">
        <v>44.01</v>
      </c>
      <c r="J1389">
        <v>2516949.59</v>
      </c>
      <c r="K1389">
        <v>56789</v>
      </c>
      <c r="L1389" t="s">
        <v>78</v>
      </c>
      <c r="M1389" t="s">
        <v>17</v>
      </c>
      <c r="N1389">
        <v>1488</v>
      </c>
      <c r="O1389">
        <v>59</v>
      </c>
      <c r="P1389">
        <v>26.05</v>
      </c>
      <c r="Q1389" s="1">
        <v>18</v>
      </c>
      <c r="R1389" s="1">
        <v>5.65</v>
      </c>
      <c r="S1389" s="3">
        <v>7.7349394611130773E-2</v>
      </c>
      <c r="T1389" s="3">
        <v>0.10802799865076129</v>
      </c>
    </row>
    <row r="1390" spans="1:20" x14ac:dyDescent="0.25">
      <c r="A1390" t="s">
        <v>78</v>
      </c>
      <c r="B1390" t="s">
        <v>79</v>
      </c>
      <c r="C1390" t="s">
        <v>5674</v>
      </c>
      <c r="D1390" t="s">
        <v>5673</v>
      </c>
      <c r="E1390">
        <v>35.65</v>
      </c>
      <c r="F1390">
        <v>35.65</v>
      </c>
      <c r="G1390">
        <v>35.65</v>
      </c>
      <c r="H1390">
        <v>34.26</v>
      </c>
      <c r="I1390" s="1">
        <v>34.369999999999997</v>
      </c>
      <c r="J1390">
        <v>13950959.08</v>
      </c>
      <c r="K1390">
        <v>402821</v>
      </c>
      <c r="L1390" t="s">
        <v>78</v>
      </c>
      <c r="M1390" t="s">
        <v>17</v>
      </c>
      <c r="N1390">
        <v>4435</v>
      </c>
      <c r="O1390">
        <v>49.4</v>
      </c>
      <c r="P1390">
        <v>22.6</v>
      </c>
      <c r="Q1390" s="1" t="str">
        <v/>
      </c>
      <c r="R1390" s="1" t="str">
        <v/>
      </c>
      <c r="S1390" s="3">
        <v>0</v>
      </c>
      <c r="T1390" s="3">
        <v>0</v>
      </c>
    </row>
    <row r="1391" spans="1:20" x14ac:dyDescent="0.25">
      <c r="A1391" t="s">
        <v>78</v>
      </c>
      <c r="B1391" t="s">
        <v>79</v>
      </c>
      <c r="C1391" t="s">
        <v>5672</v>
      </c>
      <c r="D1391" t="s">
        <v>5671</v>
      </c>
      <c r="E1391">
        <v>26.22</v>
      </c>
      <c r="F1391">
        <v>26.58</v>
      </c>
      <c r="G1391">
        <v>26.58</v>
      </c>
      <c r="H1391">
        <v>25.11</v>
      </c>
      <c r="I1391" s="1">
        <v>25.42</v>
      </c>
      <c r="J1391">
        <v>1651056.02</v>
      </c>
      <c r="K1391">
        <v>64396</v>
      </c>
      <c r="L1391" t="s">
        <v>78</v>
      </c>
      <c r="M1391" t="s">
        <v>17</v>
      </c>
      <c r="N1391">
        <v>433</v>
      </c>
      <c r="O1391">
        <v>379</v>
      </c>
      <c r="P1391">
        <v>23.25</v>
      </c>
      <c r="Q1391" s="1" t="str">
        <v/>
      </c>
      <c r="R1391" s="1">
        <v>25</v>
      </c>
      <c r="S1391" s="3">
        <v>0</v>
      </c>
      <c r="T1391" s="3">
        <v>8.3291252333972388E-4</v>
      </c>
    </row>
    <row r="1392" spans="1:20" x14ac:dyDescent="0.25">
      <c r="A1392" t="s">
        <v>78</v>
      </c>
      <c r="B1392" t="s">
        <v>287</v>
      </c>
      <c r="C1392" t="s">
        <v>5670</v>
      </c>
      <c r="D1392" t="s">
        <v>5669</v>
      </c>
      <c r="E1392">
        <v>1239.75</v>
      </c>
      <c r="F1392">
        <v>1211</v>
      </c>
      <c r="G1392">
        <v>1211</v>
      </c>
      <c r="H1392">
        <v>1177.8</v>
      </c>
      <c r="I1392" s="1">
        <v>1177.8</v>
      </c>
      <c r="J1392">
        <v>75721360</v>
      </c>
      <c r="K1392">
        <v>64000</v>
      </c>
      <c r="L1392" t="s">
        <v>78</v>
      </c>
      <c r="M1392" t="s">
        <v>17</v>
      </c>
      <c r="N1392">
        <v>40</v>
      </c>
      <c r="O1392">
        <v>1569</v>
      </c>
      <c r="P1392">
        <v>231.35</v>
      </c>
      <c r="Q1392" s="1" t="str">
        <v/>
      </c>
      <c r="R1392" s="1" t="str">
        <v/>
      </c>
      <c r="S1392" s="3">
        <v>0</v>
      </c>
      <c r="T1392" s="3">
        <v>0</v>
      </c>
    </row>
    <row r="1393" spans="1:20" x14ac:dyDescent="0.25">
      <c r="A1393" t="s">
        <v>78</v>
      </c>
      <c r="B1393" t="s">
        <v>79</v>
      </c>
      <c r="C1393" t="s">
        <v>2025</v>
      </c>
      <c r="D1393" t="s">
        <v>2026</v>
      </c>
      <c r="E1393">
        <v>40953</v>
      </c>
      <c r="F1393">
        <v>40580</v>
      </c>
      <c r="G1393">
        <v>40942.449999999997</v>
      </c>
      <c r="H1393">
        <v>39690</v>
      </c>
      <c r="I1393" s="1">
        <v>40143.050000000003</v>
      </c>
      <c r="J1393">
        <v>1106261814.45</v>
      </c>
      <c r="K1393">
        <v>27609</v>
      </c>
      <c r="L1393" t="s">
        <v>78</v>
      </c>
      <c r="M1393" t="s">
        <v>17</v>
      </c>
      <c r="N1393">
        <v>8530</v>
      </c>
      <c r="O1393">
        <v>42885</v>
      </c>
      <c r="P1393">
        <v>33070.050000000003</v>
      </c>
      <c r="Q1393" s="1">
        <v>32815.1</v>
      </c>
      <c r="R1393" s="1">
        <v>20005</v>
      </c>
      <c r="S1393" s="3">
        <v>1.6938570345979898E-2</v>
      </c>
      <c r="T1393" s="3">
        <v>3.5417040531429578E-2</v>
      </c>
    </row>
    <row r="1394" spans="1:20" x14ac:dyDescent="0.25">
      <c r="A1394" t="s">
        <v>78</v>
      </c>
      <c r="B1394" t="s">
        <v>79</v>
      </c>
      <c r="C1394" t="s">
        <v>2027</v>
      </c>
      <c r="D1394" t="s">
        <v>2028</v>
      </c>
      <c r="E1394">
        <v>74.05</v>
      </c>
      <c r="F1394">
        <v>73.900000000000006</v>
      </c>
      <c r="G1394">
        <v>76</v>
      </c>
      <c r="H1394">
        <v>72.5</v>
      </c>
      <c r="I1394" s="1">
        <v>75.150000000000006</v>
      </c>
      <c r="J1394">
        <v>183122900.47</v>
      </c>
      <c r="K1394">
        <v>2470376</v>
      </c>
      <c r="L1394" t="s">
        <v>78</v>
      </c>
      <c r="M1394" t="s">
        <v>17</v>
      </c>
      <c r="N1394">
        <v>12396</v>
      </c>
      <c r="O1394">
        <v>199.25</v>
      </c>
      <c r="P1394">
        <v>47.8</v>
      </c>
      <c r="Q1394" s="1">
        <v>650.5</v>
      </c>
      <c r="R1394" s="1">
        <v>381</v>
      </c>
      <c r="S1394" s="3">
        <v>-0.16460833020002774</v>
      </c>
      <c r="T1394" s="3">
        <v>-7.7918083614153644E-2</v>
      </c>
    </row>
    <row r="1395" spans="1:20" x14ac:dyDescent="0.25">
      <c r="A1395" t="s">
        <v>78</v>
      </c>
      <c r="B1395" t="s">
        <v>79</v>
      </c>
      <c r="C1395" t="s">
        <v>5668</v>
      </c>
      <c r="D1395" t="s">
        <v>5667</v>
      </c>
      <c r="E1395">
        <v>249.8</v>
      </c>
      <c r="F1395">
        <v>250.9</v>
      </c>
      <c r="G1395">
        <v>250.9</v>
      </c>
      <c r="H1395">
        <v>237.65</v>
      </c>
      <c r="I1395" s="1">
        <v>239.15</v>
      </c>
      <c r="J1395">
        <v>45652092.75</v>
      </c>
      <c r="K1395">
        <v>188397</v>
      </c>
      <c r="L1395" t="s">
        <v>78</v>
      </c>
      <c r="M1395" t="s">
        <v>17</v>
      </c>
      <c r="N1395">
        <v>9105</v>
      </c>
      <c r="O1395">
        <v>399</v>
      </c>
      <c r="P1395">
        <v>121.5</v>
      </c>
      <c r="Q1395" s="1" t="str">
        <v/>
      </c>
      <c r="R1395" s="1" t="str">
        <v/>
      </c>
      <c r="S1395" s="3">
        <v>0</v>
      </c>
      <c r="T1395" s="3">
        <v>0</v>
      </c>
    </row>
    <row r="1396" spans="1:20" x14ac:dyDescent="0.25">
      <c r="A1396" t="s">
        <v>78</v>
      </c>
      <c r="B1396" t="s">
        <v>79</v>
      </c>
      <c r="C1396" t="s">
        <v>3347</v>
      </c>
      <c r="D1396" t="s">
        <v>3348</v>
      </c>
      <c r="E1396">
        <v>140.08000000000001</v>
      </c>
      <c r="F1396">
        <v>139.53</v>
      </c>
      <c r="G1396">
        <v>141.59</v>
      </c>
      <c r="H1396">
        <v>137.51</v>
      </c>
      <c r="I1396" s="1">
        <v>139.1</v>
      </c>
      <c r="J1396">
        <v>607931.76</v>
      </c>
      <c r="K1396">
        <v>4381</v>
      </c>
      <c r="L1396" t="s">
        <v>78</v>
      </c>
      <c r="M1396" t="s">
        <v>17</v>
      </c>
      <c r="N1396">
        <v>422</v>
      </c>
      <c r="O1396">
        <v>165.6</v>
      </c>
      <c r="P1396">
        <v>100.95</v>
      </c>
      <c r="Q1396" s="1">
        <v>71.3</v>
      </c>
      <c r="R1396" s="1">
        <v>34</v>
      </c>
      <c r="S1396" s="3">
        <v>5.7271356935624462E-2</v>
      </c>
      <c r="T1396" s="3">
        <v>7.2940544627584147E-2</v>
      </c>
    </row>
    <row r="1397" spans="1:20" x14ac:dyDescent="0.25">
      <c r="A1397" t="s">
        <v>78</v>
      </c>
      <c r="B1397" t="s">
        <v>79</v>
      </c>
      <c r="C1397" t="s">
        <v>2031</v>
      </c>
      <c r="D1397" t="s">
        <v>2032</v>
      </c>
      <c r="E1397">
        <v>137.33000000000001</v>
      </c>
      <c r="F1397">
        <v>137.33000000000001</v>
      </c>
      <c r="G1397">
        <v>138.19</v>
      </c>
      <c r="H1397">
        <v>135.1</v>
      </c>
      <c r="I1397" s="1">
        <v>135.6</v>
      </c>
      <c r="J1397">
        <v>13399406.119999999</v>
      </c>
      <c r="K1397">
        <v>98177</v>
      </c>
      <c r="L1397" t="s">
        <v>78</v>
      </c>
      <c r="M1397" t="s">
        <v>17</v>
      </c>
      <c r="N1397">
        <v>3550</v>
      </c>
      <c r="O1397">
        <v>202.5</v>
      </c>
      <c r="P1397">
        <v>112.35</v>
      </c>
      <c r="Q1397" s="1">
        <v>349</v>
      </c>
      <c r="R1397" s="1">
        <v>132.65</v>
      </c>
      <c r="S1397" s="3">
        <v>-7.5756960555331099E-2</v>
      </c>
      <c r="T1397" s="3">
        <v>1.0997667657748345E-3</v>
      </c>
    </row>
    <row r="1398" spans="1:20" x14ac:dyDescent="0.25">
      <c r="A1398" t="s">
        <v>78</v>
      </c>
      <c r="B1398" t="s">
        <v>79</v>
      </c>
      <c r="C1398" t="s">
        <v>2035</v>
      </c>
      <c r="D1398" t="s">
        <v>2036</v>
      </c>
      <c r="E1398">
        <v>400.45</v>
      </c>
      <c r="F1398">
        <v>398.4</v>
      </c>
      <c r="G1398">
        <v>416</v>
      </c>
      <c r="H1398">
        <v>388.8</v>
      </c>
      <c r="I1398" s="1">
        <v>392.4</v>
      </c>
      <c r="J1398">
        <v>132907723.8</v>
      </c>
      <c r="K1398">
        <v>330092</v>
      </c>
      <c r="L1398" t="s">
        <v>78</v>
      </c>
      <c r="M1398" t="s">
        <v>17</v>
      </c>
      <c r="N1398">
        <v>16431</v>
      </c>
      <c r="O1398">
        <v>433.05</v>
      </c>
      <c r="P1398">
        <v>284.2</v>
      </c>
      <c r="Q1398" s="1">
        <v>247.1</v>
      </c>
      <c r="R1398" s="1">
        <v>85.05</v>
      </c>
      <c r="S1398" s="3">
        <v>3.9293045317787989E-2</v>
      </c>
      <c r="T1398" s="3">
        <v>7.9405311318348604E-2</v>
      </c>
    </row>
    <row r="1399" spans="1:20" x14ac:dyDescent="0.25">
      <c r="A1399" t="s">
        <v>78</v>
      </c>
      <c r="B1399" t="s">
        <v>79</v>
      </c>
      <c r="C1399" t="s">
        <v>5666</v>
      </c>
      <c r="D1399" t="s">
        <v>5665</v>
      </c>
      <c r="E1399">
        <v>104.86</v>
      </c>
      <c r="F1399">
        <v>105.95</v>
      </c>
      <c r="G1399">
        <v>106.99</v>
      </c>
      <c r="H1399">
        <v>104.96</v>
      </c>
      <c r="I1399" s="1">
        <v>105.98</v>
      </c>
      <c r="J1399">
        <v>505814.13</v>
      </c>
      <c r="K1399">
        <v>4769</v>
      </c>
      <c r="L1399" t="s">
        <v>78</v>
      </c>
      <c r="M1399" t="s">
        <v>17</v>
      </c>
      <c r="N1399">
        <v>99</v>
      </c>
      <c r="O1399">
        <v>122.95</v>
      </c>
      <c r="P1399">
        <v>75.55</v>
      </c>
      <c r="Q1399" s="1" t="str">
        <v/>
      </c>
      <c r="R1399" s="1" t="str">
        <v/>
      </c>
      <c r="S1399" s="3">
        <v>0</v>
      </c>
      <c r="T1399" s="3">
        <v>0</v>
      </c>
    </row>
    <row r="1400" spans="1:20" x14ac:dyDescent="0.25">
      <c r="A1400" t="s">
        <v>78</v>
      </c>
      <c r="B1400" t="s">
        <v>79</v>
      </c>
      <c r="C1400" t="s">
        <v>2037</v>
      </c>
      <c r="D1400" t="s">
        <v>2038</v>
      </c>
      <c r="E1400">
        <v>241.97</v>
      </c>
      <c r="F1400">
        <v>241.97</v>
      </c>
      <c r="G1400">
        <v>244.2</v>
      </c>
      <c r="H1400">
        <v>233.12</v>
      </c>
      <c r="I1400" s="1">
        <v>239.95</v>
      </c>
      <c r="J1400">
        <v>17248639</v>
      </c>
      <c r="K1400">
        <v>72143</v>
      </c>
      <c r="L1400" t="s">
        <v>78</v>
      </c>
      <c r="M1400" t="s">
        <v>17</v>
      </c>
      <c r="N1400">
        <v>1231</v>
      </c>
      <c r="O1400">
        <v>325</v>
      </c>
      <c r="P1400">
        <v>190.15</v>
      </c>
      <c r="Q1400" s="1">
        <v>125.85</v>
      </c>
      <c r="R1400" s="1" t="str">
        <v/>
      </c>
      <c r="S1400" s="3">
        <v>5.5250648852080086E-2</v>
      </c>
      <c r="T1400" s="3">
        <v>0</v>
      </c>
    </row>
    <row r="1401" spans="1:20" x14ac:dyDescent="0.25">
      <c r="A1401" t="s">
        <v>78</v>
      </c>
      <c r="B1401" t="s">
        <v>79</v>
      </c>
      <c r="C1401" t="s">
        <v>2039</v>
      </c>
      <c r="D1401" t="s">
        <v>2040</v>
      </c>
      <c r="E1401">
        <v>73.680000000000007</v>
      </c>
      <c r="F1401">
        <v>75</v>
      </c>
      <c r="G1401">
        <v>75.8</v>
      </c>
      <c r="H1401">
        <v>71.5</v>
      </c>
      <c r="I1401" s="1">
        <v>72.94</v>
      </c>
      <c r="J1401">
        <v>72867675.640000001</v>
      </c>
      <c r="K1401">
        <v>988728</v>
      </c>
      <c r="L1401" t="s">
        <v>78</v>
      </c>
      <c r="M1401" t="s">
        <v>17</v>
      </c>
      <c r="N1401">
        <v>9565</v>
      </c>
      <c r="O1401">
        <v>116.85</v>
      </c>
      <c r="P1401">
        <v>51.5</v>
      </c>
      <c r="Q1401" s="1">
        <v>19.600000000000001</v>
      </c>
      <c r="R1401" s="1">
        <v>9.5500000000000007</v>
      </c>
      <c r="S1401" s="3">
        <v>0.11573007704993699</v>
      </c>
      <c r="T1401" s="3">
        <v>0.10693964475224549</v>
      </c>
    </row>
    <row r="1402" spans="1:20" x14ac:dyDescent="0.25">
      <c r="A1402" t="s">
        <v>78</v>
      </c>
      <c r="B1402" t="s">
        <v>79</v>
      </c>
      <c r="C1402" t="s">
        <v>5664</v>
      </c>
      <c r="D1402" t="s">
        <v>5663</v>
      </c>
      <c r="E1402">
        <v>90.85</v>
      </c>
      <c r="F1402">
        <v>91.57</v>
      </c>
      <c r="G1402">
        <v>92.4</v>
      </c>
      <c r="H1402">
        <v>89.25</v>
      </c>
      <c r="I1402" s="1">
        <v>90.18</v>
      </c>
      <c r="J1402">
        <v>449249577.87</v>
      </c>
      <c r="K1402">
        <v>4958069</v>
      </c>
      <c r="L1402" t="s">
        <v>78</v>
      </c>
      <c r="M1402" t="s">
        <v>17</v>
      </c>
      <c r="N1402">
        <v>29144</v>
      </c>
      <c r="O1402">
        <v>95.74</v>
      </c>
      <c r="P1402">
        <v>58.65</v>
      </c>
      <c r="Q1402" s="1" t="str">
        <v/>
      </c>
      <c r="R1402" s="1" t="str">
        <v/>
      </c>
      <c r="S1402" s="3">
        <v>0</v>
      </c>
      <c r="T1402" s="3">
        <v>0</v>
      </c>
    </row>
    <row r="1403" spans="1:20" x14ac:dyDescent="0.25">
      <c r="A1403" t="s">
        <v>78</v>
      </c>
      <c r="B1403" t="s">
        <v>79</v>
      </c>
      <c r="C1403" t="s">
        <v>2041</v>
      </c>
      <c r="D1403" t="s">
        <v>2042</v>
      </c>
      <c r="E1403">
        <v>202.93</v>
      </c>
      <c r="F1403">
        <v>203</v>
      </c>
      <c r="G1403">
        <v>207</v>
      </c>
      <c r="H1403">
        <v>200</v>
      </c>
      <c r="I1403" s="1">
        <v>202.3</v>
      </c>
      <c r="J1403">
        <v>607635240.97000003</v>
      </c>
      <c r="K1403">
        <v>2985925</v>
      </c>
      <c r="L1403" t="s">
        <v>78</v>
      </c>
      <c r="M1403" t="s">
        <v>17</v>
      </c>
      <c r="N1403">
        <v>45444</v>
      </c>
      <c r="O1403">
        <v>289.75</v>
      </c>
      <c r="P1403">
        <v>133.80000000000001</v>
      </c>
      <c r="Q1403" s="1">
        <v>140.25</v>
      </c>
      <c r="R1403" s="1">
        <v>256.05</v>
      </c>
      <c r="S1403" s="3">
        <v>3.0997829691697953E-2</v>
      </c>
      <c r="T1403" s="3">
        <v>-1.1705548549977074E-2</v>
      </c>
    </row>
    <row r="1404" spans="1:20" x14ac:dyDescent="0.25">
      <c r="A1404" t="s">
        <v>78</v>
      </c>
      <c r="B1404" t="s">
        <v>287</v>
      </c>
      <c r="C1404" t="s">
        <v>5662</v>
      </c>
      <c r="D1404" t="s">
        <v>5661</v>
      </c>
      <c r="E1404">
        <v>139.1</v>
      </c>
      <c r="F1404">
        <v>138.6</v>
      </c>
      <c r="G1404">
        <v>140.6</v>
      </c>
      <c r="H1404">
        <v>135.6</v>
      </c>
      <c r="I1404" s="1">
        <v>138.30000000000001</v>
      </c>
      <c r="J1404">
        <v>4647000</v>
      </c>
      <c r="K1404">
        <v>33600</v>
      </c>
      <c r="L1404" t="s">
        <v>78</v>
      </c>
      <c r="M1404" t="s">
        <v>17</v>
      </c>
      <c r="N1404">
        <v>28</v>
      </c>
      <c r="O1404">
        <v>236</v>
      </c>
      <c r="P1404">
        <v>100</v>
      </c>
      <c r="Q1404" s="1" t="str">
        <v/>
      </c>
      <c r="R1404" s="1" t="str">
        <v/>
      </c>
      <c r="S1404" s="3">
        <v>0</v>
      </c>
      <c r="T1404" s="3">
        <v>0</v>
      </c>
    </row>
    <row r="1405" spans="1:20" x14ac:dyDescent="0.25">
      <c r="A1405" t="s">
        <v>78</v>
      </c>
      <c r="B1405" t="s">
        <v>287</v>
      </c>
      <c r="C1405" t="s">
        <v>5660</v>
      </c>
      <c r="D1405" t="s">
        <v>5659</v>
      </c>
      <c r="E1405">
        <v>210.1</v>
      </c>
      <c r="F1405">
        <v>201</v>
      </c>
      <c r="G1405">
        <v>215.55</v>
      </c>
      <c r="H1405">
        <v>199.6</v>
      </c>
      <c r="I1405" s="1">
        <v>210.2</v>
      </c>
      <c r="J1405">
        <v>15475150</v>
      </c>
      <c r="K1405">
        <v>77000</v>
      </c>
      <c r="L1405" t="s">
        <v>78</v>
      </c>
      <c r="M1405" t="s">
        <v>17</v>
      </c>
      <c r="N1405">
        <v>15</v>
      </c>
      <c r="O1405">
        <v>249.35</v>
      </c>
      <c r="P1405">
        <v>64.599999999999994</v>
      </c>
      <c r="Q1405" s="1" t="str">
        <v/>
      </c>
      <c r="R1405" s="1" t="str">
        <v/>
      </c>
      <c r="S1405" s="3">
        <v>0</v>
      </c>
      <c r="T1405" s="3">
        <v>0</v>
      </c>
    </row>
    <row r="1406" spans="1:20" x14ac:dyDescent="0.25">
      <c r="A1406" t="s">
        <v>78</v>
      </c>
      <c r="B1406" t="s">
        <v>79</v>
      </c>
      <c r="C1406" t="s">
        <v>5658</v>
      </c>
      <c r="D1406" t="s">
        <v>5658</v>
      </c>
      <c r="E1406">
        <v>187.06</v>
      </c>
      <c r="F1406">
        <v>187</v>
      </c>
      <c r="G1406">
        <v>191.72</v>
      </c>
      <c r="H1406">
        <v>182.85</v>
      </c>
      <c r="I1406" s="1">
        <v>183.89</v>
      </c>
      <c r="J1406">
        <v>57887413.439999998</v>
      </c>
      <c r="K1406">
        <v>311963</v>
      </c>
      <c r="L1406" t="s">
        <v>78</v>
      </c>
      <c r="M1406" t="s">
        <v>17</v>
      </c>
      <c r="N1406">
        <v>9708</v>
      </c>
      <c r="O1406">
        <v>235</v>
      </c>
      <c r="P1406">
        <v>146.5</v>
      </c>
      <c r="Q1406" s="1" t="str">
        <v/>
      </c>
      <c r="R1406" s="1" t="str">
        <v/>
      </c>
      <c r="S1406" s="3">
        <v>0</v>
      </c>
      <c r="T1406" s="3">
        <v>0</v>
      </c>
    </row>
    <row r="1407" spans="1:20" x14ac:dyDescent="0.25">
      <c r="A1407" t="s">
        <v>78</v>
      </c>
      <c r="B1407" t="s">
        <v>79</v>
      </c>
      <c r="C1407" t="s">
        <v>2043</v>
      </c>
      <c r="D1407" t="s">
        <v>2044</v>
      </c>
      <c r="E1407">
        <v>12.3</v>
      </c>
      <c r="F1407">
        <v>12.4</v>
      </c>
      <c r="G1407">
        <v>12.4</v>
      </c>
      <c r="H1407">
        <v>12.05</v>
      </c>
      <c r="I1407" s="1">
        <v>12.11</v>
      </c>
      <c r="J1407">
        <v>4564583.29</v>
      </c>
      <c r="K1407">
        <v>375159</v>
      </c>
      <c r="L1407" t="s">
        <v>78</v>
      </c>
      <c r="M1407" t="s">
        <v>17</v>
      </c>
      <c r="N1407">
        <v>1091</v>
      </c>
      <c r="O1407">
        <v>17.25</v>
      </c>
      <c r="P1407">
        <v>10.9</v>
      </c>
      <c r="Q1407" s="1">
        <v>15.7</v>
      </c>
      <c r="R1407" s="1">
        <v>4.3499999999999996</v>
      </c>
      <c r="S1407" s="3">
        <v>-2.1403388662803557E-2</v>
      </c>
      <c r="T1407" s="3">
        <v>5.2496277913259393E-2</v>
      </c>
    </row>
    <row r="1408" spans="1:20" x14ac:dyDescent="0.25">
      <c r="A1408" t="s">
        <v>78</v>
      </c>
      <c r="B1408" t="s">
        <v>287</v>
      </c>
      <c r="C1408" t="s">
        <v>5657</v>
      </c>
      <c r="D1408" t="s">
        <v>5656</v>
      </c>
      <c r="E1408">
        <v>120</v>
      </c>
      <c r="F1408">
        <v>120</v>
      </c>
      <c r="G1408">
        <v>120</v>
      </c>
      <c r="H1408">
        <v>118</v>
      </c>
      <c r="I1408" s="1">
        <v>118</v>
      </c>
      <c r="J1408">
        <v>712000</v>
      </c>
      <c r="K1408">
        <v>6000</v>
      </c>
      <c r="L1408" t="s">
        <v>78</v>
      </c>
      <c r="M1408" t="s">
        <v>17</v>
      </c>
      <c r="N1408">
        <v>6</v>
      </c>
      <c r="O1408">
        <v>149.5</v>
      </c>
      <c r="P1408">
        <v>53.55</v>
      </c>
      <c r="Q1408" s="1" t="str">
        <v/>
      </c>
      <c r="R1408" s="1" t="str">
        <v/>
      </c>
      <c r="S1408" s="3">
        <v>0</v>
      </c>
      <c r="T1408" s="3">
        <v>0</v>
      </c>
    </row>
    <row r="1409" spans="1:20" x14ac:dyDescent="0.25">
      <c r="A1409" t="s">
        <v>78</v>
      </c>
      <c r="B1409" t="s">
        <v>287</v>
      </c>
      <c r="C1409" t="s">
        <v>5655</v>
      </c>
      <c r="D1409" t="s">
        <v>5654</v>
      </c>
      <c r="E1409">
        <v>404.35</v>
      </c>
      <c r="F1409">
        <v>420</v>
      </c>
      <c r="G1409">
        <v>423.2</v>
      </c>
      <c r="H1409">
        <v>405.5</v>
      </c>
      <c r="I1409" s="1">
        <v>410.05</v>
      </c>
      <c r="J1409">
        <v>3615520</v>
      </c>
      <c r="K1409">
        <v>8800</v>
      </c>
      <c r="L1409" t="s">
        <v>78</v>
      </c>
      <c r="M1409" t="s">
        <v>17</v>
      </c>
      <c r="N1409">
        <v>11</v>
      </c>
      <c r="O1409">
        <v>520</v>
      </c>
      <c r="P1409">
        <v>85</v>
      </c>
      <c r="Q1409" s="1" t="str">
        <v/>
      </c>
      <c r="R1409" s="1" t="str">
        <v/>
      </c>
      <c r="S1409" s="3">
        <v>0</v>
      </c>
      <c r="T1409" s="3">
        <v>0</v>
      </c>
    </row>
    <row r="1410" spans="1:20" x14ac:dyDescent="0.25">
      <c r="A1410" t="s">
        <v>78</v>
      </c>
      <c r="B1410" t="s">
        <v>79</v>
      </c>
      <c r="C1410" t="s">
        <v>5653</v>
      </c>
      <c r="D1410" t="s">
        <v>5652</v>
      </c>
      <c r="E1410">
        <v>41.1</v>
      </c>
      <c r="F1410">
        <v>41.1</v>
      </c>
      <c r="G1410">
        <v>41.64</v>
      </c>
      <c r="H1410">
        <v>39.9</v>
      </c>
      <c r="I1410" s="1">
        <v>40.270000000000003</v>
      </c>
      <c r="J1410">
        <v>7784184.6500000004</v>
      </c>
      <c r="K1410">
        <v>192170</v>
      </c>
      <c r="L1410" t="s">
        <v>78</v>
      </c>
      <c r="M1410" t="s">
        <v>17</v>
      </c>
      <c r="N1410">
        <v>2874</v>
      </c>
      <c r="O1410">
        <v>51.3</v>
      </c>
      <c r="P1410">
        <v>27.8</v>
      </c>
      <c r="Q1410" s="1" t="str">
        <v/>
      </c>
      <c r="R1410" s="1" t="str">
        <v/>
      </c>
      <c r="S1410" s="3">
        <v>0</v>
      </c>
      <c r="T1410" s="3">
        <v>0</v>
      </c>
    </row>
    <row r="1411" spans="1:20" x14ac:dyDescent="0.25">
      <c r="A1411" t="s">
        <v>78</v>
      </c>
      <c r="B1411" t="s">
        <v>79</v>
      </c>
      <c r="C1411" t="s">
        <v>5651</v>
      </c>
      <c r="D1411" t="s">
        <v>5650</v>
      </c>
      <c r="E1411">
        <v>1559.1</v>
      </c>
      <c r="F1411">
        <v>1558</v>
      </c>
      <c r="G1411">
        <v>1619</v>
      </c>
      <c r="H1411">
        <v>1541.05</v>
      </c>
      <c r="I1411" s="1">
        <v>1600.55</v>
      </c>
      <c r="J1411">
        <v>2518659650.8000002</v>
      </c>
      <c r="K1411">
        <v>1578726</v>
      </c>
      <c r="L1411" t="s">
        <v>78</v>
      </c>
      <c r="M1411" t="s">
        <v>17</v>
      </c>
      <c r="N1411">
        <v>41325</v>
      </c>
      <c r="O1411">
        <v>1764.4</v>
      </c>
      <c r="P1411">
        <v>1169.95</v>
      </c>
      <c r="Q1411" s="1" t="str">
        <v/>
      </c>
      <c r="R1411" s="1" t="str">
        <v/>
      </c>
      <c r="S1411" s="3">
        <v>0</v>
      </c>
      <c r="T1411" s="3">
        <v>0</v>
      </c>
    </row>
    <row r="1412" spans="1:20" x14ac:dyDescent="0.25">
      <c r="A1412" t="s">
        <v>78</v>
      </c>
      <c r="B1412" t="s">
        <v>79</v>
      </c>
      <c r="C1412" t="s">
        <v>2045</v>
      </c>
      <c r="D1412" t="s">
        <v>2046</v>
      </c>
      <c r="E1412">
        <v>61.01</v>
      </c>
      <c r="F1412">
        <v>61.39</v>
      </c>
      <c r="G1412">
        <v>61.9</v>
      </c>
      <c r="H1412">
        <v>59.63</v>
      </c>
      <c r="I1412" s="1">
        <v>60.05</v>
      </c>
      <c r="J1412">
        <v>370915243.93000001</v>
      </c>
      <c r="K1412">
        <v>6138418</v>
      </c>
      <c r="L1412" t="s">
        <v>78</v>
      </c>
      <c r="M1412" t="s">
        <v>17</v>
      </c>
      <c r="N1412">
        <v>32782</v>
      </c>
      <c r="O1412">
        <v>79</v>
      </c>
      <c r="P1412">
        <v>42.05</v>
      </c>
      <c r="Q1412" s="1">
        <v>18.3</v>
      </c>
      <c r="R1412" s="1">
        <v>17.5</v>
      </c>
      <c r="S1412" s="3">
        <v>0.10409173833796737</v>
      </c>
      <c r="T1412" s="3">
        <v>6.3552874321337827E-2</v>
      </c>
    </row>
    <row r="1413" spans="1:20" x14ac:dyDescent="0.25">
      <c r="A1413" t="s">
        <v>78</v>
      </c>
      <c r="B1413" t="s">
        <v>79</v>
      </c>
      <c r="C1413" t="s">
        <v>2047</v>
      </c>
      <c r="D1413" t="s">
        <v>2048</v>
      </c>
      <c r="E1413">
        <v>25.31</v>
      </c>
      <c r="F1413">
        <v>25.1</v>
      </c>
      <c r="G1413">
        <v>25.43</v>
      </c>
      <c r="H1413">
        <v>24.31</v>
      </c>
      <c r="I1413" s="1">
        <v>24.49</v>
      </c>
      <c r="J1413">
        <v>11995838.93</v>
      </c>
      <c r="K1413">
        <v>485471</v>
      </c>
      <c r="L1413" t="s">
        <v>78</v>
      </c>
      <c r="M1413" t="s">
        <v>17</v>
      </c>
      <c r="N1413">
        <v>3043</v>
      </c>
      <c r="O1413">
        <v>26.9</v>
      </c>
      <c r="P1413">
        <v>18.149999999999999</v>
      </c>
      <c r="Q1413" s="1">
        <v>25.1</v>
      </c>
      <c r="R1413" s="1">
        <v>33.5</v>
      </c>
      <c r="S1413" s="3">
        <v>-2.0481476084881489E-3</v>
      </c>
      <c r="T1413" s="3">
        <v>-1.5533540518231415E-2</v>
      </c>
    </row>
    <row r="1414" spans="1:20" x14ac:dyDescent="0.25">
      <c r="A1414" t="s">
        <v>78</v>
      </c>
      <c r="B1414" t="s">
        <v>287</v>
      </c>
      <c r="C1414" t="s">
        <v>5649</v>
      </c>
      <c r="D1414" t="s">
        <v>5648</v>
      </c>
      <c r="E1414">
        <v>100</v>
      </c>
      <c r="F1414">
        <v>100</v>
      </c>
      <c r="G1414">
        <v>101</v>
      </c>
      <c r="H1414">
        <v>100</v>
      </c>
      <c r="I1414" s="1">
        <v>101</v>
      </c>
      <c r="J1414">
        <v>453000</v>
      </c>
      <c r="K1414">
        <v>4500</v>
      </c>
      <c r="L1414" t="s">
        <v>78</v>
      </c>
      <c r="M1414" t="s">
        <v>17</v>
      </c>
      <c r="N1414">
        <v>2</v>
      </c>
      <c r="O1414">
        <v>114</v>
      </c>
      <c r="P1414">
        <v>45</v>
      </c>
      <c r="Q1414" s="1" t="str">
        <v/>
      </c>
      <c r="R1414" s="1" t="str">
        <v/>
      </c>
      <c r="S1414" s="3">
        <v>0</v>
      </c>
      <c r="T1414" s="3">
        <v>0</v>
      </c>
    </row>
    <row r="1415" spans="1:20" x14ac:dyDescent="0.25">
      <c r="A1415" t="s">
        <v>78</v>
      </c>
      <c r="B1415" t="s">
        <v>79</v>
      </c>
      <c r="C1415" t="s">
        <v>2049</v>
      </c>
      <c r="D1415" t="s">
        <v>2050</v>
      </c>
      <c r="E1415">
        <v>493.75</v>
      </c>
      <c r="F1415">
        <v>502.5</v>
      </c>
      <c r="G1415">
        <v>509.9</v>
      </c>
      <c r="H1415">
        <v>485</v>
      </c>
      <c r="I1415" s="1">
        <v>493.05</v>
      </c>
      <c r="J1415">
        <v>42108346.899999999</v>
      </c>
      <c r="K1415">
        <v>84498</v>
      </c>
      <c r="L1415" t="s">
        <v>78</v>
      </c>
      <c r="M1415" t="s">
        <v>17</v>
      </c>
      <c r="N1415">
        <v>2987</v>
      </c>
      <c r="O1415">
        <v>640.85</v>
      </c>
      <c r="P1415">
        <v>269.60000000000002</v>
      </c>
      <c r="Q1415" s="1">
        <v>184</v>
      </c>
      <c r="R1415" s="1" t="str">
        <v/>
      </c>
      <c r="S1415" s="3">
        <v>8.5607316670757161E-2</v>
      </c>
      <c r="T1415" s="3">
        <v>0</v>
      </c>
    </row>
    <row r="1416" spans="1:20" x14ac:dyDescent="0.25">
      <c r="A1416" t="s">
        <v>78</v>
      </c>
      <c r="B1416" t="s">
        <v>79</v>
      </c>
      <c r="C1416" t="s">
        <v>5647</v>
      </c>
      <c r="D1416" t="s">
        <v>5646</v>
      </c>
      <c r="E1416">
        <v>460.3</v>
      </c>
      <c r="F1416">
        <v>459</v>
      </c>
      <c r="G1416">
        <v>464.75</v>
      </c>
      <c r="H1416">
        <v>442.8</v>
      </c>
      <c r="I1416" s="1">
        <v>445.3</v>
      </c>
      <c r="J1416">
        <v>1212724717.1500001</v>
      </c>
      <c r="K1416">
        <v>2699225</v>
      </c>
      <c r="L1416" t="s">
        <v>78</v>
      </c>
      <c r="M1416" t="s">
        <v>17</v>
      </c>
      <c r="N1416">
        <v>63891</v>
      </c>
      <c r="O1416">
        <v>998.3</v>
      </c>
      <c r="P1416">
        <v>310</v>
      </c>
      <c r="Q1416" s="1" t="str">
        <v/>
      </c>
      <c r="R1416" s="1" t="str">
        <v/>
      </c>
      <c r="S1416" s="3">
        <v>0</v>
      </c>
      <c r="T1416" s="3">
        <v>0</v>
      </c>
    </row>
    <row r="1417" spans="1:20" x14ac:dyDescent="0.25">
      <c r="A1417" t="s">
        <v>78</v>
      </c>
      <c r="B1417" t="s">
        <v>79</v>
      </c>
      <c r="C1417" t="s">
        <v>5645</v>
      </c>
      <c r="D1417" t="s">
        <v>5644</v>
      </c>
      <c r="E1417">
        <v>291.95</v>
      </c>
      <c r="F1417">
        <v>292.5</v>
      </c>
      <c r="G1417">
        <v>295.7</v>
      </c>
      <c r="H1417">
        <v>285</v>
      </c>
      <c r="I1417" s="1">
        <v>286.3</v>
      </c>
      <c r="J1417">
        <v>1155242317.6500001</v>
      </c>
      <c r="K1417">
        <v>3990676</v>
      </c>
      <c r="L1417" t="s">
        <v>78</v>
      </c>
      <c r="M1417" t="s">
        <v>17</v>
      </c>
      <c r="N1417">
        <v>62499</v>
      </c>
      <c r="O1417">
        <v>343.5</v>
      </c>
      <c r="P1417">
        <v>151.25</v>
      </c>
      <c r="Q1417" s="1" t="str">
        <v/>
      </c>
      <c r="R1417" s="1" t="str">
        <v/>
      </c>
      <c r="S1417" s="3">
        <v>0</v>
      </c>
      <c r="T1417" s="3">
        <v>0</v>
      </c>
    </row>
    <row r="1418" spans="1:20" x14ac:dyDescent="0.25">
      <c r="A1418" t="s">
        <v>78</v>
      </c>
      <c r="B1418" t="s">
        <v>287</v>
      </c>
      <c r="C1418" t="s">
        <v>5643</v>
      </c>
      <c r="D1418" t="s">
        <v>5642</v>
      </c>
      <c r="E1418">
        <v>319.2</v>
      </c>
      <c r="F1418">
        <v>317.05</v>
      </c>
      <c r="G1418">
        <v>322.3</v>
      </c>
      <c r="H1418">
        <v>290.10000000000002</v>
      </c>
      <c r="I1418" s="1">
        <v>301.64999999999998</v>
      </c>
      <c r="J1418">
        <v>67909800</v>
      </c>
      <c r="K1418">
        <v>221600</v>
      </c>
      <c r="L1418" t="s">
        <v>78</v>
      </c>
      <c r="M1418" t="s">
        <v>17</v>
      </c>
      <c r="N1418">
        <v>262</v>
      </c>
      <c r="O1418">
        <v>382.8</v>
      </c>
      <c r="P1418">
        <v>285</v>
      </c>
      <c r="Q1418" s="1" t="str">
        <v/>
      </c>
      <c r="R1418" s="1" t="str">
        <v/>
      </c>
      <c r="S1418" s="3">
        <v>0</v>
      </c>
      <c r="T1418" s="3">
        <v>0</v>
      </c>
    </row>
    <row r="1419" spans="1:20" x14ac:dyDescent="0.25">
      <c r="A1419" t="s">
        <v>78</v>
      </c>
      <c r="B1419" t="s">
        <v>79</v>
      </c>
      <c r="C1419" t="s">
        <v>2053</v>
      </c>
      <c r="D1419" t="s">
        <v>2054</v>
      </c>
      <c r="E1419">
        <v>72.34</v>
      </c>
      <c r="F1419">
        <v>73.400000000000006</v>
      </c>
      <c r="G1419">
        <v>73.599999999999994</v>
      </c>
      <c r="H1419">
        <v>69.459999999999994</v>
      </c>
      <c r="I1419" s="1">
        <v>70.430000000000007</v>
      </c>
      <c r="J1419">
        <v>256990037.88999999</v>
      </c>
      <c r="K1419">
        <v>3589249</v>
      </c>
      <c r="L1419" t="s">
        <v>78</v>
      </c>
      <c r="M1419" t="s">
        <v>17</v>
      </c>
      <c r="N1419">
        <v>13743</v>
      </c>
      <c r="O1419">
        <v>73.599999999999994</v>
      </c>
      <c r="P1419">
        <v>25.45</v>
      </c>
      <c r="Q1419" s="1">
        <v>27</v>
      </c>
      <c r="R1419" s="1">
        <v>34.1</v>
      </c>
      <c r="S1419" s="3">
        <v>8.3177159582541016E-2</v>
      </c>
      <c r="T1419" s="3">
        <v>3.6911139155572981E-2</v>
      </c>
    </row>
    <row r="1420" spans="1:20" x14ac:dyDescent="0.25">
      <c r="A1420" t="s">
        <v>78</v>
      </c>
      <c r="B1420" t="s">
        <v>79</v>
      </c>
      <c r="C1420" t="s">
        <v>2055</v>
      </c>
      <c r="D1420" t="s">
        <v>2056</v>
      </c>
      <c r="E1420">
        <v>127.33</v>
      </c>
      <c r="F1420">
        <v>129.5</v>
      </c>
      <c r="G1420">
        <v>129.5</v>
      </c>
      <c r="H1420">
        <v>124.53</v>
      </c>
      <c r="I1420" s="1">
        <v>125.57</v>
      </c>
      <c r="J1420">
        <v>57407023.869999997</v>
      </c>
      <c r="K1420">
        <v>455500</v>
      </c>
      <c r="L1420" t="s">
        <v>78</v>
      </c>
      <c r="M1420" t="s">
        <v>17</v>
      </c>
      <c r="N1420">
        <v>7552</v>
      </c>
      <c r="O1420">
        <v>136.5</v>
      </c>
      <c r="P1420">
        <v>40.65</v>
      </c>
      <c r="Q1420" s="1">
        <v>42.5</v>
      </c>
      <c r="R1420" s="1">
        <v>10.8</v>
      </c>
      <c r="S1420" s="3">
        <v>9.4480631197181086E-2</v>
      </c>
      <c r="T1420" s="3">
        <v>0.13043067059161761</v>
      </c>
    </row>
    <row r="1421" spans="1:20" x14ac:dyDescent="0.25">
      <c r="A1421" t="s">
        <v>78</v>
      </c>
      <c r="B1421" t="s">
        <v>79</v>
      </c>
      <c r="C1421" t="s">
        <v>5641</v>
      </c>
      <c r="D1421" t="s">
        <v>5640</v>
      </c>
      <c r="E1421">
        <v>521.79999999999995</v>
      </c>
      <c r="F1421">
        <v>528.85</v>
      </c>
      <c r="G1421">
        <v>539.70000000000005</v>
      </c>
      <c r="H1421">
        <v>520</v>
      </c>
      <c r="I1421" s="1">
        <v>520.29999999999995</v>
      </c>
      <c r="J1421">
        <v>41262098.5</v>
      </c>
      <c r="K1421">
        <v>78291</v>
      </c>
      <c r="L1421" t="s">
        <v>78</v>
      </c>
      <c r="M1421" t="s">
        <v>17</v>
      </c>
      <c r="N1421">
        <v>6489</v>
      </c>
      <c r="O1421">
        <v>666</v>
      </c>
      <c r="P1421">
        <v>315.95</v>
      </c>
      <c r="Q1421" s="1" t="str">
        <v/>
      </c>
      <c r="R1421" s="1" t="str">
        <v/>
      </c>
      <c r="S1421" s="3">
        <v>0</v>
      </c>
      <c r="T1421" s="3">
        <v>0</v>
      </c>
    </row>
    <row r="1422" spans="1:20" x14ac:dyDescent="0.25">
      <c r="A1422" t="s">
        <v>78</v>
      </c>
      <c r="B1422" t="s">
        <v>79</v>
      </c>
      <c r="C1422" t="s">
        <v>254</v>
      </c>
      <c r="D1422" t="s">
        <v>255</v>
      </c>
      <c r="E1422">
        <v>977.85</v>
      </c>
      <c r="F1422">
        <v>980</v>
      </c>
      <c r="G1422">
        <v>988.9</v>
      </c>
      <c r="H1422">
        <v>950.05</v>
      </c>
      <c r="I1422" s="1">
        <v>962.7</v>
      </c>
      <c r="J1422">
        <v>2188087076.8000002</v>
      </c>
      <c r="K1422">
        <v>2260375</v>
      </c>
      <c r="L1422" t="s">
        <v>78</v>
      </c>
      <c r="M1422" t="s">
        <v>17</v>
      </c>
      <c r="N1422">
        <v>43911</v>
      </c>
      <c r="O1422">
        <v>1139.95</v>
      </c>
      <c r="P1422">
        <v>736.6</v>
      </c>
      <c r="Q1422" s="1">
        <v>2275.4</v>
      </c>
      <c r="R1422" s="1">
        <v>1885</v>
      </c>
      <c r="S1422" s="3">
        <v>-6.917200830350434E-2</v>
      </c>
      <c r="T1422" s="3">
        <v>-3.3021158074889478E-2</v>
      </c>
    </row>
    <row r="1423" spans="1:20" x14ac:dyDescent="0.25">
      <c r="A1423" t="s">
        <v>78</v>
      </c>
      <c r="B1423" t="s">
        <v>79</v>
      </c>
      <c r="C1423" t="s">
        <v>2061</v>
      </c>
      <c r="D1423" t="s">
        <v>2062</v>
      </c>
      <c r="E1423">
        <v>183.57</v>
      </c>
      <c r="F1423">
        <v>183.6</v>
      </c>
      <c r="G1423">
        <v>185.98</v>
      </c>
      <c r="H1423">
        <v>174.47</v>
      </c>
      <c r="I1423" s="1">
        <v>177.53</v>
      </c>
      <c r="J1423">
        <v>179484835.93000001</v>
      </c>
      <c r="K1423">
        <v>999819</v>
      </c>
      <c r="L1423" t="s">
        <v>78</v>
      </c>
      <c r="M1423" t="s">
        <v>17</v>
      </c>
      <c r="N1423">
        <v>25211</v>
      </c>
      <c r="O1423">
        <v>191.7</v>
      </c>
      <c r="P1423">
        <v>77.55</v>
      </c>
      <c r="Q1423" s="1">
        <v>35.25</v>
      </c>
      <c r="R1423" s="1">
        <v>30.05</v>
      </c>
      <c r="S1423" s="3">
        <v>0.14421960844097548</v>
      </c>
      <c r="T1423" s="3">
        <v>9.2824040861079649E-2</v>
      </c>
    </row>
    <row r="1424" spans="1:20" x14ac:dyDescent="0.25">
      <c r="A1424" t="s">
        <v>78</v>
      </c>
      <c r="B1424" t="s">
        <v>79</v>
      </c>
      <c r="C1424" t="s">
        <v>3353</v>
      </c>
      <c r="D1424" t="s">
        <v>3354</v>
      </c>
      <c r="E1424">
        <v>68.150000000000006</v>
      </c>
      <c r="F1424">
        <v>68.14</v>
      </c>
      <c r="G1424">
        <v>68.14</v>
      </c>
      <c r="H1424">
        <v>65.930000000000007</v>
      </c>
      <c r="I1424" s="1">
        <v>66.92</v>
      </c>
      <c r="J1424">
        <v>49562626.399999999</v>
      </c>
      <c r="K1424">
        <v>743211</v>
      </c>
      <c r="L1424" t="s">
        <v>78</v>
      </c>
      <c r="M1424" t="s">
        <v>17</v>
      </c>
      <c r="N1424">
        <v>10111</v>
      </c>
      <c r="O1424">
        <v>78.23</v>
      </c>
      <c r="P1424">
        <v>26.7</v>
      </c>
      <c r="Q1424" s="1">
        <v>15.1</v>
      </c>
      <c r="R1424" s="1">
        <v>5.5</v>
      </c>
      <c r="S1424" s="3">
        <v>0.1320916367435232</v>
      </c>
      <c r="T1424" s="3">
        <v>0.13300009714470917</v>
      </c>
    </row>
    <row r="1425" spans="1:20" x14ac:dyDescent="0.25">
      <c r="A1425" t="s">
        <v>78</v>
      </c>
      <c r="B1425" t="s">
        <v>287</v>
      </c>
      <c r="C1425" t="s">
        <v>5639</v>
      </c>
      <c r="D1425" t="s">
        <v>5638</v>
      </c>
      <c r="E1425">
        <v>128.5</v>
      </c>
      <c r="F1425">
        <v>126</v>
      </c>
      <c r="G1425">
        <v>126</v>
      </c>
      <c r="H1425">
        <v>121.2</v>
      </c>
      <c r="I1425" s="1">
        <v>122.75</v>
      </c>
      <c r="J1425">
        <v>981600</v>
      </c>
      <c r="K1425">
        <v>8000</v>
      </c>
      <c r="L1425" t="s">
        <v>78</v>
      </c>
      <c r="M1425" t="s">
        <v>17</v>
      </c>
      <c r="N1425">
        <v>8</v>
      </c>
      <c r="O1425">
        <v>166.7</v>
      </c>
      <c r="P1425">
        <v>103</v>
      </c>
      <c r="Q1425" s="1" t="str">
        <v/>
      </c>
      <c r="R1425" s="1" t="str">
        <v/>
      </c>
      <c r="S1425" s="3">
        <v>0</v>
      </c>
      <c r="T1425" s="3">
        <v>0</v>
      </c>
    </row>
    <row r="1426" spans="1:20" x14ac:dyDescent="0.25">
      <c r="A1426" t="s">
        <v>78</v>
      </c>
      <c r="B1426" t="s">
        <v>287</v>
      </c>
      <c r="C1426" t="s">
        <v>5637</v>
      </c>
      <c r="D1426" t="s">
        <v>5636</v>
      </c>
      <c r="E1426">
        <v>31.7</v>
      </c>
      <c r="F1426">
        <v>30.55</v>
      </c>
      <c r="G1426">
        <v>30.55</v>
      </c>
      <c r="H1426">
        <v>30.15</v>
      </c>
      <c r="I1426" s="1">
        <v>30.15</v>
      </c>
      <c r="J1426">
        <v>1000350</v>
      </c>
      <c r="K1426">
        <v>33000</v>
      </c>
      <c r="L1426" t="s">
        <v>78</v>
      </c>
      <c r="M1426" t="s">
        <v>17</v>
      </c>
      <c r="N1426">
        <v>10</v>
      </c>
      <c r="O1426">
        <v>61.35</v>
      </c>
      <c r="P1426">
        <v>15.05</v>
      </c>
      <c r="Q1426" s="1" t="str">
        <v/>
      </c>
      <c r="R1426" s="1" t="str">
        <v/>
      </c>
      <c r="S1426" s="3">
        <v>0</v>
      </c>
      <c r="T1426" s="3">
        <v>0</v>
      </c>
    </row>
    <row r="1427" spans="1:20" x14ac:dyDescent="0.25">
      <c r="A1427" t="s">
        <v>78</v>
      </c>
      <c r="B1427" t="s">
        <v>79</v>
      </c>
      <c r="C1427" t="s">
        <v>2065</v>
      </c>
      <c r="D1427" t="s">
        <v>2066</v>
      </c>
      <c r="E1427">
        <v>4820.45</v>
      </c>
      <c r="F1427">
        <v>4828</v>
      </c>
      <c r="G1427">
        <v>4916.95</v>
      </c>
      <c r="H1427">
        <v>4739.55</v>
      </c>
      <c r="I1427" s="1">
        <v>4896.1499999999996</v>
      </c>
      <c r="J1427">
        <v>2695591457.5999999</v>
      </c>
      <c r="K1427">
        <v>555572</v>
      </c>
      <c r="L1427" t="s">
        <v>78</v>
      </c>
      <c r="M1427" t="s">
        <v>17</v>
      </c>
      <c r="N1427">
        <v>51539</v>
      </c>
      <c r="O1427">
        <v>8900</v>
      </c>
      <c r="P1427">
        <v>3232.05</v>
      </c>
      <c r="Q1427" s="1">
        <v>2793</v>
      </c>
      <c r="R1427" s="1">
        <v>575</v>
      </c>
      <c r="S1427" s="3">
        <v>4.7889080681061236E-2</v>
      </c>
      <c r="T1427" s="3">
        <v>0.11297106288434122</v>
      </c>
    </row>
    <row r="1428" spans="1:20" x14ac:dyDescent="0.25">
      <c r="A1428" t="s">
        <v>78</v>
      </c>
      <c r="B1428" t="s">
        <v>79</v>
      </c>
      <c r="C1428" t="s">
        <v>256</v>
      </c>
      <c r="D1428" t="s">
        <v>257</v>
      </c>
      <c r="E1428">
        <v>351.4</v>
      </c>
      <c r="F1428">
        <v>351.5</v>
      </c>
      <c r="G1428">
        <v>353.1</v>
      </c>
      <c r="H1428">
        <v>343.8</v>
      </c>
      <c r="I1428" s="1">
        <v>347.05</v>
      </c>
      <c r="J1428">
        <v>1335650300.05</v>
      </c>
      <c r="K1428">
        <v>3842194</v>
      </c>
      <c r="L1428" t="s">
        <v>78</v>
      </c>
      <c r="M1428" t="s">
        <v>17</v>
      </c>
      <c r="N1428">
        <v>52599</v>
      </c>
      <c r="O1428">
        <v>355.75</v>
      </c>
      <c r="P1428">
        <v>191.7</v>
      </c>
      <c r="Q1428" s="1">
        <v>221</v>
      </c>
      <c r="R1428" s="1">
        <v>240.6</v>
      </c>
      <c r="S1428" s="3">
        <v>3.8325009170557811E-2</v>
      </c>
      <c r="T1428" s="3">
        <v>1.8475215309636361E-2</v>
      </c>
    </row>
    <row r="1429" spans="1:20" x14ac:dyDescent="0.25">
      <c r="A1429" t="s">
        <v>78</v>
      </c>
      <c r="B1429" t="s">
        <v>79</v>
      </c>
      <c r="C1429" t="s">
        <v>2067</v>
      </c>
      <c r="D1429" t="s">
        <v>2068</v>
      </c>
      <c r="E1429">
        <v>5004.75</v>
      </c>
      <c r="F1429">
        <v>5019.95</v>
      </c>
      <c r="G1429">
        <v>5170</v>
      </c>
      <c r="H1429">
        <v>5013.2</v>
      </c>
      <c r="I1429" s="1">
        <v>5084.05</v>
      </c>
      <c r="J1429">
        <v>311143471.85000002</v>
      </c>
      <c r="K1429">
        <v>60913</v>
      </c>
      <c r="L1429" t="s">
        <v>78</v>
      </c>
      <c r="M1429" t="s">
        <v>17</v>
      </c>
      <c r="N1429">
        <v>10681</v>
      </c>
      <c r="O1429">
        <v>5170</v>
      </c>
      <c r="P1429">
        <v>3782.15</v>
      </c>
      <c r="Q1429" s="1">
        <v>5626.05</v>
      </c>
      <c r="R1429" s="1">
        <v>3150.4</v>
      </c>
      <c r="S1429" s="3">
        <v>-8.4060870360217477E-3</v>
      </c>
      <c r="T1429" s="3">
        <v>2.420411047623805E-2</v>
      </c>
    </row>
    <row r="1430" spans="1:20" x14ac:dyDescent="0.25">
      <c r="A1430" t="s">
        <v>78</v>
      </c>
      <c r="B1430" t="s">
        <v>79</v>
      </c>
      <c r="C1430" t="s">
        <v>2069</v>
      </c>
      <c r="D1430" t="s">
        <v>2070</v>
      </c>
      <c r="E1430">
        <v>55.26</v>
      </c>
      <c r="F1430">
        <v>55.26</v>
      </c>
      <c r="G1430">
        <v>55.29</v>
      </c>
      <c r="H1430">
        <v>50.81</v>
      </c>
      <c r="I1430" s="1">
        <v>51.82</v>
      </c>
      <c r="J1430">
        <v>284749670.97000003</v>
      </c>
      <c r="K1430">
        <v>5434229</v>
      </c>
      <c r="L1430" t="s">
        <v>78</v>
      </c>
      <c r="M1430" t="s">
        <v>17</v>
      </c>
      <c r="N1430">
        <v>34010</v>
      </c>
      <c r="O1430">
        <v>67.95</v>
      </c>
      <c r="P1430">
        <v>18.600000000000001</v>
      </c>
      <c r="Q1430" s="1">
        <v>20.95</v>
      </c>
      <c r="R1430" s="1">
        <v>13.45</v>
      </c>
      <c r="S1430" s="3">
        <v>7.8390653426828827E-2</v>
      </c>
      <c r="T1430" s="3">
        <v>6.9726405888938636E-2</v>
      </c>
    </row>
    <row r="1431" spans="1:20" x14ac:dyDescent="0.25">
      <c r="A1431" t="s">
        <v>78</v>
      </c>
      <c r="B1431" t="s">
        <v>79</v>
      </c>
      <c r="C1431" t="s">
        <v>2071</v>
      </c>
      <c r="D1431" t="s">
        <v>2072</v>
      </c>
      <c r="E1431">
        <v>363.75</v>
      </c>
      <c r="F1431">
        <v>364.8</v>
      </c>
      <c r="G1431">
        <v>365.95</v>
      </c>
      <c r="H1431">
        <v>350.9</v>
      </c>
      <c r="I1431" s="1">
        <v>356.95</v>
      </c>
      <c r="J1431">
        <v>269916260.89999998</v>
      </c>
      <c r="K1431">
        <v>753988</v>
      </c>
      <c r="L1431" t="s">
        <v>78</v>
      </c>
      <c r="M1431" t="s">
        <v>17</v>
      </c>
      <c r="N1431">
        <v>27881</v>
      </c>
      <c r="O1431">
        <v>4050</v>
      </c>
      <c r="P1431">
        <v>350.9</v>
      </c>
      <c r="Q1431" s="1">
        <v>382</v>
      </c>
      <c r="R1431" s="1">
        <v>45.1</v>
      </c>
      <c r="S1431" s="3">
        <v>-5.6361314667322526E-3</v>
      </c>
      <c r="T1431" s="3">
        <v>0.10891163735947607</v>
      </c>
    </row>
    <row r="1432" spans="1:20" x14ac:dyDescent="0.25">
      <c r="A1432" t="s">
        <v>78</v>
      </c>
      <c r="B1432" t="s">
        <v>79</v>
      </c>
      <c r="C1432" t="s">
        <v>260</v>
      </c>
      <c r="D1432" t="s">
        <v>261</v>
      </c>
      <c r="E1432">
        <v>16890.349999999999</v>
      </c>
      <c r="F1432">
        <v>16898.75</v>
      </c>
      <c r="G1432">
        <v>17010</v>
      </c>
      <c r="H1432">
        <v>16791.05</v>
      </c>
      <c r="I1432" s="1">
        <v>16990.900000000001</v>
      </c>
      <c r="J1432">
        <v>209594429.55000001</v>
      </c>
      <c r="K1432">
        <v>12380</v>
      </c>
      <c r="L1432" t="s">
        <v>78</v>
      </c>
      <c r="M1432" t="s">
        <v>17</v>
      </c>
      <c r="N1432">
        <v>2837</v>
      </c>
      <c r="O1432">
        <v>19250</v>
      </c>
      <c r="P1432">
        <v>15140</v>
      </c>
      <c r="Q1432" s="1">
        <v>12825</v>
      </c>
      <c r="R1432" s="1">
        <v>10455</v>
      </c>
      <c r="S1432" s="3">
        <v>2.3717005183444773E-2</v>
      </c>
      <c r="T1432" s="3">
        <v>2.4563411579364702E-2</v>
      </c>
    </row>
    <row r="1433" spans="1:20" x14ac:dyDescent="0.25">
      <c r="A1433" t="s">
        <v>78</v>
      </c>
      <c r="B1433" t="s">
        <v>79</v>
      </c>
      <c r="C1433" t="s">
        <v>2073</v>
      </c>
      <c r="D1433" t="s">
        <v>2074</v>
      </c>
      <c r="E1433">
        <v>5214.8500000000004</v>
      </c>
      <c r="F1433">
        <v>5190</v>
      </c>
      <c r="G1433">
        <v>5275.3</v>
      </c>
      <c r="H1433">
        <v>5166.75</v>
      </c>
      <c r="I1433" s="1">
        <v>5258.25</v>
      </c>
      <c r="J1433">
        <v>105408084.95</v>
      </c>
      <c r="K1433">
        <v>20098</v>
      </c>
      <c r="L1433" t="s">
        <v>78</v>
      </c>
      <c r="M1433" t="s">
        <v>17</v>
      </c>
      <c r="N1433">
        <v>3504</v>
      </c>
      <c r="O1433">
        <v>5642.85</v>
      </c>
      <c r="P1433">
        <v>4636.55</v>
      </c>
      <c r="Q1433" s="1">
        <v>5555</v>
      </c>
      <c r="R1433" s="1">
        <v>4650</v>
      </c>
      <c r="S1433" s="3">
        <v>-4.5645631811845888E-3</v>
      </c>
      <c r="T1433" s="3">
        <v>6.1620945479383682E-3</v>
      </c>
    </row>
    <row r="1434" spans="1:20" x14ac:dyDescent="0.25">
      <c r="A1434" t="s">
        <v>78</v>
      </c>
      <c r="B1434" t="s">
        <v>79</v>
      </c>
      <c r="C1434" t="s">
        <v>2075</v>
      </c>
      <c r="D1434" t="s">
        <v>2076</v>
      </c>
      <c r="E1434">
        <v>833</v>
      </c>
      <c r="F1434">
        <v>836.55</v>
      </c>
      <c r="G1434">
        <v>857.8</v>
      </c>
      <c r="H1434">
        <v>815</v>
      </c>
      <c r="I1434" s="1">
        <v>820.95</v>
      </c>
      <c r="J1434">
        <v>234502633.75</v>
      </c>
      <c r="K1434">
        <v>281478</v>
      </c>
      <c r="L1434" t="s">
        <v>78</v>
      </c>
      <c r="M1434" t="s">
        <v>17</v>
      </c>
      <c r="N1434">
        <v>21164</v>
      </c>
      <c r="O1434">
        <v>1470.8</v>
      </c>
      <c r="P1434">
        <v>522</v>
      </c>
      <c r="Q1434" s="1">
        <v>316.60000000000002</v>
      </c>
      <c r="R1434" s="1">
        <v>153.1</v>
      </c>
      <c r="S1434" s="3">
        <v>8.2639370749765018E-2</v>
      </c>
      <c r="T1434" s="3">
        <v>8.7544671322495216E-2</v>
      </c>
    </row>
    <row r="1435" spans="1:20" x14ac:dyDescent="0.25">
      <c r="A1435" t="s">
        <v>78</v>
      </c>
      <c r="B1435" t="s">
        <v>1352</v>
      </c>
      <c r="C1435" t="s">
        <v>2077</v>
      </c>
      <c r="D1435" t="s">
        <v>2078</v>
      </c>
      <c r="E1435">
        <v>95.75</v>
      </c>
      <c r="F1435">
        <v>95.98</v>
      </c>
      <c r="G1435">
        <v>95.98</v>
      </c>
      <c r="H1435">
        <v>95.49</v>
      </c>
      <c r="I1435" s="1">
        <v>95.6</v>
      </c>
      <c r="J1435">
        <v>98443002.170000002</v>
      </c>
      <c r="K1435">
        <v>1028665</v>
      </c>
      <c r="L1435" t="s">
        <v>78</v>
      </c>
      <c r="M1435" t="s">
        <v>17</v>
      </c>
      <c r="N1435">
        <v>14777</v>
      </c>
      <c r="O1435">
        <v>119.3</v>
      </c>
      <c r="P1435">
        <v>90.9</v>
      </c>
      <c r="Q1435" s="1">
        <v>113</v>
      </c>
      <c r="R1435" s="1" t="str">
        <v/>
      </c>
      <c r="S1435" s="3">
        <v>-1.383794630228119E-2</v>
      </c>
      <c r="T1435" s="3">
        <v>0</v>
      </c>
    </row>
    <row r="1436" spans="1:20" x14ac:dyDescent="0.25">
      <c r="A1436" t="s">
        <v>78</v>
      </c>
      <c r="B1436" t="s">
        <v>287</v>
      </c>
      <c r="C1436" t="s">
        <v>5635</v>
      </c>
      <c r="D1436" t="s">
        <v>5634</v>
      </c>
      <c r="E1436">
        <v>443.15</v>
      </c>
      <c r="F1436">
        <v>443.2</v>
      </c>
      <c r="G1436">
        <v>444.85</v>
      </c>
      <c r="H1436">
        <v>431</v>
      </c>
      <c r="I1436" s="1">
        <v>433.9</v>
      </c>
      <c r="J1436">
        <v>20611215</v>
      </c>
      <c r="K1436">
        <v>47400</v>
      </c>
      <c r="L1436" t="s">
        <v>78</v>
      </c>
      <c r="M1436" t="s">
        <v>17</v>
      </c>
      <c r="N1436">
        <v>131</v>
      </c>
      <c r="O1436">
        <v>593.45000000000005</v>
      </c>
      <c r="P1436">
        <v>314.14999999999998</v>
      </c>
      <c r="Q1436" s="1" t="str">
        <v/>
      </c>
      <c r="R1436" s="1" t="str">
        <v/>
      </c>
      <c r="S1436" s="3">
        <v>0</v>
      </c>
      <c r="T1436" s="3">
        <v>0</v>
      </c>
    </row>
    <row r="1437" spans="1:20" x14ac:dyDescent="0.25">
      <c r="A1437" t="s">
        <v>78</v>
      </c>
      <c r="B1437" t="s">
        <v>79</v>
      </c>
      <c r="C1437" t="s">
        <v>2081</v>
      </c>
      <c r="D1437" t="s">
        <v>2082</v>
      </c>
      <c r="E1437">
        <v>4076.55</v>
      </c>
      <c r="F1437">
        <v>4065</v>
      </c>
      <c r="G1437">
        <v>4137</v>
      </c>
      <c r="H1437">
        <v>4015</v>
      </c>
      <c r="I1437" s="1">
        <v>4095.3</v>
      </c>
      <c r="J1437">
        <v>1173601787.8</v>
      </c>
      <c r="K1437">
        <v>288886</v>
      </c>
      <c r="L1437" t="s">
        <v>78</v>
      </c>
      <c r="M1437" t="s">
        <v>17</v>
      </c>
      <c r="N1437">
        <v>33468</v>
      </c>
      <c r="O1437">
        <v>4137</v>
      </c>
      <c r="P1437">
        <v>1605.1</v>
      </c>
      <c r="Q1437" s="1">
        <v>867.35</v>
      </c>
      <c r="R1437" s="1">
        <v>635.1</v>
      </c>
      <c r="S1437" s="3">
        <v>0.1380838963594373</v>
      </c>
      <c r="T1437" s="3">
        <v>9.761495594955405E-2</v>
      </c>
    </row>
    <row r="1438" spans="1:20" x14ac:dyDescent="0.25">
      <c r="A1438" t="s">
        <v>78</v>
      </c>
      <c r="B1438" t="s">
        <v>79</v>
      </c>
      <c r="C1438" t="s">
        <v>2083</v>
      </c>
      <c r="D1438" t="s">
        <v>2084</v>
      </c>
      <c r="E1438">
        <v>3880.6</v>
      </c>
      <c r="F1438">
        <v>3894</v>
      </c>
      <c r="G1438">
        <v>3928.3</v>
      </c>
      <c r="H1438">
        <v>3849.05</v>
      </c>
      <c r="I1438" s="1">
        <v>3905</v>
      </c>
      <c r="J1438">
        <v>1288260060.25</v>
      </c>
      <c r="K1438">
        <v>330915</v>
      </c>
      <c r="L1438" t="s">
        <v>78</v>
      </c>
      <c r="M1438" t="s">
        <v>17</v>
      </c>
      <c r="N1438">
        <v>20391</v>
      </c>
      <c r="O1438">
        <v>4040</v>
      </c>
      <c r="P1438">
        <v>3220</v>
      </c>
      <c r="Q1438" s="1">
        <v>2954</v>
      </c>
      <c r="R1438" s="1">
        <v>1058</v>
      </c>
      <c r="S1438" s="3">
        <v>2.3530712774727958E-2</v>
      </c>
      <c r="T1438" s="3">
        <v>6.7434509283931021E-2</v>
      </c>
    </row>
    <row r="1439" spans="1:20" x14ac:dyDescent="0.25">
      <c r="A1439" t="s">
        <v>78</v>
      </c>
      <c r="B1439" t="s">
        <v>79</v>
      </c>
      <c r="C1439" t="s">
        <v>2085</v>
      </c>
      <c r="D1439" t="s">
        <v>2086</v>
      </c>
      <c r="E1439">
        <v>5166.45</v>
      </c>
      <c r="F1439">
        <v>5197</v>
      </c>
      <c r="G1439">
        <v>5197</v>
      </c>
      <c r="H1439">
        <v>5010</v>
      </c>
      <c r="I1439" s="1">
        <v>5162.75</v>
      </c>
      <c r="J1439">
        <v>36921813.25</v>
      </c>
      <c r="K1439">
        <v>7241</v>
      </c>
      <c r="L1439" t="s">
        <v>78</v>
      </c>
      <c r="M1439" t="s">
        <v>17</v>
      </c>
      <c r="N1439">
        <v>2312</v>
      </c>
      <c r="O1439">
        <v>5377</v>
      </c>
      <c r="P1439">
        <v>1887</v>
      </c>
      <c r="Q1439" s="1">
        <v>1980</v>
      </c>
      <c r="R1439" s="1">
        <v>1978.05</v>
      </c>
      <c r="S1439" s="3">
        <v>8.3140160309360889E-2</v>
      </c>
      <c r="T1439" s="3">
        <v>4.9109410970480827E-2</v>
      </c>
    </row>
    <row r="1440" spans="1:20" x14ac:dyDescent="0.25">
      <c r="A1440" t="s">
        <v>78</v>
      </c>
      <c r="B1440" t="s">
        <v>79</v>
      </c>
      <c r="C1440" t="s">
        <v>2087</v>
      </c>
      <c r="D1440" t="s">
        <v>2088</v>
      </c>
      <c r="E1440">
        <v>13.43</v>
      </c>
      <c r="F1440">
        <v>13.5</v>
      </c>
      <c r="G1440">
        <v>13.55</v>
      </c>
      <c r="H1440">
        <v>12.86</v>
      </c>
      <c r="I1440" s="1">
        <v>12.96</v>
      </c>
      <c r="J1440">
        <v>10098630.1</v>
      </c>
      <c r="K1440">
        <v>764896</v>
      </c>
      <c r="L1440" t="s">
        <v>78</v>
      </c>
      <c r="M1440" t="s">
        <v>17</v>
      </c>
      <c r="N1440">
        <v>3256</v>
      </c>
      <c r="O1440">
        <v>17.649999999999999</v>
      </c>
      <c r="P1440">
        <v>10.199999999999999</v>
      </c>
      <c r="Q1440" s="1">
        <v>8.3000000000000007</v>
      </c>
      <c r="R1440" s="1">
        <v>9</v>
      </c>
      <c r="S1440" s="3">
        <v>3.7832442195915084E-2</v>
      </c>
      <c r="T1440" s="3">
        <v>1.8389207733402468E-2</v>
      </c>
    </row>
    <row r="1441" spans="1:20" x14ac:dyDescent="0.25">
      <c r="A1441" t="s">
        <v>78</v>
      </c>
      <c r="B1441" t="s">
        <v>79</v>
      </c>
      <c r="C1441" t="s">
        <v>2091</v>
      </c>
      <c r="D1441" t="s">
        <v>2092</v>
      </c>
      <c r="E1441">
        <v>49.25</v>
      </c>
      <c r="F1441">
        <v>49.99</v>
      </c>
      <c r="G1441">
        <v>50.71</v>
      </c>
      <c r="H1441">
        <v>49</v>
      </c>
      <c r="I1441" s="1">
        <v>49.09</v>
      </c>
      <c r="J1441">
        <v>3086285.52</v>
      </c>
      <c r="K1441">
        <v>62233</v>
      </c>
      <c r="L1441" t="s">
        <v>78</v>
      </c>
      <c r="M1441" t="s">
        <v>17</v>
      </c>
      <c r="N1441">
        <v>664</v>
      </c>
      <c r="O1441">
        <v>67</v>
      </c>
      <c r="P1441">
        <v>37.049999999999997</v>
      </c>
      <c r="Q1441" s="1">
        <v>57.55</v>
      </c>
      <c r="R1441" s="1">
        <v>20.7</v>
      </c>
      <c r="S1441" s="3">
        <v>-1.3162505424893722E-2</v>
      </c>
      <c r="T1441" s="3">
        <v>4.4097041969622941E-2</v>
      </c>
    </row>
    <row r="1442" spans="1:20" x14ac:dyDescent="0.25">
      <c r="A1442" t="s">
        <v>78</v>
      </c>
      <c r="B1442" t="s">
        <v>79</v>
      </c>
      <c r="C1442" t="s">
        <v>2093</v>
      </c>
      <c r="D1442" t="s">
        <v>2094</v>
      </c>
      <c r="E1442">
        <v>1150.45</v>
      </c>
      <c r="F1442">
        <v>1145</v>
      </c>
      <c r="G1442">
        <v>1163.25</v>
      </c>
      <c r="H1442">
        <v>1120.25</v>
      </c>
      <c r="I1442" s="1">
        <v>1149.95</v>
      </c>
      <c r="J1442">
        <v>81673744.849999994</v>
      </c>
      <c r="K1442">
        <v>71410</v>
      </c>
      <c r="L1442" t="s">
        <v>78</v>
      </c>
      <c r="M1442" t="s">
        <v>17</v>
      </c>
      <c r="N1442">
        <v>6774</v>
      </c>
      <c r="O1442">
        <v>1204</v>
      </c>
      <c r="P1442">
        <v>375</v>
      </c>
      <c r="Q1442" s="1">
        <v>149.65</v>
      </c>
      <c r="R1442" s="1">
        <v>45.05</v>
      </c>
      <c r="S1442" s="3">
        <v>0.18522331580425755</v>
      </c>
      <c r="T1442" s="3">
        <v>0.17573834337286298</v>
      </c>
    </row>
    <row r="1443" spans="1:20" x14ac:dyDescent="0.25">
      <c r="A1443" t="s">
        <v>78</v>
      </c>
      <c r="B1443" t="s">
        <v>79</v>
      </c>
      <c r="C1443" t="s">
        <v>5633</v>
      </c>
      <c r="D1443" t="s">
        <v>5632</v>
      </c>
      <c r="E1443">
        <v>1569.05</v>
      </c>
      <c r="F1443">
        <v>1579</v>
      </c>
      <c r="G1443">
        <v>1585.7</v>
      </c>
      <c r="H1443">
        <v>1501.55</v>
      </c>
      <c r="I1443" s="1">
        <v>1522.8</v>
      </c>
      <c r="J1443">
        <v>113294500</v>
      </c>
      <c r="K1443">
        <v>73815</v>
      </c>
      <c r="L1443" t="s">
        <v>78</v>
      </c>
      <c r="M1443" t="s">
        <v>17</v>
      </c>
      <c r="N1443">
        <v>9567</v>
      </c>
      <c r="O1443">
        <v>1710</v>
      </c>
      <c r="P1443">
        <v>1028.1500000000001</v>
      </c>
      <c r="Q1443" s="1" t="str">
        <v/>
      </c>
      <c r="R1443" s="1" t="str">
        <v/>
      </c>
      <c r="S1443" s="3">
        <v>0</v>
      </c>
      <c r="T1443" s="3">
        <v>0</v>
      </c>
    </row>
    <row r="1444" spans="1:20" x14ac:dyDescent="0.25">
      <c r="A1444" t="s">
        <v>78</v>
      </c>
      <c r="B1444" t="s">
        <v>287</v>
      </c>
      <c r="C1444" t="s">
        <v>5631</v>
      </c>
      <c r="D1444" t="s">
        <v>5630</v>
      </c>
      <c r="E1444">
        <v>31.5</v>
      </c>
      <c r="F1444">
        <v>31</v>
      </c>
      <c r="G1444">
        <v>31</v>
      </c>
      <c r="H1444">
        <v>30.95</v>
      </c>
      <c r="I1444" s="1">
        <v>30.95</v>
      </c>
      <c r="J1444">
        <v>278850</v>
      </c>
      <c r="K1444">
        <v>9000</v>
      </c>
      <c r="L1444" t="s">
        <v>78</v>
      </c>
      <c r="M1444" t="s">
        <v>17</v>
      </c>
      <c r="N1444">
        <v>3</v>
      </c>
      <c r="O1444">
        <v>60</v>
      </c>
      <c r="P1444">
        <v>24.5</v>
      </c>
      <c r="Q1444" s="1" t="str">
        <v/>
      </c>
      <c r="R1444" s="1" t="str">
        <v/>
      </c>
      <c r="S1444" s="3">
        <v>0</v>
      </c>
      <c r="T1444" s="3">
        <v>0</v>
      </c>
    </row>
    <row r="1445" spans="1:20" x14ac:dyDescent="0.25">
      <c r="A1445" t="s">
        <v>78</v>
      </c>
      <c r="B1445" t="s">
        <v>79</v>
      </c>
      <c r="C1445" t="s">
        <v>2095</v>
      </c>
      <c r="D1445" t="s">
        <v>2096</v>
      </c>
      <c r="E1445">
        <v>321.89999999999998</v>
      </c>
      <c r="F1445">
        <v>324.89999999999998</v>
      </c>
      <c r="G1445">
        <v>324.89999999999998</v>
      </c>
      <c r="H1445">
        <v>309.3</v>
      </c>
      <c r="I1445" s="1">
        <v>311.95</v>
      </c>
      <c r="J1445">
        <v>21947785.25</v>
      </c>
      <c r="K1445">
        <v>69613</v>
      </c>
      <c r="L1445" t="s">
        <v>78</v>
      </c>
      <c r="M1445" t="s">
        <v>17</v>
      </c>
      <c r="N1445">
        <v>4109</v>
      </c>
      <c r="O1445">
        <v>358</v>
      </c>
      <c r="P1445">
        <v>188.35</v>
      </c>
      <c r="Q1445" s="1">
        <v>266</v>
      </c>
      <c r="R1445" s="1">
        <v>168.5</v>
      </c>
      <c r="S1445" s="3">
        <v>1.3367440070511494E-2</v>
      </c>
      <c r="T1445" s="3">
        <v>3.1257048456461822E-2</v>
      </c>
    </row>
    <row r="1446" spans="1:20" x14ac:dyDescent="0.25">
      <c r="A1446" t="s">
        <v>78</v>
      </c>
      <c r="B1446" t="s">
        <v>79</v>
      </c>
      <c r="C1446" t="s">
        <v>5629</v>
      </c>
      <c r="D1446" t="s">
        <v>5628</v>
      </c>
      <c r="E1446">
        <v>254.61</v>
      </c>
      <c r="F1446">
        <v>256.64</v>
      </c>
      <c r="G1446">
        <v>267</v>
      </c>
      <c r="H1446">
        <v>248.01</v>
      </c>
      <c r="I1446" s="1">
        <v>261.7</v>
      </c>
      <c r="J1446">
        <v>367283818.25</v>
      </c>
      <c r="K1446">
        <v>1417618</v>
      </c>
      <c r="L1446" t="s">
        <v>78</v>
      </c>
      <c r="M1446" t="s">
        <v>17</v>
      </c>
      <c r="N1446">
        <v>32791</v>
      </c>
      <c r="O1446">
        <v>269.89999999999998</v>
      </c>
      <c r="P1446">
        <v>166.75</v>
      </c>
      <c r="Q1446" s="1" t="str">
        <v/>
      </c>
      <c r="R1446" s="1" t="str">
        <v/>
      </c>
      <c r="S1446" s="3">
        <v>0</v>
      </c>
      <c r="T1446" s="3">
        <v>0</v>
      </c>
    </row>
    <row r="1447" spans="1:20" x14ac:dyDescent="0.25">
      <c r="A1447" t="s">
        <v>78</v>
      </c>
      <c r="B1447" t="s">
        <v>79</v>
      </c>
      <c r="C1447" t="s">
        <v>5627</v>
      </c>
      <c r="D1447" t="s">
        <v>5626</v>
      </c>
      <c r="E1447">
        <v>88.45</v>
      </c>
      <c r="F1447">
        <v>88.7</v>
      </c>
      <c r="G1447">
        <v>89.5</v>
      </c>
      <c r="H1447">
        <v>85.66</v>
      </c>
      <c r="I1447" s="1">
        <v>86.05</v>
      </c>
      <c r="J1447">
        <v>11553700.060000001</v>
      </c>
      <c r="K1447">
        <v>133163</v>
      </c>
      <c r="L1447" t="s">
        <v>78</v>
      </c>
      <c r="M1447" t="s">
        <v>17</v>
      </c>
      <c r="N1447">
        <v>3439</v>
      </c>
      <c r="O1447">
        <v>173.5</v>
      </c>
      <c r="P1447">
        <v>74.900000000000006</v>
      </c>
      <c r="Q1447" s="1" t="str">
        <v/>
      </c>
      <c r="R1447" s="1" t="str">
        <v/>
      </c>
      <c r="S1447" s="3">
        <v>0</v>
      </c>
      <c r="T1447" s="3">
        <v>0</v>
      </c>
    </row>
    <row r="1448" spans="1:20" x14ac:dyDescent="0.25">
      <c r="A1448" t="s">
        <v>78</v>
      </c>
      <c r="B1448" t="s">
        <v>79</v>
      </c>
      <c r="C1448" t="s">
        <v>2097</v>
      </c>
      <c r="D1448" t="s">
        <v>2098</v>
      </c>
      <c r="E1448">
        <v>132.06</v>
      </c>
      <c r="F1448">
        <v>131</v>
      </c>
      <c r="G1448">
        <v>133</v>
      </c>
      <c r="H1448">
        <v>126.27</v>
      </c>
      <c r="I1448" s="1">
        <v>128.65</v>
      </c>
      <c r="J1448">
        <v>73734878.650000006</v>
      </c>
      <c r="K1448">
        <v>567816</v>
      </c>
      <c r="L1448" t="s">
        <v>78</v>
      </c>
      <c r="M1448" t="s">
        <v>17</v>
      </c>
      <c r="N1448">
        <v>7990</v>
      </c>
      <c r="O1448">
        <v>149</v>
      </c>
      <c r="P1448">
        <v>61.55</v>
      </c>
      <c r="Q1448" s="1">
        <v>72.849999999999994</v>
      </c>
      <c r="R1448" s="1">
        <v>37.049999999999997</v>
      </c>
      <c r="S1448" s="3">
        <v>4.8531992824109471E-2</v>
      </c>
      <c r="T1448" s="3">
        <v>6.4182898434972824E-2</v>
      </c>
    </row>
    <row r="1449" spans="1:20" x14ac:dyDescent="0.25">
      <c r="A1449" t="s">
        <v>78</v>
      </c>
      <c r="B1449" t="s">
        <v>79</v>
      </c>
      <c r="C1449" t="s">
        <v>3359</v>
      </c>
      <c r="D1449" t="s">
        <v>3360</v>
      </c>
      <c r="E1449">
        <v>799.3</v>
      </c>
      <c r="F1449">
        <v>805.7</v>
      </c>
      <c r="G1449">
        <v>811</v>
      </c>
      <c r="H1449">
        <v>785.2</v>
      </c>
      <c r="I1449" s="1">
        <v>789.2</v>
      </c>
      <c r="J1449">
        <v>698591208.04999995</v>
      </c>
      <c r="K1449">
        <v>875229</v>
      </c>
      <c r="L1449" t="s">
        <v>78</v>
      </c>
      <c r="M1449" t="s">
        <v>17</v>
      </c>
      <c r="N1449">
        <v>48702</v>
      </c>
      <c r="O1449">
        <v>913.7</v>
      </c>
      <c r="P1449">
        <v>598.1</v>
      </c>
      <c r="Q1449" s="1">
        <v>697</v>
      </c>
      <c r="R1449" s="1">
        <v>735.05</v>
      </c>
      <c r="S1449" s="3">
        <v>1.0406639927574179E-2</v>
      </c>
      <c r="T1449" s="3">
        <v>3.5584323779023208E-3</v>
      </c>
    </row>
    <row r="1450" spans="1:20" x14ac:dyDescent="0.25">
      <c r="A1450" t="s">
        <v>78</v>
      </c>
      <c r="B1450" t="s">
        <v>79</v>
      </c>
      <c r="C1450" t="s">
        <v>3361</v>
      </c>
      <c r="D1450" t="s">
        <v>3362</v>
      </c>
      <c r="E1450">
        <v>72.94</v>
      </c>
      <c r="F1450">
        <v>72.94</v>
      </c>
      <c r="G1450">
        <v>74.22</v>
      </c>
      <c r="H1450">
        <v>70.150000000000006</v>
      </c>
      <c r="I1450" s="1">
        <v>72.05</v>
      </c>
      <c r="J1450">
        <v>8269188.1299999999</v>
      </c>
      <c r="K1450">
        <v>114808</v>
      </c>
      <c r="L1450" t="s">
        <v>78</v>
      </c>
      <c r="M1450" t="s">
        <v>17</v>
      </c>
      <c r="N1450">
        <v>2161</v>
      </c>
      <c r="O1450">
        <v>76.95</v>
      </c>
      <c r="P1450">
        <v>35</v>
      </c>
      <c r="Q1450" s="1">
        <v>40.1</v>
      </c>
      <c r="R1450" s="1">
        <v>14.9</v>
      </c>
      <c r="S1450" s="3">
        <v>5.0043927502578134E-2</v>
      </c>
      <c r="T1450" s="3">
        <v>8.1941163131032502E-2</v>
      </c>
    </row>
    <row r="1451" spans="1:20" x14ac:dyDescent="0.25">
      <c r="A1451" t="s">
        <v>78</v>
      </c>
      <c r="B1451" t="s">
        <v>79</v>
      </c>
      <c r="C1451" t="s">
        <v>2099</v>
      </c>
      <c r="D1451" t="s">
        <v>2100</v>
      </c>
      <c r="E1451">
        <v>526.75</v>
      </c>
      <c r="F1451">
        <v>530.95000000000005</v>
      </c>
      <c r="G1451">
        <v>530.95000000000005</v>
      </c>
      <c r="H1451">
        <v>514.95000000000005</v>
      </c>
      <c r="I1451" s="1">
        <v>521.45000000000005</v>
      </c>
      <c r="J1451">
        <v>280000652.89999998</v>
      </c>
      <c r="K1451">
        <v>536524</v>
      </c>
      <c r="L1451" t="s">
        <v>78</v>
      </c>
      <c r="M1451" t="s">
        <v>17</v>
      </c>
      <c r="N1451">
        <v>22910</v>
      </c>
      <c r="O1451">
        <v>574.79999999999995</v>
      </c>
      <c r="P1451">
        <v>310.10000000000002</v>
      </c>
      <c r="Q1451" s="1">
        <v>306</v>
      </c>
      <c r="R1451" s="1">
        <v>183.2</v>
      </c>
      <c r="S1451" s="3">
        <v>4.5420319554916544E-2</v>
      </c>
      <c r="T1451" s="3">
        <v>5.3663463160465552E-2</v>
      </c>
    </row>
    <row r="1452" spans="1:20" x14ac:dyDescent="0.25">
      <c r="A1452" t="s">
        <v>78</v>
      </c>
      <c r="B1452" t="s">
        <v>79</v>
      </c>
      <c r="C1452" t="s">
        <v>5625</v>
      </c>
      <c r="D1452" t="s">
        <v>5624</v>
      </c>
      <c r="E1452">
        <v>971.55</v>
      </c>
      <c r="F1452">
        <v>971</v>
      </c>
      <c r="G1452">
        <v>990</v>
      </c>
      <c r="H1452">
        <v>935.75</v>
      </c>
      <c r="I1452" s="1">
        <v>974.3</v>
      </c>
      <c r="J1452">
        <v>71067964.75</v>
      </c>
      <c r="K1452">
        <v>73913</v>
      </c>
      <c r="L1452" t="s">
        <v>78</v>
      </c>
      <c r="M1452" t="s">
        <v>17</v>
      </c>
      <c r="N1452">
        <v>7423</v>
      </c>
      <c r="O1452">
        <v>1048.9000000000001</v>
      </c>
      <c r="P1452">
        <v>377.5</v>
      </c>
      <c r="Q1452" s="1" t="str">
        <v/>
      </c>
      <c r="R1452" s="1" t="str">
        <v/>
      </c>
      <c r="S1452" s="3">
        <v>0</v>
      </c>
      <c r="T1452" s="3">
        <v>0</v>
      </c>
    </row>
    <row r="1453" spans="1:20" x14ac:dyDescent="0.25">
      <c r="A1453" t="s">
        <v>78</v>
      </c>
      <c r="B1453" t="s">
        <v>79</v>
      </c>
      <c r="C1453" t="s">
        <v>2103</v>
      </c>
      <c r="D1453" t="s">
        <v>2104</v>
      </c>
      <c r="E1453">
        <v>433.8</v>
      </c>
      <c r="F1453">
        <v>436.1</v>
      </c>
      <c r="G1453">
        <v>442</v>
      </c>
      <c r="H1453">
        <v>424</v>
      </c>
      <c r="I1453" s="1">
        <v>433.2</v>
      </c>
      <c r="J1453">
        <v>2907605.65</v>
      </c>
      <c r="K1453">
        <v>6772</v>
      </c>
      <c r="L1453" t="s">
        <v>78</v>
      </c>
      <c r="M1453" t="s">
        <v>17</v>
      </c>
      <c r="N1453">
        <v>660</v>
      </c>
      <c r="O1453">
        <v>476.15</v>
      </c>
      <c r="P1453">
        <v>306.14999999999998</v>
      </c>
      <c r="Q1453" s="1">
        <v>313</v>
      </c>
      <c r="R1453" s="1">
        <v>150.4</v>
      </c>
      <c r="S1453" s="3">
        <v>2.7453105621450868E-2</v>
      </c>
      <c r="T1453" s="3">
        <v>5.4288453222694377E-2</v>
      </c>
    </row>
    <row r="1454" spans="1:20" x14ac:dyDescent="0.25">
      <c r="A1454" t="s">
        <v>78</v>
      </c>
      <c r="B1454" t="s">
        <v>79</v>
      </c>
      <c r="C1454" t="s">
        <v>2105</v>
      </c>
      <c r="D1454" t="s">
        <v>2106</v>
      </c>
      <c r="E1454">
        <v>711.9</v>
      </c>
      <c r="F1454">
        <v>715</v>
      </c>
      <c r="G1454">
        <v>718</v>
      </c>
      <c r="H1454">
        <v>690.2</v>
      </c>
      <c r="I1454" s="1">
        <v>710.15</v>
      </c>
      <c r="J1454">
        <v>49446236.399999999</v>
      </c>
      <c r="K1454">
        <v>70319</v>
      </c>
      <c r="L1454" t="s">
        <v>78</v>
      </c>
      <c r="M1454" t="s">
        <v>17</v>
      </c>
      <c r="N1454">
        <v>5215</v>
      </c>
      <c r="O1454">
        <v>796.55</v>
      </c>
      <c r="P1454">
        <v>384</v>
      </c>
      <c r="Q1454" s="1">
        <v>363</v>
      </c>
      <c r="R1454" s="1">
        <v>132.35</v>
      </c>
      <c r="S1454" s="3">
        <v>5.7516021052723687E-2</v>
      </c>
      <c r="T1454" s="3">
        <v>8.7580290306551012E-2</v>
      </c>
    </row>
    <row r="1455" spans="1:20" x14ac:dyDescent="0.25">
      <c r="A1455" t="s">
        <v>78</v>
      </c>
      <c r="B1455" t="s">
        <v>79</v>
      </c>
      <c r="C1455" t="s">
        <v>5623</v>
      </c>
      <c r="D1455" t="s">
        <v>5622</v>
      </c>
      <c r="E1455">
        <v>1422.55</v>
      </c>
      <c r="F1455">
        <v>1422.5</v>
      </c>
      <c r="G1455">
        <v>1482</v>
      </c>
      <c r="H1455">
        <v>1386</v>
      </c>
      <c r="I1455" s="1">
        <v>1454.6</v>
      </c>
      <c r="J1455">
        <v>1087831739</v>
      </c>
      <c r="K1455">
        <v>762255</v>
      </c>
      <c r="L1455" t="s">
        <v>78</v>
      </c>
      <c r="M1455" t="s">
        <v>17</v>
      </c>
      <c r="N1455">
        <v>54720</v>
      </c>
      <c r="O1455">
        <v>1543</v>
      </c>
      <c r="P1455">
        <v>661.3</v>
      </c>
      <c r="Q1455" s="1" t="str">
        <v/>
      </c>
      <c r="R1455" s="1" t="str">
        <v/>
      </c>
      <c r="S1455" s="3">
        <v>0</v>
      </c>
      <c r="T1455" s="3">
        <v>0</v>
      </c>
    </row>
    <row r="1456" spans="1:20" x14ac:dyDescent="0.25">
      <c r="A1456" t="s">
        <v>78</v>
      </c>
      <c r="B1456" t="s">
        <v>79</v>
      </c>
      <c r="C1456" t="s">
        <v>2107</v>
      </c>
      <c r="D1456" t="s">
        <v>2108</v>
      </c>
      <c r="E1456">
        <v>6629.2</v>
      </c>
      <c r="F1456">
        <v>6600</v>
      </c>
      <c r="G1456">
        <v>6713.35</v>
      </c>
      <c r="H1456">
        <v>6494.55</v>
      </c>
      <c r="I1456" s="1">
        <v>6552.25</v>
      </c>
      <c r="J1456">
        <v>9968481504.75</v>
      </c>
      <c r="K1456">
        <v>1507949</v>
      </c>
      <c r="L1456" t="s">
        <v>78</v>
      </c>
      <c r="M1456" t="s">
        <v>17</v>
      </c>
      <c r="N1456">
        <v>124253</v>
      </c>
      <c r="O1456">
        <v>7331.45</v>
      </c>
      <c r="P1456">
        <v>3801</v>
      </c>
      <c r="Q1456" s="1">
        <v>1937.05</v>
      </c>
      <c r="R1456" s="1">
        <v>605</v>
      </c>
      <c r="S1456" s="3">
        <v>0.10688916350139266</v>
      </c>
      <c r="T1456" s="3">
        <v>0.12642796437049508</v>
      </c>
    </row>
    <row r="1457" spans="1:20" x14ac:dyDescent="0.25">
      <c r="A1457" t="s">
        <v>78</v>
      </c>
      <c r="B1457" t="s">
        <v>79</v>
      </c>
      <c r="C1457" t="s">
        <v>2109</v>
      </c>
      <c r="D1457" t="s">
        <v>2110</v>
      </c>
      <c r="E1457">
        <v>2127.1</v>
      </c>
      <c r="F1457">
        <v>2137.6999999999998</v>
      </c>
      <c r="G1457">
        <v>2145.6</v>
      </c>
      <c r="H1457">
        <v>2005.9</v>
      </c>
      <c r="I1457" s="1">
        <v>2109.65</v>
      </c>
      <c r="J1457">
        <v>95154435.599999994</v>
      </c>
      <c r="K1457">
        <v>45219</v>
      </c>
      <c r="L1457" t="s">
        <v>78</v>
      </c>
      <c r="M1457" t="s">
        <v>17</v>
      </c>
      <c r="N1457">
        <v>9543</v>
      </c>
      <c r="O1457">
        <v>2236.6</v>
      </c>
      <c r="P1457">
        <v>1075.25</v>
      </c>
      <c r="Q1457" s="1">
        <v>956.05</v>
      </c>
      <c r="R1457" s="1">
        <v>178</v>
      </c>
      <c r="S1457" s="3">
        <v>6.8179282098053573E-2</v>
      </c>
      <c r="T1457" s="3">
        <v>0.13151448412107092</v>
      </c>
    </row>
    <row r="1458" spans="1:20" x14ac:dyDescent="0.25">
      <c r="A1458" t="s">
        <v>78</v>
      </c>
      <c r="B1458" t="s">
        <v>79</v>
      </c>
      <c r="C1458" t="s">
        <v>2111</v>
      </c>
      <c r="D1458" t="s">
        <v>2112</v>
      </c>
      <c r="E1458">
        <v>1053.45</v>
      </c>
      <c r="F1458">
        <v>1060</v>
      </c>
      <c r="G1458">
        <v>1061.7</v>
      </c>
      <c r="H1458">
        <v>1028.1500000000001</v>
      </c>
      <c r="I1458" s="1">
        <v>1037.05</v>
      </c>
      <c r="J1458">
        <v>143482505.19999999</v>
      </c>
      <c r="K1458">
        <v>138159</v>
      </c>
      <c r="L1458" t="s">
        <v>78</v>
      </c>
      <c r="M1458" t="s">
        <v>17</v>
      </c>
      <c r="N1458">
        <v>10170</v>
      </c>
      <c r="O1458">
        <v>1323</v>
      </c>
      <c r="P1458">
        <v>751.65</v>
      </c>
      <c r="Q1458" s="1">
        <v>1511.35</v>
      </c>
      <c r="R1458" s="1">
        <v>489.1</v>
      </c>
      <c r="S1458" s="3">
        <v>-3.0897857329976963E-2</v>
      </c>
      <c r="T1458" s="3">
        <v>3.8272052256861588E-2</v>
      </c>
    </row>
    <row r="1459" spans="1:20" x14ac:dyDescent="0.25">
      <c r="A1459" t="s">
        <v>78</v>
      </c>
      <c r="B1459" t="s">
        <v>287</v>
      </c>
      <c r="C1459" t="s">
        <v>5621</v>
      </c>
      <c r="D1459" t="s">
        <v>5620</v>
      </c>
      <c r="E1459">
        <v>33.549999999999997</v>
      </c>
      <c r="F1459">
        <v>33.549999999999997</v>
      </c>
      <c r="G1459">
        <v>33.549999999999997</v>
      </c>
      <c r="H1459">
        <v>32.049999999999997</v>
      </c>
      <c r="I1459" s="1">
        <v>33.5</v>
      </c>
      <c r="J1459">
        <v>330100</v>
      </c>
      <c r="K1459">
        <v>10000</v>
      </c>
      <c r="L1459" t="s">
        <v>78</v>
      </c>
      <c r="M1459" t="s">
        <v>17</v>
      </c>
      <c r="N1459">
        <v>5</v>
      </c>
      <c r="O1459">
        <v>58.8</v>
      </c>
      <c r="P1459">
        <v>29.25</v>
      </c>
      <c r="Q1459" s="1" t="str">
        <v/>
      </c>
      <c r="R1459" s="1" t="str">
        <v/>
      </c>
      <c r="S1459" s="3">
        <v>0</v>
      </c>
      <c r="T1459" s="3">
        <v>0</v>
      </c>
    </row>
    <row r="1460" spans="1:20" x14ac:dyDescent="0.25">
      <c r="A1460" t="s">
        <v>78</v>
      </c>
      <c r="B1460" t="s">
        <v>79</v>
      </c>
      <c r="C1460" t="s">
        <v>2113</v>
      </c>
      <c r="D1460" t="s">
        <v>2114</v>
      </c>
      <c r="E1460">
        <v>569.95000000000005</v>
      </c>
      <c r="F1460">
        <v>575</v>
      </c>
      <c r="G1460">
        <v>575</v>
      </c>
      <c r="H1460">
        <v>547.6</v>
      </c>
      <c r="I1460" s="1">
        <v>552.79999999999995</v>
      </c>
      <c r="J1460">
        <v>61753678.350000001</v>
      </c>
      <c r="K1460">
        <v>110916</v>
      </c>
      <c r="L1460" t="s">
        <v>78</v>
      </c>
      <c r="M1460" t="s">
        <v>17</v>
      </c>
      <c r="N1460">
        <v>7000</v>
      </c>
      <c r="O1460">
        <v>598.9</v>
      </c>
      <c r="P1460">
        <v>363.25</v>
      </c>
      <c r="Q1460" s="1">
        <v>297</v>
      </c>
      <c r="R1460" s="1">
        <v>106</v>
      </c>
      <c r="S1460" s="3">
        <v>5.3135611950697825E-2</v>
      </c>
      <c r="T1460" s="3">
        <v>8.6034116186969323E-2</v>
      </c>
    </row>
    <row r="1461" spans="1:20" x14ac:dyDescent="0.25">
      <c r="A1461" t="s">
        <v>78</v>
      </c>
      <c r="B1461" t="s">
        <v>79</v>
      </c>
      <c r="C1461" t="s">
        <v>5619</v>
      </c>
      <c r="D1461" t="s">
        <v>5618</v>
      </c>
      <c r="E1461">
        <v>415.6</v>
      </c>
      <c r="F1461">
        <v>415.6</v>
      </c>
      <c r="G1461">
        <v>417.8</v>
      </c>
      <c r="H1461">
        <v>407.65</v>
      </c>
      <c r="I1461" s="1">
        <v>413.25</v>
      </c>
      <c r="J1461">
        <v>697597867.39999998</v>
      </c>
      <c r="K1461">
        <v>1687514</v>
      </c>
      <c r="L1461" t="s">
        <v>78</v>
      </c>
      <c r="M1461" t="s">
        <v>17</v>
      </c>
      <c r="N1461">
        <v>31367</v>
      </c>
      <c r="O1461">
        <v>519.70000000000005</v>
      </c>
      <c r="P1461">
        <v>336.3</v>
      </c>
      <c r="Q1461" s="1" t="str">
        <v/>
      </c>
      <c r="R1461" s="1" t="str">
        <v/>
      </c>
      <c r="S1461" s="3">
        <v>0</v>
      </c>
      <c r="T1461" s="3">
        <v>0</v>
      </c>
    </row>
    <row r="1462" spans="1:20" x14ac:dyDescent="0.25">
      <c r="A1462" t="s">
        <v>78</v>
      </c>
      <c r="B1462" t="s">
        <v>79</v>
      </c>
      <c r="C1462" t="s">
        <v>2115</v>
      </c>
      <c r="D1462" t="s">
        <v>5617</v>
      </c>
      <c r="E1462">
        <v>12055.5</v>
      </c>
      <c r="F1462">
        <v>12250</v>
      </c>
      <c r="G1462">
        <v>12400</v>
      </c>
      <c r="H1462">
        <v>11699.6</v>
      </c>
      <c r="I1462" s="1">
        <v>11828.55</v>
      </c>
      <c r="J1462">
        <v>735054556.75</v>
      </c>
      <c r="K1462">
        <v>61546</v>
      </c>
      <c r="L1462" t="s">
        <v>78</v>
      </c>
      <c r="M1462" t="s">
        <v>17</v>
      </c>
      <c r="N1462">
        <v>18939</v>
      </c>
      <c r="O1462">
        <v>14382</v>
      </c>
      <c r="P1462">
        <v>3895.9</v>
      </c>
      <c r="Q1462" s="1">
        <v>1916.9</v>
      </c>
      <c r="R1462" s="1" t="str">
        <v/>
      </c>
      <c r="S1462" s="3">
        <v>0.16375351138510807</v>
      </c>
      <c r="T1462" s="3">
        <v>0</v>
      </c>
    </row>
    <row r="1463" spans="1:20" x14ac:dyDescent="0.25">
      <c r="A1463" t="s">
        <v>78</v>
      </c>
      <c r="B1463" t="s">
        <v>79</v>
      </c>
      <c r="C1463" t="s">
        <v>2117</v>
      </c>
      <c r="D1463" t="s">
        <v>2118</v>
      </c>
      <c r="E1463">
        <v>5943.55</v>
      </c>
      <c r="F1463">
        <v>5974</v>
      </c>
      <c r="G1463">
        <v>6080</v>
      </c>
      <c r="H1463">
        <v>5859.85</v>
      </c>
      <c r="I1463" s="1">
        <v>6034</v>
      </c>
      <c r="J1463">
        <v>933718324.60000002</v>
      </c>
      <c r="K1463">
        <v>156176</v>
      </c>
      <c r="L1463" t="s">
        <v>78</v>
      </c>
      <c r="M1463" t="s">
        <v>17</v>
      </c>
      <c r="N1463">
        <v>20035</v>
      </c>
      <c r="O1463">
        <v>6080</v>
      </c>
      <c r="P1463">
        <v>3364.95</v>
      </c>
      <c r="Q1463" s="1">
        <v>805</v>
      </c>
      <c r="R1463" s="1">
        <v>877.85</v>
      </c>
      <c r="S1463" s="3">
        <v>0.18277132083308789</v>
      </c>
      <c r="T1463" s="3">
        <v>0.10112424598772596</v>
      </c>
    </row>
    <row r="1464" spans="1:20" x14ac:dyDescent="0.25">
      <c r="A1464" t="s">
        <v>78</v>
      </c>
      <c r="B1464" t="s">
        <v>79</v>
      </c>
      <c r="C1464" t="s">
        <v>2119</v>
      </c>
      <c r="D1464" t="s">
        <v>2120</v>
      </c>
      <c r="E1464">
        <v>213.38</v>
      </c>
      <c r="F1464">
        <v>213.5</v>
      </c>
      <c r="G1464">
        <v>218.8</v>
      </c>
      <c r="H1464">
        <v>208.5</v>
      </c>
      <c r="I1464" s="1">
        <v>210.48</v>
      </c>
      <c r="J1464">
        <v>10922207.17</v>
      </c>
      <c r="K1464">
        <v>50882</v>
      </c>
      <c r="L1464" t="s">
        <v>78</v>
      </c>
      <c r="M1464" t="s">
        <v>17</v>
      </c>
      <c r="N1464">
        <v>1812</v>
      </c>
      <c r="O1464">
        <v>294</v>
      </c>
      <c r="P1464">
        <v>172</v>
      </c>
      <c r="Q1464" s="1">
        <v>248</v>
      </c>
      <c r="R1464" s="1">
        <v>194</v>
      </c>
      <c r="S1464" s="3">
        <v>-1.357683444036395E-2</v>
      </c>
      <c r="T1464" s="3">
        <v>4.0827029570580375E-3</v>
      </c>
    </row>
    <row r="1465" spans="1:20" x14ac:dyDescent="0.25">
      <c r="A1465" t="s">
        <v>78</v>
      </c>
      <c r="B1465" t="s">
        <v>79</v>
      </c>
      <c r="C1465" t="s">
        <v>2121</v>
      </c>
      <c r="D1465" t="s">
        <v>2122</v>
      </c>
      <c r="E1465">
        <v>500</v>
      </c>
      <c r="F1465">
        <v>500.95</v>
      </c>
      <c r="G1465">
        <v>501.7</v>
      </c>
      <c r="H1465">
        <v>482.4</v>
      </c>
      <c r="I1465" s="1">
        <v>487.7</v>
      </c>
      <c r="J1465">
        <v>62090189.149999999</v>
      </c>
      <c r="K1465">
        <v>126942</v>
      </c>
      <c r="L1465" t="s">
        <v>78</v>
      </c>
      <c r="M1465" t="s">
        <v>17</v>
      </c>
      <c r="N1465">
        <v>10695</v>
      </c>
      <c r="O1465">
        <v>539.70000000000005</v>
      </c>
      <c r="P1465">
        <v>180</v>
      </c>
      <c r="Q1465" s="1">
        <v>172.25</v>
      </c>
      <c r="R1465" s="1">
        <v>76.75</v>
      </c>
      <c r="S1465" s="3">
        <v>9.0601591432341477E-2</v>
      </c>
      <c r="T1465" s="3">
        <v>9.681082626712656E-2</v>
      </c>
    </row>
    <row r="1466" spans="1:20" x14ac:dyDescent="0.25">
      <c r="A1466" t="s">
        <v>78</v>
      </c>
      <c r="B1466" t="s">
        <v>79</v>
      </c>
      <c r="C1466" t="s">
        <v>5616</v>
      </c>
      <c r="D1466" t="s">
        <v>5615</v>
      </c>
      <c r="E1466">
        <v>152.78</v>
      </c>
      <c r="F1466">
        <v>153</v>
      </c>
      <c r="G1466">
        <v>153.69999999999999</v>
      </c>
      <c r="H1466">
        <v>149.05000000000001</v>
      </c>
      <c r="I1466" s="1">
        <v>149.51</v>
      </c>
      <c r="J1466">
        <v>243465224.69999999</v>
      </c>
      <c r="K1466">
        <v>1618019</v>
      </c>
      <c r="L1466" t="s">
        <v>78</v>
      </c>
      <c r="M1466" t="s">
        <v>17</v>
      </c>
      <c r="N1466">
        <v>29814</v>
      </c>
      <c r="O1466">
        <v>166.7</v>
      </c>
      <c r="P1466">
        <v>87.5</v>
      </c>
      <c r="Q1466" s="1" t="str">
        <v/>
      </c>
      <c r="R1466" s="1" t="str">
        <v/>
      </c>
      <c r="S1466" s="3">
        <v>0</v>
      </c>
      <c r="T1466" s="3">
        <v>0</v>
      </c>
    </row>
    <row r="1467" spans="1:20" x14ac:dyDescent="0.25">
      <c r="A1467" t="s">
        <v>78</v>
      </c>
      <c r="B1467" t="s">
        <v>79</v>
      </c>
      <c r="C1467" t="s">
        <v>2123</v>
      </c>
      <c r="D1467" t="s">
        <v>2124</v>
      </c>
      <c r="E1467">
        <v>32.200000000000003</v>
      </c>
      <c r="F1467">
        <v>32.799999999999997</v>
      </c>
      <c r="G1467">
        <v>32.799999999999997</v>
      </c>
      <c r="H1467">
        <v>31.66</v>
      </c>
      <c r="I1467" s="1">
        <v>32.130000000000003</v>
      </c>
      <c r="J1467">
        <v>2221442.4</v>
      </c>
      <c r="K1467">
        <v>69094</v>
      </c>
      <c r="L1467" t="s">
        <v>78</v>
      </c>
      <c r="M1467" t="s">
        <v>17</v>
      </c>
      <c r="N1467">
        <v>559</v>
      </c>
      <c r="O1467">
        <v>37.700000000000003</v>
      </c>
      <c r="P1467">
        <v>11.3</v>
      </c>
      <c r="Q1467" s="1">
        <v>17.850000000000001</v>
      </c>
      <c r="R1467" s="1">
        <v>6.9</v>
      </c>
      <c r="S1467" s="3">
        <v>5.0201680167547114E-2</v>
      </c>
      <c r="T1467" s="3">
        <v>7.9903102071381404E-2</v>
      </c>
    </row>
    <row r="1468" spans="1:20" x14ac:dyDescent="0.25">
      <c r="A1468" t="s">
        <v>78</v>
      </c>
      <c r="B1468" t="s">
        <v>79</v>
      </c>
      <c r="C1468" t="s">
        <v>3365</v>
      </c>
      <c r="D1468" t="s">
        <v>5614</v>
      </c>
      <c r="E1468">
        <v>717.35</v>
      </c>
      <c r="F1468">
        <v>718</v>
      </c>
      <c r="G1468">
        <v>736.45</v>
      </c>
      <c r="H1468">
        <v>695.6</v>
      </c>
      <c r="I1468" s="1">
        <v>702</v>
      </c>
      <c r="J1468">
        <v>727912378.20000005</v>
      </c>
      <c r="K1468">
        <v>1027792</v>
      </c>
      <c r="L1468" t="s">
        <v>78</v>
      </c>
      <c r="M1468" t="s">
        <v>183</v>
      </c>
      <c r="N1468">
        <v>42352</v>
      </c>
      <c r="O1468">
        <v>757.95</v>
      </c>
      <c r="P1468">
        <v>398</v>
      </c>
      <c r="Q1468" s="1">
        <v>361.5</v>
      </c>
      <c r="R1468" s="1">
        <v>121.2</v>
      </c>
      <c r="S1468" s="3">
        <v>5.686390942142272E-2</v>
      </c>
      <c r="T1468" s="3">
        <v>9.1744057009766955E-2</v>
      </c>
    </row>
    <row r="1469" spans="1:20" x14ac:dyDescent="0.25">
      <c r="A1469" t="s">
        <v>78</v>
      </c>
      <c r="B1469" t="s">
        <v>79</v>
      </c>
      <c r="C1469" t="s">
        <v>2125</v>
      </c>
      <c r="D1469" t="s">
        <v>2126</v>
      </c>
      <c r="E1469">
        <v>194.69</v>
      </c>
      <c r="F1469">
        <v>195</v>
      </c>
      <c r="G1469">
        <v>195</v>
      </c>
      <c r="H1469">
        <v>181.49</v>
      </c>
      <c r="I1469" s="1">
        <v>182.66</v>
      </c>
      <c r="J1469">
        <v>211466529.21000001</v>
      </c>
      <c r="K1469">
        <v>1135915</v>
      </c>
      <c r="L1469" t="s">
        <v>78</v>
      </c>
      <c r="M1469" t="s">
        <v>17</v>
      </c>
      <c r="N1469">
        <v>26769</v>
      </c>
      <c r="O1469">
        <v>223.6</v>
      </c>
      <c r="P1469">
        <v>78.45</v>
      </c>
      <c r="Q1469" s="1">
        <v>75.099999999999994</v>
      </c>
      <c r="R1469" s="1">
        <v>48.6</v>
      </c>
      <c r="S1469" s="3">
        <v>7.6879128288341425E-2</v>
      </c>
      <c r="T1469" s="3">
        <v>6.8401807815006377E-2</v>
      </c>
    </row>
    <row r="1470" spans="1:20" x14ac:dyDescent="0.25">
      <c r="A1470" t="s">
        <v>78</v>
      </c>
      <c r="B1470" t="s">
        <v>287</v>
      </c>
      <c r="C1470" t="s">
        <v>5613</v>
      </c>
      <c r="D1470" t="s">
        <v>5612</v>
      </c>
      <c r="E1470">
        <v>166.95</v>
      </c>
      <c r="F1470">
        <v>167</v>
      </c>
      <c r="G1470">
        <v>167.95</v>
      </c>
      <c r="H1470">
        <v>167</v>
      </c>
      <c r="I1470" s="1">
        <v>167.95</v>
      </c>
      <c r="J1470">
        <v>669900</v>
      </c>
      <c r="K1470">
        <v>4000</v>
      </c>
      <c r="L1470" t="s">
        <v>78</v>
      </c>
      <c r="M1470" t="s">
        <v>17</v>
      </c>
      <c r="N1470">
        <v>2</v>
      </c>
      <c r="O1470">
        <v>187.95</v>
      </c>
      <c r="P1470">
        <v>78</v>
      </c>
      <c r="Q1470" s="1" t="str">
        <v/>
      </c>
      <c r="R1470" s="1" t="str">
        <v/>
      </c>
      <c r="S1470" s="3">
        <v>0</v>
      </c>
      <c r="T1470" s="3">
        <v>0</v>
      </c>
    </row>
    <row r="1471" spans="1:20" x14ac:dyDescent="0.25">
      <c r="A1471" t="s">
        <v>78</v>
      </c>
      <c r="B1471" t="s">
        <v>287</v>
      </c>
      <c r="C1471" t="s">
        <v>5611</v>
      </c>
      <c r="D1471" t="s">
        <v>5610</v>
      </c>
      <c r="E1471">
        <v>339.95</v>
      </c>
      <c r="F1471">
        <v>330</v>
      </c>
      <c r="G1471">
        <v>336</v>
      </c>
      <c r="H1471">
        <v>322.95</v>
      </c>
      <c r="I1471" s="1">
        <v>325.60000000000002</v>
      </c>
      <c r="J1471">
        <v>29723040</v>
      </c>
      <c r="K1471">
        <v>91200</v>
      </c>
      <c r="L1471" t="s">
        <v>78</v>
      </c>
      <c r="M1471" t="s">
        <v>17</v>
      </c>
      <c r="N1471">
        <v>51</v>
      </c>
      <c r="O1471">
        <v>496.8</v>
      </c>
      <c r="P1471">
        <v>96</v>
      </c>
      <c r="Q1471" s="1" t="str">
        <v/>
      </c>
      <c r="R1471" s="1" t="str">
        <v/>
      </c>
      <c r="S1471" s="3">
        <v>0</v>
      </c>
      <c r="T1471" s="3">
        <v>0</v>
      </c>
    </row>
    <row r="1472" spans="1:20" x14ac:dyDescent="0.25">
      <c r="A1472" t="s">
        <v>78</v>
      </c>
      <c r="B1472" t="s">
        <v>79</v>
      </c>
      <c r="C1472" t="s">
        <v>2129</v>
      </c>
      <c r="D1472" t="s">
        <v>2130</v>
      </c>
      <c r="E1472">
        <v>185.2</v>
      </c>
      <c r="F1472">
        <v>184.15</v>
      </c>
      <c r="G1472">
        <v>188</v>
      </c>
      <c r="H1472">
        <v>183.1</v>
      </c>
      <c r="I1472" s="1">
        <v>186.43</v>
      </c>
      <c r="J1472">
        <v>17679642.829999998</v>
      </c>
      <c r="K1472">
        <v>95119</v>
      </c>
      <c r="L1472" t="s">
        <v>78</v>
      </c>
      <c r="M1472" t="s">
        <v>183</v>
      </c>
      <c r="N1472">
        <v>5290</v>
      </c>
      <c r="O1472">
        <v>319</v>
      </c>
      <c r="P1472">
        <v>172.65</v>
      </c>
      <c r="Q1472" s="1">
        <v>87</v>
      </c>
      <c r="R1472" s="1">
        <v>43.9</v>
      </c>
      <c r="S1472" s="3">
        <v>6.5572602462411922E-2</v>
      </c>
      <c r="T1472" s="3">
        <v>7.4942828155023733E-2</v>
      </c>
    </row>
    <row r="1473" spans="1:20" x14ac:dyDescent="0.25">
      <c r="A1473" t="s">
        <v>78</v>
      </c>
      <c r="B1473" t="s">
        <v>287</v>
      </c>
      <c r="C1473" t="s">
        <v>5609</v>
      </c>
      <c r="D1473" t="s">
        <v>5608</v>
      </c>
      <c r="E1473">
        <v>50.9</v>
      </c>
      <c r="F1473">
        <v>50.8</v>
      </c>
      <c r="G1473">
        <v>51.7</v>
      </c>
      <c r="H1473">
        <v>48.6</v>
      </c>
      <c r="I1473" s="1">
        <v>48.6</v>
      </c>
      <c r="J1473">
        <v>1002000</v>
      </c>
      <c r="K1473">
        <v>20000</v>
      </c>
      <c r="L1473" t="s">
        <v>78</v>
      </c>
      <c r="M1473" t="s">
        <v>17</v>
      </c>
      <c r="N1473">
        <v>10</v>
      </c>
      <c r="O1473">
        <v>69.3</v>
      </c>
      <c r="P1473">
        <v>33.549999999999997</v>
      </c>
      <c r="Q1473" s="1" t="str">
        <v/>
      </c>
      <c r="R1473" s="1" t="str">
        <v/>
      </c>
      <c r="S1473" s="3">
        <v>0</v>
      </c>
      <c r="T1473" s="3">
        <v>0</v>
      </c>
    </row>
    <row r="1474" spans="1:20" x14ac:dyDescent="0.25">
      <c r="A1474" t="s">
        <v>78</v>
      </c>
      <c r="B1474" t="s">
        <v>79</v>
      </c>
      <c r="C1474" t="s">
        <v>2133</v>
      </c>
      <c r="D1474" t="s">
        <v>2134</v>
      </c>
      <c r="E1474">
        <v>163.36000000000001</v>
      </c>
      <c r="F1474">
        <v>164</v>
      </c>
      <c r="G1474">
        <v>164.85</v>
      </c>
      <c r="H1474">
        <v>156</v>
      </c>
      <c r="I1474" s="1">
        <v>156.56</v>
      </c>
      <c r="J1474">
        <v>88176269.909999996</v>
      </c>
      <c r="K1474">
        <v>552227</v>
      </c>
      <c r="L1474" t="s">
        <v>78</v>
      </c>
      <c r="M1474" t="s">
        <v>17</v>
      </c>
      <c r="N1474">
        <v>15412</v>
      </c>
      <c r="O1474">
        <v>175.5</v>
      </c>
      <c r="P1474">
        <v>88.05</v>
      </c>
      <c r="Q1474" s="1">
        <v>221.95</v>
      </c>
      <c r="R1474" s="1">
        <v>171.3</v>
      </c>
      <c r="S1474" s="3">
        <v>-2.8665520286334623E-2</v>
      </c>
      <c r="T1474" s="3">
        <v>-4.4862967075218751E-3</v>
      </c>
    </row>
    <row r="1475" spans="1:20" x14ac:dyDescent="0.25">
      <c r="A1475" t="s">
        <v>78</v>
      </c>
      <c r="B1475" t="s">
        <v>79</v>
      </c>
      <c r="C1475" t="s">
        <v>2137</v>
      </c>
      <c r="D1475" t="s">
        <v>2138</v>
      </c>
      <c r="E1475">
        <v>221.3</v>
      </c>
      <c r="F1475">
        <v>222</v>
      </c>
      <c r="G1475">
        <v>223.38</v>
      </c>
      <c r="H1475">
        <v>216.1</v>
      </c>
      <c r="I1475" s="1">
        <v>217.72</v>
      </c>
      <c r="J1475">
        <v>11141324.48</v>
      </c>
      <c r="K1475">
        <v>50978</v>
      </c>
      <c r="L1475" t="s">
        <v>78</v>
      </c>
      <c r="M1475" t="s">
        <v>17</v>
      </c>
      <c r="N1475">
        <v>2589</v>
      </c>
      <c r="O1475">
        <v>253.9</v>
      </c>
      <c r="P1475">
        <v>119.75</v>
      </c>
      <c r="Q1475" s="1">
        <v>70</v>
      </c>
      <c r="R1475" s="1">
        <v>20.6</v>
      </c>
      <c r="S1475" s="3">
        <v>9.9174616255467418E-2</v>
      </c>
      <c r="T1475" s="3">
        <v>0.12505438054772111</v>
      </c>
    </row>
    <row r="1476" spans="1:20" x14ac:dyDescent="0.25">
      <c r="A1476" t="s">
        <v>78</v>
      </c>
      <c r="B1476" t="s">
        <v>287</v>
      </c>
      <c r="C1476" t="s">
        <v>5607</v>
      </c>
      <c r="D1476" t="s">
        <v>5606</v>
      </c>
      <c r="E1476">
        <v>117.05</v>
      </c>
      <c r="F1476">
        <v>115.5</v>
      </c>
      <c r="G1476">
        <v>119</v>
      </c>
      <c r="H1476">
        <v>112</v>
      </c>
      <c r="I1476" s="1">
        <v>114.95</v>
      </c>
      <c r="J1476">
        <v>4424920</v>
      </c>
      <c r="K1476">
        <v>38400</v>
      </c>
      <c r="L1476" t="s">
        <v>78</v>
      </c>
      <c r="M1476" t="s">
        <v>17</v>
      </c>
      <c r="N1476">
        <v>43</v>
      </c>
      <c r="O1476">
        <v>210</v>
      </c>
      <c r="P1476">
        <v>90.15</v>
      </c>
      <c r="Q1476" s="1" t="str">
        <v/>
      </c>
      <c r="R1476" s="1" t="str">
        <v/>
      </c>
      <c r="S1476" s="3">
        <v>0</v>
      </c>
      <c r="T1476" s="3">
        <v>0</v>
      </c>
    </row>
    <row r="1477" spans="1:20" x14ac:dyDescent="0.25">
      <c r="A1477" t="s">
        <v>78</v>
      </c>
      <c r="B1477" t="s">
        <v>79</v>
      </c>
      <c r="C1477" t="s">
        <v>2141</v>
      </c>
      <c r="D1477" t="s">
        <v>2142</v>
      </c>
      <c r="E1477">
        <v>1807.95</v>
      </c>
      <c r="F1477">
        <v>1805</v>
      </c>
      <c r="G1477">
        <v>1832</v>
      </c>
      <c r="H1477">
        <v>1730</v>
      </c>
      <c r="I1477" s="1">
        <v>1756.6</v>
      </c>
      <c r="J1477">
        <v>1646331409.5</v>
      </c>
      <c r="K1477">
        <v>928449</v>
      </c>
      <c r="L1477" t="s">
        <v>78</v>
      </c>
      <c r="M1477" t="s">
        <v>17</v>
      </c>
      <c r="N1477">
        <v>84312</v>
      </c>
      <c r="O1477">
        <v>2074.8000000000002</v>
      </c>
      <c r="P1477">
        <v>537.1</v>
      </c>
      <c r="Q1477" s="1">
        <v>322</v>
      </c>
      <c r="R1477" s="1">
        <v>271.55</v>
      </c>
      <c r="S1477" s="3">
        <v>0.15186456239295021</v>
      </c>
      <c r="T1477" s="3">
        <v>9.778919368537875E-2</v>
      </c>
    </row>
    <row r="1478" spans="1:20" x14ac:dyDescent="0.25">
      <c r="A1478" t="s">
        <v>78</v>
      </c>
      <c r="B1478" t="s">
        <v>79</v>
      </c>
      <c r="C1478" t="s">
        <v>2143</v>
      </c>
      <c r="D1478" t="s">
        <v>2144</v>
      </c>
      <c r="E1478">
        <v>493.4</v>
      </c>
      <c r="F1478">
        <v>494.85</v>
      </c>
      <c r="G1478">
        <v>512.75</v>
      </c>
      <c r="H1478">
        <v>491.2</v>
      </c>
      <c r="I1478" s="1">
        <v>494.15</v>
      </c>
      <c r="J1478">
        <v>326214386.25</v>
      </c>
      <c r="K1478">
        <v>649782</v>
      </c>
      <c r="L1478" t="s">
        <v>78</v>
      </c>
      <c r="M1478" t="s">
        <v>17</v>
      </c>
      <c r="N1478">
        <v>34952</v>
      </c>
      <c r="O1478">
        <v>515</v>
      </c>
      <c r="P1478">
        <v>230.8</v>
      </c>
      <c r="Q1478" s="1">
        <v>99</v>
      </c>
      <c r="R1478" s="1">
        <v>26.9</v>
      </c>
      <c r="S1478" s="3">
        <v>0.1433660707291704</v>
      </c>
      <c r="T1478" s="3">
        <v>0.15656677457929158</v>
      </c>
    </row>
    <row r="1479" spans="1:20" x14ac:dyDescent="0.25">
      <c r="A1479" t="s">
        <v>78</v>
      </c>
      <c r="B1479" t="s">
        <v>79</v>
      </c>
      <c r="C1479" t="s">
        <v>2145</v>
      </c>
      <c r="D1479" t="s">
        <v>2146</v>
      </c>
      <c r="E1479">
        <v>259.87</v>
      </c>
      <c r="F1479">
        <v>262</v>
      </c>
      <c r="G1479">
        <v>262</v>
      </c>
      <c r="H1479">
        <v>246.31</v>
      </c>
      <c r="I1479" s="1">
        <v>248.4</v>
      </c>
      <c r="J1479">
        <v>13708227.529999999</v>
      </c>
      <c r="K1479">
        <v>54311</v>
      </c>
      <c r="L1479" t="s">
        <v>78</v>
      </c>
      <c r="M1479" t="s">
        <v>17</v>
      </c>
      <c r="N1479">
        <v>2945</v>
      </c>
      <c r="O1479">
        <v>262.88</v>
      </c>
      <c r="P1479">
        <v>127.6</v>
      </c>
      <c r="Q1479" s="1">
        <v>91</v>
      </c>
      <c r="R1479" s="1">
        <v>37.200000000000003</v>
      </c>
      <c r="S1479" s="3">
        <v>8.7282796810590035E-2</v>
      </c>
      <c r="T1479" s="3">
        <v>9.9531948494183897E-2</v>
      </c>
    </row>
    <row r="1480" spans="1:20" x14ac:dyDescent="0.25">
      <c r="A1480" t="s">
        <v>78</v>
      </c>
      <c r="B1480" t="s">
        <v>79</v>
      </c>
      <c r="C1480" t="s">
        <v>2147</v>
      </c>
      <c r="D1480" t="s">
        <v>2148</v>
      </c>
      <c r="E1480">
        <v>699.85</v>
      </c>
      <c r="F1480">
        <v>700</v>
      </c>
      <c r="G1480">
        <v>705</v>
      </c>
      <c r="H1480">
        <v>679.7</v>
      </c>
      <c r="I1480" s="1">
        <v>689.5</v>
      </c>
      <c r="J1480">
        <v>120122728.25</v>
      </c>
      <c r="K1480">
        <v>174179</v>
      </c>
      <c r="L1480" t="s">
        <v>78</v>
      </c>
      <c r="M1480" t="s">
        <v>17</v>
      </c>
      <c r="N1480">
        <v>13297</v>
      </c>
      <c r="O1480">
        <v>776</v>
      </c>
      <c r="P1480">
        <v>521.35</v>
      </c>
      <c r="Q1480" s="1">
        <v>700</v>
      </c>
      <c r="R1480" s="1" t="str">
        <v/>
      </c>
      <c r="S1480" s="3">
        <v>-1.2586770182638762E-3</v>
      </c>
      <c r="T1480" s="3">
        <v>0</v>
      </c>
    </row>
    <row r="1481" spans="1:20" x14ac:dyDescent="0.25">
      <c r="A1481" t="s">
        <v>78</v>
      </c>
      <c r="B1481" t="s">
        <v>79</v>
      </c>
      <c r="C1481" t="s">
        <v>5605</v>
      </c>
      <c r="D1481" t="s">
        <v>5604</v>
      </c>
      <c r="E1481">
        <v>138.74</v>
      </c>
      <c r="F1481">
        <v>137.75</v>
      </c>
      <c r="G1481">
        <v>140.38999999999999</v>
      </c>
      <c r="H1481">
        <v>137</v>
      </c>
      <c r="I1481" s="1">
        <v>139.15</v>
      </c>
      <c r="J1481">
        <v>3417001.08</v>
      </c>
      <c r="K1481">
        <v>24651</v>
      </c>
      <c r="L1481" t="s">
        <v>78</v>
      </c>
      <c r="M1481" t="s">
        <v>17</v>
      </c>
      <c r="N1481">
        <v>727</v>
      </c>
      <c r="O1481">
        <v>300.05</v>
      </c>
      <c r="P1481">
        <v>125.5</v>
      </c>
      <c r="Q1481" s="1" t="str">
        <v/>
      </c>
      <c r="R1481" s="1">
        <v>94</v>
      </c>
      <c r="S1481" s="3">
        <v>0</v>
      </c>
      <c r="T1481" s="3">
        <v>1.9795527926903533E-2</v>
      </c>
    </row>
    <row r="1482" spans="1:20" x14ac:dyDescent="0.25">
      <c r="A1482" t="s">
        <v>78</v>
      </c>
      <c r="B1482" t="s">
        <v>287</v>
      </c>
      <c r="C1482" t="s">
        <v>5603</v>
      </c>
      <c r="D1482" t="s">
        <v>5602</v>
      </c>
      <c r="E1482">
        <v>68</v>
      </c>
      <c r="F1482">
        <v>67</v>
      </c>
      <c r="G1482">
        <v>70.900000000000006</v>
      </c>
      <c r="H1482">
        <v>67</v>
      </c>
      <c r="I1482" s="1">
        <v>68.400000000000006</v>
      </c>
      <c r="J1482">
        <v>6140400</v>
      </c>
      <c r="K1482">
        <v>90000</v>
      </c>
      <c r="L1482" t="s">
        <v>78</v>
      </c>
      <c r="M1482" t="s">
        <v>17</v>
      </c>
      <c r="N1482">
        <v>29</v>
      </c>
      <c r="O1482">
        <v>96</v>
      </c>
      <c r="P1482">
        <v>36.5</v>
      </c>
      <c r="Q1482" s="1" t="str">
        <v/>
      </c>
      <c r="R1482" s="1" t="str">
        <v/>
      </c>
      <c r="S1482" s="3">
        <v>0</v>
      </c>
      <c r="T1482" s="3">
        <v>0</v>
      </c>
    </row>
    <row r="1483" spans="1:20" x14ac:dyDescent="0.25">
      <c r="A1483" t="s">
        <v>78</v>
      </c>
      <c r="B1483" t="s">
        <v>79</v>
      </c>
      <c r="C1483" t="s">
        <v>5601</v>
      </c>
      <c r="D1483" t="s">
        <v>5600</v>
      </c>
      <c r="E1483">
        <v>26.08</v>
      </c>
      <c r="F1483">
        <v>26.08</v>
      </c>
      <c r="G1483">
        <v>26.5</v>
      </c>
      <c r="H1483">
        <v>25.55</v>
      </c>
      <c r="I1483" s="1">
        <v>25.98</v>
      </c>
      <c r="J1483">
        <v>5699596.7000000002</v>
      </c>
      <c r="K1483">
        <v>218157</v>
      </c>
      <c r="L1483" t="s">
        <v>78</v>
      </c>
      <c r="M1483" t="s">
        <v>17</v>
      </c>
      <c r="N1483">
        <v>2317</v>
      </c>
      <c r="O1483">
        <v>53.5</v>
      </c>
      <c r="P1483">
        <v>18.100000000000001</v>
      </c>
      <c r="Q1483" s="1" t="str">
        <v/>
      </c>
      <c r="R1483" s="1" t="str">
        <v/>
      </c>
      <c r="S1483" s="3">
        <v>0</v>
      </c>
      <c r="T1483" s="3">
        <v>0</v>
      </c>
    </row>
    <row r="1484" spans="1:20" x14ac:dyDescent="0.25">
      <c r="A1484" t="s">
        <v>78</v>
      </c>
      <c r="B1484" t="s">
        <v>79</v>
      </c>
      <c r="C1484" t="s">
        <v>2149</v>
      </c>
      <c r="D1484" t="s">
        <v>2150</v>
      </c>
      <c r="E1484">
        <v>1589.5</v>
      </c>
      <c r="F1484">
        <v>1581.25</v>
      </c>
      <c r="G1484">
        <v>1590.25</v>
      </c>
      <c r="H1484">
        <v>1514.65</v>
      </c>
      <c r="I1484" s="1">
        <v>1530.6</v>
      </c>
      <c r="J1484">
        <v>46720059.799999997</v>
      </c>
      <c r="K1484">
        <v>30405</v>
      </c>
      <c r="L1484" t="s">
        <v>78</v>
      </c>
      <c r="M1484" t="s">
        <v>17</v>
      </c>
      <c r="N1484">
        <v>5978</v>
      </c>
      <c r="O1484">
        <v>1674.9</v>
      </c>
      <c r="P1484">
        <v>975</v>
      </c>
      <c r="Q1484" s="1">
        <v>1327</v>
      </c>
      <c r="R1484" s="1" t="str">
        <v/>
      </c>
      <c r="S1484" s="3">
        <v>1.1965947587609049E-2</v>
      </c>
      <c r="T1484" s="3">
        <v>0</v>
      </c>
    </row>
    <row r="1485" spans="1:20" x14ac:dyDescent="0.25">
      <c r="A1485" t="s">
        <v>78</v>
      </c>
      <c r="B1485" t="s">
        <v>287</v>
      </c>
      <c r="C1485" t="s">
        <v>5599</v>
      </c>
      <c r="D1485" t="s">
        <v>5598</v>
      </c>
      <c r="E1485">
        <v>132.05000000000001</v>
      </c>
      <c r="F1485">
        <v>134</v>
      </c>
      <c r="G1485">
        <v>137</v>
      </c>
      <c r="H1485">
        <v>129.5</v>
      </c>
      <c r="I1485" s="1">
        <v>130.9</v>
      </c>
      <c r="J1485">
        <v>10046700</v>
      </c>
      <c r="K1485">
        <v>76000</v>
      </c>
      <c r="L1485" t="s">
        <v>78</v>
      </c>
      <c r="M1485" t="s">
        <v>17</v>
      </c>
      <c r="N1485">
        <v>38</v>
      </c>
      <c r="O1485">
        <v>174.9</v>
      </c>
      <c r="P1485">
        <v>68.650000000000006</v>
      </c>
      <c r="Q1485" s="1" t="str">
        <v/>
      </c>
      <c r="R1485" s="1" t="str">
        <v/>
      </c>
      <c r="S1485" s="3">
        <v>0</v>
      </c>
      <c r="T1485" s="3">
        <v>0</v>
      </c>
    </row>
    <row r="1486" spans="1:20" x14ac:dyDescent="0.25">
      <c r="A1486" t="s">
        <v>78</v>
      </c>
      <c r="B1486" t="s">
        <v>287</v>
      </c>
      <c r="C1486" t="s">
        <v>2151</v>
      </c>
      <c r="D1486" t="s">
        <v>2152</v>
      </c>
      <c r="E1486">
        <v>214</v>
      </c>
      <c r="F1486">
        <v>214.5</v>
      </c>
      <c r="G1486">
        <v>214.5</v>
      </c>
      <c r="H1486">
        <v>203.3</v>
      </c>
      <c r="I1486" s="1">
        <v>203.3</v>
      </c>
      <c r="J1486">
        <v>412200</v>
      </c>
      <c r="K1486">
        <v>2000</v>
      </c>
      <c r="L1486" t="s">
        <v>78</v>
      </c>
      <c r="M1486" t="s">
        <v>17</v>
      </c>
      <c r="N1486">
        <v>4</v>
      </c>
      <c r="O1486">
        <v>337.55</v>
      </c>
      <c r="P1486">
        <v>187</v>
      </c>
      <c r="Q1486" s="1">
        <v>100.8</v>
      </c>
      <c r="R1486" s="1">
        <v>24.65</v>
      </c>
      <c r="S1486" s="3">
        <v>6.0204729398259271E-2</v>
      </c>
      <c r="T1486" s="3">
        <v>0.11119667148022616</v>
      </c>
    </row>
    <row r="1487" spans="1:20" x14ac:dyDescent="0.25">
      <c r="A1487" t="s">
        <v>78</v>
      </c>
      <c r="B1487" t="s">
        <v>287</v>
      </c>
      <c r="C1487" t="s">
        <v>5597</v>
      </c>
      <c r="D1487" t="s">
        <v>5596</v>
      </c>
      <c r="E1487">
        <v>279.8</v>
      </c>
      <c r="F1487">
        <v>279.95</v>
      </c>
      <c r="G1487">
        <v>285</v>
      </c>
      <c r="H1487">
        <v>279.95</v>
      </c>
      <c r="I1487" s="1">
        <v>283</v>
      </c>
      <c r="J1487">
        <v>1188180</v>
      </c>
      <c r="K1487">
        <v>4200</v>
      </c>
      <c r="L1487" t="s">
        <v>78</v>
      </c>
      <c r="M1487" t="s">
        <v>17</v>
      </c>
      <c r="N1487">
        <v>7</v>
      </c>
      <c r="O1487">
        <v>324</v>
      </c>
      <c r="P1487">
        <v>143.30000000000001</v>
      </c>
      <c r="Q1487" s="1" t="str">
        <v/>
      </c>
      <c r="R1487" s="1" t="str">
        <v/>
      </c>
      <c r="S1487" s="3">
        <v>0</v>
      </c>
      <c r="T1487" s="3">
        <v>0</v>
      </c>
    </row>
    <row r="1488" spans="1:20" x14ac:dyDescent="0.25">
      <c r="A1488" t="s">
        <v>78</v>
      </c>
      <c r="B1488" t="s">
        <v>287</v>
      </c>
      <c r="C1488" t="s">
        <v>5595</v>
      </c>
      <c r="D1488" t="s">
        <v>5594</v>
      </c>
      <c r="E1488">
        <v>1033</v>
      </c>
      <c r="F1488">
        <v>1050</v>
      </c>
      <c r="G1488">
        <v>1050</v>
      </c>
      <c r="H1488">
        <v>1040</v>
      </c>
      <c r="I1488" s="1">
        <v>1040</v>
      </c>
      <c r="J1488">
        <v>1510400</v>
      </c>
      <c r="K1488">
        <v>1440</v>
      </c>
      <c r="L1488" t="s">
        <v>78</v>
      </c>
      <c r="M1488" t="s">
        <v>17</v>
      </c>
      <c r="N1488">
        <v>9</v>
      </c>
      <c r="O1488">
        <v>1270</v>
      </c>
      <c r="P1488">
        <v>845</v>
      </c>
      <c r="Q1488" s="1" t="str">
        <v/>
      </c>
      <c r="R1488" s="1" t="str">
        <v/>
      </c>
      <c r="S1488" s="3">
        <v>0</v>
      </c>
      <c r="T1488" s="3">
        <v>0</v>
      </c>
    </row>
    <row r="1489" spans="1:20" x14ac:dyDescent="0.25">
      <c r="A1489" t="s">
        <v>78</v>
      </c>
      <c r="B1489" t="s">
        <v>79</v>
      </c>
      <c r="C1489" t="s">
        <v>5593</v>
      </c>
      <c r="D1489" t="s">
        <v>5592</v>
      </c>
      <c r="E1489">
        <v>31.91</v>
      </c>
      <c r="F1489">
        <v>31.86</v>
      </c>
      <c r="G1489">
        <v>32.159999999999997</v>
      </c>
      <c r="H1489">
        <v>30.49</v>
      </c>
      <c r="I1489" s="1">
        <v>30.84</v>
      </c>
      <c r="J1489">
        <v>21625800.23</v>
      </c>
      <c r="K1489">
        <v>693704</v>
      </c>
      <c r="L1489" t="s">
        <v>78</v>
      </c>
      <c r="M1489" t="s">
        <v>17</v>
      </c>
      <c r="N1489">
        <v>4157</v>
      </c>
      <c r="O1489">
        <v>44.8</v>
      </c>
      <c r="P1489">
        <v>24.8</v>
      </c>
      <c r="Q1489" s="1" t="str">
        <v/>
      </c>
      <c r="R1489" s="1" t="str">
        <v/>
      </c>
      <c r="S1489" s="3">
        <v>0</v>
      </c>
      <c r="T1489" s="3">
        <v>0</v>
      </c>
    </row>
    <row r="1490" spans="1:20" x14ac:dyDescent="0.25">
      <c r="A1490" t="s">
        <v>78</v>
      </c>
      <c r="B1490" t="s">
        <v>79</v>
      </c>
      <c r="C1490" t="s">
        <v>2153</v>
      </c>
      <c r="D1490" t="s">
        <v>2154</v>
      </c>
      <c r="E1490">
        <v>168.59</v>
      </c>
      <c r="F1490">
        <v>167.1</v>
      </c>
      <c r="G1490">
        <v>172.5</v>
      </c>
      <c r="H1490">
        <v>164.98</v>
      </c>
      <c r="I1490" s="1">
        <v>165.33</v>
      </c>
      <c r="J1490">
        <v>73989574.760000005</v>
      </c>
      <c r="K1490">
        <v>440994</v>
      </c>
      <c r="L1490" t="s">
        <v>78</v>
      </c>
      <c r="M1490" t="s">
        <v>17</v>
      </c>
      <c r="N1490">
        <v>10740</v>
      </c>
      <c r="O1490">
        <v>199</v>
      </c>
      <c r="P1490">
        <v>119.95</v>
      </c>
      <c r="Q1490" s="1">
        <v>136.9</v>
      </c>
      <c r="R1490" s="1">
        <v>89.45</v>
      </c>
      <c r="S1490" s="3">
        <v>1.5848674209194114E-2</v>
      </c>
      <c r="T1490" s="3">
        <v>3.1172354684796622E-2</v>
      </c>
    </row>
    <row r="1491" spans="1:20" x14ac:dyDescent="0.25">
      <c r="A1491" t="s">
        <v>78</v>
      </c>
      <c r="B1491" t="s">
        <v>79</v>
      </c>
      <c r="C1491" t="s">
        <v>5591</v>
      </c>
      <c r="D1491" t="s">
        <v>5590</v>
      </c>
      <c r="E1491">
        <v>2100.5</v>
      </c>
      <c r="F1491">
        <v>2115.4</v>
      </c>
      <c r="G1491">
        <v>2156</v>
      </c>
      <c r="H1491">
        <v>2007.1</v>
      </c>
      <c r="I1491" s="1">
        <v>2108.65</v>
      </c>
      <c r="J1491">
        <v>91387871.950000003</v>
      </c>
      <c r="K1491">
        <v>43691</v>
      </c>
      <c r="L1491" t="s">
        <v>78</v>
      </c>
      <c r="M1491" t="s">
        <v>17</v>
      </c>
      <c r="N1491">
        <v>12732</v>
      </c>
      <c r="O1491">
        <v>2156</v>
      </c>
      <c r="P1491">
        <v>1010.75</v>
      </c>
      <c r="Q1491" s="1" t="str">
        <v/>
      </c>
      <c r="R1491" s="1" t="str">
        <v/>
      </c>
      <c r="S1491" s="3">
        <v>0</v>
      </c>
      <c r="T1491" s="3">
        <v>0</v>
      </c>
    </row>
    <row r="1492" spans="1:20" x14ac:dyDescent="0.25">
      <c r="A1492" t="s">
        <v>78</v>
      </c>
      <c r="B1492" t="s">
        <v>79</v>
      </c>
      <c r="C1492" t="s">
        <v>5589</v>
      </c>
      <c r="D1492" t="s">
        <v>5588</v>
      </c>
      <c r="E1492">
        <v>22.98</v>
      </c>
      <c r="F1492">
        <v>23.49</v>
      </c>
      <c r="G1492">
        <v>23.49</v>
      </c>
      <c r="H1492">
        <v>22.02</v>
      </c>
      <c r="I1492" s="1">
        <v>22.11</v>
      </c>
      <c r="J1492">
        <v>388957.16</v>
      </c>
      <c r="K1492">
        <v>17465</v>
      </c>
      <c r="L1492" t="s">
        <v>78</v>
      </c>
      <c r="M1492" t="s">
        <v>17</v>
      </c>
      <c r="N1492">
        <v>124</v>
      </c>
      <c r="O1492">
        <v>39.9</v>
      </c>
      <c r="P1492">
        <v>19.3</v>
      </c>
      <c r="Q1492" s="1" t="str">
        <v/>
      </c>
      <c r="R1492" s="1" t="str">
        <v/>
      </c>
      <c r="S1492" s="3">
        <v>0</v>
      </c>
      <c r="T1492" s="3">
        <v>0</v>
      </c>
    </row>
    <row r="1493" spans="1:20" x14ac:dyDescent="0.25">
      <c r="A1493" t="s">
        <v>78</v>
      </c>
      <c r="B1493" t="s">
        <v>79</v>
      </c>
      <c r="C1493" t="s">
        <v>2155</v>
      </c>
      <c r="D1493" t="s">
        <v>2156</v>
      </c>
      <c r="E1493">
        <v>63.76</v>
      </c>
      <c r="F1493">
        <v>64.05</v>
      </c>
      <c r="G1493">
        <v>68.400000000000006</v>
      </c>
      <c r="H1493">
        <v>63.28</v>
      </c>
      <c r="I1493" s="1">
        <v>65.39</v>
      </c>
      <c r="J1493">
        <v>1268596401.48</v>
      </c>
      <c r="K1493">
        <v>19109296</v>
      </c>
      <c r="L1493" t="s">
        <v>78</v>
      </c>
      <c r="M1493" t="s">
        <v>17</v>
      </c>
      <c r="N1493">
        <v>76122</v>
      </c>
      <c r="O1493">
        <v>77.5</v>
      </c>
      <c r="P1493">
        <v>30.7</v>
      </c>
      <c r="Q1493" s="1">
        <v>19.600000000000001</v>
      </c>
      <c r="R1493" s="1">
        <v>24.4</v>
      </c>
      <c r="S1493" s="3">
        <v>0.10561673955210837</v>
      </c>
      <c r="T1493" s="3">
        <v>5.0495877961795665E-2</v>
      </c>
    </row>
    <row r="1494" spans="1:20" x14ac:dyDescent="0.25">
      <c r="A1494" t="s">
        <v>78</v>
      </c>
      <c r="B1494" t="s">
        <v>79</v>
      </c>
      <c r="C1494" t="s">
        <v>2157</v>
      </c>
      <c r="D1494" t="s">
        <v>2158</v>
      </c>
      <c r="E1494">
        <v>682.85</v>
      </c>
      <c r="F1494">
        <v>683</v>
      </c>
      <c r="G1494">
        <v>690</v>
      </c>
      <c r="H1494">
        <v>672.5</v>
      </c>
      <c r="I1494" s="1">
        <v>684.15</v>
      </c>
      <c r="J1494">
        <v>21472784.75</v>
      </c>
      <c r="K1494">
        <v>31581</v>
      </c>
      <c r="L1494" t="s">
        <v>78</v>
      </c>
      <c r="M1494" t="s">
        <v>17</v>
      </c>
      <c r="N1494">
        <v>3507</v>
      </c>
      <c r="O1494">
        <v>846</v>
      </c>
      <c r="P1494">
        <v>599.9</v>
      </c>
      <c r="Q1494" s="1">
        <v>462.4</v>
      </c>
      <c r="R1494" s="1">
        <v>495</v>
      </c>
      <c r="S1494" s="3">
        <v>3.3184285801265201E-2</v>
      </c>
      <c r="T1494" s="3">
        <v>1.6303586398044967E-2</v>
      </c>
    </row>
    <row r="1495" spans="1:20" x14ac:dyDescent="0.25">
      <c r="A1495" t="s">
        <v>78</v>
      </c>
      <c r="B1495" t="s">
        <v>79</v>
      </c>
      <c r="C1495" t="s">
        <v>2159</v>
      </c>
      <c r="D1495" t="s">
        <v>2160</v>
      </c>
      <c r="E1495">
        <v>220.25</v>
      </c>
      <c r="F1495">
        <v>220.2</v>
      </c>
      <c r="G1495">
        <v>221.77</v>
      </c>
      <c r="H1495">
        <v>213.21</v>
      </c>
      <c r="I1495" s="1">
        <v>215.38</v>
      </c>
      <c r="J1495">
        <v>604989313.90999997</v>
      </c>
      <c r="K1495">
        <v>2799736</v>
      </c>
      <c r="L1495" t="s">
        <v>78</v>
      </c>
      <c r="M1495" t="s">
        <v>17</v>
      </c>
      <c r="N1495">
        <v>23996</v>
      </c>
      <c r="O1495">
        <v>254.6</v>
      </c>
      <c r="P1495">
        <v>109.2</v>
      </c>
      <c r="Q1495" s="1">
        <v>100.6</v>
      </c>
      <c r="R1495" s="1">
        <v>61.4</v>
      </c>
      <c r="S1495" s="3">
        <v>6.5493037118470987E-2</v>
      </c>
      <c r="T1495" s="3">
        <v>6.4723710951541724E-2</v>
      </c>
    </row>
    <row r="1496" spans="1:20" x14ac:dyDescent="0.25">
      <c r="A1496" t="s">
        <v>78</v>
      </c>
      <c r="B1496" t="s">
        <v>79</v>
      </c>
      <c r="C1496" t="s">
        <v>2161</v>
      </c>
      <c r="D1496" t="s">
        <v>2162</v>
      </c>
      <c r="E1496">
        <v>43.22</v>
      </c>
      <c r="F1496">
        <v>43.22</v>
      </c>
      <c r="G1496">
        <v>43.65</v>
      </c>
      <c r="H1496">
        <v>43.02</v>
      </c>
      <c r="I1496" s="1">
        <v>43.2</v>
      </c>
      <c r="J1496">
        <v>4979212</v>
      </c>
      <c r="K1496">
        <v>114956</v>
      </c>
      <c r="L1496" t="s">
        <v>78</v>
      </c>
      <c r="M1496" t="s">
        <v>17</v>
      </c>
      <c r="N1496">
        <v>1907</v>
      </c>
      <c r="O1496">
        <v>54.1</v>
      </c>
      <c r="P1496">
        <v>32.1</v>
      </c>
      <c r="Q1496" s="1">
        <v>51.1</v>
      </c>
      <c r="R1496" s="1">
        <v>36.700000000000003</v>
      </c>
      <c r="S1496" s="3">
        <v>-1.3897854098890661E-2</v>
      </c>
      <c r="T1496" s="3">
        <v>8.182013156583956E-3</v>
      </c>
    </row>
    <row r="1497" spans="1:20" x14ac:dyDescent="0.25">
      <c r="A1497" t="s">
        <v>78</v>
      </c>
      <c r="B1497" t="s">
        <v>287</v>
      </c>
      <c r="C1497" t="s">
        <v>5587</v>
      </c>
      <c r="D1497" t="s">
        <v>5586</v>
      </c>
      <c r="E1497">
        <v>114.2</v>
      </c>
      <c r="F1497">
        <v>115.8</v>
      </c>
      <c r="G1497">
        <v>115.8</v>
      </c>
      <c r="H1497">
        <v>111</v>
      </c>
      <c r="I1497" s="1">
        <v>112</v>
      </c>
      <c r="J1497">
        <v>1123450</v>
      </c>
      <c r="K1497">
        <v>10000</v>
      </c>
      <c r="L1497" t="s">
        <v>78</v>
      </c>
      <c r="M1497" t="s">
        <v>17</v>
      </c>
      <c r="N1497">
        <v>10</v>
      </c>
      <c r="O1497">
        <v>204.65</v>
      </c>
      <c r="P1497">
        <v>56</v>
      </c>
      <c r="Q1497" s="1" t="str">
        <v/>
      </c>
      <c r="R1497" s="1">
        <v>41.95</v>
      </c>
      <c r="S1497" s="3">
        <v>0</v>
      </c>
      <c r="T1497" s="3">
        <v>5.0298208543855027E-2</v>
      </c>
    </row>
    <row r="1498" spans="1:20" x14ac:dyDescent="0.25">
      <c r="A1498" t="s">
        <v>78</v>
      </c>
      <c r="B1498" t="s">
        <v>79</v>
      </c>
      <c r="C1498" t="s">
        <v>2163</v>
      </c>
      <c r="D1498" t="s">
        <v>2164</v>
      </c>
      <c r="E1498">
        <v>1433.8</v>
      </c>
      <c r="F1498">
        <v>1406.55</v>
      </c>
      <c r="G1498">
        <v>1432.45</v>
      </c>
      <c r="H1498">
        <v>1386.85</v>
      </c>
      <c r="I1498" s="1">
        <v>1393.85</v>
      </c>
      <c r="J1498">
        <v>10068834.949999999</v>
      </c>
      <c r="K1498">
        <v>7148</v>
      </c>
      <c r="L1498" t="s">
        <v>78</v>
      </c>
      <c r="M1498" t="s">
        <v>17</v>
      </c>
      <c r="N1498">
        <v>1544</v>
      </c>
      <c r="O1498">
        <v>1575</v>
      </c>
      <c r="P1498">
        <v>833.1</v>
      </c>
      <c r="Q1498" s="1">
        <v>1403.35</v>
      </c>
      <c r="R1498" s="1">
        <v>570.04999999999995</v>
      </c>
      <c r="S1498" s="3">
        <v>-5.6588423615555605E-4</v>
      </c>
      <c r="T1498" s="3">
        <v>4.5693773020539563E-2</v>
      </c>
    </row>
    <row r="1499" spans="1:20" x14ac:dyDescent="0.25">
      <c r="A1499" t="s">
        <v>78</v>
      </c>
      <c r="B1499" t="s">
        <v>287</v>
      </c>
      <c r="C1499" t="s">
        <v>5585</v>
      </c>
      <c r="D1499" t="s">
        <v>5584</v>
      </c>
      <c r="E1499">
        <v>174.75</v>
      </c>
      <c r="F1499">
        <v>174.75</v>
      </c>
      <c r="G1499">
        <v>174.75</v>
      </c>
      <c r="H1499">
        <v>172.5</v>
      </c>
      <c r="I1499" s="1">
        <v>172.5</v>
      </c>
      <c r="J1499">
        <v>835200</v>
      </c>
      <c r="K1499">
        <v>4800</v>
      </c>
      <c r="L1499" t="s">
        <v>78</v>
      </c>
      <c r="M1499" t="s">
        <v>17</v>
      </c>
      <c r="N1499">
        <v>3</v>
      </c>
      <c r="O1499">
        <v>273</v>
      </c>
      <c r="P1499">
        <v>150</v>
      </c>
      <c r="Q1499" s="1" t="str">
        <v/>
      </c>
      <c r="R1499" s="1" t="str">
        <v/>
      </c>
      <c r="S1499" s="3">
        <v>0</v>
      </c>
      <c r="T1499" s="3">
        <v>0</v>
      </c>
    </row>
    <row r="1500" spans="1:20" x14ac:dyDescent="0.25">
      <c r="A1500" t="s">
        <v>78</v>
      </c>
      <c r="B1500" t="s">
        <v>79</v>
      </c>
      <c r="C1500" t="s">
        <v>5583</v>
      </c>
      <c r="D1500" t="s">
        <v>5582</v>
      </c>
      <c r="E1500">
        <v>24.51</v>
      </c>
      <c r="F1500">
        <v>24.5</v>
      </c>
      <c r="G1500">
        <v>24.84</v>
      </c>
      <c r="H1500">
        <v>24</v>
      </c>
      <c r="I1500" s="1">
        <v>24.17</v>
      </c>
      <c r="J1500">
        <v>6857438</v>
      </c>
      <c r="K1500">
        <v>282239</v>
      </c>
      <c r="L1500" t="s">
        <v>78</v>
      </c>
      <c r="M1500" t="s">
        <v>17</v>
      </c>
      <c r="N1500">
        <v>1542</v>
      </c>
      <c r="O1500">
        <v>43.45</v>
      </c>
      <c r="P1500">
        <v>12.35</v>
      </c>
      <c r="Q1500" s="1" t="str">
        <v/>
      </c>
      <c r="R1500" s="1" t="str">
        <v/>
      </c>
      <c r="S1500" s="3">
        <v>0</v>
      </c>
      <c r="T1500" s="3">
        <v>0</v>
      </c>
    </row>
    <row r="1501" spans="1:20" x14ac:dyDescent="0.25">
      <c r="A1501" t="s">
        <v>78</v>
      </c>
      <c r="B1501" t="s">
        <v>79</v>
      </c>
      <c r="C1501" t="s">
        <v>5581</v>
      </c>
      <c r="D1501" t="s">
        <v>5580</v>
      </c>
      <c r="E1501">
        <v>1438.3</v>
      </c>
      <c r="F1501">
        <v>1438</v>
      </c>
      <c r="G1501">
        <v>1438</v>
      </c>
      <c r="H1501">
        <v>1401.35</v>
      </c>
      <c r="I1501" s="1">
        <v>1412.2</v>
      </c>
      <c r="J1501">
        <v>679426302.39999998</v>
      </c>
      <c r="K1501">
        <v>480448</v>
      </c>
      <c r="L1501" t="s">
        <v>78</v>
      </c>
      <c r="M1501" t="s">
        <v>17</v>
      </c>
      <c r="N1501">
        <v>30699</v>
      </c>
      <c r="O1501">
        <v>1875.45</v>
      </c>
      <c r="P1501">
        <v>1204.2</v>
      </c>
      <c r="Q1501" s="1" t="str">
        <v/>
      </c>
      <c r="R1501" s="1" t="str">
        <v/>
      </c>
      <c r="S1501" s="3">
        <v>0</v>
      </c>
      <c r="T1501" s="3">
        <v>0</v>
      </c>
    </row>
    <row r="1502" spans="1:20" x14ac:dyDescent="0.25">
      <c r="A1502" t="s">
        <v>78</v>
      </c>
      <c r="B1502" t="s">
        <v>79</v>
      </c>
      <c r="C1502" t="s">
        <v>5579</v>
      </c>
      <c r="D1502" t="s">
        <v>5578</v>
      </c>
      <c r="E1502">
        <v>240.35</v>
      </c>
      <c r="F1502">
        <v>240.99</v>
      </c>
      <c r="G1502">
        <v>246.43</v>
      </c>
      <c r="H1502">
        <v>238.34</v>
      </c>
      <c r="I1502" s="1">
        <v>240.29</v>
      </c>
      <c r="J1502">
        <v>21150074.239999998</v>
      </c>
      <c r="K1502">
        <v>87794</v>
      </c>
      <c r="L1502" t="s">
        <v>78</v>
      </c>
      <c r="M1502" t="s">
        <v>17</v>
      </c>
      <c r="N1502">
        <v>4617</v>
      </c>
      <c r="O1502">
        <v>296.55</v>
      </c>
      <c r="P1502">
        <v>199</v>
      </c>
      <c r="Q1502" s="1" t="str">
        <v/>
      </c>
      <c r="R1502" s="1" t="str">
        <v/>
      </c>
      <c r="S1502" s="3">
        <v>0</v>
      </c>
      <c r="T1502" s="3">
        <v>0</v>
      </c>
    </row>
    <row r="1503" spans="1:20" x14ac:dyDescent="0.25">
      <c r="A1503" t="s">
        <v>78</v>
      </c>
      <c r="B1503" t="s">
        <v>79</v>
      </c>
      <c r="C1503" t="s">
        <v>5577</v>
      </c>
      <c r="D1503" t="s">
        <v>5576</v>
      </c>
      <c r="E1503">
        <v>183.59</v>
      </c>
      <c r="F1503">
        <v>185</v>
      </c>
      <c r="G1503">
        <v>185.3</v>
      </c>
      <c r="H1503">
        <v>178</v>
      </c>
      <c r="I1503" s="1">
        <v>178.5</v>
      </c>
      <c r="J1503">
        <v>35489860.969999999</v>
      </c>
      <c r="K1503">
        <v>197452</v>
      </c>
      <c r="L1503" t="s">
        <v>78</v>
      </c>
      <c r="M1503" t="s">
        <v>17</v>
      </c>
      <c r="N1503">
        <v>4511</v>
      </c>
      <c r="O1503">
        <v>239.35</v>
      </c>
      <c r="P1503">
        <v>134.4</v>
      </c>
      <c r="Q1503" s="1" t="str">
        <v/>
      </c>
      <c r="R1503" s="1" t="str">
        <v/>
      </c>
      <c r="S1503" s="3">
        <v>0</v>
      </c>
      <c r="T1503" s="3">
        <v>0</v>
      </c>
    </row>
    <row r="1504" spans="1:20" x14ac:dyDescent="0.25">
      <c r="A1504" t="s">
        <v>78</v>
      </c>
      <c r="B1504" t="s">
        <v>287</v>
      </c>
      <c r="C1504" t="s">
        <v>5575</v>
      </c>
      <c r="D1504" t="s">
        <v>5574</v>
      </c>
      <c r="E1504">
        <v>124</v>
      </c>
      <c r="F1504">
        <v>124</v>
      </c>
      <c r="G1504">
        <v>124</v>
      </c>
      <c r="H1504">
        <v>120.55</v>
      </c>
      <c r="I1504" s="1">
        <v>122.45</v>
      </c>
      <c r="J1504">
        <v>2080700</v>
      </c>
      <c r="K1504">
        <v>17000</v>
      </c>
      <c r="L1504" t="s">
        <v>78</v>
      </c>
      <c r="M1504" t="s">
        <v>17</v>
      </c>
      <c r="N1504">
        <v>17</v>
      </c>
      <c r="O1504">
        <v>189</v>
      </c>
      <c r="P1504">
        <v>90.25</v>
      </c>
      <c r="Q1504" s="1" t="str">
        <v/>
      </c>
      <c r="R1504" s="1" t="str">
        <v/>
      </c>
      <c r="S1504" s="3">
        <v>0</v>
      </c>
      <c r="T1504" s="3">
        <v>0</v>
      </c>
    </row>
    <row r="1505" spans="1:20" x14ac:dyDescent="0.25">
      <c r="A1505" t="s">
        <v>78</v>
      </c>
      <c r="B1505" t="s">
        <v>287</v>
      </c>
      <c r="C1505" t="s">
        <v>5573</v>
      </c>
      <c r="D1505" t="s">
        <v>5572</v>
      </c>
      <c r="E1505">
        <v>5.55</v>
      </c>
      <c r="F1505">
        <v>5.6</v>
      </c>
      <c r="G1505">
        <v>5.6</v>
      </c>
      <c r="H1505">
        <v>5.6</v>
      </c>
      <c r="I1505" s="1">
        <v>5.6</v>
      </c>
      <c r="J1505">
        <v>134400</v>
      </c>
      <c r="K1505">
        <v>24000</v>
      </c>
      <c r="L1505" t="s">
        <v>78</v>
      </c>
      <c r="M1505" t="s">
        <v>17</v>
      </c>
      <c r="N1505">
        <v>2</v>
      </c>
      <c r="O1505">
        <v>8.8000000000000007</v>
      </c>
      <c r="P1505">
        <v>4.8</v>
      </c>
      <c r="Q1505" s="1" t="str">
        <v/>
      </c>
      <c r="R1505" s="1" t="str">
        <v/>
      </c>
      <c r="S1505" s="3">
        <v>0</v>
      </c>
      <c r="T1505" s="3">
        <v>0</v>
      </c>
    </row>
    <row r="1506" spans="1:20" x14ac:dyDescent="0.25">
      <c r="A1506" t="s">
        <v>78</v>
      </c>
      <c r="B1506" t="s">
        <v>79</v>
      </c>
      <c r="C1506" t="s">
        <v>2169</v>
      </c>
      <c r="D1506" t="s">
        <v>2170</v>
      </c>
      <c r="E1506">
        <v>625.6</v>
      </c>
      <c r="F1506">
        <v>626.1</v>
      </c>
      <c r="G1506">
        <v>630.29999999999995</v>
      </c>
      <c r="H1506">
        <v>596.5</v>
      </c>
      <c r="I1506" s="1">
        <v>613</v>
      </c>
      <c r="J1506">
        <v>115854389.25</v>
      </c>
      <c r="K1506">
        <v>189148</v>
      </c>
      <c r="L1506" t="s">
        <v>78</v>
      </c>
      <c r="M1506" t="s">
        <v>17</v>
      </c>
      <c r="N1506">
        <v>16622</v>
      </c>
      <c r="O1506">
        <v>670.4</v>
      </c>
      <c r="P1506">
        <v>397.7</v>
      </c>
      <c r="Q1506" s="1">
        <v>756.9</v>
      </c>
      <c r="R1506" s="1">
        <v>441</v>
      </c>
      <c r="S1506" s="3">
        <v>-1.7418693574924093E-2</v>
      </c>
      <c r="T1506" s="3">
        <v>1.6593147597757874E-2</v>
      </c>
    </row>
    <row r="1507" spans="1:20" x14ac:dyDescent="0.25">
      <c r="A1507" t="s">
        <v>78</v>
      </c>
      <c r="B1507" t="s">
        <v>287</v>
      </c>
      <c r="C1507" t="s">
        <v>5571</v>
      </c>
      <c r="D1507" t="s">
        <v>5570</v>
      </c>
      <c r="E1507">
        <v>143.25</v>
      </c>
      <c r="F1507">
        <v>143.25</v>
      </c>
      <c r="G1507">
        <v>144.85</v>
      </c>
      <c r="H1507">
        <v>138.65</v>
      </c>
      <c r="I1507" s="1">
        <v>139.5</v>
      </c>
      <c r="J1507">
        <v>1533000</v>
      </c>
      <c r="K1507">
        <v>10800</v>
      </c>
      <c r="L1507" t="s">
        <v>78</v>
      </c>
      <c r="M1507" t="s">
        <v>17</v>
      </c>
      <c r="N1507">
        <v>8</v>
      </c>
      <c r="O1507">
        <v>196.8</v>
      </c>
      <c r="P1507">
        <v>102</v>
      </c>
      <c r="Q1507" s="1" t="str">
        <v/>
      </c>
      <c r="R1507" s="1" t="str">
        <v/>
      </c>
      <c r="S1507" s="3">
        <v>0</v>
      </c>
      <c r="T1507" s="3">
        <v>0</v>
      </c>
    </row>
    <row r="1508" spans="1:20" x14ac:dyDescent="0.25">
      <c r="A1508" t="s">
        <v>78</v>
      </c>
      <c r="B1508" t="s">
        <v>79</v>
      </c>
      <c r="C1508" t="s">
        <v>2171</v>
      </c>
      <c r="D1508" t="s">
        <v>2172</v>
      </c>
      <c r="E1508">
        <v>545.29999999999995</v>
      </c>
      <c r="F1508">
        <v>550.70000000000005</v>
      </c>
      <c r="G1508">
        <v>633.29999999999995</v>
      </c>
      <c r="H1508">
        <v>546.45000000000005</v>
      </c>
      <c r="I1508" s="1">
        <v>608.20000000000005</v>
      </c>
      <c r="J1508">
        <v>1825902346.4000001</v>
      </c>
      <c r="K1508">
        <v>3049998</v>
      </c>
      <c r="L1508" t="s">
        <v>78</v>
      </c>
      <c r="M1508" t="s">
        <v>17</v>
      </c>
      <c r="N1508">
        <v>106441</v>
      </c>
      <c r="O1508">
        <v>633.29999999999995</v>
      </c>
      <c r="P1508">
        <v>148</v>
      </c>
      <c r="Q1508" s="1">
        <v>297.05</v>
      </c>
      <c r="R1508" s="1">
        <v>134.1</v>
      </c>
      <c r="S1508" s="3">
        <v>6.1536027435510121E-2</v>
      </c>
      <c r="T1508" s="3">
        <v>7.8482002870087442E-2</v>
      </c>
    </row>
    <row r="1509" spans="1:20" x14ac:dyDescent="0.25">
      <c r="A1509" t="s">
        <v>78</v>
      </c>
      <c r="B1509" t="s">
        <v>287</v>
      </c>
      <c r="C1509" t="s">
        <v>5569</v>
      </c>
      <c r="D1509" t="s">
        <v>5568</v>
      </c>
      <c r="E1509">
        <v>143.1</v>
      </c>
      <c r="F1509">
        <v>143.15</v>
      </c>
      <c r="G1509">
        <v>147.44999999999999</v>
      </c>
      <c r="H1509">
        <v>142.55000000000001</v>
      </c>
      <c r="I1509" s="1">
        <v>143.15</v>
      </c>
      <c r="J1509">
        <v>1591500</v>
      </c>
      <c r="K1509">
        <v>11000</v>
      </c>
      <c r="L1509" t="s">
        <v>78</v>
      </c>
      <c r="M1509" t="s">
        <v>17</v>
      </c>
      <c r="N1509">
        <v>22</v>
      </c>
      <c r="O1509">
        <v>274</v>
      </c>
      <c r="P1509">
        <v>105</v>
      </c>
      <c r="Q1509" s="1" t="str">
        <v/>
      </c>
      <c r="R1509" s="1" t="str">
        <v/>
      </c>
      <c r="S1509" s="3">
        <v>0</v>
      </c>
      <c r="T1509" s="3">
        <v>0</v>
      </c>
    </row>
    <row r="1510" spans="1:20" x14ac:dyDescent="0.25">
      <c r="A1510" t="s">
        <v>78</v>
      </c>
      <c r="B1510" t="s">
        <v>79</v>
      </c>
      <c r="C1510" t="s">
        <v>5567</v>
      </c>
      <c r="D1510" t="s">
        <v>5566</v>
      </c>
      <c r="E1510">
        <v>425.35</v>
      </c>
      <c r="F1510">
        <v>425.15</v>
      </c>
      <c r="G1510">
        <v>425.2</v>
      </c>
      <c r="H1510">
        <v>419.7</v>
      </c>
      <c r="I1510" s="1">
        <v>421.2</v>
      </c>
      <c r="J1510">
        <v>2295031.2999999998</v>
      </c>
      <c r="K1510">
        <v>5441</v>
      </c>
      <c r="L1510" t="s">
        <v>78</v>
      </c>
      <c r="M1510" t="s">
        <v>17</v>
      </c>
      <c r="N1510">
        <v>669</v>
      </c>
      <c r="O1510">
        <v>460</v>
      </c>
      <c r="P1510">
        <v>226.1</v>
      </c>
      <c r="Q1510" s="1" t="str">
        <v/>
      </c>
      <c r="R1510" s="1" t="str">
        <v/>
      </c>
      <c r="S1510" s="3">
        <v>0</v>
      </c>
      <c r="T1510" s="3">
        <v>0</v>
      </c>
    </row>
    <row r="1511" spans="1:20" x14ac:dyDescent="0.25">
      <c r="A1511" t="s">
        <v>78</v>
      </c>
      <c r="B1511" t="s">
        <v>79</v>
      </c>
      <c r="C1511" t="s">
        <v>5565</v>
      </c>
      <c r="D1511" t="s">
        <v>5564</v>
      </c>
      <c r="E1511">
        <v>59.09</v>
      </c>
      <c r="F1511">
        <v>59.5</v>
      </c>
      <c r="G1511">
        <v>60.55</v>
      </c>
      <c r="H1511">
        <v>58.7</v>
      </c>
      <c r="I1511" s="1">
        <v>59.63</v>
      </c>
      <c r="J1511">
        <v>15363922.720000001</v>
      </c>
      <c r="K1511">
        <v>258376</v>
      </c>
      <c r="L1511" t="s">
        <v>78</v>
      </c>
      <c r="M1511" t="s">
        <v>17</v>
      </c>
      <c r="N1511">
        <v>5005</v>
      </c>
      <c r="O1511">
        <v>76.5</v>
      </c>
      <c r="P1511">
        <v>31</v>
      </c>
      <c r="Q1511" s="1" t="str">
        <v/>
      </c>
      <c r="R1511" s="1" t="str">
        <v/>
      </c>
      <c r="S1511" s="3">
        <v>0</v>
      </c>
      <c r="T1511" s="3">
        <v>0</v>
      </c>
    </row>
    <row r="1512" spans="1:20" x14ac:dyDescent="0.25">
      <c r="A1512" t="s">
        <v>78</v>
      </c>
      <c r="B1512" t="s">
        <v>79</v>
      </c>
      <c r="C1512" t="s">
        <v>5563</v>
      </c>
      <c r="D1512" t="s">
        <v>5562</v>
      </c>
      <c r="E1512">
        <v>81.83</v>
      </c>
      <c r="F1512">
        <v>81.099999999999994</v>
      </c>
      <c r="G1512">
        <v>82.18</v>
      </c>
      <c r="H1512">
        <v>80.8</v>
      </c>
      <c r="I1512" s="1">
        <v>81.010000000000005</v>
      </c>
      <c r="J1512">
        <v>11493832.939999999</v>
      </c>
      <c r="K1512">
        <v>141617</v>
      </c>
      <c r="L1512" t="s">
        <v>78</v>
      </c>
      <c r="M1512" t="s">
        <v>17</v>
      </c>
      <c r="N1512">
        <v>2909</v>
      </c>
      <c r="O1512">
        <v>114.3</v>
      </c>
      <c r="P1512">
        <v>71.099999999999994</v>
      </c>
      <c r="Q1512" s="1" t="str">
        <v/>
      </c>
      <c r="R1512" s="1" t="str">
        <v/>
      </c>
      <c r="S1512" s="3">
        <v>0</v>
      </c>
      <c r="T1512" s="3">
        <v>0</v>
      </c>
    </row>
    <row r="1513" spans="1:20" x14ac:dyDescent="0.25">
      <c r="A1513" t="s">
        <v>78</v>
      </c>
      <c r="B1513" t="s">
        <v>79</v>
      </c>
      <c r="C1513" t="s">
        <v>2173</v>
      </c>
      <c r="D1513" t="s">
        <v>2174</v>
      </c>
      <c r="E1513">
        <v>1703.8</v>
      </c>
      <c r="F1513">
        <v>1712</v>
      </c>
      <c r="G1513">
        <v>1726.55</v>
      </c>
      <c r="H1513">
        <v>1681.25</v>
      </c>
      <c r="I1513" s="1">
        <v>1687.6</v>
      </c>
      <c r="J1513">
        <v>296046999.80000001</v>
      </c>
      <c r="K1513">
        <v>173430</v>
      </c>
      <c r="L1513" t="s">
        <v>78</v>
      </c>
      <c r="M1513" t="s">
        <v>17</v>
      </c>
      <c r="N1513">
        <v>18750</v>
      </c>
      <c r="O1513">
        <v>1885.1</v>
      </c>
      <c r="P1513">
        <v>1141.25</v>
      </c>
      <c r="Q1513" s="1">
        <v>781.7</v>
      </c>
      <c r="R1513" s="1">
        <v>280.25</v>
      </c>
      <c r="S1513" s="3">
        <v>6.6233811528045194E-2</v>
      </c>
      <c r="T1513" s="3">
        <v>9.3867814871526178E-2</v>
      </c>
    </row>
    <row r="1514" spans="1:20" x14ac:dyDescent="0.25">
      <c r="A1514" t="s">
        <v>78</v>
      </c>
      <c r="B1514" t="s">
        <v>79</v>
      </c>
      <c r="C1514" t="s">
        <v>2175</v>
      </c>
      <c r="D1514" t="s">
        <v>2176</v>
      </c>
      <c r="E1514">
        <v>15.6</v>
      </c>
      <c r="F1514">
        <v>15.63</v>
      </c>
      <c r="G1514">
        <v>15.74</v>
      </c>
      <c r="H1514">
        <v>14.87</v>
      </c>
      <c r="I1514" s="1">
        <v>15.13</v>
      </c>
      <c r="J1514">
        <v>15378564.289999999</v>
      </c>
      <c r="K1514">
        <v>1014512</v>
      </c>
      <c r="L1514" t="s">
        <v>78</v>
      </c>
      <c r="M1514" t="s">
        <v>17</v>
      </c>
      <c r="N1514">
        <v>3956</v>
      </c>
      <c r="O1514">
        <v>25.35</v>
      </c>
      <c r="P1514">
        <v>13.35</v>
      </c>
      <c r="Q1514" s="1">
        <v>25.25</v>
      </c>
      <c r="R1514" s="1">
        <v>52</v>
      </c>
      <c r="S1514" s="3">
        <v>-4.1780961456732491E-2</v>
      </c>
      <c r="T1514" s="3">
        <v>-5.9829845229324108E-2</v>
      </c>
    </row>
    <row r="1515" spans="1:20" x14ac:dyDescent="0.25">
      <c r="A1515" t="s">
        <v>78</v>
      </c>
      <c r="B1515" t="s">
        <v>287</v>
      </c>
      <c r="C1515" t="s">
        <v>5561</v>
      </c>
      <c r="D1515" t="s">
        <v>5560</v>
      </c>
      <c r="E1515">
        <v>122</v>
      </c>
      <c r="F1515">
        <v>118.15</v>
      </c>
      <c r="G1515">
        <v>123.45</v>
      </c>
      <c r="H1515">
        <v>118.15</v>
      </c>
      <c r="I1515" s="1">
        <v>123</v>
      </c>
      <c r="J1515">
        <v>976960</v>
      </c>
      <c r="K1515">
        <v>8000</v>
      </c>
      <c r="L1515" t="s">
        <v>78</v>
      </c>
      <c r="M1515" t="s">
        <v>17</v>
      </c>
      <c r="N1515">
        <v>5</v>
      </c>
      <c r="O1515">
        <v>146.65</v>
      </c>
      <c r="P1515">
        <v>105</v>
      </c>
      <c r="Q1515" s="1" t="str">
        <v/>
      </c>
      <c r="R1515" s="1" t="str">
        <v/>
      </c>
      <c r="S1515" s="3">
        <v>0</v>
      </c>
      <c r="T1515" s="3">
        <v>0</v>
      </c>
    </row>
    <row r="1516" spans="1:20" x14ac:dyDescent="0.25">
      <c r="A1516" t="s">
        <v>78</v>
      </c>
      <c r="B1516" t="s">
        <v>79</v>
      </c>
      <c r="C1516" t="s">
        <v>2177</v>
      </c>
      <c r="D1516" t="s">
        <v>2178</v>
      </c>
      <c r="E1516">
        <v>556.20000000000005</v>
      </c>
      <c r="F1516">
        <v>556.20000000000005</v>
      </c>
      <c r="G1516">
        <v>562</v>
      </c>
      <c r="H1516">
        <v>520.20000000000005</v>
      </c>
      <c r="I1516" s="1">
        <v>526.70000000000005</v>
      </c>
      <c r="J1516">
        <v>5326834462.0500002</v>
      </c>
      <c r="K1516">
        <v>9995015</v>
      </c>
      <c r="L1516" t="s">
        <v>78</v>
      </c>
      <c r="M1516" t="s">
        <v>17</v>
      </c>
      <c r="N1516">
        <v>142606</v>
      </c>
      <c r="O1516">
        <v>617.79999999999995</v>
      </c>
      <c r="P1516">
        <v>137.6</v>
      </c>
      <c r="Q1516" s="1">
        <v>143.5</v>
      </c>
      <c r="R1516" s="1" t="str">
        <v/>
      </c>
      <c r="S1516" s="3">
        <v>0.11444665435636558</v>
      </c>
      <c r="T1516" s="3">
        <v>0</v>
      </c>
    </row>
    <row r="1517" spans="1:20" x14ac:dyDescent="0.25">
      <c r="A1517" t="s">
        <v>78</v>
      </c>
      <c r="B1517" t="s">
        <v>79</v>
      </c>
      <c r="C1517" t="s">
        <v>2179</v>
      </c>
      <c r="D1517" t="s">
        <v>2180</v>
      </c>
      <c r="E1517">
        <v>169.1</v>
      </c>
      <c r="F1517">
        <v>169.19</v>
      </c>
      <c r="G1517">
        <v>169.8</v>
      </c>
      <c r="H1517">
        <v>165</v>
      </c>
      <c r="I1517" s="1">
        <v>165.28</v>
      </c>
      <c r="J1517">
        <v>250425626.53999999</v>
      </c>
      <c r="K1517">
        <v>1503831</v>
      </c>
      <c r="L1517" t="s">
        <v>78</v>
      </c>
      <c r="M1517" t="s">
        <v>17</v>
      </c>
      <c r="N1517">
        <v>18368</v>
      </c>
      <c r="O1517">
        <v>219.6</v>
      </c>
      <c r="P1517">
        <v>130.05000000000001</v>
      </c>
      <c r="Q1517" s="1">
        <v>228</v>
      </c>
      <c r="R1517" s="1">
        <v>86</v>
      </c>
      <c r="S1517" s="3">
        <v>-2.6452554797674832E-2</v>
      </c>
      <c r="T1517" s="3">
        <v>3.3185550345015136E-2</v>
      </c>
    </row>
    <row r="1518" spans="1:20" x14ac:dyDescent="0.25">
      <c r="A1518" t="s">
        <v>78</v>
      </c>
      <c r="B1518" t="s">
        <v>79</v>
      </c>
      <c r="C1518" t="s">
        <v>5559</v>
      </c>
      <c r="D1518" t="s">
        <v>5558</v>
      </c>
      <c r="E1518">
        <v>1185.4000000000001</v>
      </c>
      <c r="F1518">
        <v>1185.4000000000001</v>
      </c>
      <c r="G1518">
        <v>1185.5</v>
      </c>
      <c r="H1518">
        <v>1147.25</v>
      </c>
      <c r="I1518" s="1">
        <v>1164.2</v>
      </c>
      <c r="J1518">
        <v>427705928.5</v>
      </c>
      <c r="K1518">
        <v>369030</v>
      </c>
      <c r="L1518" t="s">
        <v>78</v>
      </c>
      <c r="M1518" t="s">
        <v>17</v>
      </c>
      <c r="N1518">
        <v>29633</v>
      </c>
      <c r="O1518">
        <v>1649</v>
      </c>
      <c r="P1518">
        <v>992.95</v>
      </c>
      <c r="Q1518" s="1" t="str">
        <v/>
      </c>
      <c r="R1518" s="1" t="str">
        <v/>
      </c>
      <c r="S1518" s="3">
        <v>0</v>
      </c>
      <c r="T1518" s="3">
        <v>0</v>
      </c>
    </row>
    <row r="1519" spans="1:20" x14ac:dyDescent="0.25">
      <c r="A1519" t="s">
        <v>78</v>
      </c>
      <c r="B1519" t="s">
        <v>79</v>
      </c>
      <c r="C1519" t="s">
        <v>2181</v>
      </c>
      <c r="D1519" t="s">
        <v>2182</v>
      </c>
      <c r="E1519">
        <v>309.5</v>
      </c>
      <c r="F1519">
        <v>308.05</v>
      </c>
      <c r="G1519">
        <v>324.89999999999998</v>
      </c>
      <c r="H1519">
        <v>305</v>
      </c>
      <c r="I1519" s="1">
        <v>309.95</v>
      </c>
      <c r="J1519">
        <v>592610166.29999995</v>
      </c>
      <c r="K1519">
        <v>1866954</v>
      </c>
      <c r="L1519" t="s">
        <v>78</v>
      </c>
      <c r="M1519" t="s">
        <v>17</v>
      </c>
      <c r="N1519">
        <v>45656</v>
      </c>
      <c r="O1519">
        <v>560</v>
      </c>
      <c r="P1519">
        <v>261</v>
      </c>
      <c r="Q1519" s="1">
        <v>575.1</v>
      </c>
      <c r="R1519" s="1">
        <v>684.5</v>
      </c>
      <c r="S1519" s="3">
        <v>-5.020687258280554E-2</v>
      </c>
      <c r="T1519" s="3">
        <v>-3.8818659651687848E-2</v>
      </c>
    </row>
    <row r="1520" spans="1:20" x14ac:dyDescent="0.25">
      <c r="A1520" t="s">
        <v>78</v>
      </c>
      <c r="B1520" t="s">
        <v>79</v>
      </c>
      <c r="C1520" t="s">
        <v>3379</v>
      </c>
      <c r="D1520" t="s">
        <v>3380</v>
      </c>
      <c r="E1520">
        <v>14.22</v>
      </c>
      <c r="F1520">
        <v>14.78</v>
      </c>
      <c r="G1520">
        <v>14.78</v>
      </c>
      <c r="H1520">
        <v>13.76</v>
      </c>
      <c r="I1520" s="1">
        <v>14.03</v>
      </c>
      <c r="J1520">
        <v>93631071.640000001</v>
      </c>
      <c r="K1520">
        <v>6586132</v>
      </c>
      <c r="L1520" t="s">
        <v>78</v>
      </c>
      <c r="M1520" t="s">
        <v>17</v>
      </c>
      <c r="N1520">
        <v>21276</v>
      </c>
      <c r="O1520">
        <v>21.35</v>
      </c>
      <c r="P1520">
        <v>8.8000000000000007</v>
      </c>
      <c r="Q1520" s="1">
        <v>152.5</v>
      </c>
      <c r="R1520" s="1" t="str">
        <v/>
      </c>
      <c r="S1520" s="3">
        <v>-0.18031122913377706</v>
      </c>
      <c r="T1520" s="3">
        <v>0</v>
      </c>
    </row>
    <row r="1521" spans="1:20" x14ac:dyDescent="0.25">
      <c r="A1521" t="s">
        <v>78</v>
      </c>
      <c r="B1521" t="s">
        <v>79</v>
      </c>
      <c r="C1521" t="s">
        <v>3381</v>
      </c>
      <c r="D1521" t="s">
        <v>3382</v>
      </c>
      <c r="E1521">
        <v>609.85</v>
      </c>
      <c r="F1521">
        <v>615.95000000000005</v>
      </c>
      <c r="G1521">
        <v>618.5</v>
      </c>
      <c r="H1521">
        <v>587</v>
      </c>
      <c r="I1521" s="1">
        <v>587.95000000000005</v>
      </c>
      <c r="J1521">
        <v>37123811.950000003</v>
      </c>
      <c r="K1521">
        <v>61976</v>
      </c>
      <c r="L1521" t="s">
        <v>78</v>
      </c>
      <c r="M1521" t="s">
        <v>17</v>
      </c>
      <c r="N1521">
        <v>5743</v>
      </c>
      <c r="O1521">
        <v>859.65</v>
      </c>
      <c r="P1521">
        <v>501</v>
      </c>
      <c r="Q1521" s="1">
        <v>1700</v>
      </c>
      <c r="R1521" s="1" t="str">
        <v/>
      </c>
      <c r="S1521" s="3">
        <v>-8.4677181033177229E-2</v>
      </c>
      <c r="T1521" s="3">
        <v>0</v>
      </c>
    </row>
    <row r="1522" spans="1:20" x14ac:dyDescent="0.25">
      <c r="A1522" t="s">
        <v>78</v>
      </c>
      <c r="B1522" t="s">
        <v>79</v>
      </c>
      <c r="C1522" t="s">
        <v>3383</v>
      </c>
      <c r="D1522" t="s">
        <v>5557</v>
      </c>
      <c r="E1522">
        <v>78.239999999999995</v>
      </c>
      <c r="F1522">
        <v>78.58</v>
      </c>
      <c r="G1522">
        <v>78.7</v>
      </c>
      <c r="H1522">
        <v>75.5</v>
      </c>
      <c r="I1522" s="1">
        <v>75.930000000000007</v>
      </c>
      <c r="J1522">
        <v>15872677.609999999</v>
      </c>
      <c r="K1522">
        <v>207332</v>
      </c>
      <c r="L1522" t="s">
        <v>78</v>
      </c>
      <c r="M1522" t="s">
        <v>17</v>
      </c>
      <c r="N1522">
        <v>2655</v>
      </c>
      <c r="O1522">
        <v>101.9</v>
      </c>
      <c r="P1522">
        <v>52.2</v>
      </c>
      <c r="Q1522" s="1">
        <v>29.65</v>
      </c>
      <c r="R1522" s="1">
        <v>19.95</v>
      </c>
      <c r="S1522" s="3">
        <v>8.1514613042801942E-2</v>
      </c>
      <c r="T1522" s="3">
        <v>6.9073662304554473E-2</v>
      </c>
    </row>
    <row r="1523" spans="1:20" x14ac:dyDescent="0.25">
      <c r="A1523" t="s">
        <v>78</v>
      </c>
      <c r="B1523" t="s">
        <v>79</v>
      </c>
      <c r="C1523" t="s">
        <v>2185</v>
      </c>
      <c r="D1523" t="s">
        <v>2186</v>
      </c>
      <c r="E1523">
        <v>352.15</v>
      </c>
      <c r="F1523">
        <v>350.6</v>
      </c>
      <c r="G1523">
        <v>350.6</v>
      </c>
      <c r="H1523">
        <v>338.3</v>
      </c>
      <c r="I1523" s="1">
        <v>340.5</v>
      </c>
      <c r="J1523">
        <v>236356597.40000001</v>
      </c>
      <c r="K1523">
        <v>689209</v>
      </c>
      <c r="L1523" t="s">
        <v>78</v>
      </c>
      <c r="M1523" t="s">
        <v>17</v>
      </c>
      <c r="N1523">
        <v>22862</v>
      </c>
      <c r="O1523">
        <v>357.7</v>
      </c>
      <c r="P1523">
        <v>205.1</v>
      </c>
      <c r="Q1523" s="1">
        <v>331.6</v>
      </c>
      <c r="R1523" s="1">
        <v>152.19999999999999</v>
      </c>
      <c r="S1523" s="3">
        <v>2.2095793912941808E-3</v>
      </c>
      <c r="T1523" s="3">
        <v>4.1059490314786951E-2</v>
      </c>
    </row>
    <row r="1524" spans="1:20" x14ac:dyDescent="0.25">
      <c r="A1524" t="s">
        <v>78</v>
      </c>
      <c r="B1524" t="s">
        <v>79</v>
      </c>
      <c r="C1524" t="s">
        <v>2187</v>
      </c>
      <c r="D1524" t="s">
        <v>2188</v>
      </c>
      <c r="E1524">
        <v>20.27</v>
      </c>
      <c r="F1524">
        <v>20.32</v>
      </c>
      <c r="G1524">
        <v>21.25</v>
      </c>
      <c r="H1524">
        <v>19.809999999999999</v>
      </c>
      <c r="I1524" s="1">
        <v>20.47</v>
      </c>
      <c r="J1524">
        <v>4133989.41</v>
      </c>
      <c r="K1524">
        <v>199309</v>
      </c>
      <c r="L1524" t="s">
        <v>78</v>
      </c>
      <c r="M1524" t="s">
        <v>17</v>
      </c>
      <c r="N1524">
        <v>793</v>
      </c>
      <c r="O1524">
        <v>24.35</v>
      </c>
      <c r="P1524">
        <v>12.1</v>
      </c>
      <c r="Q1524" s="1">
        <v>19.649999999999999</v>
      </c>
      <c r="R1524" s="1">
        <v>16.5</v>
      </c>
      <c r="S1524" s="3">
        <v>3.4127319342076579E-3</v>
      </c>
      <c r="T1524" s="3">
        <v>1.0832346917567737E-2</v>
      </c>
    </row>
    <row r="1525" spans="1:20" x14ac:dyDescent="0.25">
      <c r="A1525" t="s">
        <v>78</v>
      </c>
      <c r="B1525" t="s">
        <v>79</v>
      </c>
      <c r="C1525" t="s">
        <v>5556</v>
      </c>
      <c r="D1525" t="s">
        <v>5555</v>
      </c>
      <c r="E1525">
        <v>187.82</v>
      </c>
      <c r="F1525">
        <v>187.82</v>
      </c>
      <c r="G1525">
        <v>194.5</v>
      </c>
      <c r="H1525">
        <v>185.5</v>
      </c>
      <c r="I1525" s="1">
        <v>192.96</v>
      </c>
      <c r="J1525">
        <v>7596898.54</v>
      </c>
      <c r="K1525">
        <v>39812</v>
      </c>
      <c r="L1525" t="s">
        <v>78</v>
      </c>
      <c r="M1525" t="s">
        <v>17</v>
      </c>
      <c r="N1525">
        <v>1560</v>
      </c>
      <c r="O1525">
        <v>270</v>
      </c>
      <c r="P1525">
        <v>144.55000000000001</v>
      </c>
      <c r="Q1525" s="1" t="str">
        <v/>
      </c>
      <c r="R1525" s="1" t="str">
        <v/>
      </c>
      <c r="S1525" s="3">
        <v>0</v>
      </c>
      <c r="T1525" s="3">
        <v>0</v>
      </c>
    </row>
    <row r="1526" spans="1:20" x14ac:dyDescent="0.25">
      <c r="A1526" t="s">
        <v>78</v>
      </c>
      <c r="B1526" t="s">
        <v>79</v>
      </c>
      <c r="C1526" t="s">
        <v>2189</v>
      </c>
      <c r="D1526" t="s">
        <v>2190</v>
      </c>
      <c r="E1526">
        <v>10.51</v>
      </c>
      <c r="F1526">
        <v>10.58</v>
      </c>
      <c r="G1526">
        <v>10.79</v>
      </c>
      <c r="H1526">
        <v>10.39</v>
      </c>
      <c r="I1526" s="1">
        <v>10.51</v>
      </c>
      <c r="J1526">
        <v>206822191.97</v>
      </c>
      <c r="K1526">
        <v>19498656</v>
      </c>
      <c r="L1526" t="s">
        <v>78</v>
      </c>
      <c r="M1526" t="s">
        <v>17</v>
      </c>
      <c r="N1526">
        <v>25654</v>
      </c>
      <c r="O1526">
        <v>50.5</v>
      </c>
      <c r="P1526">
        <v>9.9</v>
      </c>
      <c r="Q1526" s="1">
        <v>136.80000000000001</v>
      </c>
      <c r="R1526" s="1">
        <v>75</v>
      </c>
      <c r="S1526" s="3">
        <v>-0.19253002052054091</v>
      </c>
      <c r="T1526" s="3">
        <v>-9.3536247585892851E-2</v>
      </c>
    </row>
    <row r="1527" spans="1:20" x14ac:dyDescent="0.25">
      <c r="A1527" t="s">
        <v>78</v>
      </c>
      <c r="B1527" t="s">
        <v>79</v>
      </c>
      <c r="C1527" t="s">
        <v>2191</v>
      </c>
      <c r="D1527" t="s">
        <v>2192</v>
      </c>
      <c r="E1527">
        <v>794.45</v>
      </c>
      <c r="F1527">
        <v>797.85</v>
      </c>
      <c r="G1527">
        <v>797.85</v>
      </c>
      <c r="H1527">
        <v>776.35</v>
      </c>
      <c r="I1527" s="1">
        <v>782.85</v>
      </c>
      <c r="J1527">
        <v>882711645.10000002</v>
      </c>
      <c r="K1527">
        <v>1128003</v>
      </c>
      <c r="L1527" t="s">
        <v>78</v>
      </c>
      <c r="M1527" t="s">
        <v>17</v>
      </c>
      <c r="N1527">
        <v>36141</v>
      </c>
      <c r="O1527">
        <v>1058.2</v>
      </c>
      <c r="P1527">
        <v>700</v>
      </c>
      <c r="Q1527" s="1">
        <v>1105</v>
      </c>
      <c r="R1527" s="1">
        <v>758.65</v>
      </c>
      <c r="S1527" s="3">
        <v>-2.8313080415345304E-2</v>
      </c>
      <c r="T1527" s="3">
        <v>1.5704004101828595E-3</v>
      </c>
    </row>
    <row r="1528" spans="1:20" x14ac:dyDescent="0.25">
      <c r="A1528" t="s">
        <v>78</v>
      </c>
      <c r="B1528" t="s">
        <v>79</v>
      </c>
      <c r="C1528" t="s">
        <v>2193</v>
      </c>
      <c r="D1528" t="s">
        <v>2194</v>
      </c>
      <c r="E1528">
        <v>249.26</v>
      </c>
      <c r="F1528">
        <v>249.25</v>
      </c>
      <c r="G1528">
        <v>251.86</v>
      </c>
      <c r="H1528">
        <v>243</v>
      </c>
      <c r="I1528" s="1">
        <v>245.07</v>
      </c>
      <c r="J1528">
        <v>24215780.57</v>
      </c>
      <c r="K1528">
        <v>98053</v>
      </c>
      <c r="L1528" t="s">
        <v>78</v>
      </c>
      <c r="M1528" t="s">
        <v>17</v>
      </c>
      <c r="N1528">
        <v>5467</v>
      </c>
      <c r="O1528">
        <v>274.5</v>
      </c>
      <c r="P1528">
        <v>169.7</v>
      </c>
      <c r="Q1528" s="1">
        <v>283</v>
      </c>
      <c r="R1528" s="1">
        <v>175.55</v>
      </c>
      <c r="S1528" s="3">
        <v>-1.1920301314358284E-2</v>
      </c>
      <c r="T1528" s="3">
        <v>1.6811614880644088E-2</v>
      </c>
    </row>
    <row r="1529" spans="1:20" x14ac:dyDescent="0.25">
      <c r="A1529" t="s">
        <v>78</v>
      </c>
      <c r="B1529" t="s">
        <v>79</v>
      </c>
      <c r="C1529" t="s">
        <v>2195</v>
      </c>
      <c r="D1529" t="s">
        <v>2196</v>
      </c>
      <c r="E1529">
        <v>379.65</v>
      </c>
      <c r="F1529">
        <v>385.95</v>
      </c>
      <c r="G1529">
        <v>394</v>
      </c>
      <c r="H1529">
        <v>378</v>
      </c>
      <c r="I1529" s="1">
        <v>380.9</v>
      </c>
      <c r="J1529">
        <v>43908662.799999997</v>
      </c>
      <c r="K1529">
        <v>113864</v>
      </c>
      <c r="L1529" t="s">
        <v>78</v>
      </c>
      <c r="M1529" t="s">
        <v>17</v>
      </c>
      <c r="N1529">
        <v>2473</v>
      </c>
      <c r="O1529">
        <v>449.8</v>
      </c>
      <c r="P1529">
        <v>248.4</v>
      </c>
      <c r="Q1529" s="1">
        <v>655</v>
      </c>
      <c r="R1529" s="1">
        <v>205.25</v>
      </c>
      <c r="S1529" s="3">
        <v>-4.4169672629535639E-2</v>
      </c>
      <c r="T1529" s="3">
        <v>3.1380788240926938E-2</v>
      </c>
    </row>
    <row r="1530" spans="1:20" x14ac:dyDescent="0.25">
      <c r="A1530" t="s">
        <v>78</v>
      </c>
      <c r="B1530" t="s">
        <v>79</v>
      </c>
      <c r="C1530" t="s">
        <v>3387</v>
      </c>
      <c r="D1530" t="s">
        <v>3388</v>
      </c>
      <c r="E1530">
        <v>652.29999999999995</v>
      </c>
      <c r="F1530">
        <v>652</v>
      </c>
      <c r="G1530">
        <v>688.95</v>
      </c>
      <c r="H1530">
        <v>651</v>
      </c>
      <c r="I1530" s="1">
        <v>678.4</v>
      </c>
      <c r="J1530">
        <v>207941678.05000001</v>
      </c>
      <c r="K1530">
        <v>309215</v>
      </c>
      <c r="L1530" t="s">
        <v>78</v>
      </c>
      <c r="M1530" t="s">
        <v>17</v>
      </c>
      <c r="N1530">
        <v>15427</v>
      </c>
      <c r="O1530">
        <v>1009.05</v>
      </c>
      <c r="P1530">
        <v>393.35</v>
      </c>
      <c r="Q1530" s="1">
        <v>189.4</v>
      </c>
      <c r="R1530" s="1">
        <v>72.7</v>
      </c>
      <c r="S1530" s="3">
        <v>0.11218104405365015</v>
      </c>
      <c r="T1530" s="3">
        <v>0.11807519345142992</v>
      </c>
    </row>
    <row r="1531" spans="1:20" x14ac:dyDescent="0.25">
      <c r="A1531" t="s">
        <v>78</v>
      </c>
      <c r="B1531" t="s">
        <v>79</v>
      </c>
      <c r="C1531" t="s">
        <v>5554</v>
      </c>
      <c r="D1531" t="s">
        <v>5553</v>
      </c>
      <c r="E1531">
        <v>426.55</v>
      </c>
      <c r="F1531">
        <v>427</v>
      </c>
      <c r="G1531">
        <v>445.9</v>
      </c>
      <c r="H1531">
        <v>411.1</v>
      </c>
      <c r="I1531" s="1">
        <v>431.2</v>
      </c>
      <c r="J1531">
        <v>94911380.900000006</v>
      </c>
      <c r="K1531">
        <v>220229</v>
      </c>
      <c r="L1531" t="s">
        <v>78</v>
      </c>
      <c r="M1531" t="s">
        <v>17</v>
      </c>
      <c r="N1531">
        <v>16230</v>
      </c>
      <c r="O1531">
        <v>465</v>
      </c>
      <c r="P1531">
        <v>227.45</v>
      </c>
      <c r="Q1531" s="1" t="str">
        <v/>
      </c>
      <c r="R1531" s="1" t="str">
        <v/>
      </c>
      <c r="S1531" s="3">
        <v>0</v>
      </c>
      <c r="T1531" s="3">
        <v>0</v>
      </c>
    </row>
    <row r="1532" spans="1:20" x14ac:dyDescent="0.25">
      <c r="A1532" t="s">
        <v>78</v>
      </c>
      <c r="B1532" t="s">
        <v>79</v>
      </c>
      <c r="C1532" t="s">
        <v>2197</v>
      </c>
      <c r="D1532" t="s">
        <v>2198</v>
      </c>
      <c r="E1532">
        <v>26.2</v>
      </c>
      <c r="F1532">
        <v>26</v>
      </c>
      <c r="G1532">
        <v>26.21</v>
      </c>
      <c r="H1532">
        <v>25.36</v>
      </c>
      <c r="I1532" s="1">
        <v>25.52</v>
      </c>
      <c r="J1532">
        <v>26603055.649999999</v>
      </c>
      <c r="K1532">
        <v>1036177</v>
      </c>
      <c r="L1532" t="s">
        <v>78</v>
      </c>
      <c r="M1532" t="s">
        <v>17</v>
      </c>
      <c r="N1532">
        <v>3781</v>
      </c>
      <c r="O1532">
        <v>30.4</v>
      </c>
      <c r="P1532">
        <v>18.2</v>
      </c>
      <c r="Q1532" s="1">
        <v>30.8</v>
      </c>
      <c r="R1532" s="1">
        <v>2.5</v>
      </c>
      <c r="S1532" s="3">
        <v>-1.5548867781057019E-2</v>
      </c>
      <c r="T1532" s="3">
        <v>0.12310253108797853</v>
      </c>
    </row>
    <row r="1533" spans="1:20" x14ac:dyDescent="0.25">
      <c r="A1533" t="s">
        <v>78</v>
      </c>
      <c r="B1533" t="s">
        <v>79</v>
      </c>
      <c r="C1533" t="s">
        <v>2199</v>
      </c>
      <c r="D1533" t="s">
        <v>2200</v>
      </c>
      <c r="E1533">
        <v>428.3</v>
      </c>
      <c r="F1533">
        <v>428.3</v>
      </c>
      <c r="G1533">
        <v>432</v>
      </c>
      <c r="H1533">
        <v>421.25</v>
      </c>
      <c r="I1533" s="1">
        <v>424.4</v>
      </c>
      <c r="J1533">
        <v>4187552.15</v>
      </c>
      <c r="K1533">
        <v>9780</v>
      </c>
      <c r="L1533" t="s">
        <v>78</v>
      </c>
      <c r="M1533" t="s">
        <v>17</v>
      </c>
      <c r="N1533">
        <v>714</v>
      </c>
      <c r="O1533">
        <v>505.95</v>
      </c>
      <c r="P1533">
        <v>298.39999999999998</v>
      </c>
      <c r="Q1533" s="1">
        <v>335</v>
      </c>
      <c r="R1533" s="1">
        <v>340.1</v>
      </c>
      <c r="S1533" s="3">
        <v>1.9907723699881474E-2</v>
      </c>
      <c r="T1533" s="3">
        <v>1.1127224420295789E-2</v>
      </c>
    </row>
    <row r="1534" spans="1:20" x14ac:dyDescent="0.25">
      <c r="A1534" t="s">
        <v>78</v>
      </c>
      <c r="B1534" t="s">
        <v>79</v>
      </c>
      <c r="C1534" t="s">
        <v>2201</v>
      </c>
      <c r="D1534" t="s">
        <v>2202</v>
      </c>
      <c r="E1534">
        <v>1710.85</v>
      </c>
      <c r="F1534">
        <v>1725.4</v>
      </c>
      <c r="G1534">
        <v>1787</v>
      </c>
      <c r="H1534">
        <v>1700</v>
      </c>
      <c r="I1534" s="1">
        <v>1749.95</v>
      </c>
      <c r="J1534">
        <v>32172552.850000001</v>
      </c>
      <c r="K1534">
        <v>18456</v>
      </c>
      <c r="L1534" t="s">
        <v>78</v>
      </c>
      <c r="M1534" t="s">
        <v>17</v>
      </c>
      <c r="N1534">
        <v>1693</v>
      </c>
      <c r="O1534">
        <v>1885</v>
      </c>
      <c r="P1534">
        <v>895.05</v>
      </c>
      <c r="Q1534" s="1">
        <v>676.85</v>
      </c>
      <c r="R1534" s="1">
        <v>982.9</v>
      </c>
      <c r="S1534" s="3">
        <v>8.2375036351482356E-2</v>
      </c>
      <c r="T1534" s="3">
        <v>2.924544944953511E-2</v>
      </c>
    </row>
    <row r="1535" spans="1:20" x14ac:dyDescent="0.25">
      <c r="A1535" t="s">
        <v>78</v>
      </c>
      <c r="B1535" t="s">
        <v>79</v>
      </c>
      <c r="C1535" t="s">
        <v>5552</v>
      </c>
      <c r="D1535" t="s">
        <v>5551</v>
      </c>
      <c r="E1535">
        <v>812.4</v>
      </c>
      <c r="F1535">
        <v>812.4</v>
      </c>
      <c r="G1535">
        <v>819.9</v>
      </c>
      <c r="H1535">
        <v>795</v>
      </c>
      <c r="I1535" s="1">
        <v>804.75</v>
      </c>
      <c r="J1535">
        <v>251958232.69999999</v>
      </c>
      <c r="K1535">
        <v>313409</v>
      </c>
      <c r="L1535" t="s">
        <v>78</v>
      </c>
      <c r="M1535" t="s">
        <v>17</v>
      </c>
      <c r="N1535">
        <v>20110</v>
      </c>
      <c r="O1535">
        <v>921.7</v>
      </c>
      <c r="P1535">
        <v>427.1</v>
      </c>
      <c r="Q1535" s="1" t="str">
        <v/>
      </c>
      <c r="R1535" s="1" t="str">
        <v/>
      </c>
      <c r="S1535" s="3">
        <v>0</v>
      </c>
      <c r="T1535" s="3">
        <v>0</v>
      </c>
    </row>
    <row r="1536" spans="1:20" x14ac:dyDescent="0.25">
      <c r="A1536" t="s">
        <v>78</v>
      </c>
      <c r="B1536" t="s">
        <v>79</v>
      </c>
      <c r="C1536" t="s">
        <v>2203</v>
      </c>
      <c r="D1536" t="s">
        <v>2204</v>
      </c>
      <c r="E1536">
        <v>3645.7</v>
      </c>
      <c r="F1536">
        <v>3646</v>
      </c>
      <c r="G1536">
        <v>3665</v>
      </c>
      <c r="H1536">
        <v>3491.2</v>
      </c>
      <c r="I1536" s="1">
        <v>3510.05</v>
      </c>
      <c r="J1536">
        <v>312422384</v>
      </c>
      <c r="K1536">
        <v>88081</v>
      </c>
      <c r="L1536" t="s">
        <v>78</v>
      </c>
      <c r="M1536" t="s">
        <v>17</v>
      </c>
      <c r="N1536">
        <v>11527</v>
      </c>
      <c r="O1536">
        <v>3938.8</v>
      </c>
      <c r="P1536">
        <v>2450.8000000000002</v>
      </c>
      <c r="Q1536" s="1">
        <v>2050</v>
      </c>
      <c r="R1536" s="1">
        <v>933.7</v>
      </c>
      <c r="S1536" s="3">
        <v>4.583527682140498E-2</v>
      </c>
      <c r="T1536" s="3">
        <v>6.841394914814547E-2</v>
      </c>
    </row>
    <row r="1537" spans="1:20" x14ac:dyDescent="0.25">
      <c r="A1537" t="s">
        <v>78</v>
      </c>
      <c r="B1537" t="s">
        <v>79</v>
      </c>
      <c r="C1537" t="s">
        <v>5550</v>
      </c>
      <c r="D1537" t="s">
        <v>5549</v>
      </c>
      <c r="E1537">
        <v>172.56</v>
      </c>
      <c r="F1537">
        <v>194</v>
      </c>
      <c r="G1537">
        <v>205.16</v>
      </c>
      <c r="H1537">
        <v>186.61</v>
      </c>
      <c r="I1537" s="1">
        <v>189.83</v>
      </c>
      <c r="J1537">
        <v>1498349090.71</v>
      </c>
      <c r="K1537">
        <v>7707319</v>
      </c>
      <c r="L1537" t="s">
        <v>78</v>
      </c>
      <c r="M1537" t="s">
        <v>17</v>
      </c>
      <c r="N1537">
        <v>73910</v>
      </c>
      <c r="O1537">
        <v>205.16</v>
      </c>
      <c r="P1537">
        <v>107.1</v>
      </c>
      <c r="Q1537" s="1" t="str">
        <v/>
      </c>
      <c r="R1537" s="1" t="str">
        <v/>
      </c>
      <c r="S1537" s="3">
        <v>0</v>
      </c>
      <c r="T1537" s="3">
        <v>0</v>
      </c>
    </row>
    <row r="1538" spans="1:20" x14ac:dyDescent="0.25">
      <c r="A1538" t="s">
        <v>78</v>
      </c>
      <c r="B1538" t="s">
        <v>79</v>
      </c>
      <c r="C1538" t="s">
        <v>5548</v>
      </c>
      <c r="D1538" t="s">
        <v>5547</v>
      </c>
      <c r="E1538">
        <v>111.32</v>
      </c>
      <c r="F1538">
        <v>110.5</v>
      </c>
      <c r="G1538">
        <v>113.7</v>
      </c>
      <c r="H1538">
        <v>107.5</v>
      </c>
      <c r="I1538" s="1">
        <v>112.25</v>
      </c>
      <c r="J1538">
        <v>324764653.39999998</v>
      </c>
      <c r="K1538">
        <v>2939559</v>
      </c>
      <c r="L1538" t="s">
        <v>78</v>
      </c>
      <c r="M1538" t="s">
        <v>17</v>
      </c>
      <c r="N1538">
        <v>20986</v>
      </c>
      <c r="O1538">
        <v>137.69999999999999</v>
      </c>
      <c r="P1538">
        <v>91.5</v>
      </c>
      <c r="Q1538" s="1" t="str">
        <v/>
      </c>
      <c r="R1538" s="1" t="str">
        <v/>
      </c>
      <c r="S1538" s="3">
        <v>0</v>
      </c>
      <c r="T1538" s="3">
        <v>0</v>
      </c>
    </row>
    <row r="1539" spans="1:20" x14ac:dyDescent="0.25">
      <c r="A1539" t="s">
        <v>78</v>
      </c>
      <c r="B1539" t="s">
        <v>79</v>
      </c>
      <c r="C1539" t="s">
        <v>2207</v>
      </c>
      <c r="D1539" t="s">
        <v>2208</v>
      </c>
      <c r="E1539">
        <v>979.25</v>
      </c>
      <c r="F1539">
        <v>983</v>
      </c>
      <c r="G1539">
        <v>983</v>
      </c>
      <c r="H1539">
        <v>955</v>
      </c>
      <c r="I1539" s="1">
        <v>959.6</v>
      </c>
      <c r="J1539">
        <v>19279938.5</v>
      </c>
      <c r="K1539">
        <v>19977</v>
      </c>
      <c r="L1539" t="s">
        <v>78</v>
      </c>
      <c r="M1539" t="s">
        <v>17</v>
      </c>
      <c r="N1539">
        <v>3004</v>
      </c>
      <c r="O1539">
        <v>1093.45</v>
      </c>
      <c r="P1539">
        <v>87.35</v>
      </c>
      <c r="Q1539" s="1">
        <v>1030</v>
      </c>
      <c r="R1539" s="1">
        <v>548.04999999999995</v>
      </c>
      <c r="S1539" s="3">
        <v>-5.8824262351385714E-3</v>
      </c>
      <c r="T1539" s="3">
        <v>2.8387624087275576E-2</v>
      </c>
    </row>
    <row r="1540" spans="1:20" x14ac:dyDescent="0.25">
      <c r="A1540" t="s">
        <v>78</v>
      </c>
      <c r="B1540" t="s">
        <v>79</v>
      </c>
      <c r="C1540" t="s">
        <v>2209</v>
      </c>
      <c r="D1540" t="s">
        <v>2210</v>
      </c>
      <c r="E1540">
        <v>243.85</v>
      </c>
      <c r="F1540">
        <v>245</v>
      </c>
      <c r="G1540">
        <v>245.8</v>
      </c>
      <c r="H1540">
        <v>242.1</v>
      </c>
      <c r="I1540" s="1">
        <v>242.6</v>
      </c>
      <c r="J1540">
        <v>621066413.79999995</v>
      </c>
      <c r="K1540">
        <v>2551918</v>
      </c>
      <c r="L1540" t="s">
        <v>78</v>
      </c>
      <c r="M1540" t="s">
        <v>17</v>
      </c>
      <c r="N1540">
        <v>17757</v>
      </c>
      <c r="O1540">
        <v>300.7</v>
      </c>
      <c r="P1540">
        <v>209.05</v>
      </c>
      <c r="Q1540" s="1">
        <v>208.2</v>
      </c>
      <c r="R1540" s="1">
        <v>496.4</v>
      </c>
      <c r="S1540" s="3">
        <v>1.2824440124060699E-2</v>
      </c>
      <c r="T1540" s="3">
        <v>-3.514630257233875E-2</v>
      </c>
    </row>
    <row r="1541" spans="1:20" x14ac:dyDescent="0.25">
      <c r="A1541" t="s">
        <v>78</v>
      </c>
      <c r="B1541" t="s">
        <v>287</v>
      </c>
      <c r="C1541" t="s">
        <v>5546</v>
      </c>
      <c r="D1541" t="s">
        <v>5545</v>
      </c>
      <c r="E1541">
        <v>569.85</v>
      </c>
      <c r="F1541">
        <v>570.15</v>
      </c>
      <c r="G1541">
        <v>571.85</v>
      </c>
      <c r="H1541">
        <v>545.1</v>
      </c>
      <c r="I1541" s="1">
        <v>549.54999999999995</v>
      </c>
      <c r="J1541">
        <v>4569790</v>
      </c>
      <c r="K1541">
        <v>8200</v>
      </c>
      <c r="L1541" t="s">
        <v>78</v>
      </c>
      <c r="M1541" t="s">
        <v>17</v>
      </c>
      <c r="N1541">
        <v>40</v>
      </c>
      <c r="O1541">
        <v>744</v>
      </c>
      <c r="P1541">
        <v>50.5</v>
      </c>
      <c r="Q1541" s="1" t="str">
        <v/>
      </c>
      <c r="R1541" s="1" t="str">
        <v/>
      </c>
      <c r="S1541" s="3">
        <v>0</v>
      </c>
      <c r="T1541" s="3">
        <v>0</v>
      </c>
    </row>
    <row r="1542" spans="1:20" x14ac:dyDescent="0.25">
      <c r="A1542" t="s">
        <v>78</v>
      </c>
      <c r="B1542" t="s">
        <v>287</v>
      </c>
      <c r="C1542" t="s">
        <v>5544</v>
      </c>
      <c r="D1542" t="s">
        <v>5543</v>
      </c>
      <c r="E1542">
        <v>103.9</v>
      </c>
      <c r="F1542">
        <v>104</v>
      </c>
      <c r="G1542">
        <v>104</v>
      </c>
      <c r="H1542">
        <v>95.65</v>
      </c>
      <c r="I1542" s="1">
        <v>96.85</v>
      </c>
      <c r="J1542">
        <v>14039360</v>
      </c>
      <c r="K1542">
        <v>142400</v>
      </c>
      <c r="L1542" t="s">
        <v>78</v>
      </c>
      <c r="M1542" t="s">
        <v>17</v>
      </c>
      <c r="N1542">
        <v>86</v>
      </c>
      <c r="O1542">
        <v>123.45</v>
      </c>
      <c r="P1542">
        <v>80.099999999999994</v>
      </c>
      <c r="Q1542" s="1" t="str">
        <v/>
      </c>
      <c r="R1542" s="1" t="str">
        <v/>
      </c>
      <c r="S1542" s="3">
        <v>0</v>
      </c>
      <c r="T1542" s="3">
        <v>0</v>
      </c>
    </row>
    <row r="1543" spans="1:20" x14ac:dyDescent="0.25">
      <c r="A1543" t="s">
        <v>78</v>
      </c>
      <c r="B1543" t="s">
        <v>287</v>
      </c>
      <c r="C1543" t="s">
        <v>5542</v>
      </c>
      <c r="D1543" t="s">
        <v>5541</v>
      </c>
      <c r="E1543">
        <v>37.049999999999997</v>
      </c>
      <c r="F1543">
        <v>37.35</v>
      </c>
      <c r="G1543">
        <v>37.799999999999997</v>
      </c>
      <c r="H1543">
        <v>36.75</v>
      </c>
      <c r="I1543" s="1">
        <v>36.950000000000003</v>
      </c>
      <c r="J1543">
        <v>2555550</v>
      </c>
      <c r="K1543">
        <v>69000</v>
      </c>
      <c r="L1543" t="s">
        <v>78</v>
      </c>
      <c r="M1543" t="s">
        <v>17</v>
      </c>
      <c r="N1543">
        <v>23</v>
      </c>
      <c r="O1543">
        <v>63</v>
      </c>
      <c r="P1543">
        <v>31.1</v>
      </c>
      <c r="Q1543" s="1" t="str">
        <v/>
      </c>
      <c r="R1543" s="1" t="str">
        <v/>
      </c>
      <c r="S1543" s="3">
        <v>0</v>
      </c>
      <c r="T1543" s="3">
        <v>0</v>
      </c>
    </row>
    <row r="1544" spans="1:20" x14ac:dyDescent="0.25">
      <c r="A1544" t="s">
        <v>78</v>
      </c>
      <c r="B1544" t="s">
        <v>79</v>
      </c>
      <c r="C1544" t="s">
        <v>2211</v>
      </c>
      <c r="D1544" t="s">
        <v>2212</v>
      </c>
      <c r="E1544">
        <v>231.49</v>
      </c>
      <c r="F1544">
        <v>232</v>
      </c>
      <c r="G1544">
        <v>233.8</v>
      </c>
      <c r="H1544">
        <v>221.58</v>
      </c>
      <c r="I1544" s="1">
        <v>224.52</v>
      </c>
      <c r="J1544">
        <v>2446143808.2199998</v>
      </c>
      <c r="K1544">
        <v>10815655</v>
      </c>
      <c r="L1544" t="s">
        <v>78</v>
      </c>
      <c r="M1544" t="s">
        <v>17</v>
      </c>
      <c r="N1544">
        <v>64702</v>
      </c>
      <c r="O1544">
        <v>244.9</v>
      </c>
      <c r="P1544">
        <v>105.25</v>
      </c>
      <c r="Q1544" s="1">
        <v>82.45</v>
      </c>
      <c r="R1544" s="1">
        <v>54.05</v>
      </c>
      <c r="S1544" s="3">
        <v>8.7064628002438527E-2</v>
      </c>
      <c r="T1544" s="3">
        <v>7.3757059003218384E-2</v>
      </c>
    </row>
    <row r="1545" spans="1:20" x14ac:dyDescent="0.25">
      <c r="A1545" t="s">
        <v>78</v>
      </c>
      <c r="B1545" t="s">
        <v>79</v>
      </c>
      <c r="C1545" t="s">
        <v>2217</v>
      </c>
      <c r="D1545" t="s">
        <v>5540</v>
      </c>
      <c r="E1545">
        <v>207.94</v>
      </c>
      <c r="F1545">
        <v>208</v>
      </c>
      <c r="G1545">
        <v>208.8</v>
      </c>
      <c r="H1545">
        <v>205</v>
      </c>
      <c r="I1545" s="1">
        <v>206.12</v>
      </c>
      <c r="J1545">
        <v>431702038.02999997</v>
      </c>
      <c r="K1545">
        <v>2094012</v>
      </c>
      <c r="L1545" t="s">
        <v>78</v>
      </c>
      <c r="M1545" t="s">
        <v>17</v>
      </c>
      <c r="N1545">
        <v>16241</v>
      </c>
      <c r="O1545">
        <v>237.55</v>
      </c>
      <c r="P1545">
        <v>136.19999999999999</v>
      </c>
      <c r="Q1545" s="1">
        <v>319.05</v>
      </c>
      <c r="R1545" s="1">
        <v>100.1</v>
      </c>
      <c r="S1545" s="3">
        <v>-3.5752661658087437E-2</v>
      </c>
      <c r="T1545" s="3">
        <v>3.6753985082371932E-2</v>
      </c>
    </row>
    <row r="1546" spans="1:20" x14ac:dyDescent="0.25">
      <c r="A1546" t="s">
        <v>78</v>
      </c>
      <c r="B1546" t="s">
        <v>79</v>
      </c>
      <c r="C1546" t="s">
        <v>5539</v>
      </c>
      <c r="D1546" t="s">
        <v>5538</v>
      </c>
      <c r="E1546">
        <v>726.9</v>
      </c>
      <c r="F1546">
        <v>729</v>
      </c>
      <c r="G1546">
        <v>733</v>
      </c>
      <c r="H1546">
        <v>711.05</v>
      </c>
      <c r="I1546" s="1">
        <v>721.05</v>
      </c>
      <c r="J1546">
        <v>39917611.100000001</v>
      </c>
      <c r="K1546">
        <v>55438</v>
      </c>
      <c r="L1546" t="s">
        <v>78</v>
      </c>
      <c r="M1546" t="s">
        <v>17</v>
      </c>
      <c r="N1546">
        <v>5068</v>
      </c>
      <c r="O1546">
        <v>810.05</v>
      </c>
      <c r="P1546">
        <v>411.05</v>
      </c>
      <c r="Q1546" s="1" t="str">
        <v/>
      </c>
      <c r="R1546" s="1" t="str">
        <v/>
      </c>
      <c r="S1546" s="3">
        <v>0</v>
      </c>
      <c r="T1546" s="3">
        <v>0</v>
      </c>
    </row>
    <row r="1547" spans="1:20" x14ac:dyDescent="0.25">
      <c r="A1547" t="s">
        <v>78</v>
      </c>
      <c r="B1547" t="s">
        <v>79</v>
      </c>
      <c r="C1547" t="s">
        <v>2219</v>
      </c>
      <c r="D1547" t="s">
        <v>2220</v>
      </c>
      <c r="E1547">
        <v>227.68</v>
      </c>
      <c r="F1547">
        <v>227</v>
      </c>
      <c r="G1547">
        <v>238</v>
      </c>
      <c r="H1547">
        <v>224.49</v>
      </c>
      <c r="I1547" s="1">
        <v>230.42</v>
      </c>
      <c r="J1547">
        <v>251502742.53</v>
      </c>
      <c r="K1547">
        <v>1092213</v>
      </c>
      <c r="L1547" t="s">
        <v>78</v>
      </c>
      <c r="M1547" t="s">
        <v>17</v>
      </c>
      <c r="N1547">
        <v>13331</v>
      </c>
      <c r="O1547">
        <v>924</v>
      </c>
      <c r="P1547">
        <v>124.25</v>
      </c>
      <c r="Q1547" s="1">
        <v>136.44999999999999</v>
      </c>
      <c r="R1547" s="1">
        <v>120.3</v>
      </c>
      <c r="S1547" s="3">
        <v>4.4629339675674506E-2</v>
      </c>
      <c r="T1547" s="3">
        <v>3.3011124542176917E-2</v>
      </c>
    </row>
    <row r="1548" spans="1:20" x14ac:dyDescent="0.25">
      <c r="A1548" t="s">
        <v>78</v>
      </c>
      <c r="B1548" t="s">
        <v>79</v>
      </c>
      <c r="C1548" t="s">
        <v>2221</v>
      </c>
      <c r="D1548" t="s">
        <v>2222</v>
      </c>
      <c r="E1548">
        <v>836.05</v>
      </c>
      <c r="F1548">
        <v>836.1</v>
      </c>
      <c r="G1548">
        <v>843.55</v>
      </c>
      <c r="H1548">
        <v>827.1</v>
      </c>
      <c r="I1548" s="1">
        <v>830.25</v>
      </c>
      <c r="J1548">
        <v>72837287.799999997</v>
      </c>
      <c r="K1548">
        <v>87214</v>
      </c>
      <c r="L1548" t="s">
        <v>78</v>
      </c>
      <c r="M1548" t="s">
        <v>17</v>
      </c>
      <c r="N1548">
        <v>9256</v>
      </c>
      <c r="O1548">
        <v>974</v>
      </c>
      <c r="P1548">
        <v>758.25</v>
      </c>
      <c r="Q1548" s="1">
        <v>1151</v>
      </c>
      <c r="R1548" s="1">
        <v>408.1</v>
      </c>
      <c r="S1548" s="3">
        <v>-2.6854459688271826E-2</v>
      </c>
      <c r="T1548" s="3">
        <v>3.6128616791281543E-2</v>
      </c>
    </row>
    <row r="1549" spans="1:20" x14ac:dyDescent="0.25">
      <c r="A1549" t="s">
        <v>78</v>
      </c>
      <c r="B1549" t="s">
        <v>79</v>
      </c>
      <c r="C1549" t="s">
        <v>5537</v>
      </c>
      <c r="D1549" t="s">
        <v>5536</v>
      </c>
      <c r="E1549">
        <v>242.41</v>
      </c>
      <c r="F1549">
        <v>243</v>
      </c>
      <c r="G1549">
        <v>244.3</v>
      </c>
      <c r="H1549">
        <v>236</v>
      </c>
      <c r="I1549" s="1">
        <v>238.9</v>
      </c>
      <c r="J1549">
        <v>11681611.199999999</v>
      </c>
      <c r="K1549">
        <v>48530</v>
      </c>
      <c r="L1549" t="s">
        <v>78</v>
      </c>
      <c r="M1549" t="s">
        <v>17</v>
      </c>
      <c r="N1549">
        <v>1023</v>
      </c>
      <c r="O1549">
        <v>349</v>
      </c>
      <c r="P1549">
        <v>170.95</v>
      </c>
      <c r="Q1549" s="1" t="str">
        <v/>
      </c>
      <c r="R1549" s="1" t="str">
        <v/>
      </c>
      <c r="S1549" s="3">
        <v>0</v>
      </c>
      <c r="T1549" s="3">
        <v>0</v>
      </c>
    </row>
    <row r="1550" spans="1:20" x14ac:dyDescent="0.25">
      <c r="A1550" t="s">
        <v>78</v>
      </c>
      <c r="B1550" t="s">
        <v>79</v>
      </c>
      <c r="C1550" t="s">
        <v>2225</v>
      </c>
      <c r="D1550" t="s">
        <v>2226</v>
      </c>
      <c r="E1550">
        <v>65.150000000000006</v>
      </c>
      <c r="F1550">
        <v>68.400000000000006</v>
      </c>
      <c r="G1550">
        <v>68.400000000000006</v>
      </c>
      <c r="H1550">
        <v>65.25</v>
      </c>
      <c r="I1550" s="1">
        <v>68</v>
      </c>
      <c r="J1550">
        <v>4751543.5</v>
      </c>
      <c r="K1550">
        <v>69554</v>
      </c>
      <c r="L1550" t="s">
        <v>78</v>
      </c>
      <c r="M1550" t="s">
        <v>17</v>
      </c>
      <c r="N1550">
        <v>502</v>
      </c>
      <c r="O1550">
        <v>84</v>
      </c>
      <c r="P1550">
        <v>46.1</v>
      </c>
      <c r="Q1550" s="1">
        <v>24.75</v>
      </c>
      <c r="R1550" s="1">
        <v>27</v>
      </c>
      <c r="S1550" s="3">
        <v>8.7872025629700312E-2</v>
      </c>
      <c r="T1550" s="3">
        <v>4.7240123350063445E-2</v>
      </c>
    </row>
    <row r="1551" spans="1:20" x14ac:dyDescent="0.25">
      <c r="A1551" t="s">
        <v>78</v>
      </c>
      <c r="B1551" t="s">
        <v>79</v>
      </c>
      <c r="C1551" t="s">
        <v>2229</v>
      </c>
      <c r="D1551" t="s">
        <v>2230</v>
      </c>
      <c r="E1551">
        <v>242.51</v>
      </c>
      <c r="F1551">
        <v>241.87</v>
      </c>
      <c r="G1551">
        <v>242.9</v>
      </c>
      <c r="H1551">
        <v>238</v>
      </c>
      <c r="I1551" s="1">
        <v>240.76</v>
      </c>
      <c r="J1551">
        <v>454806535.64999998</v>
      </c>
      <c r="K1551">
        <v>1893810</v>
      </c>
      <c r="L1551" t="s">
        <v>78</v>
      </c>
      <c r="M1551" t="s">
        <v>17</v>
      </c>
      <c r="N1551">
        <v>15412</v>
      </c>
      <c r="O1551">
        <v>280.60000000000002</v>
      </c>
      <c r="P1551">
        <v>162.80000000000001</v>
      </c>
      <c r="Q1551" s="1">
        <v>143.75</v>
      </c>
      <c r="R1551" s="1">
        <v>34.200000000000003</v>
      </c>
      <c r="S1551" s="3">
        <v>4.3913963457828054E-2</v>
      </c>
      <c r="T1551" s="3">
        <v>0.10243934241242925</v>
      </c>
    </row>
    <row r="1552" spans="1:20" x14ac:dyDescent="0.25">
      <c r="A1552" t="s">
        <v>78</v>
      </c>
      <c r="B1552" t="s">
        <v>79</v>
      </c>
      <c r="C1552" t="s">
        <v>3391</v>
      </c>
      <c r="D1552" t="s">
        <v>3392</v>
      </c>
      <c r="E1552">
        <v>189.58</v>
      </c>
      <c r="F1552">
        <v>189.58</v>
      </c>
      <c r="G1552">
        <v>191.75</v>
      </c>
      <c r="H1552">
        <v>186</v>
      </c>
      <c r="I1552" s="1">
        <v>188</v>
      </c>
      <c r="J1552">
        <v>401797719.50999999</v>
      </c>
      <c r="K1552">
        <v>2127735</v>
      </c>
      <c r="L1552" t="s">
        <v>78</v>
      </c>
      <c r="M1552" t="s">
        <v>17</v>
      </c>
      <c r="N1552">
        <v>35774</v>
      </c>
      <c r="O1552">
        <v>308</v>
      </c>
      <c r="P1552">
        <v>144.44999999999999</v>
      </c>
      <c r="Q1552" s="1">
        <v>77.400000000000006</v>
      </c>
      <c r="R1552" s="1">
        <v>41.9</v>
      </c>
      <c r="S1552" s="3">
        <v>7.675791798285303E-2</v>
      </c>
      <c r="T1552" s="3">
        <v>7.7902153589859413E-2</v>
      </c>
    </row>
    <row r="1553" spans="1:20" x14ac:dyDescent="0.25">
      <c r="A1553" t="s">
        <v>78</v>
      </c>
      <c r="B1553" t="s">
        <v>79</v>
      </c>
      <c r="C1553" t="s">
        <v>2231</v>
      </c>
      <c r="D1553" t="s">
        <v>2232</v>
      </c>
      <c r="E1553">
        <v>191.7</v>
      </c>
      <c r="F1553">
        <v>192.6</v>
      </c>
      <c r="G1553">
        <v>201.25</v>
      </c>
      <c r="H1553">
        <v>183.25</v>
      </c>
      <c r="I1553" s="1">
        <v>199.4</v>
      </c>
      <c r="J1553">
        <v>12703539.5</v>
      </c>
      <c r="K1553">
        <v>65637</v>
      </c>
      <c r="L1553" t="s">
        <v>78</v>
      </c>
      <c r="M1553" t="s">
        <v>17</v>
      </c>
      <c r="N1553">
        <v>1876</v>
      </c>
      <c r="O1553">
        <v>1074.4000000000001</v>
      </c>
      <c r="P1553">
        <v>183.25</v>
      </c>
      <c r="Q1553" s="1">
        <v>248.05</v>
      </c>
      <c r="R1553" s="1">
        <v>90.1</v>
      </c>
      <c r="S1553" s="3">
        <v>-1.8028627639451233E-2</v>
      </c>
      <c r="T1553" s="3">
        <v>4.0496374415075254E-2</v>
      </c>
    </row>
    <row r="1554" spans="1:20" x14ac:dyDescent="0.25">
      <c r="A1554" t="s">
        <v>78</v>
      </c>
      <c r="B1554" t="s">
        <v>287</v>
      </c>
      <c r="C1554" t="s">
        <v>5535</v>
      </c>
      <c r="D1554" t="s">
        <v>5534</v>
      </c>
      <c r="E1554">
        <v>1949.95</v>
      </c>
      <c r="F1554">
        <v>1950</v>
      </c>
      <c r="G1554">
        <v>2048</v>
      </c>
      <c r="H1554">
        <v>1910</v>
      </c>
      <c r="I1554" s="1">
        <v>1945.5</v>
      </c>
      <c r="J1554">
        <v>7609990</v>
      </c>
      <c r="K1554">
        <v>3900</v>
      </c>
      <c r="L1554" t="s">
        <v>78</v>
      </c>
      <c r="M1554" t="s">
        <v>17</v>
      </c>
      <c r="N1554">
        <v>39</v>
      </c>
      <c r="O1554">
        <v>8747</v>
      </c>
      <c r="P1554">
        <v>1785.1</v>
      </c>
      <c r="Q1554" s="1" t="str">
        <v/>
      </c>
      <c r="R1554" s="1" t="str">
        <v/>
      </c>
      <c r="S1554" s="3">
        <v>0</v>
      </c>
      <c r="T1554" s="3">
        <v>0</v>
      </c>
    </row>
    <row r="1555" spans="1:20" x14ac:dyDescent="0.25">
      <c r="A1555" t="s">
        <v>78</v>
      </c>
      <c r="B1555" t="s">
        <v>79</v>
      </c>
      <c r="C1555" t="s">
        <v>3393</v>
      </c>
      <c r="D1555" t="s">
        <v>3394</v>
      </c>
      <c r="E1555">
        <v>49.64</v>
      </c>
      <c r="F1555">
        <v>49.63</v>
      </c>
      <c r="G1555">
        <v>49.84</v>
      </c>
      <c r="H1555">
        <v>48.13</v>
      </c>
      <c r="I1555" s="1">
        <v>48.35</v>
      </c>
      <c r="J1555">
        <v>542663895.45000005</v>
      </c>
      <c r="K1555">
        <v>11140067</v>
      </c>
      <c r="L1555" t="s">
        <v>78</v>
      </c>
      <c r="M1555" t="s">
        <v>17</v>
      </c>
      <c r="N1555">
        <v>37530</v>
      </c>
      <c r="O1555">
        <v>57.25</v>
      </c>
      <c r="P1555">
        <v>36.549999999999997</v>
      </c>
      <c r="Q1555" s="1">
        <v>31.55</v>
      </c>
      <c r="R1555" s="1">
        <v>8.75</v>
      </c>
      <c r="S1555" s="3">
        <v>3.6214725208607135E-2</v>
      </c>
      <c r="T1555" s="3">
        <v>8.9178582930305783E-2</v>
      </c>
    </row>
    <row r="1556" spans="1:20" x14ac:dyDescent="0.25">
      <c r="A1556" t="s">
        <v>78</v>
      </c>
      <c r="B1556" t="s">
        <v>79</v>
      </c>
      <c r="C1556" t="s">
        <v>2233</v>
      </c>
      <c r="D1556" t="s">
        <v>2234</v>
      </c>
      <c r="E1556">
        <v>549.95000000000005</v>
      </c>
      <c r="F1556">
        <v>551</v>
      </c>
      <c r="G1556">
        <v>569.85</v>
      </c>
      <c r="H1556">
        <v>547.1</v>
      </c>
      <c r="I1556" s="1">
        <v>552.6</v>
      </c>
      <c r="J1556">
        <v>154939305.5</v>
      </c>
      <c r="K1556">
        <v>279161</v>
      </c>
      <c r="L1556" t="s">
        <v>78</v>
      </c>
      <c r="M1556" t="s">
        <v>17</v>
      </c>
      <c r="N1556">
        <v>11305</v>
      </c>
      <c r="O1556">
        <v>580.6</v>
      </c>
      <c r="P1556">
        <v>296.35000000000002</v>
      </c>
      <c r="Q1556" s="1">
        <v>370.1</v>
      </c>
      <c r="R1556" s="1">
        <v>350.2</v>
      </c>
      <c r="S1556" s="3">
        <v>3.3969313064077244E-2</v>
      </c>
      <c r="T1556" s="3">
        <v>2.3055778338869404E-2</v>
      </c>
    </row>
    <row r="1557" spans="1:20" x14ac:dyDescent="0.25">
      <c r="A1557" t="s">
        <v>78</v>
      </c>
      <c r="B1557" t="s">
        <v>79</v>
      </c>
      <c r="C1557" t="s">
        <v>2235</v>
      </c>
      <c r="D1557" t="s">
        <v>2236</v>
      </c>
      <c r="E1557">
        <v>179.66</v>
      </c>
      <c r="F1557">
        <v>179.66</v>
      </c>
      <c r="G1557">
        <v>180.78</v>
      </c>
      <c r="H1557">
        <v>175.85</v>
      </c>
      <c r="I1557" s="1">
        <v>177.86</v>
      </c>
      <c r="J1557">
        <v>2381038.63</v>
      </c>
      <c r="K1557">
        <v>13366</v>
      </c>
      <c r="L1557" t="s">
        <v>78</v>
      </c>
      <c r="M1557" t="s">
        <v>17</v>
      </c>
      <c r="N1557">
        <v>485</v>
      </c>
      <c r="O1557">
        <v>238.95</v>
      </c>
      <c r="P1557">
        <v>162.05000000000001</v>
      </c>
      <c r="Q1557" s="1">
        <v>233.5</v>
      </c>
      <c r="R1557" s="1">
        <v>32</v>
      </c>
      <c r="S1557" s="3">
        <v>-2.2426807571880758E-2</v>
      </c>
      <c r="T1557" s="3">
        <v>8.9496947164949159E-2</v>
      </c>
    </row>
    <row r="1558" spans="1:20" x14ac:dyDescent="0.25">
      <c r="A1558" t="s">
        <v>78</v>
      </c>
      <c r="B1558" t="s">
        <v>79</v>
      </c>
      <c r="C1558" t="s">
        <v>2237</v>
      </c>
      <c r="D1558" t="s">
        <v>2238</v>
      </c>
      <c r="E1558">
        <v>627.9</v>
      </c>
      <c r="F1558">
        <v>627</v>
      </c>
      <c r="G1558">
        <v>634.1</v>
      </c>
      <c r="H1558">
        <v>622.79999999999995</v>
      </c>
      <c r="I1558" s="1">
        <v>625.6</v>
      </c>
      <c r="J1558">
        <v>8750550.5500000007</v>
      </c>
      <c r="K1558">
        <v>13951</v>
      </c>
      <c r="L1558" t="s">
        <v>78</v>
      </c>
      <c r="M1558" t="s">
        <v>17</v>
      </c>
      <c r="N1558">
        <v>2114</v>
      </c>
      <c r="O1558">
        <v>980</v>
      </c>
      <c r="P1558">
        <v>613.1</v>
      </c>
      <c r="Q1558" s="1">
        <v>355.65</v>
      </c>
      <c r="R1558" s="1">
        <v>504.05</v>
      </c>
      <c r="S1558" s="3">
        <v>4.81887493297537E-2</v>
      </c>
      <c r="T1558" s="3">
        <v>1.0854356128885412E-2</v>
      </c>
    </row>
    <row r="1559" spans="1:20" x14ac:dyDescent="0.25">
      <c r="A1559" t="s">
        <v>78</v>
      </c>
      <c r="B1559" t="s">
        <v>79</v>
      </c>
      <c r="C1559" t="s">
        <v>2239</v>
      </c>
      <c r="D1559" t="s">
        <v>2240</v>
      </c>
      <c r="E1559">
        <v>280.7</v>
      </c>
      <c r="F1559">
        <v>281.05</v>
      </c>
      <c r="G1559">
        <v>294</v>
      </c>
      <c r="H1559">
        <v>279.89999999999998</v>
      </c>
      <c r="I1559" s="1">
        <v>280.10000000000002</v>
      </c>
      <c r="J1559">
        <v>391065369.80000001</v>
      </c>
      <c r="K1559">
        <v>1367902</v>
      </c>
      <c r="L1559" t="s">
        <v>78</v>
      </c>
      <c r="M1559" t="s">
        <v>17</v>
      </c>
      <c r="N1559">
        <v>26373</v>
      </c>
      <c r="O1559">
        <v>364.95</v>
      </c>
      <c r="P1559">
        <v>156.30000000000001</v>
      </c>
      <c r="Q1559" s="1">
        <v>136.05000000000001</v>
      </c>
      <c r="R1559" s="1">
        <v>85.1</v>
      </c>
      <c r="S1559" s="3">
        <v>6.2024527456419065E-2</v>
      </c>
      <c r="T1559" s="3">
        <v>6.1341168125354839E-2</v>
      </c>
    </row>
    <row r="1560" spans="1:20" x14ac:dyDescent="0.25">
      <c r="A1560" t="s">
        <v>78</v>
      </c>
      <c r="B1560" t="s">
        <v>79</v>
      </c>
      <c r="C1560" t="s">
        <v>5533</v>
      </c>
      <c r="D1560" t="s">
        <v>5532</v>
      </c>
      <c r="E1560">
        <v>45.25</v>
      </c>
      <c r="F1560">
        <v>48</v>
      </c>
      <c r="G1560">
        <v>49.77</v>
      </c>
      <c r="H1560">
        <v>45.41</v>
      </c>
      <c r="I1560" s="1">
        <v>49.77</v>
      </c>
      <c r="J1560">
        <v>9705677.9600000009</v>
      </c>
      <c r="K1560">
        <v>199824</v>
      </c>
      <c r="L1560" t="s">
        <v>78</v>
      </c>
      <c r="M1560" t="s">
        <v>17</v>
      </c>
      <c r="N1560">
        <v>1293</v>
      </c>
      <c r="O1560">
        <v>56.7</v>
      </c>
      <c r="P1560">
        <v>35</v>
      </c>
      <c r="Q1560" s="1" t="str">
        <v/>
      </c>
      <c r="R1560" s="1" t="str">
        <v/>
      </c>
      <c r="S1560" s="3">
        <v>0</v>
      </c>
      <c r="T1560" s="3">
        <v>0</v>
      </c>
    </row>
    <row r="1561" spans="1:20" x14ac:dyDescent="0.25">
      <c r="A1561" t="s">
        <v>78</v>
      </c>
      <c r="B1561" t="s">
        <v>287</v>
      </c>
      <c r="C1561" t="s">
        <v>5531</v>
      </c>
      <c r="D1561" t="s">
        <v>5530</v>
      </c>
      <c r="E1561">
        <v>84.5</v>
      </c>
      <c r="F1561">
        <v>84.5</v>
      </c>
      <c r="G1561">
        <v>85.75</v>
      </c>
      <c r="H1561">
        <v>84.5</v>
      </c>
      <c r="I1561" s="1">
        <v>85.75</v>
      </c>
      <c r="J1561">
        <v>1023400</v>
      </c>
      <c r="K1561">
        <v>12000</v>
      </c>
      <c r="L1561" t="s">
        <v>78</v>
      </c>
      <c r="M1561" t="s">
        <v>17</v>
      </c>
      <c r="N1561">
        <v>6</v>
      </c>
      <c r="O1561">
        <v>90.4</v>
      </c>
      <c r="P1561">
        <v>54</v>
      </c>
      <c r="Q1561" s="1" t="str">
        <v/>
      </c>
      <c r="R1561" s="1" t="str">
        <v/>
      </c>
      <c r="S1561" s="3">
        <v>0</v>
      </c>
      <c r="T1561" s="3">
        <v>0</v>
      </c>
    </row>
    <row r="1562" spans="1:20" x14ac:dyDescent="0.25">
      <c r="A1562" t="s">
        <v>78</v>
      </c>
      <c r="B1562" t="s">
        <v>79</v>
      </c>
      <c r="C1562" t="s">
        <v>2243</v>
      </c>
      <c r="D1562" t="s">
        <v>2244</v>
      </c>
      <c r="E1562">
        <v>99.11</v>
      </c>
      <c r="F1562">
        <v>99.35</v>
      </c>
      <c r="G1562">
        <v>100.29</v>
      </c>
      <c r="H1562">
        <v>97.9</v>
      </c>
      <c r="I1562" s="1">
        <v>99.77</v>
      </c>
      <c r="J1562">
        <v>13222841.59</v>
      </c>
      <c r="K1562">
        <v>133188</v>
      </c>
      <c r="L1562" t="s">
        <v>78</v>
      </c>
      <c r="M1562" t="s">
        <v>17</v>
      </c>
      <c r="N1562">
        <v>2940</v>
      </c>
      <c r="O1562">
        <v>146.35</v>
      </c>
      <c r="P1562">
        <v>93</v>
      </c>
      <c r="Q1562" s="1">
        <v>542</v>
      </c>
      <c r="R1562" s="1">
        <v>261.2</v>
      </c>
      <c r="S1562" s="3">
        <v>-0.13153952633784882</v>
      </c>
      <c r="T1562" s="3">
        <v>-4.6956365415784296E-2</v>
      </c>
    </row>
    <row r="1563" spans="1:20" x14ac:dyDescent="0.25">
      <c r="A1563" t="s">
        <v>78</v>
      </c>
      <c r="B1563" t="s">
        <v>79</v>
      </c>
      <c r="C1563" t="s">
        <v>5529</v>
      </c>
      <c r="D1563" t="s">
        <v>5528</v>
      </c>
      <c r="E1563">
        <v>594.65</v>
      </c>
      <c r="F1563">
        <v>595.65</v>
      </c>
      <c r="G1563">
        <v>602.35</v>
      </c>
      <c r="H1563">
        <v>587.5</v>
      </c>
      <c r="I1563" s="1">
        <v>590.79999999999995</v>
      </c>
      <c r="J1563">
        <v>92677463.25</v>
      </c>
      <c r="K1563">
        <v>156161</v>
      </c>
      <c r="L1563" t="s">
        <v>78</v>
      </c>
      <c r="M1563" t="s">
        <v>17</v>
      </c>
      <c r="N1563">
        <v>11633</v>
      </c>
      <c r="O1563">
        <v>824</v>
      </c>
      <c r="P1563">
        <v>504.25</v>
      </c>
      <c r="Q1563" s="1" t="str">
        <v/>
      </c>
      <c r="R1563" s="1" t="str">
        <v/>
      </c>
      <c r="S1563" s="3">
        <v>0</v>
      </c>
      <c r="T1563" s="3">
        <v>0</v>
      </c>
    </row>
    <row r="1564" spans="1:20" x14ac:dyDescent="0.25">
      <c r="A1564" t="s">
        <v>78</v>
      </c>
      <c r="B1564" t="s">
        <v>79</v>
      </c>
      <c r="C1564" t="s">
        <v>5527</v>
      </c>
      <c r="D1564" t="s">
        <v>5526</v>
      </c>
      <c r="E1564">
        <v>165.16</v>
      </c>
      <c r="F1564">
        <v>169.95</v>
      </c>
      <c r="G1564">
        <v>169.95</v>
      </c>
      <c r="H1564">
        <v>160</v>
      </c>
      <c r="I1564" s="1">
        <v>161.05000000000001</v>
      </c>
      <c r="J1564">
        <v>3627734.62</v>
      </c>
      <c r="K1564">
        <v>22251</v>
      </c>
      <c r="L1564" t="s">
        <v>78</v>
      </c>
      <c r="M1564" t="s">
        <v>17</v>
      </c>
      <c r="N1564">
        <v>406</v>
      </c>
      <c r="O1564">
        <v>229</v>
      </c>
      <c r="P1564">
        <v>94.5</v>
      </c>
      <c r="Q1564" s="1" t="str">
        <v/>
      </c>
      <c r="R1564" s="1" t="str">
        <v/>
      </c>
      <c r="S1564" s="3">
        <v>0</v>
      </c>
      <c r="T1564" s="3">
        <v>0</v>
      </c>
    </row>
    <row r="1565" spans="1:20" x14ac:dyDescent="0.25">
      <c r="A1565" t="s">
        <v>78</v>
      </c>
      <c r="B1565" t="s">
        <v>287</v>
      </c>
      <c r="C1565" t="s">
        <v>5525</v>
      </c>
      <c r="D1565" t="s">
        <v>5524</v>
      </c>
      <c r="E1565">
        <v>67.05</v>
      </c>
      <c r="F1565">
        <v>70.400000000000006</v>
      </c>
      <c r="G1565">
        <v>70.400000000000006</v>
      </c>
      <c r="H1565">
        <v>70.400000000000006</v>
      </c>
      <c r="I1565" s="1">
        <v>70.400000000000006</v>
      </c>
      <c r="J1565">
        <v>211200</v>
      </c>
      <c r="K1565">
        <v>3000</v>
      </c>
      <c r="L1565" t="s">
        <v>78</v>
      </c>
      <c r="M1565" t="s">
        <v>17</v>
      </c>
      <c r="N1565">
        <v>3</v>
      </c>
      <c r="O1565">
        <v>115</v>
      </c>
      <c r="P1565">
        <v>50</v>
      </c>
      <c r="Q1565" s="1" t="str">
        <v/>
      </c>
      <c r="R1565" s="1" t="str">
        <v/>
      </c>
      <c r="S1565" s="3">
        <v>0</v>
      </c>
      <c r="T1565" s="3">
        <v>0</v>
      </c>
    </row>
    <row r="1566" spans="1:20" x14ac:dyDescent="0.25">
      <c r="A1566" t="s">
        <v>78</v>
      </c>
      <c r="B1566" t="s">
        <v>79</v>
      </c>
      <c r="C1566" t="s">
        <v>2245</v>
      </c>
      <c r="D1566" t="s">
        <v>2246</v>
      </c>
      <c r="E1566">
        <v>129.02000000000001</v>
      </c>
      <c r="F1566">
        <v>129</v>
      </c>
      <c r="G1566">
        <v>129.5</v>
      </c>
      <c r="H1566">
        <v>126.26</v>
      </c>
      <c r="I1566" s="1">
        <v>127.2</v>
      </c>
      <c r="J1566">
        <v>102399614.76000001</v>
      </c>
      <c r="K1566">
        <v>800994</v>
      </c>
      <c r="L1566" t="s">
        <v>78</v>
      </c>
      <c r="M1566" t="s">
        <v>17</v>
      </c>
      <c r="N1566">
        <v>10174</v>
      </c>
      <c r="O1566">
        <v>157</v>
      </c>
      <c r="P1566">
        <v>78.7</v>
      </c>
      <c r="Q1566" s="1">
        <v>50.3</v>
      </c>
      <c r="R1566" s="1">
        <v>51.2</v>
      </c>
      <c r="S1566" s="3">
        <v>8.038014410187988E-2</v>
      </c>
      <c r="T1566" s="3">
        <v>4.6526031600612416E-2</v>
      </c>
    </row>
    <row r="1567" spans="1:20" x14ac:dyDescent="0.25">
      <c r="A1567" t="s">
        <v>78</v>
      </c>
      <c r="B1567" t="s">
        <v>79</v>
      </c>
      <c r="C1567" t="s">
        <v>2247</v>
      </c>
      <c r="D1567" t="s">
        <v>2248</v>
      </c>
      <c r="E1567">
        <v>1350.95</v>
      </c>
      <c r="F1567">
        <v>1348.1</v>
      </c>
      <c r="G1567">
        <v>1358.7</v>
      </c>
      <c r="H1567">
        <v>1314</v>
      </c>
      <c r="I1567" s="1">
        <v>1322.15</v>
      </c>
      <c r="J1567">
        <v>279020549.60000002</v>
      </c>
      <c r="K1567">
        <v>209343</v>
      </c>
      <c r="L1567" t="s">
        <v>78</v>
      </c>
      <c r="M1567" t="s">
        <v>17</v>
      </c>
      <c r="N1567">
        <v>12424</v>
      </c>
      <c r="O1567">
        <v>1605</v>
      </c>
      <c r="P1567">
        <v>934.95</v>
      </c>
      <c r="Q1567" s="1">
        <v>765.05</v>
      </c>
      <c r="R1567" s="1">
        <v>268.05</v>
      </c>
      <c r="S1567" s="3">
        <v>4.6644612954660714E-2</v>
      </c>
      <c r="T1567" s="3">
        <v>8.3014492437732956E-2</v>
      </c>
    </row>
    <row r="1568" spans="1:20" x14ac:dyDescent="0.25">
      <c r="A1568" t="s">
        <v>78</v>
      </c>
      <c r="B1568" t="s">
        <v>79</v>
      </c>
      <c r="C1568" t="s">
        <v>5523</v>
      </c>
      <c r="D1568" t="s">
        <v>5522</v>
      </c>
      <c r="E1568">
        <v>438.75</v>
      </c>
      <c r="F1568">
        <v>438.75</v>
      </c>
      <c r="G1568">
        <v>449</v>
      </c>
      <c r="H1568">
        <v>431.45</v>
      </c>
      <c r="I1568" s="1">
        <v>434.35</v>
      </c>
      <c r="J1568">
        <v>17232582.899999999</v>
      </c>
      <c r="K1568">
        <v>39487</v>
      </c>
      <c r="L1568" t="s">
        <v>78</v>
      </c>
      <c r="M1568" t="s">
        <v>17</v>
      </c>
      <c r="N1568">
        <v>3696</v>
      </c>
      <c r="O1568">
        <v>635.4</v>
      </c>
      <c r="P1568">
        <v>380</v>
      </c>
      <c r="Q1568" s="1" t="str">
        <v/>
      </c>
      <c r="R1568" s="1" t="str">
        <v/>
      </c>
      <c r="S1568" s="3">
        <v>0</v>
      </c>
      <c r="T1568" s="3">
        <v>0</v>
      </c>
    </row>
    <row r="1569" spans="1:20" x14ac:dyDescent="0.25">
      <c r="A1569" t="s">
        <v>78</v>
      </c>
      <c r="B1569" t="s">
        <v>79</v>
      </c>
      <c r="C1569" t="s">
        <v>5521</v>
      </c>
      <c r="D1569" t="s">
        <v>5520</v>
      </c>
      <c r="E1569">
        <v>306.35000000000002</v>
      </c>
      <c r="F1569">
        <v>306</v>
      </c>
      <c r="G1569">
        <v>310.60000000000002</v>
      </c>
      <c r="H1569">
        <v>300.10000000000002</v>
      </c>
      <c r="I1569" s="1">
        <v>306.25</v>
      </c>
      <c r="J1569">
        <v>47506460.75</v>
      </c>
      <c r="K1569">
        <v>156073</v>
      </c>
      <c r="L1569" t="s">
        <v>78</v>
      </c>
      <c r="M1569" t="s">
        <v>17</v>
      </c>
      <c r="N1569">
        <v>5704</v>
      </c>
      <c r="O1569">
        <v>341</v>
      </c>
      <c r="P1569">
        <v>189.15</v>
      </c>
      <c r="Q1569" s="1" t="str">
        <v/>
      </c>
      <c r="R1569" s="1" t="str">
        <v/>
      </c>
      <c r="S1569" s="3">
        <v>0</v>
      </c>
      <c r="T1569" s="3">
        <v>0</v>
      </c>
    </row>
    <row r="1570" spans="1:20" x14ac:dyDescent="0.25">
      <c r="A1570" t="s">
        <v>78</v>
      </c>
      <c r="B1570" t="s">
        <v>79</v>
      </c>
      <c r="C1570" t="s">
        <v>2249</v>
      </c>
      <c r="D1570" t="s">
        <v>2250</v>
      </c>
      <c r="E1570">
        <v>742.85</v>
      </c>
      <c r="F1570">
        <v>745</v>
      </c>
      <c r="G1570">
        <v>745.55</v>
      </c>
      <c r="H1570">
        <v>717.1</v>
      </c>
      <c r="I1570" s="1">
        <v>732.2</v>
      </c>
      <c r="J1570">
        <v>1570536661.0999999</v>
      </c>
      <c r="K1570">
        <v>2145809</v>
      </c>
      <c r="L1570" t="s">
        <v>78</v>
      </c>
      <c r="M1570" t="s">
        <v>17</v>
      </c>
      <c r="N1570">
        <v>53255</v>
      </c>
      <c r="O1570">
        <v>825.95</v>
      </c>
      <c r="P1570">
        <v>388.5</v>
      </c>
      <c r="Q1570" s="1">
        <v>277.39999999999998</v>
      </c>
      <c r="R1570" s="1">
        <v>289.5</v>
      </c>
      <c r="S1570" s="3">
        <v>8.4243778953246418E-2</v>
      </c>
      <c r="T1570" s="3">
        <v>4.7461389251538089E-2</v>
      </c>
    </row>
    <row r="1571" spans="1:20" x14ac:dyDescent="0.25">
      <c r="A1571" t="s">
        <v>78</v>
      </c>
      <c r="B1571" t="s">
        <v>287</v>
      </c>
      <c r="C1571" t="s">
        <v>5519</v>
      </c>
      <c r="D1571" t="s">
        <v>5518</v>
      </c>
      <c r="E1571">
        <v>40.1</v>
      </c>
      <c r="F1571">
        <v>40.1</v>
      </c>
      <c r="G1571">
        <v>40.1</v>
      </c>
      <c r="H1571">
        <v>40.1</v>
      </c>
      <c r="I1571" s="1">
        <v>40.1</v>
      </c>
      <c r="J1571">
        <v>64160</v>
      </c>
      <c r="K1571">
        <v>1600</v>
      </c>
      <c r="L1571" t="s">
        <v>78</v>
      </c>
      <c r="M1571" t="s">
        <v>17</v>
      </c>
      <c r="N1571">
        <v>1</v>
      </c>
      <c r="O1571">
        <v>76.900000000000006</v>
      </c>
      <c r="P1571">
        <v>38.1</v>
      </c>
      <c r="Q1571" s="1" t="str">
        <v/>
      </c>
      <c r="R1571" s="1" t="str">
        <v/>
      </c>
      <c r="S1571" s="3">
        <v>0</v>
      </c>
      <c r="T1571" s="3">
        <v>0</v>
      </c>
    </row>
    <row r="1572" spans="1:20" x14ac:dyDescent="0.25">
      <c r="A1572" t="s">
        <v>78</v>
      </c>
      <c r="B1572" t="s">
        <v>79</v>
      </c>
      <c r="C1572" t="s">
        <v>2255</v>
      </c>
      <c r="D1572" t="s">
        <v>2256</v>
      </c>
      <c r="E1572">
        <v>909.95</v>
      </c>
      <c r="F1572">
        <v>909.95</v>
      </c>
      <c r="G1572">
        <v>914.5</v>
      </c>
      <c r="H1572">
        <v>885</v>
      </c>
      <c r="I1572" s="1">
        <v>887.3</v>
      </c>
      <c r="J1572">
        <v>485337069.35000002</v>
      </c>
      <c r="K1572">
        <v>539711</v>
      </c>
      <c r="L1572" t="s">
        <v>78</v>
      </c>
      <c r="M1572" t="s">
        <v>17</v>
      </c>
      <c r="N1572">
        <v>25235</v>
      </c>
      <c r="O1572">
        <v>998.45</v>
      </c>
      <c r="P1572">
        <v>472</v>
      </c>
      <c r="Q1572" s="1">
        <v>744.3</v>
      </c>
      <c r="R1572" s="1">
        <v>470.05</v>
      </c>
      <c r="S1572" s="3">
        <v>1.4752675868242582E-2</v>
      </c>
      <c r="T1572" s="3">
        <v>3.2259208384679772E-2</v>
      </c>
    </row>
    <row r="1573" spans="1:20" x14ac:dyDescent="0.25">
      <c r="A1573" t="s">
        <v>78</v>
      </c>
      <c r="B1573" t="s">
        <v>79</v>
      </c>
      <c r="C1573" t="s">
        <v>5517</v>
      </c>
      <c r="D1573" t="s">
        <v>5516</v>
      </c>
      <c r="E1573">
        <v>281.60000000000002</v>
      </c>
      <c r="F1573">
        <v>289.85000000000002</v>
      </c>
      <c r="G1573">
        <v>290</v>
      </c>
      <c r="H1573">
        <v>276.35000000000002</v>
      </c>
      <c r="I1573" s="1">
        <v>279.25</v>
      </c>
      <c r="J1573">
        <v>45985392.549999997</v>
      </c>
      <c r="K1573">
        <v>161446</v>
      </c>
      <c r="L1573" t="s">
        <v>78</v>
      </c>
      <c r="M1573" t="s">
        <v>17</v>
      </c>
      <c r="N1573">
        <v>7872</v>
      </c>
      <c r="O1573">
        <v>312</v>
      </c>
      <c r="P1573">
        <v>227.65</v>
      </c>
      <c r="Q1573" s="1" t="str">
        <v/>
      </c>
      <c r="R1573" s="1" t="str">
        <v/>
      </c>
      <c r="S1573" s="3">
        <v>0</v>
      </c>
      <c r="T1573" s="3">
        <v>0</v>
      </c>
    </row>
    <row r="1574" spans="1:20" x14ac:dyDescent="0.25">
      <c r="A1574" t="s">
        <v>78</v>
      </c>
      <c r="B1574" t="s">
        <v>287</v>
      </c>
      <c r="C1574" t="s">
        <v>2257</v>
      </c>
      <c r="D1574" t="s">
        <v>2258</v>
      </c>
      <c r="E1574">
        <v>160</v>
      </c>
      <c r="F1574">
        <v>159.9</v>
      </c>
      <c r="G1574">
        <v>159.9</v>
      </c>
      <c r="H1574">
        <v>153.05000000000001</v>
      </c>
      <c r="I1574" s="1">
        <v>153.05000000000001</v>
      </c>
      <c r="J1574">
        <v>781350</v>
      </c>
      <c r="K1574">
        <v>5000</v>
      </c>
      <c r="L1574" t="s">
        <v>78</v>
      </c>
      <c r="M1574" t="s">
        <v>17</v>
      </c>
      <c r="N1574">
        <v>5</v>
      </c>
      <c r="O1574">
        <v>160</v>
      </c>
      <c r="P1574">
        <v>41</v>
      </c>
      <c r="Q1574" s="1">
        <v>22.85</v>
      </c>
      <c r="R1574" s="1">
        <v>15.1</v>
      </c>
      <c r="S1574" s="3">
        <v>0.17173371808082649</v>
      </c>
      <c r="T1574" s="3">
        <v>0.12270401744962456</v>
      </c>
    </row>
    <row r="1575" spans="1:20" x14ac:dyDescent="0.25">
      <c r="A1575" t="s">
        <v>78</v>
      </c>
      <c r="B1575" t="s">
        <v>79</v>
      </c>
      <c r="C1575" t="s">
        <v>2259</v>
      </c>
      <c r="D1575" t="s">
        <v>2260</v>
      </c>
      <c r="E1575">
        <v>902.4</v>
      </c>
      <c r="F1575">
        <v>900.55</v>
      </c>
      <c r="G1575">
        <v>904.95</v>
      </c>
      <c r="H1575">
        <v>881</v>
      </c>
      <c r="I1575" s="1">
        <v>887.35</v>
      </c>
      <c r="J1575">
        <v>8778130.5999999996</v>
      </c>
      <c r="K1575">
        <v>9878</v>
      </c>
      <c r="L1575" t="s">
        <v>78</v>
      </c>
      <c r="M1575" t="s">
        <v>17</v>
      </c>
      <c r="N1575">
        <v>1896</v>
      </c>
      <c r="O1575">
        <v>1023</v>
      </c>
      <c r="P1575">
        <v>603.54999999999995</v>
      </c>
      <c r="Q1575" s="1">
        <v>407</v>
      </c>
      <c r="R1575" s="1">
        <v>268.8</v>
      </c>
      <c r="S1575" s="3">
        <v>6.7108007179704554E-2</v>
      </c>
      <c r="T1575" s="3">
        <v>6.1497760446031169E-2</v>
      </c>
    </row>
    <row r="1576" spans="1:20" x14ac:dyDescent="0.25">
      <c r="A1576" t="s">
        <v>78</v>
      </c>
      <c r="B1576" t="s">
        <v>287</v>
      </c>
      <c r="C1576" t="s">
        <v>5515</v>
      </c>
      <c r="D1576" t="s">
        <v>5514</v>
      </c>
      <c r="E1576">
        <v>618.20000000000005</v>
      </c>
      <c r="F1576">
        <v>615</v>
      </c>
      <c r="G1576">
        <v>638</v>
      </c>
      <c r="H1576">
        <v>573</v>
      </c>
      <c r="I1576" s="1">
        <v>586.4</v>
      </c>
      <c r="J1576">
        <v>24301262.5</v>
      </c>
      <c r="K1576">
        <v>40250</v>
      </c>
      <c r="L1576" t="s">
        <v>78</v>
      </c>
      <c r="M1576" t="s">
        <v>17</v>
      </c>
      <c r="N1576">
        <v>117</v>
      </c>
      <c r="O1576">
        <v>675</v>
      </c>
      <c r="P1576">
        <v>256</v>
      </c>
      <c r="Q1576" s="1" t="str">
        <v/>
      </c>
      <c r="R1576" s="1" t="str">
        <v/>
      </c>
      <c r="S1576" s="3">
        <v>0</v>
      </c>
      <c r="T1576" s="3">
        <v>0</v>
      </c>
    </row>
    <row r="1577" spans="1:20" x14ac:dyDescent="0.25">
      <c r="A1577" t="s">
        <v>78</v>
      </c>
      <c r="B1577" t="s">
        <v>79</v>
      </c>
      <c r="C1577" t="s">
        <v>2261</v>
      </c>
      <c r="D1577" t="s">
        <v>2262</v>
      </c>
      <c r="E1577">
        <v>359.75</v>
      </c>
      <c r="F1577">
        <v>360</v>
      </c>
      <c r="G1577">
        <v>361.75</v>
      </c>
      <c r="H1577">
        <v>352.2</v>
      </c>
      <c r="I1577" s="1">
        <v>353.45</v>
      </c>
      <c r="J1577">
        <v>24990944.850000001</v>
      </c>
      <c r="K1577">
        <v>69908</v>
      </c>
      <c r="L1577" t="s">
        <v>78</v>
      </c>
      <c r="M1577" t="s">
        <v>17</v>
      </c>
      <c r="N1577">
        <v>4341</v>
      </c>
      <c r="O1577">
        <v>449</v>
      </c>
      <c r="P1577">
        <v>280.3</v>
      </c>
      <c r="Q1577" s="1">
        <v>86.2</v>
      </c>
      <c r="R1577" s="1">
        <v>72</v>
      </c>
      <c r="S1577" s="3">
        <v>0.12478209239448246</v>
      </c>
      <c r="T1577" s="3">
        <v>8.2756634374962612E-2</v>
      </c>
    </row>
    <row r="1578" spans="1:20" x14ac:dyDescent="0.25">
      <c r="A1578" t="s">
        <v>78</v>
      </c>
      <c r="B1578" t="s">
        <v>79</v>
      </c>
      <c r="C1578" t="s">
        <v>5513</v>
      </c>
      <c r="D1578" t="s">
        <v>5512</v>
      </c>
      <c r="E1578">
        <v>2398.9499999999998</v>
      </c>
      <c r="F1578">
        <v>2361.1999999999998</v>
      </c>
      <c r="G1578">
        <v>2402.9</v>
      </c>
      <c r="H1578">
        <v>2315</v>
      </c>
      <c r="I1578" s="1">
        <v>2335.65</v>
      </c>
      <c r="J1578">
        <v>32554217.100000001</v>
      </c>
      <c r="K1578">
        <v>13851</v>
      </c>
      <c r="L1578" t="s">
        <v>78</v>
      </c>
      <c r="M1578" t="s">
        <v>17</v>
      </c>
      <c r="N1578">
        <v>3638</v>
      </c>
      <c r="O1578">
        <v>2767.1</v>
      </c>
      <c r="P1578">
        <v>1720</v>
      </c>
      <c r="Q1578" s="1" t="str">
        <v/>
      </c>
      <c r="R1578" s="1" t="str">
        <v/>
      </c>
      <c r="S1578" s="3">
        <v>0</v>
      </c>
      <c r="T1578" s="3">
        <v>0</v>
      </c>
    </row>
    <row r="1579" spans="1:20" x14ac:dyDescent="0.25">
      <c r="A1579" t="s">
        <v>78</v>
      </c>
      <c r="B1579" t="s">
        <v>79</v>
      </c>
      <c r="C1579" t="s">
        <v>2269</v>
      </c>
      <c r="D1579" t="s">
        <v>2270</v>
      </c>
      <c r="E1579">
        <v>821.35</v>
      </c>
      <c r="F1579">
        <v>823.5</v>
      </c>
      <c r="G1579">
        <v>825.2</v>
      </c>
      <c r="H1579">
        <v>803</v>
      </c>
      <c r="I1579" s="1">
        <v>814.55</v>
      </c>
      <c r="J1579">
        <v>88341443.099999994</v>
      </c>
      <c r="K1579">
        <v>108586</v>
      </c>
      <c r="L1579" t="s">
        <v>78</v>
      </c>
      <c r="M1579" t="s">
        <v>17</v>
      </c>
      <c r="N1579">
        <v>10045</v>
      </c>
      <c r="O1579">
        <v>903.85</v>
      </c>
      <c r="P1579">
        <v>656.95</v>
      </c>
      <c r="Q1579" s="1">
        <v>1177.05</v>
      </c>
      <c r="R1579" s="1" t="str">
        <v/>
      </c>
      <c r="S1579" s="3">
        <v>-3.0211783159951877E-2</v>
      </c>
      <c r="T1579" s="3">
        <v>0</v>
      </c>
    </row>
    <row r="1580" spans="1:20" x14ac:dyDescent="0.25">
      <c r="A1580" t="s">
        <v>78</v>
      </c>
      <c r="B1580" t="s">
        <v>79</v>
      </c>
      <c r="C1580" t="s">
        <v>2271</v>
      </c>
      <c r="D1580" t="s">
        <v>2272</v>
      </c>
      <c r="E1580">
        <v>590.04999999999995</v>
      </c>
      <c r="F1580">
        <v>592.79999999999995</v>
      </c>
      <c r="G1580">
        <v>603.79999999999995</v>
      </c>
      <c r="H1580">
        <v>575</v>
      </c>
      <c r="I1580" s="1">
        <v>588.04999999999995</v>
      </c>
      <c r="J1580">
        <v>69373989.700000003</v>
      </c>
      <c r="K1580">
        <v>117793</v>
      </c>
      <c r="L1580" t="s">
        <v>78</v>
      </c>
      <c r="M1580" t="s">
        <v>17</v>
      </c>
      <c r="N1580">
        <v>8252</v>
      </c>
      <c r="O1580">
        <v>664.4</v>
      </c>
      <c r="P1580">
        <v>341.6</v>
      </c>
      <c r="Q1580" s="1">
        <v>169</v>
      </c>
      <c r="R1580" s="1">
        <v>40.5</v>
      </c>
      <c r="S1580" s="3">
        <v>0.10949997251101284</v>
      </c>
      <c r="T1580" s="3">
        <v>0.14305241220464704</v>
      </c>
    </row>
    <row r="1581" spans="1:20" x14ac:dyDescent="0.25">
      <c r="A1581" t="s">
        <v>78</v>
      </c>
      <c r="B1581" t="s">
        <v>79</v>
      </c>
      <c r="C1581" t="s">
        <v>5511</v>
      </c>
      <c r="D1581" t="s">
        <v>5510</v>
      </c>
      <c r="E1581">
        <v>630.15</v>
      </c>
      <c r="F1581">
        <v>654</v>
      </c>
      <c r="G1581">
        <v>674.9</v>
      </c>
      <c r="H1581">
        <v>635</v>
      </c>
      <c r="I1581" s="1">
        <v>668.2</v>
      </c>
      <c r="J1581">
        <v>375770723.5</v>
      </c>
      <c r="K1581">
        <v>564430</v>
      </c>
      <c r="L1581" t="s">
        <v>78</v>
      </c>
      <c r="M1581" t="s">
        <v>17</v>
      </c>
      <c r="N1581">
        <v>14181</v>
      </c>
      <c r="O1581">
        <v>746.6</v>
      </c>
      <c r="P1581">
        <v>298.2</v>
      </c>
      <c r="Q1581" s="1" t="str">
        <v/>
      </c>
      <c r="R1581" s="1" t="str">
        <v/>
      </c>
      <c r="S1581" s="3">
        <v>0</v>
      </c>
      <c r="T1581" s="3">
        <v>0</v>
      </c>
    </row>
    <row r="1582" spans="1:20" x14ac:dyDescent="0.25">
      <c r="A1582" t="s">
        <v>78</v>
      </c>
      <c r="B1582" t="s">
        <v>79</v>
      </c>
      <c r="C1582" t="s">
        <v>2273</v>
      </c>
      <c r="D1582" t="s">
        <v>2274</v>
      </c>
      <c r="E1582">
        <v>1819.35</v>
      </c>
      <c r="F1582">
        <v>1800</v>
      </c>
      <c r="G1582">
        <v>1867.95</v>
      </c>
      <c r="H1582">
        <v>1793.75</v>
      </c>
      <c r="I1582" s="1">
        <v>1827.85</v>
      </c>
      <c r="J1582">
        <v>410061695.69999999</v>
      </c>
      <c r="K1582">
        <v>223777</v>
      </c>
      <c r="L1582" t="s">
        <v>78</v>
      </c>
      <c r="M1582" t="s">
        <v>17</v>
      </c>
      <c r="N1582">
        <v>20775</v>
      </c>
      <c r="O1582">
        <v>1942.45</v>
      </c>
      <c r="P1582">
        <v>1386.05</v>
      </c>
      <c r="Q1582" s="1">
        <v>2095</v>
      </c>
      <c r="R1582" s="1" t="str">
        <v/>
      </c>
      <c r="S1582" s="3">
        <v>-1.1303392854436378E-2</v>
      </c>
      <c r="T1582" s="3">
        <v>0</v>
      </c>
    </row>
    <row r="1583" spans="1:20" x14ac:dyDescent="0.25">
      <c r="A1583" t="s">
        <v>78</v>
      </c>
      <c r="B1583" t="s">
        <v>287</v>
      </c>
      <c r="C1583" t="s">
        <v>5509</v>
      </c>
      <c r="D1583" t="s">
        <v>5508</v>
      </c>
      <c r="E1583">
        <v>135.6</v>
      </c>
      <c r="F1583">
        <v>135.6</v>
      </c>
      <c r="G1583">
        <v>136</v>
      </c>
      <c r="H1583">
        <v>130.5</v>
      </c>
      <c r="I1583" s="1">
        <v>131.1</v>
      </c>
      <c r="J1583">
        <v>12961760</v>
      </c>
      <c r="K1583">
        <v>97600</v>
      </c>
      <c r="L1583" t="s">
        <v>78</v>
      </c>
      <c r="M1583" t="s">
        <v>17</v>
      </c>
      <c r="N1583">
        <v>60</v>
      </c>
      <c r="O1583">
        <v>208</v>
      </c>
      <c r="P1583">
        <v>100.15</v>
      </c>
      <c r="Q1583" s="1" t="str">
        <v/>
      </c>
      <c r="R1583" s="1" t="str">
        <v/>
      </c>
      <c r="S1583" s="3">
        <v>0</v>
      </c>
      <c r="T1583" s="3">
        <v>0</v>
      </c>
    </row>
    <row r="1584" spans="1:20" x14ac:dyDescent="0.25">
      <c r="A1584" t="s">
        <v>78</v>
      </c>
      <c r="B1584" t="s">
        <v>79</v>
      </c>
      <c r="C1584" t="s">
        <v>2275</v>
      </c>
      <c r="D1584" t="s">
        <v>2276</v>
      </c>
      <c r="E1584">
        <v>1827.25</v>
      </c>
      <c r="F1584">
        <v>1830.45</v>
      </c>
      <c r="G1584">
        <v>1995</v>
      </c>
      <c r="H1584">
        <v>1775</v>
      </c>
      <c r="I1584" s="1">
        <v>1812</v>
      </c>
      <c r="J1584">
        <v>545571906.70000005</v>
      </c>
      <c r="K1584">
        <v>287262</v>
      </c>
      <c r="L1584" t="s">
        <v>78</v>
      </c>
      <c r="M1584" t="s">
        <v>17</v>
      </c>
      <c r="N1584">
        <v>38920</v>
      </c>
      <c r="O1584">
        <v>1995</v>
      </c>
      <c r="P1584">
        <v>941.55</v>
      </c>
      <c r="Q1584" s="1">
        <v>457</v>
      </c>
      <c r="R1584" s="1">
        <v>203</v>
      </c>
      <c r="S1584" s="3">
        <v>0.12164002763949577</v>
      </c>
      <c r="T1584" s="3">
        <v>0.11559632899212047</v>
      </c>
    </row>
    <row r="1585" spans="1:20" x14ac:dyDescent="0.25">
      <c r="A1585" t="s">
        <v>78</v>
      </c>
      <c r="B1585" t="s">
        <v>79</v>
      </c>
      <c r="C1585" t="s">
        <v>3399</v>
      </c>
      <c r="D1585" t="s">
        <v>3400</v>
      </c>
      <c r="E1585">
        <v>28.49</v>
      </c>
      <c r="F1585">
        <v>28.6</v>
      </c>
      <c r="G1585">
        <v>28.74</v>
      </c>
      <c r="H1585">
        <v>27.65</v>
      </c>
      <c r="I1585" s="1">
        <v>27.91</v>
      </c>
      <c r="J1585">
        <v>332795298.30000001</v>
      </c>
      <c r="K1585">
        <v>11883885</v>
      </c>
      <c r="L1585" t="s">
        <v>78</v>
      </c>
      <c r="M1585" t="s">
        <v>17</v>
      </c>
      <c r="N1585">
        <v>34256</v>
      </c>
      <c r="O1585">
        <v>34.450000000000003</v>
      </c>
      <c r="P1585">
        <v>14.85</v>
      </c>
      <c r="Q1585" s="1">
        <v>12.4</v>
      </c>
      <c r="R1585" s="1">
        <v>3.55</v>
      </c>
      <c r="S1585" s="3">
        <v>6.9945145471053793E-2</v>
      </c>
      <c r="T1585" s="3">
        <v>0.10854174566674635</v>
      </c>
    </row>
    <row r="1586" spans="1:20" x14ac:dyDescent="0.25">
      <c r="A1586" t="s">
        <v>78</v>
      </c>
      <c r="B1586" t="s">
        <v>79</v>
      </c>
      <c r="C1586" t="s">
        <v>2277</v>
      </c>
      <c r="D1586" t="s">
        <v>2278</v>
      </c>
      <c r="E1586">
        <v>169.58</v>
      </c>
      <c r="F1586">
        <v>170</v>
      </c>
      <c r="G1586">
        <v>170.18</v>
      </c>
      <c r="H1586">
        <v>158.69999999999999</v>
      </c>
      <c r="I1586" s="1">
        <v>160.46</v>
      </c>
      <c r="J1586">
        <v>58594720.990000002</v>
      </c>
      <c r="K1586">
        <v>361840</v>
      </c>
      <c r="L1586" t="s">
        <v>78</v>
      </c>
      <c r="M1586" t="s">
        <v>17</v>
      </c>
      <c r="N1586">
        <v>11159</v>
      </c>
      <c r="O1586">
        <v>184.9</v>
      </c>
      <c r="P1586">
        <v>101.3</v>
      </c>
      <c r="Q1586" s="1">
        <v>87.4</v>
      </c>
      <c r="R1586" s="1">
        <v>102.1</v>
      </c>
      <c r="S1586" s="3">
        <v>5.1932677299536101E-2</v>
      </c>
      <c r="T1586" s="3">
        <v>2.2849355918768799E-2</v>
      </c>
    </row>
    <row r="1587" spans="1:20" x14ac:dyDescent="0.25">
      <c r="A1587" t="s">
        <v>78</v>
      </c>
      <c r="B1587" t="s">
        <v>79</v>
      </c>
      <c r="C1587" t="s">
        <v>2279</v>
      </c>
      <c r="D1587" t="s">
        <v>2280</v>
      </c>
      <c r="E1587">
        <v>72.25</v>
      </c>
      <c r="F1587">
        <v>72.5</v>
      </c>
      <c r="G1587">
        <v>73.489999999999995</v>
      </c>
      <c r="H1587">
        <v>71.67</v>
      </c>
      <c r="I1587" s="1">
        <v>72.319999999999993</v>
      </c>
      <c r="J1587">
        <v>2208964.9</v>
      </c>
      <c r="K1587">
        <v>30534</v>
      </c>
      <c r="L1587" t="s">
        <v>78</v>
      </c>
      <c r="M1587" t="s">
        <v>17</v>
      </c>
      <c r="N1587">
        <v>779</v>
      </c>
      <c r="O1587">
        <v>290</v>
      </c>
      <c r="P1587">
        <v>68.25</v>
      </c>
      <c r="Q1587" s="1">
        <v>152</v>
      </c>
      <c r="R1587" s="1">
        <v>99</v>
      </c>
      <c r="S1587" s="3">
        <v>-6.0021538297957422E-2</v>
      </c>
      <c r="T1587" s="3">
        <v>-1.5569874620051105E-2</v>
      </c>
    </row>
    <row r="1588" spans="1:20" x14ac:dyDescent="0.25">
      <c r="A1588" t="s">
        <v>78</v>
      </c>
      <c r="B1588" t="s">
        <v>79</v>
      </c>
      <c r="C1588" t="s">
        <v>2281</v>
      </c>
      <c r="D1588" t="s">
        <v>2282</v>
      </c>
      <c r="E1588">
        <v>742.85</v>
      </c>
      <c r="F1588">
        <v>742.85</v>
      </c>
      <c r="G1588">
        <v>764</v>
      </c>
      <c r="H1588">
        <v>728</v>
      </c>
      <c r="I1588" s="1">
        <v>731.05</v>
      </c>
      <c r="J1588">
        <v>45417098.950000003</v>
      </c>
      <c r="K1588">
        <v>61340</v>
      </c>
      <c r="L1588" t="s">
        <v>78</v>
      </c>
      <c r="M1588" t="s">
        <v>17</v>
      </c>
      <c r="N1588">
        <v>6015</v>
      </c>
      <c r="O1588">
        <v>847</v>
      </c>
      <c r="P1588">
        <v>435</v>
      </c>
      <c r="Q1588" s="1">
        <v>621.1</v>
      </c>
      <c r="R1588" s="1" t="str">
        <v/>
      </c>
      <c r="S1588" s="3">
        <v>1.3675140699703991E-2</v>
      </c>
      <c r="T1588" s="3">
        <v>0</v>
      </c>
    </row>
    <row r="1589" spans="1:20" x14ac:dyDescent="0.25">
      <c r="A1589" t="s">
        <v>78</v>
      </c>
      <c r="B1589" t="s">
        <v>79</v>
      </c>
      <c r="C1589" t="s">
        <v>5507</v>
      </c>
      <c r="D1589" t="s">
        <v>5506</v>
      </c>
      <c r="E1589">
        <v>426</v>
      </c>
      <c r="F1589">
        <v>426.95</v>
      </c>
      <c r="G1589">
        <v>433.35</v>
      </c>
      <c r="H1589">
        <v>415.55</v>
      </c>
      <c r="I1589" s="1">
        <v>426.9</v>
      </c>
      <c r="J1589">
        <v>191775095.69999999</v>
      </c>
      <c r="K1589">
        <v>450658</v>
      </c>
      <c r="L1589" t="s">
        <v>78</v>
      </c>
      <c r="M1589" t="s">
        <v>17</v>
      </c>
      <c r="N1589">
        <v>21020</v>
      </c>
      <c r="O1589">
        <v>474.9</v>
      </c>
      <c r="P1589">
        <v>282.2</v>
      </c>
      <c r="Q1589" s="1" t="str">
        <v/>
      </c>
      <c r="R1589" s="1" t="str">
        <v/>
      </c>
      <c r="S1589" s="3">
        <v>0</v>
      </c>
      <c r="T1589" s="3">
        <v>0</v>
      </c>
    </row>
    <row r="1590" spans="1:20" x14ac:dyDescent="0.25">
      <c r="A1590" t="s">
        <v>78</v>
      </c>
      <c r="B1590" t="s">
        <v>79</v>
      </c>
      <c r="C1590" t="s">
        <v>5505</v>
      </c>
      <c r="D1590" t="s">
        <v>5504</v>
      </c>
      <c r="E1590">
        <v>1772.2</v>
      </c>
      <c r="F1590">
        <v>1772.2</v>
      </c>
      <c r="G1590">
        <v>1799.8</v>
      </c>
      <c r="H1590">
        <v>1757</v>
      </c>
      <c r="I1590" s="1">
        <v>1780.3</v>
      </c>
      <c r="J1590">
        <v>317604030.39999998</v>
      </c>
      <c r="K1590">
        <v>178418</v>
      </c>
      <c r="L1590" t="s">
        <v>78</v>
      </c>
      <c r="M1590" t="s">
        <v>17</v>
      </c>
      <c r="N1590">
        <v>19762</v>
      </c>
      <c r="O1590">
        <v>1901.95</v>
      </c>
      <c r="P1590">
        <v>1136.8</v>
      </c>
      <c r="Q1590" s="1" t="str">
        <v/>
      </c>
      <c r="R1590" s="1" t="str">
        <v/>
      </c>
      <c r="S1590" s="3">
        <v>0</v>
      </c>
      <c r="T1590" s="3">
        <v>0</v>
      </c>
    </row>
    <row r="1591" spans="1:20" x14ac:dyDescent="0.25">
      <c r="A1591" t="s">
        <v>78</v>
      </c>
      <c r="B1591" t="s">
        <v>79</v>
      </c>
      <c r="C1591" t="s">
        <v>2283</v>
      </c>
      <c r="D1591" t="s">
        <v>2284</v>
      </c>
      <c r="E1591">
        <v>218.11</v>
      </c>
      <c r="F1591">
        <v>216</v>
      </c>
      <c r="G1591">
        <v>220.84</v>
      </c>
      <c r="H1591">
        <v>211</v>
      </c>
      <c r="I1591" s="1">
        <v>212.92</v>
      </c>
      <c r="J1591">
        <v>22952572.510000002</v>
      </c>
      <c r="K1591">
        <v>106329</v>
      </c>
      <c r="L1591" t="s">
        <v>78</v>
      </c>
      <c r="M1591" t="s">
        <v>17</v>
      </c>
      <c r="N1591">
        <v>4778</v>
      </c>
      <c r="O1591">
        <v>242.7</v>
      </c>
      <c r="P1591">
        <v>159.05000000000001</v>
      </c>
      <c r="Q1591" s="1">
        <v>341.15</v>
      </c>
      <c r="R1591" s="1">
        <v>133.19999999999999</v>
      </c>
      <c r="S1591" s="3">
        <v>-3.8522209393311302E-2</v>
      </c>
      <c r="T1591" s="3">
        <v>2.3717278681742116E-2</v>
      </c>
    </row>
    <row r="1592" spans="1:20" x14ac:dyDescent="0.25">
      <c r="A1592" t="s">
        <v>78</v>
      </c>
      <c r="B1592" t="s">
        <v>79</v>
      </c>
      <c r="C1592" t="s">
        <v>2285</v>
      </c>
      <c r="D1592" t="s">
        <v>2286</v>
      </c>
      <c r="E1592">
        <v>487.4</v>
      </c>
      <c r="F1592">
        <v>494</v>
      </c>
      <c r="G1592">
        <v>503.95</v>
      </c>
      <c r="H1592">
        <v>478.2</v>
      </c>
      <c r="I1592" s="1">
        <v>498.85</v>
      </c>
      <c r="J1592">
        <v>102759586.3</v>
      </c>
      <c r="K1592">
        <v>209705</v>
      </c>
      <c r="L1592" t="s">
        <v>78</v>
      </c>
      <c r="M1592" t="s">
        <v>17</v>
      </c>
      <c r="N1592">
        <v>13579</v>
      </c>
      <c r="O1592">
        <v>599</v>
      </c>
      <c r="P1592">
        <v>390.1</v>
      </c>
      <c r="Q1592" s="1">
        <v>172.75</v>
      </c>
      <c r="R1592" s="1">
        <v>42.1</v>
      </c>
      <c r="S1592" s="3">
        <v>9.2394051834723934E-2</v>
      </c>
      <c r="T1592" s="3">
        <v>0.13150113528870788</v>
      </c>
    </row>
    <row r="1593" spans="1:20" x14ac:dyDescent="0.25">
      <c r="A1593" t="s">
        <v>78</v>
      </c>
      <c r="B1593" t="s">
        <v>79</v>
      </c>
      <c r="C1593" t="s">
        <v>3403</v>
      </c>
      <c r="D1593" t="s">
        <v>3404</v>
      </c>
      <c r="E1593">
        <v>78.45</v>
      </c>
      <c r="F1593">
        <v>78.39</v>
      </c>
      <c r="G1593">
        <v>78.510000000000005</v>
      </c>
      <c r="H1593">
        <v>75.2</v>
      </c>
      <c r="I1593" s="1">
        <v>75.7</v>
      </c>
      <c r="J1593">
        <v>220120120.02000001</v>
      </c>
      <c r="K1593">
        <v>2879215</v>
      </c>
      <c r="L1593" t="s">
        <v>78</v>
      </c>
      <c r="M1593" t="s">
        <v>17</v>
      </c>
      <c r="N1593">
        <v>21900</v>
      </c>
      <c r="O1593">
        <v>94.85</v>
      </c>
      <c r="P1593">
        <v>39.15</v>
      </c>
      <c r="Q1593" s="1">
        <v>53</v>
      </c>
      <c r="R1593" s="1" t="str">
        <v/>
      </c>
      <c r="S1593" s="3">
        <v>3.0152847889264089E-2</v>
      </c>
      <c r="T1593" s="3">
        <v>0</v>
      </c>
    </row>
    <row r="1594" spans="1:20" x14ac:dyDescent="0.25">
      <c r="A1594" t="s">
        <v>78</v>
      </c>
      <c r="B1594" t="s">
        <v>79</v>
      </c>
      <c r="C1594" t="s">
        <v>3405</v>
      </c>
      <c r="D1594" t="s">
        <v>3406</v>
      </c>
      <c r="E1594">
        <v>16.09</v>
      </c>
      <c r="F1594">
        <v>16</v>
      </c>
      <c r="G1594">
        <v>16.09</v>
      </c>
      <c r="H1594">
        <v>15.57</v>
      </c>
      <c r="I1594" s="1">
        <v>15.78</v>
      </c>
      <c r="J1594">
        <v>337495805.45999998</v>
      </c>
      <c r="K1594">
        <v>21331830</v>
      </c>
      <c r="L1594" t="s">
        <v>78</v>
      </c>
      <c r="M1594" t="s">
        <v>17</v>
      </c>
      <c r="N1594">
        <v>55828</v>
      </c>
      <c r="O1594">
        <v>21.1</v>
      </c>
      <c r="P1594">
        <v>4.3</v>
      </c>
      <c r="Q1594" s="1">
        <v>7.75</v>
      </c>
      <c r="R1594" s="1">
        <v>1.55</v>
      </c>
      <c r="S1594" s="3">
        <v>6.1044930452564872E-2</v>
      </c>
      <c r="T1594" s="3">
        <v>0.12295194028977097</v>
      </c>
    </row>
    <row r="1595" spans="1:20" x14ac:dyDescent="0.25">
      <c r="A1595" t="s">
        <v>78</v>
      </c>
      <c r="B1595" t="s">
        <v>79</v>
      </c>
      <c r="C1595" t="s">
        <v>2287</v>
      </c>
      <c r="D1595" t="s">
        <v>2288</v>
      </c>
      <c r="E1595">
        <v>242.59</v>
      </c>
      <c r="F1595">
        <v>243.9</v>
      </c>
      <c r="G1595">
        <v>243.9</v>
      </c>
      <c r="H1595">
        <v>234.69</v>
      </c>
      <c r="I1595" s="1">
        <v>238.58</v>
      </c>
      <c r="J1595">
        <v>6404897.2300000004</v>
      </c>
      <c r="K1595">
        <v>26882</v>
      </c>
      <c r="L1595" t="s">
        <v>78</v>
      </c>
      <c r="M1595" t="s">
        <v>17</v>
      </c>
      <c r="N1595">
        <v>1467</v>
      </c>
      <c r="O1595">
        <v>271.60000000000002</v>
      </c>
      <c r="P1595">
        <v>177</v>
      </c>
      <c r="Q1595" s="1">
        <v>271.25</v>
      </c>
      <c r="R1595" s="1">
        <v>169.15</v>
      </c>
      <c r="S1595" s="3">
        <v>-1.0637700264704342E-2</v>
      </c>
      <c r="T1595" s="3">
        <v>1.7335060161320026E-2</v>
      </c>
    </row>
    <row r="1596" spans="1:20" x14ac:dyDescent="0.25">
      <c r="A1596" t="s">
        <v>78</v>
      </c>
      <c r="B1596" t="s">
        <v>79</v>
      </c>
      <c r="C1596" t="s">
        <v>3407</v>
      </c>
      <c r="D1596" t="s">
        <v>3408</v>
      </c>
      <c r="E1596">
        <v>14.97</v>
      </c>
      <c r="F1596">
        <v>15.15</v>
      </c>
      <c r="G1596">
        <v>15.15</v>
      </c>
      <c r="H1596">
        <v>14.42</v>
      </c>
      <c r="I1596" s="1">
        <v>14.59</v>
      </c>
      <c r="J1596">
        <v>4641793.96</v>
      </c>
      <c r="K1596">
        <v>316884</v>
      </c>
      <c r="L1596" t="s">
        <v>78</v>
      </c>
      <c r="M1596" t="s">
        <v>17</v>
      </c>
      <c r="N1596">
        <v>1006</v>
      </c>
      <c r="O1596">
        <v>18.7</v>
      </c>
      <c r="P1596">
        <v>7.9</v>
      </c>
      <c r="Q1596" s="1">
        <v>8.25</v>
      </c>
      <c r="R1596" s="1">
        <v>2.1</v>
      </c>
      <c r="S1596" s="3">
        <v>4.8656963973240597E-2</v>
      </c>
      <c r="T1596" s="3">
        <v>0.10171369618561044</v>
      </c>
    </row>
    <row r="1597" spans="1:20" x14ac:dyDescent="0.25">
      <c r="A1597" t="s">
        <v>78</v>
      </c>
      <c r="B1597" t="s">
        <v>79</v>
      </c>
      <c r="C1597" t="s">
        <v>2291</v>
      </c>
      <c r="D1597" t="s">
        <v>2292</v>
      </c>
      <c r="E1597">
        <v>144.08000000000001</v>
      </c>
      <c r="F1597">
        <v>143.94999999999999</v>
      </c>
      <c r="G1597">
        <v>145.9</v>
      </c>
      <c r="H1597">
        <v>141.5</v>
      </c>
      <c r="I1597" s="1">
        <v>142.03</v>
      </c>
      <c r="J1597">
        <v>20468207.399999999</v>
      </c>
      <c r="K1597">
        <v>143395</v>
      </c>
      <c r="L1597" t="s">
        <v>78</v>
      </c>
      <c r="M1597" t="s">
        <v>17</v>
      </c>
      <c r="N1597">
        <v>2889</v>
      </c>
      <c r="O1597">
        <v>164.2</v>
      </c>
      <c r="P1597">
        <v>107.55</v>
      </c>
      <c r="Q1597" s="1">
        <v>94</v>
      </c>
      <c r="R1597" s="1">
        <v>82</v>
      </c>
      <c r="S1597" s="3">
        <v>3.4993652020764765E-2</v>
      </c>
      <c r="T1597" s="3">
        <v>2.783115885653964E-2</v>
      </c>
    </row>
    <row r="1598" spans="1:20" x14ac:dyDescent="0.25">
      <c r="A1598" t="s">
        <v>78</v>
      </c>
      <c r="B1598" t="s">
        <v>79</v>
      </c>
      <c r="C1598" t="s">
        <v>2293</v>
      </c>
      <c r="D1598" t="s">
        <v>2294</v>
      </c>
      <c r="E1598">
        <v>290.5</v>
      </c>
      <c r="F1598">
        <v>290.39999999999998</v>
      </c>
      <c r="G1598">
        <v>291.60000000000002</v>
      </c>
      <c r="H1598">
        <v>284.10000000000002</v>
      </c>
      <c r="I1598" s="1">
        <v>285.05</v>
      </c>
      <c r="J1598">
        <v>62925676.149999999</v>
      </c>
      <c r="K1598">
        <v>219115</v>
      </c>
      <c r="L1598" t="s">
        <v>78</v>
      </c>
      <c r="M1598" t="s">
        <v>17</v>
      </c>
      <c r="N1598">
        <v>7389</v>
      </c>
      <c r="O1598">
        <v>308.64999999999998</v>
      </c>
      <c r="P1598">
        <v>226.85</v>
      </c>
      <c r="Q1598" s="1">
        <v>475.55</v>
      </c>
      <c r="R1598" s="1">
        <v>211.25</v>
      </c>
      <c r="S1598" s="3">
        <v>-4.1753875218499159E-2</v>
      </c>
      <c r="T1598" s="3">
        <v>1.5085568139771244E-2</v>
      </c>
    </row>
    <row r="1599" spans="1:20" x14ac:dyDescent="0.25">
      <c r="A1599" t="s">
        <v>78</v>
      </c>
      <c r="B1599" t="s">
        <v>79</v>
      </c>
      <c r="C1599" t="s">
        <v>3409</v>
      </c>
      <c r="D1599" t="s">
        <v>3410</v>
      </c>
      <c r="E1599">
        <v>349.75</v>
      </c>
      <c r="F1599">
        <v>353</v>
      </c>
      <c r="G1599">
        <v>355</v>
      </c>
      <c r="H1599">
        <v>338.4</v>
      </c>
      <c r="I1599" s="1">
        <v>343.4</v>
      </c>
      <c r="J1599">
        <v>42427320.049999997</v>
      </c>
      <c r="K1599">
        <v>122906</v>
      </c>
      <c r="L1599" t="s">
        <v>78</v>
      </c>
      <c r="M1599" t="s">
        <v>17</v>
      </c>
      <c r="N1599">
        <v>6646</v>
      </c>
      <c r="O1599">
        <v>406.9</v>
      </c>
      <c r="P1599">
        <v>261</v>
      </c>
      <c r="Q1599" s="1">
        <v>279</v>
      </c>
      <c r="R1599" s="1">
        <v>187.15</v>
      </c>
      <c r="S1599" s="3">
        <v>1.7457648005830384E-2</v>
      </c>
      <c r="T1599" s="3">
        <v>3.0797376902515827E-2</v>
      </c>
    </row>
    <row r="1600" spans="1:20" x14ac:dyDescent="0.25">
      <c r="A1600" t="s">
        <v>78</v>
      </c>
      <c r="B1600" t="s">
        <v>79</v>
      </c>
      <c r="C1600" t="s">
        <v>5503</v>
      </c>
      <c r="D1600" t="s">
        <v>5502</v>
      </c>
      <c r="E1600">
        <v>708.55</v>
      </c>
      <c r="F1600">
        <v>710</v>
      </c>
      <c r="G1600">
        <v>725</v>
      </c>
      <c r="H1600">
        <v>697</v>
      </c>
      <c r="I1600" s="1">
        <v>711.35</v>
      </c>
      <c r="J1600">
        <v>40487306.850000001</v>
      </c>
      <c r="K1600">
        <v>57062</v>
      </c>
      <c r="L1600" t="s">
        <v>78</v>
      </c>
      <c r="M1600" t="s">
        <v>17</v>
      </c>
      <c r="N1600">
        <v>3934</v>
      </c>
      <c r="O1600">
        <v>750</v>
      </c>
      <c r="P1600">
        <v>518</v>
      </c>
      <c r="Q1600" s="1" t="str">
        <v/>
      </c>
      <c r="R1600" s="1" t="str">
        <v/>
      </c>
      <c r="S1600" s="3">
        <v>0</v>
      </c>
      <c r="T1600" s="3">
        <v>0</v>
      </c>
    </row>
    <row r="1601" spans="1:20" x14ac:dyDescent="0.25">
      <c r="A1601" t="s">
        <v>78</v>
      </c>
      <c r="B1601" t="s">
        <v>79</v>
      </c>
      <c r="C1601" t="s">
        <v>2295</v>
      </c>
      <c r="D1601" t="s">
        <v>2296</v>
      </c>
      <c r="E1601">
        <v>41.17</v>
      </c>
      <c r="F1601">
        <v>41.02</v>
      </c>
      <c r="G1601">
        <v>45.28</v>
      </c>
      <c r="H1601">
        <v>40.71</v>
      </c>
      <c r="I1601" s="1">
        <v>44.42</v>
      </c>
      <c r="J1601">
        <v>6495308.4299999997</v>
      </c>
      <c r="K1601">
        <v>150724</v>
      </c>
      <c r="L1601" t="s">
        <v>78</v>
      </c>
      <c r="M1601" t="s">
        <v>17</v>
      </c>
      <c r="N1601">
        <v>1933</v>
      </c>
      <c r="O1601">
        <v>63.9</v>
      </c>
      <c r="P1601">
        <v>34</v>
      </c>
      <c r="Q1601" s="1">
        <v>22.5</v>
      </c>
      <c r="R1601" s="1" t="str">
        <v/>
      </c>
      <c r="S1601" s="3">
        <v>5.8318374350473157E-2</v>
      </c>
      <c r="T1601" s="3">
        <v>0</v>
      </c>
    </row>
    <row r="1602" spans="1:20" x14ac:dyDescent="0.25">
      <c r="A1602" t="s">
        <v>78</v>
      </c>
      <c r="B1602" t="s">
        <v>79</v>
      </c>
      <c r="C1602" t="s">
        <v>2297</v>
      </c>
      <c r="D1602" t="s">
        <v>2298</v>
      </c>
      <c r="E1602">
        <v>620.15</v>
      </c>
      <c r="F1602">
        <v>612</v>
      </c>
      <c r="G1602">
        <v>626</v>
      </c>
      <c r="H1602">
        <v>582.65</v>
      </c>
      <c r="I1602" s="1">
        <v>586.15</v>
      </c>
      <c r="J1602">
        <v>20989627792.150002</v>
      </c>
      <c r="K1602">
        <v>35159677</v>
      </c>
      <c r="L1602" t="s">
        <v>78</v>
      </c>
      <c r="M1602" t="s">
        <v>17</v>
      </c>
      <c r="N1602">
        <v>505741</v>
      </c>
      <c r="O1602">
        <v>647</v>
      </c>
      <c r="P1602">
        <v>118.75</v>
      </c>
      <c r="Q1602" s="1">
        <v>31</v>
      </c>
      <c r="R1602" s="1">
        <v>24.05</v>
      </c>
      <c r="S1602" s="3">
        <v>0.27757750485696886</v>
      </c>
      <c r="T1602" s="3">
        <v>0.17302348764152398</v>
      </c>
    </row>
    <row r="1603" spans="1:20" x14ac:dyDescent="0.25">
      <c r="A1603" t="s">
        <v>78</v>
      </c>
      <c r="B1603" t="s">
        <v>287</v>
      </c>
      <c r="C1603" t="s">
        <v>5501</v>
      </c>
      <c r="D1603" t="s">
        <v>5500</v>
      </c>
      <c r="E1603">
        <v>27.55</v>
      </c>
      <c r="F1603">
        <v>28.55</v>
      </c>
      <c r="G1603">
        <v>28.9</v>
      </c>
      <c r="H1603">
        <v>28.05</v>
      </c>
      <c r="I1603" s="1">
        <v>28.9</v>
      </c>
      <c r="J1603">
        <v>10675250</v>
      </c>
      <c r="K1603">
        <v>370000</v>
      </c>
      <c r="L1603" t="s">
        <v>78</v>
      </c>
      <c r="M1603" t="s">
        <v>17</v>
      </c>
      <c r="N1603">
        <v>64</v>
      </c>
      <c r="O1603">
        <v>30.6</v>
      </c>
      <c r="P1603">
        <v>13.5</v>
      </c>
      <c r="Q1603" s="1" t="str">
        <v/>
      </c>
      <c r="R1603" s="1" t="str">
        <v/>
      </c>
      <c r="S1603" s="3">
        <v>0</v>
      </c>
      <c r="T1603" s="3">
        <v>0</v>
      </c>
    </row>
    <row r="1604" spans="1:20" x14ac:dyDescent="0.25">
      <c r="A1604" t="s">
        <v>78</v>
      </c>
      <c r="B1604" t="s">
        <v>79</v>
      </c>
      <c r="C1604" t="s">
        <v>2299</v>
      </c>
      <c r="D1604" t="s">
        <v>2300</v>
      </c>
      <c r="E1604">
        <v>31.54</v>
      </c>
      <c r="F1604">
        <v>31.51</v>
      </c>
      <c r="G1604">
        <v>33.11</v>
      </c>
      <c r="H1604">
        <v>29.96</v>
      </c>
      <c r="I1604" s="1">
        <v>29.96</v>
      </c>
      <c r="J1604">
        <v>190190944.81999999</v>
      </c>
      <c r="K1604">
        <v>5930056</v>
      </c>
      <c r="L1604" t="s">
        <v>78</v>
      </c>
      <c r="M1604" t="s">
        <v>17</v>
      </c>
      <c r="N1604">
        <v>6753</v>
      </c>
      <c r="O1604">
        <v>40.299999999999997</v>
      </c>
      <c r="P1604">
        <v>22.55</v>
      </c>
      <c r="Q1604" s="1">
        <v>76.55</v>
      </c>
      <c r="R1604" s="1">
        <v>175.2</v>
      </c>
      <c r="S1604" s="3">
        <v>-7.5195960980077303E-2</v>
      </c>
      <c r="T1604" s="3">
        <v>-8.4472513787309467E-2</v>
      </c>
    </row>
    <row r="1605" spans="1:20" x14ac:dyDescent="0.25">
      <c r="A1605" t="s">
        <v>78</v>
      </c>
      <c r="B1605" t="s">
        <v>79</v>
      </c>
      <c r="C1605" t="s">
        <v>2301</v>
      </c>
      <c r="D1605" t="s">
        <v>2302</v>
      </c>
      <c r="E1605">
        <v>6.18</v>
      </c>
      <c r="F1605">
        <v>6.18</v>
      </c>
      <c r="G1605">
        <v>6.27</v>
      </c>
      <c r="H1605">
        <v>5.9</v>
      </c>
      <c r="I1605" s="1">
        <v>5.96</v>
      </c>
      <c r="J1605">
        <v>2084533.45</v>
      </c>
      <c r="K1605">
        <v>346289</v>
      </c>
      <c r="L1605" t="s">
        <v>78</v>
      </c>
      <c r="M1605" t="s">
        <v>17</v>
      </c>
      <c r="N1605">
        <v>1122</v>
      </c>
      <c r="O1605">
        <v>9.25</v>
      </c>
      <c r="P1605">
        <v>5.5</v>
      </c>
      <c r="Q1605" s="1">
        <v>33.299999999999997</v>
      </c>
      <c r="R1605" s="1">
        <v>51.6</v>
      </c>
      <c r="S1605" s="3">
        <v>-0.13356995824071771</v>
      </c>
      <c r="T1605" s="3">
        <v>-0.102249829814269</v>
      </c>
    </row>
    <row r="1606" spans="1:20" x14ac:dyDescent="0.25">
      <c r="A1606" t="s">
        <v>78</v>
      </c>
      <c r="B1606" t="s">
        <v>287</v>
      </c>
      <c r="C1606" t="s">
        <v>5499</v>
      </c>
      <c r="D1606" t="s">
        <v>5498</v>
      </c>
      <c r="E1606">
        <v>229.4</v>
      </c>
      <c r="F1606">
        <v>230.05</v>
      </c>
      <c r="G1606">
        <v>234</v>
      </c>
      <c r="H1606">
        <v>220.05</v>
      </c>
      <c r="I1606" s="1">
        <v>221.95</v>
      </c>
      <c r="J1606">
        <v>16179600</v>
      </c>
      <c r="K1606">
        <v>72000</v>
      </c>
      <c r="L1606" t="s">
        <v>78</v>
      </c>
      <c r="M1606" t="s">
        <v>17</v>
      </c>
      <c r="N1606">
        <v>59</v>
      </c>
      <c r="O1606">
        <v>274</v>
      </c>
      <c r="P1606">
        <v>135</v>
      </c>
      <c r="Q1606" s="1" t="str">
        <v/>
      </c>
      <c r="R1606" s="1" t="str">
        <v/>
      </c>
      <c r="S1606" s="3">
        <v>0</v>
      </c>
      <c r="T1606" s="3">
        <v>0</v>
      </c>
    </row>
    <row r="1607" spans="1:20" x14ac:dyDescent="0.25">
      <c r="A1607" t="s">
        <v>78</v>
      </c>
      <c r="B1607" t="s">
        <v>79</v>
      </c>
      <c r="C1607" t="s">
        <v>5497</v>
      </c>
      <c r="D1607" t="s">
        <v>5496</v>
      </c>
      <c r="E1607">
        <v>82.45</v>
      </c>
      <c r="F1607">
        <v>82.45</v>
      </c>
      <c r="G1607">
        <v>82.75</v>
      </c>
      <c r="H1607">
        <v>79.02</v>
      </c>
      <c r="I1607" s="1">
        <v>81.260000000000005</v>
      </c>
      <c r="J1607">
        <v>49541874.240000002</v>
      </c>
      <c r="K1607">
        <v>612706</v>
      </c>
      <c r="L1607" t="s">
        <v>78</v>
      </c>
      <c r="M1607" t="s">
        <v>17</v>
      </c>
      <c r="N1607">
        <v>3634</v>
      </c>
      <c r="O1607">
        <v>110</v>
      </c>
      <c r="P1607">
        <v>49.1</v>
      </c>
      <c r="Q1607" s="1" t="str">
        <v/>
      </c>
      <c r="R1607" s="1" t="str">
        <v/>
      </c>
      <c r="S1607" s="3">
        <v>0</v>
      </c>
      <c r="T1607" s="3">
        <v>0</v>
      </c>
    </row>
    <row r="1608" spans="1:20" x14ac:dyDescent="0.25">
      <c r="A1608" t="s">
        <v>78</v>
      </c>
      <c r="B1608" t="s">
        <v>79</v>
      </c>
      <c r="C1608" t="s">
        <v>2303</v>
      </c>
      <c r="D1608" t="s">
        <v>2304</v>
      </c>
      <c r="E1608">
        <v>2149.4499999999998</v>
      </c>
      <c r="F1608">
        <v>2137.9</v>
      </c>
      <c r="G1608">
        <v>2177.5</v>
      </c>
      <c r="H1608">
        <v>2106.0500000000002</v>
      </c>
      <c r="I1608" s="1">
        <v>2149.6</v>
      </c>
      <c r="J1608">
        <v>60002776.200000003</v>
      </c>
      <c r="K1608">
        <v>28041</v>
      </c>
      <c r="L1608" t="s">
        <v>78</v>
      </c>
      <c r="M1608" t="s">
        <v>17</v>
      </c>
      <c r="N1608">
        <v>4807</v>
      </c>
      <c r="O1608">
        <v>4630</v>
      </c>
      <c r="P1608">
        <v>1648.6</v>
      </c>
      <c r="Q1608" s="1">
        <v>741.35</v>
      </c>
      <c r="R1608" s="1" t="str">
        <v/>
      </c>
      <c r="S1608" s="3">
        <v>9.2767734720756279E-2</v>
      </c>
      <c r="T1608" s="3">
        <v>0</v>
      </c>
    </row>
    <row r="1609" spans="1:20" x14ac:dyDescent="0.25">
      <c r="A1609" t="s">
        <v>78</v>
      </c>
      <c r="B1609" t="s">
        <v>79</v>
      </c>
      <c r="C1609" t="s">
        <v>3417</v>
      </c>
      <c r="D1609" t="s">
        <v>3418</v>
      </c>
      <c r="E1609">
        <v>30.07</v>
      </c>
      <c r="F1609">
        <v>30.43</v>
      </c>
      <c r="G1609">
        <v>33.07</v>
      </c>
      <c r="H1609">
        <v>29.73</v>
      </c>
      <c r="I1609" s="1">
        <v>33.07</v>
      </c>
      <c r="J1609">
        <v>29471946.920000002</v>
      </c>
      <c r="K1609">
        <v>898381</v>
      </c>
      <c r="L1609" t="s">
        <v>78</v>
      </c>
      <c r="M1609" t="s">
        <v>17</v>
      </c>
      <c r="N1609">
        <v>1856</v>
      </c>
      <c r="O1609">
        <v>40.450000000000003</v>
      </c>
      <c r="P1609">
        <v>20.149999999999999</v>
      </c>
      <c r="Q1609" s="1">
        <v>64.75</v>
      </c>
      <c r="R1609" s="1">
        <v>57</v>
      </c>
      <c r="S1609" s="3">
        <v>-5.445354983070283E-2</v>
      </c>
      <c r="T1609" s="3">
        <v>-2.683957086168387E-2</v>
      </c>
    </row>
    <row r="1610" spans="1:20" x14ac:dyDescent="0.25">
      <c r="A1610" t="s">
        <v>78</v>
      </c>
      <c r="B1610" t="s">
        <v>79</v>
      </c>
      <c r="C1610" t="s">
        <v>2305</v>
      </c>
      <c r="D1610" t="s">
        <v>2306</v>
      </c>
      <c r="E1610">
        <v>239.7</v>
      </c>
      <c r="F1610">
        <v>240.85</v>
      </c>
      <c r="G1610">
        <v>241.3</v>
      </c>
      <c r="H1610">
        <v>233.75</v>
      </c>
      <c r="I1610" s="1">
        <v>236.35</v>
      </c>
      <c r="J1610">
        <v>25725735.449999999</v>
      </c>
      <c r="K1610">
        <v>108395</v>
      </c>
      <c r="L1610" t="s">
        <v>78</v>
      </c>
      <c r="M1610" t="s">
        <v>17</v>
      </c>
      <c r="N1610">
        <v>5819</v>
      </c>
      <c r="O1610">
        <v>305</v>
      </c>
      <c r="P1610">
        <v>190.35</v>
      </c>
      <c r="Q1610" s="1">
        <v>1100.75</v>
      </c>
      <c r="R1610" s="1">
        <v>632.65</v>
      </c>
      <c r="S1610" s="3">
        <v>-0.12032501411285423</v>
      </c>
      <c r="T1610" s="3">
        <v>-4.8012351749725957E-2</v>
      </c>
    </row>
    <row r="1611" spans="1:20" x14ac:dyDescent="0.25">
      <c r="A1611" t="s">
        <v>78</v>
      </c>
      <c r="B1611" t="s">
        <v>79</v>
      </c>
      <c r="C1611" t="s">
        <v>5495</v>
      </c>
      <c r="D1611" t="s">
        <v>5494</v>
      </c>
      <c r="E1611">
        <v>87.41</v>
      </c>
      <c r="F1611">
        <v>89.1</v>
      </c>
      <c r="G1611">
        <v>89.1</v>
      </c>
      <c r="H1611">
        <v>75.12</v>
      </c>
      <c r="I1611" s="1">
        <v>78.569999999999993</v>
      </c>
      <c r="J1611">
        <v>27429003.109999999</v>
      </c>
      <c r="K1611">
        <v>346093</v>
      </c>
      <c r="L1611" t="s">
        <v>78</v>
      </c>
      <c r="M1611" t="s">
        <v>17</v>
      </c>
      <c r="N1611">
        <v>2216</v>
      </c>
      <c r="O1611">
        <v>134.30000000000001</v>
      </c>
      <c r="P1611">
        <v>75.12</v>
      </c>
      <c r="Q1611" s="1" t="str">
        <v/>
      </c>
      <c r="R1611" s="1" t="str">
        <v/>
      </c>
      <c r="S1611" s="3">
        <v>0</v>
      </c>
      <c r="T1611" s="3">
        <v>0</v>
      </c>
    </row>
    <row r="1612" spans="1:20" x14ac:dyDescent="0.25">
      <c r="A1612" t="s">
        <v>78</v>
      </c>
      <c r="B1612" t="s">
        <v>287</v>
      </c>
      <c r="C1612" t="s">
        <v>5493</v>
      </c>
      <c r="D1612" t="s">
        <v>5492</v>
      </c>
      <c r="E1612">
        <v>23</v>
      </c>
      <c r="F1612">
        <v>22.3</v>
      </c>
      <c r="G1612">
        <v>24</v>
      </c>
      <c r="H1612">
        <v>22</v>
      </c>
      <c r="I1612" s="1">
        <v>23.5</v>
      </c>
      <c r="J1612">
        <v>1963400</v>
      </c>
      <c r="K1612">
        <v>84000</v>
      </c>
      <c r="L1612" t="s">
        <v>78</v>
      </c>
      <c r="M1612" t="s">
        <v>17</v>
      </c>
      <c r="N1612">
        <v>21</v>
      </c>
      <c r="O1612">
        <v>35.4</v>
      </c>
      <c r="P1612">
        <v>18.2</v>
      </c>
      <c r="Q1612" s="1" t="str">
        <v/>
      </c>
      <c r="R1612" s="1" t="str">
        <v/>
      </c>
      <c r="S1612" s="3">
        <v>0</v>
      </c>
      <c r="T1612" s="3">
        <v>0</v>
      </c>
    </row>
    <row r="1613" spans="1:20" x14ac:dyDescent="0.25">
      <c r="A1613" t="s">
        <v>78</v>
      </c>
      <c r="B1613" t="s">
        <v>287</v>
      </c>
      <c r="C1613" t="s">
        <v>5491</v>
      </c>
      <c r="D1613" t="s">
        <v>5490</v>
      </c>
      <c r="E1613">
        <v>1619.3</v>
      </c>
      <c r="F1613">
        <v>1639.95</v>
      </c>
      <c r="G1613">
        <v>1680</v>
      </c>
      <c r="H1613">
        <v>1568</v>
      </c>
      <c r="I1613" s="1">
        <v>1576.05</v>
      </c>
      <c r="J1613">
        <v>30150450</v>
      </c>
      <c r="K1613">
        <v>18500</v>
      </c>
      <c r="L1613" t="s">
        <v>78</v>
      </c>
      <c r="M1613" t="s">
        <v>17</v>
      </c>
      <c r="N1613">
        <v>66</v>
      </c>
      <c r="O1613">
        <v>1861.4</v>
      </c>
      <c r="P1613">
        <v>136.05000000000001</v>
      </c>
      <c r="Q1613" s="1" t="str">
        <v/>
      </c>
      <c r="R1613" s="1" t="str">
        <v/>
      </c>
      <c r="S1613" s="3">
        <v>0</v>
      </c>
      <c r="T1613" s="3">
        <v>0</v>
      </c>
    </row>
    <row r="1614" spans="1:20" x14ac:dyDescent="0.25">
      <c r="A1614" t="s">
        <v>78</v>
      </c>
      <c r="B1614" t="s">
        <v>79</v>
      </c>
      <c r="C1614" t="s">
        <v>5489</v>
      </c>
      <c r="D1614" t="s">
        <v>5488</v>
      </c>
      <c r="E1614">
        <v>406.35</v>
      </c>
      <c r="F1614">
        <v>408.5</v>
      </c>
      <c r="G1614">
        <v>409.75</v>
      </c>
      <c r="H1614">
        <v>396.1</v>
      </c>
      <c r="I1614" s="1">
        <v>399.3</v>
      </c>
      <c r="J1614">
        <v>4157736.75</v>
      </c>
      <c r="K1614">
        <v>10341</v>
      </c>
      <c r="L1614" t="s">
        <v>78</v>
      </c>
      <c r="M1614" t="s">
        <v>17</v>
      </c>
      <c r="N1614">
        <v>680</v>
      </c>
      <c r="O1614">
        <v>484.1</v>
      </c>
      <c r="P1614">
        <v>325.05</v>
      </c>
      <c r="Q1614" s="1" t="str">
        <v/>
      </c>
      <c r="R1614" s="1" t="str">
        <v/>
      </c>
      <c r="S1614" s="3">
        <v>0</v>
      </c>
      <c r="T1614" s="3">
        <v>0</v>
      </c>
    </row>
    <row r="1615" spans="1:20" x14ac:dyDescent="0.25">
      <c r="A1615" t="s">
        <v>78</v>
      </c>
      <c r="B1615" t="s">
        <v>287</v>
      </c>
      <c r="C1615" t="s">
        <v>5487</v>
      </c>
      <c r="D1615" t="s">
        <v>5486</v>
      </c>
      <c r="E1615">
        <v>87.65</v>
      </c>
      <c r="F1615">
        <v>86.25</v>
      </c>
      <c r="G1615">
        <v>87.5</v>
      </c>
      <c r="H1615">
        <v>85.75</v>
      </c>
      <c r="I1615" s="1">
        <v>86.05</v>
      </c>
      <c r="J1615">
        <v>898360</v>
      </c>
      <c r="K1615">
        <v>10400</v>
      </c>
      <c r="L1615" t="s">
        <v>78</v>
      </c>
      <c r="M1615" t="s">
        <v>17</v>
      </c>
      <c r="N1615">
        <v>13</v>
      </c>
      <c r="O1615">
        <v>185</v>
      </c>
      <c r="P1615">
        <v>76</v>
      </c>
      <c r="Q1615" s="1" t="str">
        <v/>
      </c>
      <c r="R1615" s="1" t="str">
        <v/>
      </c>
      <c r="S1615" s="3">
        <v>0</v>
      </c>
      <c r="T1615" s="3">
        <v>0</v>
      </c>
    </row>
    <row r="1616" spans="1:20" x14ac:dyDescent="0.25">
      <c r="A1616" t="s">
        <v>78</v>
      </c>
      <c r="B1616" t="s">
        <v>79</v>
      </c>
      <c r="C1616" t="s">
        <v>2307</v>
      </c>
      <c r="D1616" t="s">
        <v>2308</v>
      </c>
      <c r="E1616">
        <v>150.99</v>
      </c>
      <c r="F1616">
        <v>150.80000000000001</v>
      </c>
      <c r="G1616">
        <v>150.80000000000001</v>
      </c>
      <c r="H1616">
        <v>146.69999999999999</v>
      </c>
      <c r="I1616" s="1">
        <v>147.88999999999999</v>
      </c>
      <c r="J1616">
        <v>3625788078.8600001</v>
      </c>
      <c r="K1616">
        <v>24504144</v>
      </c>
      <c r="L1616" t="s">
        <v>78</v>
      </c>
      <c r="M1616" t="s">
        <v>17</v>
      </c>
      <c r="N1616">
        <v>105200</v>
      </c>
      <c r="O1616">
        <v>175.35</v>
      </c>
      <c r="P1616">
        <v>81.8</v>
      </c>
      <c r="Q1616" s="1">
        <v>124.65</v>
      </c>
      <c r="R1616" s="1">
        <v>44.3</v>
      </c>
      <c r="S1616" s="3">
        <v>1.4348544833695964E-2</v>
      </c>
      <c r="T1616" s="3">
        <v>6.2092687081197084E-2</v>
      </c>
    </row>
    <row r="1617" spans="1:20" x14ac:dyDescent="0.25">
      <c r="A1617" t="s">
        <v>78</v>
      </c>
      <c r="B1617" t="s">
        <v>79</v>
      </c>
      <c r="C1617" t="s">
        <v>2309</v>
      </c>
      <c r="D1617" t="s">
        <v>2310</v>
      </c>
      <c r="E1617">
        <v>333.65</v>
      </c>
      <c r="F1617">
        <v>330.6</v>
      </c>
      <c r="G1617">
        <v>374.5</v>
      </c>
      <c r="H1617">
        <v>327.5</v>
      </c>
      <c r="I1617" s="1">
        <v>356.1</v>
      </c>
      <c r="J1617">
        <v>27073305.300000001</v>
      </c>
      <c r="K1617">
        <v>76726</v>
      </c>
      <c r="L1617" t="s">
        <v>78</v>
      </c>
      <c r="M1617" t="s">
        <v>17</v>
      </c>
      <c r="N1617">
        <v>3194</v>
      </c>
      <c r="O1617">
        <v>479</v>
      </c>
      <c r="P1617">
        <v>236</v>
      </c>
      <c r="Q1617" s="1">
        <v>172.8</v>
      </c>
      <c r="R1617" s="1">
        <v>55.45</v>
      </c>
      <c r="S1617" s="3">
        <v>6.2108830492723976E-2</v>
      </c>
      <c r="T1617" s="3">
        <v>9.7391028332419305E-2</v>
      </c>
    </row>
    <row r="1618" spans="1:20" x14ac:dyDescent="0.25">
      <c r="A1618" t="s">
        <v>78</v>
      </c>
      <c r="B1618" t="s">
        <v>79</v>
      </c>
      <c r="C1618" t="s">
        <v>3419</v>
      </c>
      <c r="D1618" t="s">
        <v>5485</v>
      </c>
      <c r="E1618">
        <v>39.61</v>
      </c>
      <c r="F1618">
        <v>39.5</v>
      </c>
      <c r="G1618">
        <v>39.64</v>
      </c>
      <c r="H1618">
        <v>38.200000000000003</v>
      </c>
      <c r="I1618" s="1">
        <v>38.51</v>
      </c>
      <c r="J1618">
        <v>22094945.420000002</v>
      </c>
      <c r="K1618">
        <v>568071</v>
      </c>
      <c r="L1618" t="s">
        <v>78</v>
      </c>
      <c r="M1618" t="s">
        <v>17</v>
      </c>
      <c r="N1618">
        <v>3980</v>
      </c>
      <c r="O1618">
        <v>46.75</v>
      </c>
      <c r="P1618">
        <v>23.9</v>
      </c>
      <c r="Q1618" s="1">
        <v>18.2</v>
      </c>
      <c r="R1618" s="1">
        <v>8.6</v>
      </c>
      <c r="S1618" s="3">
        <v>6.4449782468021688E-2</v>
      </c>
      <c r="T1618" s="3">
        <v>7.779440671135851E-2</v>
      </c>
    </row>
    <row r="1619" spans="1:20" x14ac:dyDescent="0.25">
      <c r="A1619" t="s">
        <v>78</v>
      </c>
      <c r="B1619" t="s">
        <v>79</v>
      </c>
      <c r="C1619" t="s">
        <v>2311</v>
      </c>
      <c r="D1619" t="s">
        <v>2312</v>
      </c>
      <c r="E1619">
        <v>308.89999999999998</v>
      </c>
      <c r="F1619">
        <v>309</v>
      </c>
      <c r="G1619">
        <v>309.39999999999998</v>
      </c>
      <c r="H1619">
        <v>294</v>
      </c>
      <c r="I1619" s="1">
        <v>298.39999999999998</v>
      </c>
      <c r="J1619">
        <v>142486299.30000001</v>
      </c>
      <c r="K1619">
        <v>476446</v>
      </c>
      <c r="L1619" t="s">
        <v>78</v>
      </c>
      <c r="M1619" t="s">
        <v>17</v>
      </c>
      <c r="N1619">
        <v>23463</v>
      </c>
      <c r="O1619">
        <v>402.2</v>
      </c>
      <c r="P1619">
        <v>209.95</v>
      </c>
      <c r="Q1619" s="1">
        <v>669</v>
      </c>
      <c r="R1619" s="1">
        <v>284.10000000000002</v>
      </c>
      <c r="S1619" s="3">
        <v>-6.5065774583964453E-2</v>
      </c>
      <c r="T1619" s="3">
        <v>2.4570979993765452E-3</v>
      </c>
    </row>
    <row r="1620" spans="1:20" x14ac:dyDescent="0.25">
      <c r="A1620" t="s">
        <v>78</v>
      </c>
      <c r="B1620" t="s">
        <v>79</v>
      </c>
      <c r="C1620" t="s">
        <v>2313</v>
      </c>
      <c r="D1620" t="s">
        <v>2314</v>
      </c>
      <c r="E1620">
        <v>31.05</v>
      </c>
      <c r="F1620">
        <v>31.3</v>
      </c>
      <c r="G1620">
        <v>31.3</v>
      </c>
      <c r="H1620">
        <v>30.3</v>
      </c>
      <c r="I1620" s="1">
        <v>30.41</v>
      </c>
      <c r="J1620">
        <v>107172468.34</v>
      </c>
      <c r="K1620">
        <v>3499238</v>
      </c>
      <c r="L1620" t="s">
        <v>78</v>
      </c>
      <c r="M1620" t="s">
        <v>17</v>
      </c>
      <c r="N1620">
        <v>10809</v>
      </c>
      <c r="O1620">
        <v>39.29</v>
      </c>
      <c r="P1620">
        <v>21.4</v>
      </c>
      <c r="Q1620" s="1">
        <v>13.3</v>
      </c>
      <c r="R1620" s="1">
        <v>15</v>
      </c>
      <c r="S1620" s="3">
        <v>7.1347593115506758E-2</v>
      </c>
      <c r="T1620" s="3">
        <v>3.5947755390106195E-2</v>
      </c>
    </row>
    <row r="1621" spans="1:20" x14ac:dyDescent="0.25">
      <c r="A1621" t="s">
        <v>78</v>
      </c>
      <c r="B1621" t="s">
        <v>79</v>
      </c>
      <c r="C1621" t="s">
        <v>2315</v>
      </c>
      <c r="D1621" t="s">
        <v>2316</v>
      </c>
      <c r="E1621">
        <v>18.23</v>
      </c>
      <c r="F1621">
        <v>18.21</v>
      </c>
      <c r="G1621">
        <v>18.27</v>
      </c>
      <c r="H1621">
        <v>17.66</v>
      </c>
      <c r="I1621" s="1">
        <v>17.87</v>
      </c>
      <c r="J1621">
        <v>83100727.030000001</v>
      </c>
      <c r="K1621">
        <v>4616099</v>
      </c>
      <c r="L1621" t="s">
        <v>78</v>
      </c>
      <c r="M1621" t="s">
        <v>17</v>
      </c>
      <c r="N1621">
        <v>14479</v>
      </c>
      <c r="O1621">
        <v>139.94999999999999</v>
      </c>
      <c r="P1621">
        <v>17.66</v>
      </c>
      <c r="Q1621" s="1">
        <v>335.55</v>
      </c>
      <c r="R1621" s="1">
        <v>139</v>
      </c>
      <c r="S1621" s="3">
        <v>-0.21681575483912074</v>
      </c>
      <c r="T1621" s="3">
        <v>-9.7432103106540158E-2</v>
      </c>
    </row>
    <row r="1622" spans="1:20" x14ac:dyDescent="0.25">
      <c r="A1622" t="s">
        <v>78</v>
      </c>
      <c r="B1622" t="s">
        <v>79</v>
      </c>
      <c r="C1622" t="s">
        <v>2317</v>
      </c>
      <c r="D1622" t="s">
        <v>2318</v>
      </c>
      <c r="E1622">
        <v>307.05</v>
      </c>
      <c r="F1622">
        <v>306.85000000000002</v>
      </c>
      <c r="G1622">
        <v>306.85000000000002</v>
      </c>
      <c r="H1622">
        <v>298</v>
      </c>
      <c r="I1622" s="1">
        <v>300.35000000000002</v>
      </c>
      <c r="J1622">
        <v>198397.25</v>
      </c>
      <c r="K1622">
        <v>660</v>
      </c>
      <c r="L1622" t="s">
        <v>78</v>
      </c>
      <c r="M1622" t="s">
        <v>17</v>
      </c>
      <c r="N1622">
        <v>98</v>
      </c>
      <c r="O1622">
        <v>357</v>
      </c>
      <c r="P1622">
        <v>251.35</v>
      </c>
      <c r="Q1622" s="1">
        <v>177.1</v>
      </c>
      <c r="R1622" s="1">
        <v>68.3</v>
      </c>
      <c r="S1622" s="3">
        <v>4.5002724972208252E-2</v>
      </c>
      <c r="T1622" s="3">
        <v>7.6819060224860403E-2</v>
      </c>
    </row>
    <row r="1623" spans="1:20" x14ac:dyDescent="0.25">
      <c r="A1623" t="s">
        <v>78</v>
      </c>
      <c r="B1623" t="s">
        <v>79</v>
      </c>
      <c r="C1623" t="s">
        <v>2319</v>
      </c>
      <c r="D1623" t="s">
        <v>2320</v>
      </c>
      <c r="E1623">
        <v>914.9</v>
      </c>
      <c r="F1623">
        <v>919.7</v>
      </c>
      <c r="G1623">
        <v>919.7</v>
      </c>
      <c r="H1623">
        <v>882.65</v>
      </c>
      <c r="I1623" s="1">
        <v>887.9</v>
      </c>
      <c r="J1623">
        <v>98405363.700000003</v>
      </c>
      <c r="K1623">
        <v>109430</v>
      </c>
      <c r="L1623" t="s">
        <v>78</v>
      </c>
      <c r="M1623" t="s">
        <v>17</v>
      </c>
      <c r="N1623">
        <v>8818</v>
      </c>
      <c r="O1623">
        <v>965.95</v>
      </c>
      <c r="P1623">
        <v>315.25</v>
      </c>
      <c r="Q1623" s="1">
        <v>173</v>
      </c>
      <c r="R1623" s="1">
        <v>115.3</v>
      </c>
      <c r="S1623" s="3">
        <v>0.14602254872969</v>
      </c>
      <c r="T1623" s="3">
        <v>0.10739475474316107</v>
      </c>
    </row>
    <row r="1624" spans="1:20" x14ac:dyDescent="0.25">
      <c r="A1624" t="s">
        <v>78</v>
      </c>
      <c r="B1624" t="s">
        <v>79</v>
      </c>
      <c r="C1624" t="s">
        <v>3423</v>
      </c>
      <c r="D1624" t="s">
        <v>3424</v>
      </c>
      <c r="E1624">
        <v>5.15</v>
      </c>
      <c r="F1624">
        <v>5.19</v>
      </c>
      <c r="G1624">
        <v>5.19</v>
      </c>
      <c r="H1624">
        <v>4.92</v>
      </c>
      <c r="I1624" s="1">
        <v>4.9800000000000004</v>
      </c>
      <c r="J1624">
        <v>776245.58</v>
      </c>
      <c r="K1624">
        <v>155041</v>
      </c>
      <c r="L1624" t="s">
        <v>78</v>
      </c>
      <c r="M1624" t="s">
        <v>17</v>
      </c>
      <c r="N1624">
        <v>309</v>
      </c>
      <c r="O1624">
        <v>6.45</v>
      </c>
      <c r="P1624">
        <v>2.9</v>
      </c>
      <c r="Q1624" s="1">
        <v>3.75</v>
      </c>
      <c r="R1624" s="1">
        <v>3.3</v>
      </c>
      <c r="S1624" s="3">
        <v>2.3921132137830536E-2</v>
      </c>
      <c r="T1624" s="3">
        <v>2.0777001143170049E-2</v>
      </c>
    </row>
    <row r="1625" spans="1:20" x14ac:dyDescent="0.25">
      <c r="A1625" t="s">
        <v>78</v>
      </c>
      <c r="B1625" t="s">
        <v>79</v>
      </c>
      <c r="C1625" t="s">
        <v>5484</v>
      </c>
      <c r="D1625" t="s">
        <v>5483</v>
      </c>
      <c r="E1625">
        <v>179.7</v>
      </c>
      <c r="F1625">
        <v>179.99</v>
      </c>
      <c r="G1625">
        <v>185</v>
      </c>
      <c r="H1625">
        <v>175.77</v>
      </c>
      <c r="I1625" s="1">
        <v>177.06</v>
      </c>
      <c r="J1625">
        <v>142022016.31999999</v>
      </c>
      <c r="K1625">
        <v>799571</v>
      </c>
      <c r="L1625" t="s">
        <v>78</v>
      </c>
      <c r="M1625" t="s">
        <v>17</v>
      </c>
      <c r="N1625">
        <v>25033</v>
      </c>
      <c r="O1625">
        <v>237.85</v>
      </c>
      <c r="P1625">
        <v>127.25</v>
      </c>
      <c r="Q1625" s="1" t="str">
        <v/>
      </c>
      <c r="R1625" s="1" t="str">
        <v/>
      </c>
      <c r="S1625" s="3">
        <v>0</v>
      </c>
      <c r="T1625" s="3">
        <v>0</v>
      </c>
    </row>
    <row r="1626" spans="1:20" x14ac:dyDescent="0.25">
      <c r="A1626" t="s">
        <v>78</v>
      </c>
      <c r="B1626" t="s">
        <v>79</v>
      </c>
      <c r="C1626" t="s">
        <v>2321</v>
      </c>
      <c r="D1626" t="s">
        <v>2322</v>
      </c>
      <c r="E1626">
        <v>1601.65</v>
      </c>
      <c r="F1626">
        <v>1601.65</v>
      </c>
      <c r="G1626">
        <v>1631.7</v>
      </c>
      <c r="H1626">
        <v>1559.6</v>
      </c>
      <c r="I1626" s="1">
        <v>1587.9</v>
      </c>
      <c r="J1626">
        <v>9202214.9000000004</v>
      </c>
      <c r="K1626">
        <v>5780</v>
      </c>
      <c r="L1626" t="s">
        <v>78</v>
      </c>
      <c r="M1626" t="s">
        <v>17</v>
      </c>
      <c r="N1626">
        <v>1740</v>
      </c>
      <c r="O1626">
        <v>1776.6</v>
      </c>
      <c r="P1626">
        <v>937.55</v>
      </c>
      <c r="Q1626" s="1">
        <v>932</v>
      </c>
      <c r="R1626" s="1">
        <v>635.35</v>
      </c>
      <c r="S1626" s="3">
        <v>4.5403467709604906E-2</v>
      </c>
      <c r="T1626" s="3">
        <v>4.6838322350902351E-2</v>
      </c>
    </row>
    <row r="1627" spans="1:20" x14ac:dyDescent="0.25">
      <c r="A1627" t="s">
        <v>78</v>
      </c>
      <c r="B1627" t="s">
        <v>79</v>
      </c>
      <c r="C1627" t="s">
        <v>2323</v>
      </c>
      <c r="D1627" t="s">
        <v>2324</v>
      </c>
      <c r="E1627">
        <v>606.45000000000005</v>
      </c>
      <c r="F1627">
        <v>606.45000000000005</v>
      </c>
      <c r="G1627">
        <v>609.5</v>
      </c>
      <c r="H1627">
        <v>591.04999999999995</v>
      </c>
      <c r="I1627" s="1">
        <v>594.70000000000005</v>
      </c>
      <c r="J1627">
        <v>62499850.75</v>
      </c>
      <c r="K1627">
        <v>104350</v>
      </c>
      <c r="L1627" t="s">
        <v>78</v>
      </c>
      <c r="M1627" t="s">
        <v>17</v>
      </c>
      <c r="N1627">
        <v>6631</v>
      </c>
      <c r="O1627">
        <v>628.9</v>
      </c>
      <c r="P1627">
        <v>343.8</v>
      </c>
      <c r="Q1627" s="1">
        <v>295.05</v>
      </c>
      <c r="R1627" s="1">
        <v>251</v>
      </c>
      <c r="S1627" s="3">
        <v>6.0148882660116865E-2</v>
      </c>
      <c r="T1627" s="3">
        <v>4.4049170813235783E-2</v>
      </c>
    </row>
    <row r="1628" spans="1:20" x14ac:dyDescent="0.25">
      <c r="A1628" t="s">
        <v>78</v>
      </c>
      <c r="B1628" t="s">
        <v>79</v>
      </c>
      <c r="C1628" t="s">
        <v>5482</v>
      </c>
      <c r="D1628" t="s">
        <v>5481</v>
      </c>
      <c r="E1628">
        <v>553.65</v>
      </c>
      <c r="F1628">
        <v>553.65</v>
      </c>
      <c r="G1628">
        <v>554.15</v>
      </c>
      <c r="H1628">
        <v>528</v>
      </c>
      <c r="I1628" s="1">
        <v>530.1</v>
      </c>
      <c r="J1628">
        <v>95415029.849999994</v>
      </c>
      <c r="K1628">
        <v>177783</v>
      </c>
      <c r="L1628" t="s">
        <v>78</v>
      </c>
      <c r="M1628" t="s">
        <v>17</v>
      </c>
      <c r="N1628">
        <v>7267</v>
      </c>
      <c r="O1628">
        <v>3492.45</v>
      </c>
      <c r="P1628">
        <v>330</v>
      </c>
      <c r="Q1628" s="1" t="str">
        <v/>
      </c>
      <c r="R1628" s="1" t="str">
        <v/>
      </c>
      <c r="S1628" s="3">
        <v>0</v>
      </c>
      <c r="T1628" s="3">
        <v>0</v>
      </c>
    </row>
    <row r="1629" spans="1:20" x14ac:dyDescent="0.25">
      <c r="A1629" t="s">
        <v>78</v>
      </c>
      <c r="B1629" t="s">
        <v>79</v>
      </c>
      <c r="C1629" t="s">
        <v>2325</v>
      </c>
      <c r="D1629" t="s">
        <v>2326</v>
      </c>
      <c r="E1629">
        <v>406.55</v>
      </c>
      <c r="F1629">
        <v>405</v>
      </c>
      <c r="G1629">
        <v>408.7</v>
      </c>
      <c r="H1629">
        <v>392.15</v>
      </c>
      <c r="I1629" s="1">
        <v>396.1</v>
      </c>
      <c r="J1629">
        <v>8962053.9499999993</v>
      </c>
      <c r="K1629">
        <v>22384</v>
      </c>
      <c r="L1629" t="s">
        <v>78</v>
      </c>
      <c r="M1629" t="s">
        <v>17</v>
      </c>
      <c r="N1629">
        <v>2065</v>
      </c>
      <c r="O1629">
        <v>629.95000000000005</v>
      </c>
      <c r="P1629">
        <v>273.75</v>
      </c>
      <c r="Q1629" s="1">
        <v>134.44999999999999</v>
      </c>
      <c r="R1629" s="1">
        <v>41.05</v>
      </c>
      <c r="S1629" s="3">
        <v>9.4217533796590702E-2</v>
      </c>
      <c r="T1629" s="3">
        <v>0.11994740150297645</v>
      </c>
    </row>
    <row r="1630" spans="1:20" x14ac:dyDescent="0.25">
      <c r="A1630" t="s">
        <v>78</v>
      </c>
      <c r="B1630" t="s">
        <v>287</v>
      </c>
      <c r="C1630" t="s">
        <v>5480</v>
      </c>
      <c r="D1630" t="s">
        <v>5479</v>
      </c>
      <c r="E1630">
        <v>45.5</v>
      </c>
      <c r="F1630">
        <v>46</v>
      </c>
      <c r="G1630">
        <v>46</v>
      </c>
      <c r="H1630">
        <v>45.5</v>
      </c>
      <c r="I1630" s="1">
        <v>45.5</v>
      </c>
      <c r="J1630">
        <v>274500</v>
      </c>
      <c r="K1630">
        <v>6000</v>
      </c>
      <c r="L1630" t="s">
        <v>78</v>
      </c>
      <c r="M1630" t="s">
        <v>17</v>
      </c>
      <c r="N1630">
        <v>2</v>
      </c>
      <c r="O1630">
        <v>49.65</v>
      </c>
      <c r="P1630">
        <v>36</v>
      </c>
      <c r="Q1630" s="1" t="str">
        <v/>
      </c>
      <c r="R1630" s="1" t="str">
        <v/>
      </c>
      <c r="S1630" s="3">
        <v>0</v>
      </c>
      <c r="T1630" s="3">
        <v>0</v>
      </c>
    </row>
    <row r="1631" spans="1:20" x14ac:dyDescent="0.25">
      <c r="A1631" t="s">
        <v>78</v>
      </c>
      <c r="B1631" t="s">
        <v>79</v>
      </c>
      <c r="C1631" t="s">
        <v>2327</v>
      </c>
      <c r="D1631" t="s">
        <v>2328</v>
      </c>
      <c r="E1631">
        <v>100.16</v>
      </c>
      <c r="F1631">
        <v>101.75</v>
      </c>
      <c r="G1631">
        <v>102.25</v>
      </c>
      <c r="H1631">
        <v>98.05</v>
      </c>
      <c r="I1631" s="1">
        <v>98.37</v>
      </c>
      <c r="J1631">
        <v>132685953.95999999</v>
      </c>
      <c r="K1631">
        <v>1327571</v>
      </c>
      <c r="L1631" t="s">
        <v>78</v>
      </c>
      <c r="M1631" t="s">
        <v>17</v>
      </c>
      <c r="N1631">
        <v>10864</v>
      </c>
      <c r="O1631">
        <v>112.62</v>
      </c>
      <c r="P1631">
        <v>84.1</v>
      </c>
      <c r="Q1631" s="1">
        <v>58.65</v>
      </c>
      <c r="R1631" s="1">
        <v>62.1</v>
      </c>
      <c r="S1631" s="3">
        <v>4.4037796172439414E-2</v>
      </c>
      <c r="T1631" s="3">
        <v>2.325313378754057E-2</v>
      </c>
    </row>
    <row r="1632" spans="1:20" x14ac:dyDescent="0.25">
      <c r="A1632" t="s">
        <v>78</v>
      </c>
      <c r="B1632" t="s">
        <v>79</v>
      </c>
      <c r="C1632" t="s">
        <v>2329</v>
      </c>
      <c r="D1632" t="s">
        <v>2330</v>
      </c>
      <c r="E1632">
        <v>1093.2</v>
      </c>
      <c r="F1632">
        <v>1092.5</v>
      </c>
      <c r="G1632">
        <v>1098.5</v>
      </c>
      <c r="H1632">
        <v>1050.05</v>
      </c>
      <c r="I1632" s="1">
        <v>1075.2</v>
      </c>
      <c r="J1632">
        <v>225986435.94999999</v>
      </c>
      <c r="K1632">
        <v>211341</v>
      </c>
      <c r="L1632" t="s">
        <v>78</v>
      </c>
      <c r="M1632" t="s">
        <v>17</v>
      </c>
      <c r="N1632">
        <v>18326</v>
      </c>
      <c r="O1632">
        <v>1494.95</v>
      </c>
      <c r="P1632">
        <v>553.65</v>
      </c>
      <c r="Q1632" s="1">
        <v>189</v>
      </c>
      <c r="R1632" s="1">
        <v>105</v>
      </c>
      <c r="S1632" s="3">
        <v>0.15589651486004796</v>
      </c>
      <c r="T1632" s="3">
        <v>0.12327820811051327</v>
      </c>
    </row>
    <row r="1633" spans="1:20" x14ac:dyDescent="0.25">
      <c r="A1633" t="s">
        <v>78</v>
      </c>
      <c r="B1633" t="s">
        <v>79</v>
      </c>
      <c r="C1633" t="s">
        <v>2331</v>
      </c>
      <c r="D1633" t="s">
        <v>2332</v>
      </c>
      <c r="E1633">
        <v>18.04</v>
      </c>
      <c r="F1633">
        <v>18.04</v>
      </c>
      <c r="G1633">
        <v>18.09</v>
      </c>
      <c r="H1633">
        <v>17.75</v>
      </c>
      <c r="I1633" s="1">
        <v>17.829999999999998</v>
      </c>
      <c r="J1633">
        <v>2160900.23</v>
      </c>
      <c r="K1633">
        <v>120596</v>
      </c>
      <c r="L1633" t="s">
        <v>78</v>
      </c>
      <c r="M1633" t="s">
        <v>17</v>
      </c>
      <c r="N1633">
        <v>500</v>
      </c>
      <c r="O1633">
        <v>44.45</v>
      </c>
      <c r="P1633">
        <v>14.95</v>
      </c>
      <c r="Q1633" s="1">
        <v>31.4</v>
      </c>
      <c r="R1633" s="1">
        <v>75.25</v>
      </c>
      <c r="S1633" s="3">
        <v>-4.6065678304398561E-2</v>
      </c>
      <c r="T1633" s="3">
        <v>-6.942931845290734E-2</v>
      </c>
    </row>
    <row r="1634" spans="1:20" x14ac:dyDescent="0.25">
      <c r="A1634" t="s">
        <v>78</v>
      </c>
      <c r="B1634" t="s">
        <v>79</v>
      </c>
      <c r="C1634" t="s">
        <v>2333</v>
      </c>
      <c r="D1634" t="s">
        <v>2334</v>
      </c>
      <c r="E1634">
        <v>6382.95</v>
      </c>
      <c r="F1634">
        <v>6446.8</v>
      </c>
      <c r="G1634">
        <v>6464</v>
      </c>
      <c r="H1634">
        <v>6300</v>
      </c>
      <c r="I1634" s="1">
        <v>6345.15</v>
      </c>
      <c r="J1634">
        <v>109516359.75</v>
      </c>
      <c r="K1634">
        <v>17189</v>
      </c>
      <c r="L1634" t="s">
        <v>78</v>
      </c>
      <c r="M1634" t="s">
        <v>17</v>
      </c>
      <c r="N1634">
        <v>4679</v>
      </c>
      <c r="O1634">
        <v>7539.6</v>
      </c>
      <c r="P1634">
        <v>5892.8</v>
      </c>
      <c r="Q1634" s="1">
        <v>7942</v>
      </c>
      <c r="R1634" s="1">
        <v>5908.05</v>
      </c>
      <c r="S1634" s="3">
        <v>-1.8532324186485982E-2</v>
      </c>
      <c r="T1634" s="3">
        <v>3.573159854117991E-3</v>
      </c>
    </row>
    <row r="1635" spans="1:20" x14ac:dyDescent="0.25">
      <c r="A1635" t="s">
        <v>78</v>
      </c>
      <c r="B1635" t="s">
        <v>79</v>
      </c>
      <c r="C1635" t="s">
        <v>5478</v>
      </c>
      <c r="D1635" t="s">
        <v>5477</v>
      </c>
      <c r="E1635">
        <v>1405.25</v>
      </c>
      <c r="F1635">
        <v>1400</v>
      </c>
      <c r="G1635">
        <v>1453.7</v>
      </c>
      <c r="H1635">
        <v>1373.6</v>
      </c>
      <c r="I1635" s="1">
        <v>1418.9</v>
      </c>
      <c r="J1635">
        <v>522522852.80000001</v>
      </c>
      <c r="K1635">
        <v>368510</v>
      </c>
      <c r="L1635" t="s">
        <v>78</v>
      </c>
      <c r="M1635" t="s">
        <v>17</v>
      </c>
      <c r="N1635">
        <v>45312</v>
      </c>
      <c r="O1635">
        <v>1453.7</v>
      </c>
      <c r="P1635">
        <v>820.5</v>
      </c>
      <c r="Q1635" s="1" t="str">
        <v/>
      </c>
      <c r="R1635" s="1" t="str">
        <v/>
      </c>
      <c r="S1635" s="3">
        <v>0</v>
      </c>
      <c r="T1635" s="3">
        <v>0</v>
      </c>
    </row>
    <row r="1636" spans="1:20" x14ac:dyDescent="0.25">
      <c r="A1636" t="s">
        <v>78</v>
      </c>
      <c r="B1636" t="s">
        <v>79</v>
      </c>
      <c r="C1636" t="s">
        <v>5476</v>
      </c>
      <c r="D1636" t="s">
        <v>5475</v>
      </c>
      <c r="E1636">
        <v>1550.4</v>
      </c>
      <c r="F1636">
        <v>1554.95</v>
      </c>
      <c r="G1636">
        <v>1557</v>
      </c>
      <c r="H1636">
        <v>1530.9</v>
      </c>
      <c r="I1636" s="1">
        <v>1549.15</v>
      </c>
      <c r="J1636">
        <v>318839202.05000001</v>
      </c>
      <c r="K1636">
        <v>206146</v>
      </c>
      <c r="L1636" t="s">
        <v>78</v>
      </c>
      <c r="M1636" t="s">
        <v>17</v>
      </c>
      <c r="N1636">
        <v>12377</v>
      </c>
      <c r="O1636">
        <v>1680</v>
      </c>
      <c r="P1636">
        <v>1213</v>
      </c>
      <c r="Q1636" s="1" t="str">
        <v/>
      </c>
      <c r="R1636" s="1" t="str">
        <v/>
      </c>
      <c r="S1636" s="3">
        <v>0</v>
      </c>
      <c r="T1636" s="3">
        <v>0</v>
      </c>
    </row>
    <row r="1637" spans="1:20" x14ac:dyDescent="0.25">
      <c r="A1637" t="s">
        <v>78</v>
      </c>
      <c r="B1637" t="s">
        <v>79</v>
      </c>
      <c r="C1637" t="s">
        <v>3427</v>
      </c>
      <c r="D1637" t="s">
        <v>3428</v>
      </c>
      <c r="E1637">
        <v>285.58999999999997</v>
      </c>
      <c r="F1637">
        <v>296</v>
      </c>
      <c r="G1637">
        <v>299</v>
      </c>
      <c r="H1637">
        <v>275.25</v>
      </c>
      <c r="I1637" s="1">
        <v>279.93</v>
      </c>
      <c r="J1637">
        <v>559887664.74000001</v>
      </c>
      <c r="K1637">
        <v>1936876</v>
      </c>
      <c r="L1637" t="s">
        <v>78</v>
      </c>
      <c r="M1637" t="s">
        <v>17</v>
      </c>
      <c r="N1637">
        <v>42815</v>
      </c>
      <c r="O1637">
        <v>2050</v>
      </c>
      <c r="P1637">
        <v>173.15</v>
      </c>
      <c r="Q1637" s="1">
        <v>640.1</v>
      </c>
      <c r="R1637" s="1">
        <v>181.4</v>
      </c>
      <c r="S1637" s="3">
        <v>-6.6602138777619668E-2</v>
      </c>
      <c r="T1637" s="3">
        <v>2.1916588324149888E-2</v>
      </c>
    </row>
    <row r="1638" spans="1:20" x14ac:dyDescent="0.25">
      <c r="A1638" t="s">
        <v>78</v>
      </c>
      <c r="B1638" t="s">
        <v>79</v>
      </c>
      <c r="C1638" t="s">
        <v>3429</v>
      </c>
      <c r="D1638" t="s">
        <v>3430</v>
      </c>
      <c r="E1638">
        <v>539.35</v>
      </c>
      <c r="F1638">
        <v>540</v>
      </c>
      <c r="G1638">
        <v>545.95000000000005</v>
      </c>
      <c r="H1638">
        <v>527.29999999999995</v>
      </c>
      <c r="I1638" s="1">
        <v>542.29999999999995</v>
      </c>
      <c r="J1638">
        <v>170331110.55000001</v>
      </c>
      <c r="K1638">
        <v>316793</v>
      </c>
      <c r="L1638" t="s">
        <v>78</v>
      </c>
      <c r="M1638" t="s">
        <v>17</v>
      </c>
      <c r="N1638">
        <v>26774</v>
      </c>
      <c r="O1638">
        <v>581.4</v>
      </c>
      <c r="P1638">
        <v>309.60000000000002</v>
      </c>
      <c r="Q1638" s="1">
        <v>3230</v>
      </c>
      <c r="R1638" s="1">
        <v>525.75</v>
      </c>
      <c r="S1638" s="3">
        <v>-0.13817367281187143</v>
      </c>
      <c r="T1638" s="3">
        <v>1.5500283441900464E-3</v>
      </c>
    </row>
    <row r="1639" spans="1:20" x14ac:dyDescent="0.25">
      <c r="A1639" t="s">
        <v>78</v>
      </c>
      <c r="B1639" t="s">
        <v>79</v>
      </c>
      <c r="C1639" t="s">
        <v>2335</v>
      </c>
      <c r="D1639" t="s">
        <v>2336</v>
      </c>
      <c r="E1639">
        <v>103.18</v>
      </c>
      <c r="F1639">
        <v>103.55</v>
      </c>
      <c r="G1639">
        <v>109.5</v>
      </c>
      <c r="H1639">
        <v>100.25</v>
      </c>
      <c r="I1639" s="1">
        <v>109.04</v>
      </c>
      <c r="J1639">
        <v>301496506.31999999</v>
      </c>
      <c r="K1639">
        <v>2808185</v>
      </c>
      <c r="L1639" t="s">
        <v>78</v>
      </c>
      <c r="M1639" t="s">
        <v>17</v>
      </c>
      <c r="N1639">
        <v>25199</v>
      </c>
      <c r="O1639">
        <v>113</v>
      </c>
      <c r="P1639">
        <v>44.25</v>
      </c>
      <c r="Q1639" s="1">
        <v>40.85</v>
      </c>
      <c r="R1639" s="1">
        <v>24.3</v>
      </c>
      <c r="S1639" s="3">
        <v>8.5257548275656792E-2</v>
      </c>
      <c r="T1639" s="3">
        <v>7.7906586798623279E-2</v>
      </c>
    </row>
    <row r="1640" spans="1:20" x14ac:dyDescent="0.25">
      <c r="A1640" t="s">
        <v>78</v>
      </c>
      <c r="B1640" t="s">
        <v>287</v>
      </c>
      <c r="C1640" t="s">
        <v>5474</v>
      </c>
      <c r="D1640" t="s">
        <v>5473</v>
      </c>
      <c r="E1640">
        <v>42.7</v>
      </c>
      <c r="F1640">
        <v>42.7</v>
      </c>
      <c r="G1640">
        <v>42.7</v>
      </c>
      <c r="H1640">
        <v>42.7</v>
      </c>
      <c r="I1640" s="1">
        <v>42.7</v>
      </c>
      <c r="J1640">
        <v>68320</v>
      </c>
      <c r="K1640">
        <v>1600</v>
      </c>
      <c r="L1640" t="s">
        <v>78</v>
      </c>
      <c r="M1640" t="s">
        <v>17</v>
      </c>
      <c r="N1640">
        <v>1</v>
      </c>
      <c r="O1640">
        <v>67.349999999999994</v>
      </c>
      <c r="P1640">
        <v>33.1</v>
      </c>
      <c r="Q1640" s="1" t="str">
        <v/>
      </c>
      <c r="R1640" s="1" t="str">
        <v/>
      </c>
      <c r="S1640" s="3">
        <v>0</v>
      </c>
      <c r="T1640" s="3">
        <v>0</v>
      </c>
    </row>
    <row r="1641" spans="1:20" x14ac:dyDescent="0.25">
      <c r="A1641" t="s">
        <v>78</v>
      </c>
      <c r="B1641" t="s">
        <v>287</v>
      </c>
      <c r="C1641" t="s">
        <v>5472</v>
      </c>
      <c r="D1641" t="s">
        <v>5471</v>
      </c>
      <c r="E1641">
        <v>241.7</v>
      </c>
      <c r="F1641">
        <v>243</v>
      </c>
      <c r="G1641">
        <v>250</v>
      </c>
      <c r="H1641">
        <v>240</v>
      </c>
      <c r="I1641" s="1">
        <v>240.65</v>
      </c>
      <c r="J1641">
        <v>31128450</v>
      </c>
      <c r="K1641">
        <v>127500</v>
      </c>
      <c r="L1641" t="s">
        <v>78</v>
      </c>
      <c r="M1641" t="s">
        <v>17</v>
      </c>
      <c r="N1641">
        <v>228</v>
      </c>
      <c r="O1641">
        <v>332.05</v>
      </c>
      <c r="P1641">
        <v>90.3</v>
      </c>
      <c r="Q1641" s="1" t="str">
        <v/>
      </c>
      <c r="R1641" s="1" t="str">
        <v/>
      </c>
      <c r="S1641" s="3">
        <v>0</v>
      </c>
      <c r="T1641" s="3">
        <v>0</v>
      </c>
    </row>
    <row r="1642" spans="1:20" x14ac:dyDescent="0.25">
      <c r="A1642" t="s">
        <v>78</v>
      </c>
      <c r="B1642" t="s">
        <v>79</v>
      </c>
      <c r="C1642" t="s">
        <v>5470</v>
      </c>
      <c r="D1642" t="s">
        <v>5469</v>
      </c>
      <c r="E1642">
        <v>9.39</v>
      </c>
      <c r="F1642">
        <v>9.5</v>
      </c>
      <c r="G1642">
        <v>9.64</v>
      </c>
      <c r="H1642">
        <v>8.9600000000000009</v>
      </c>
      <c r="I1642" s="1">
        <v>9.26</v>
      </c>
      <c r="J1642">
        <v>53081330.119999997</v>
      </c>
      <c r="K1642">
        <v>5719710</v>
      </c>
      <c r="L1642" t="s">
        <v>78</v>
      </c>
      <c r="M1642" t="s">
        <v>17</v>
      </c>
      <c r="N1642">
        <v>11173</v>
      </c>
      <c r="O1642">
        <v>156.9</v>
      </c>
      <c r="P1642">
        <v>4</v>
      </c>
      <c r="Q1642" s="1" t="str">
        <v/>
      </c>
      <c r="R1642" s="1">
        <v>36</v>
      </c>
      <c r="S1642" s="3">
        <v>0</v>
      </c>
      <c r="T1642" s="3">
        <v>-6.56027074634421E-2</v>
      </c>
    </row>
    <row r="1643" spans="1:20" x14ac:dyDescent="0.25">
      <c r="A1643" t="s">
        <v>78</v>
      </c>
      <c r="B1643" t="s">
        <v>79</v>
      </c>
      <c r="C1643" t="s">
        <v>2337</v>
      </c>
      <c r="D1643" t="s">
        <v>2338</v>
      </c>
      <c r="E1643">
        <v>1777.1</v>
      </c>
      <c r="F1643">
        <v>1781</v>
      </c>
      <c r="G1643">
        <v>1789</v>
      </c>
      <c r="H1643">
        <v>1724.65</v>
      </c>
      <c r="I1643" s="1">
        <v>1745.55</v>
      </c>
      <c r="J1643">
        <v>32854501.149999999</v>
      </c>
      <c r="K1643">
        <v>18776</v>
      </c>
      <c r="L1643" t="s">
        <v>78</v>
      </c>
      <c r="M1643" t="s">
        <v>17</v>
      </c>
      <c r="N1643">
        <v>3843</v>
      </c>
      <c r="O1643">
        <v>1955.2</v>
      </c>
      <c r="P1643">
        <v>905.35</v>
      </c>
      <c r="Q1643" s="1">
        <v>1290</v>
      </c>
      <c r="R1643" s="1">
        <v>575.6</v>
      </c>
      <c r="S1643" s="3">
        <v>2.5522551975987406E-2</v>
      </c>
      <c r="T1643" s="3">
        <v>5.7005829073768721E-2</v>
      </c>
    </row>
    <row r="1644" spans="1:20" x14ac:dyDescent="0.25">
      <c r="A1644" t="s">
        <v>78</v>
      </c>
      <c r="B1644" t="s">
        <v>79</v>
      </c>
      <c r="C1644" t="s">
        <v>3431</v>
      </c>
      <c r="D1644" t="s">
        <v>3432</v>
      </c>
      <c r="E1644">
        <v>331.75</v>
      </c>
      <c r="F1644">
        <v>328.7</v>
      </c>
      <c r="G1644">
        <v>350</v>
      </c>
      <c r="H1644">
        <v>323.35000000000002</v>
      </c>
      <c r="I1644" s="1">
        <v>326.14999999999998</v>
      </c>
      <c r="J1644">
        <v>32537611.300000001</v>
      </c>
      <c r="K1644">
        <v>97183</v>
      </c>
      <c r="L1644" t="s">
        <v>78</v>
      </c>
      <c r="M1644" t="s">
        <v>17</v>
      </c>
      <c r="N1644">
        <v>12205</v>
      </c>
      <c r="O1644">
        <v>506.75</v>
      </c>
      <c r="P1644">
        <v>249.05</v>
      </c>
      <c r="Q1644" s="1">
        <v>313.64999999999998</v>
      </c>
      <c r="R1644" s="1">
        <v>102.3</v>
      </c>
      <c r="S1644" s="3">
        <v>3.2619489225129694E-3</v>
      </c>
      <c r="T1644" s="3">
        <v>5.9652090743437913E-2</v>
      </c>
    </row>
    <row r="1645" spans="1:20" x14ac:dyDescent="0.25">
      <c r="A1645" t="s">
        <v>78</v>
      </c>
      <c r="B1645" t="s">
        <v>79</v>
      </c>
      <c r="C1645" t="s">
        <v>2339</v>
      </c>
      <c r="D1645" t="s">
        <v>2340</v>
      </c>
      <c r="E1645">
        <v>133.01</v>
      </c>
      <c r="F1645">
        <v>132</v>
      </c>
      <c r="G1645">
        <v>133.65</v>
      </c>
      <c r="H1645">
        <v>128.30000000000001</v>
      </c>
      <c r="I1645" s="1">
        <v>128.81</v>
      </c>
      <c r="J1645">
        <v>38336630.159999996</v>
      </c>
      <c r="K1645">
        <v>293955</v>
      </c>
      <c r="L1645" t="s">
        <v>78</v>
      </c>
      <c r="M1645" t="s">
        <v>17</v>
      </c>
      <c r="N1645">
        <v>5684</v>
      </c>
      <c r="O1645">
        <v>155</v>
      </c>
      <c r="P1645">
        <v>100.3</v>
      </c>
      <c r="Q1645" s="1">
        <v>105</v>
      </c>
      <c r="R1645" s="1">
        <v>694</v>
      </c>
      <c r="S1645" s="3">
        <v>1.7177371405239894E-2</v>
      </c>
      <c r="T1645" s="3">
        <v>-8.0716356055814953E-2</v>
      </c>
    </row>
    <row r="1646" spans="1:20" x14ac:dyDescent="0.25">
      <c r="A1646" t="s">
        <v>78</v>
      </c>
      <c r="B1646" t="s">
        <v>79</v>
      </c>
      <c r="C1646" t="s">
        <v>2341</v>
      </c>
      <c r="D1646" t="s">
        <v>2342</v>
      </c>
      <c r="E1646">
        <v>219.17</v>
      </c>
      <c r="F1646">
        <v>219.17</v>
      </c>
      <c r="G1646">
        <v>220.09</v>
      </c>
      <c r="H1646">
        <v>215.15</v>
      </c>
      <c r="I1646" s="1">
        <v>219.12</v>
      </c>
      <c r="J1646">
        <v>41777227.859999999</v>
      </c>
      <c r="K1646">
        <v>191873</v>
      </c>
      <c r="L1646" t="s">
        <v>78</v>
      </c>
      <c r="M1646" t="s">
        <v>17</v>
      </c>
      <c r="N1646">
        <v>6548</v>
      </c>
      <c r="O1646">
        <v>283.55</v>
      </c>
      <c r="P1646">
        <v>173.8</v>
      </c>
      <c r="Q1646" s="1">
        <v>92.65</v>
      </c>
      <c r="R1646" s="1">
        <v>274.10000000000002</v>
      </c>
      <c r="S1646" s="3">
        <v>7.4367963436545947E-2</v>
      </c>
      <c r="T1646" s="3">
        <v>-1.1125195912095043E-2</v>
      </c>
    </row>
    <row r="1647" spans="1:20" x14ac:dyDescent="0.25">
      <c r="A1647" t="s">
        <v>78</v>
      </c>
      <c r="B1647" t="s">
        <v>79</v>
      </c>
      <c r="C1647" t="s">
        <v>5468</v>
      </c>
      <c r="D1647" t="s">
        <v>5467</v>
      </c>
      <c r="E1647">
        <v>93.72</v>
      </c>
      <c r="F1647">
        <v>93.8</v>
      </c>
      <c r="G1647">
        <v>94.43</v>
      </c>
      <c r="H1647">
        <v>89.55</v>
      </c>
      <c r="I1647" s="1">
        <v>90.9</v>
      </c>
      <c r="J1647">
        <v>33760735.909999996</v>
      </c>
      <c r="K1647">
        <v>366627</v>
      </c>
      <c r="L1647" t="s">
        <v>78</v>
      </c>
      <c r="M1647" t="s">
        <v>17</v>
      </c>
      <c r="N1647">
        <v>6217</v>
      </c>
      <c r="O1647">
        <v>145.6</v>
      </c>
      <c r="P1647">
        <v>83.4</v>
      </c>
      <c r="Q1647" s="1" t="str">
        <v/>
      </c>
      <c r="R1647" s="1" t="str">
        <v/>
      </c>
      <c r="S1647" s="3">
        <v>0</v>
      </c>
      <c r="T1647" s="3">
        <v>0</v>
      </c>
    </row>
    <row r="1648" spans="1:20" x14ac:dyDescent="0.25">
      <c r="A1648" t="s">
        <v>78</v>
      </c>
      <c r="B1648" t="s">
        <v>79</v>
      </c>
      <c r="C1648" t="s">
        <v>5466</v>
      </c>
      <c r="D1648" t="s">
        <v>5465</v>
      </c>
      <c r="E1648">
        <v>132.61000000000001</v>
      </c>
      <c r="F1648">
        <v>133.94999999999999</v>
      </c>
      <c r="G1648">
        <v>133.94999999999999</v>
      </c>
      <c r="H1648">
        <v>130</v>
      </c>
      <c r="I1648" s="1">
        <v>130.1</v>
      </c>
      <c r="J1648">
        <v>19772897.5</v>
      </c>
      <c r="K1648">
        <v>150756</v>
      </c>
      <c r="L1648" t="s">
        <v>78</v>
      </c>
      <c r="M1648" t="s">
        <v>17</v>
      </c>
      <c r="N1648">
        <v>4858</v>
      </c>
      <c r="O1648">
        <v>148.86000000000001</v>
      </c>
      <c r="P1648">
        <v>95.7</v>
      </c>
      <c r="Q1648" s="1" t="str">
        <v/>
      </c>
      <c r="R1648" s="1" t="str">
        <v/>
      </c>
      <c r="S1648" s="3">
        <v>0</v>
      </c>
      <c r="T1648" s="3">
        <v>0</v>
      </c>
    </row>
    <row r="1649" spans="1:20" x14ac:dyDescent="0.25">
      <c r="A1649" t="s">
        <v>78</v>
      </c>
      <c r="B1649" t="s">
        <v>79</v>
      </c>
      <c r="C1649" t="s">
        <v>5464</v>
      </c>
      <c r="D1649" t="s">
        <v>5463</v>
      </c>
      <c r="E1649">
        <v>25.99</v>
      </c>
      <c r="F1649">
        <v>26.54</v>
      </c>
      <c r="G1649">
        <v>28.99</v>
      </c>
      <c r="H1649">
        <v>26</v>
      </c>
      <c r="I1649" s="1">
        <v>28.49</v>
      </c>
      <c r="J1649">
        <v>282969334.38</v>
      </c>
      <c r="K1649">
        <v>10306266</v>
      </c>
      <c r="L1649" t="s">
        <v>78</v>
      </c>
      <c r="M1649" t="s">
        <v>17</v>
      </c>
      <c r="N1649">
        <v>23006</v>
      </c>
      <c r="O1649">
        <v>38.85</v>
      </c>
      <c r="P1649">
        <v>18.399999999999999</v>
      </c>
      <c r="Q1649" s="1" t="str">
        <v/>
      </c>
      <c r="R1649" s="1" t="str">
        <v/>
      </c>
      <c r="S1649" s="3">
        <v>0</v>
      </c>
      <c r="T1649" s="3">
        <v>0</v>
      </c>
    </row>
    <row r="1650" spans="1:20" x14ac:dyDescent="0.25">
      <c r="A1650" t="s">
        <v>78</v>
      </c>
      <c r="B1650" t="s">
        <v>79</v>
      </c>
      <c r="C1650" t="s">
        <v>2343</v>
      </c>
      <c r="D1650" t="s">
        <v>2344</v>
      </c>
      <c r="E1650">
        <v>669.3</v>
      </c>
      <c r="F1650">
        <v>666.15</v>
      </c>
      <c r="G1650">
        <v>677.95</v>
      </c>
      <c r="H1650">
        <v>646</v>
      </c>
      <c r="I1650" s="1">
        <v>675.5</v>
      </c>
      <c r="J1650">
        <v>152829645.30000001</v>
      </c>
      <c r="K1650">
        <v>230132</v>
      </c>
      <c r="L1650" t="s">
        <v>78</v>
      </c>
      <c r="M1650" t="s">
        <v>17</v>
      </c>
      <c r="N1650">
        <v>11300</v>
      </c>
      <c r="O1650">
        <v>750</v>
      </c>
      <c r="P1650">
        <v>460</v>
      </c>
      <c r="Q1650" s="1">
        <v>124.7</v>
      </c>
      <c r="R1650" s="1" t="str">
        <v/>
      </c>
      <c r="S1650" s="3">
        <v>0.15118885122132375</v>
      </c>
      <c r="T1650" s="3">
        <v>0</v>
      </c>
    </row>
    <row r="1651" spans="1:20" x14ac:dyDescent="0.25">
      <c r="A1651" t="s">
        <v>78</v>
      </c>
      <c r="B1651" t="s">
        <v>79</v>
      </c>
      <c r="C1651" t="s">
        <v>5462</v>
      </c>
      <c r="D1651" t="s">
        <v>5461</v>
      </c>
      <c r="E1651">
        <v>81.31</v>
      </c>
      <c r="F1651">
        <v>81.31</v>
      </c>
      <c r="G1651">
        <v>82.2</v>
      </c>
      <c r="H1651">
        <v>80.209999999999994</v>
      </c>
      <c r="I1651" s="1">
        <v>81.099999999999994</v>
      </c>
      <c r="J1651">
        <v>105050335.94</v>
      </c>
      <c r="K1651">
        <v>1299456</v>
      </c>
      <c r="L1651" t="s">
        <v>78</v>
      </c>
      <c r="M1651" t="s">
        <v>17</v>
      </c>
      <c r="N1651">
        <v>27310</v>
      </c>
      <c r="O1651">
        <v>98</v>
      </c>
      <c r="P1651">
        <v>72.400000000000006</v>
      </c>
      <c r="Q1651" s="1" t="str">
        <v/>
      </c>
      <c r="R1651" s="1" t="str">
        <v/>
      </c>
      <c r="S1651" s="3">
        <v>0</v>
      </c>
      <c r="T1651" s="3">
        <v>0</v>
      </c>
    </row>
    <row r="1652" spans="1:20" x14ac:dyDescent="0.25">
      <c r="A1652" t="s">
        <v>78</v>
      </c>
      <c r="B1652" t="s">
        <v>79</v>
      </c>
      <c r="C1652" t="s">
        <v>5460</v>
      </c>
      <c r="D1652" t="s">
        <v>5459</v>
      </c>
      <c r="E1652">
        <v>124.72</v>
      </c>
      <c r="F1652">
        <v>125.61</v>
      </c>
      <c r="G1652">
        <v>125.79</v>
      </c>
      <c r="H1652">
        <v>120</v>
      </c>
      <c r="I1652" s="1">
        <v>120.48</v>
      </c>
      <c r="J1652">
        <v>38332430.859999999</v>
      </c>
      <c r="K1652">
        <v>314430</v>
      </c>
      <c r="L1652" t="s">
        <v>78</v>
      </c>
      <c r="M1652" t="s">
        <v>17</v>
      </c>
      <c r="N1652">
        <v>3780</v>
      </c>
      <c r="O1652">
        <v>1018.9</v>
      </c>
      <c r="P1652">
        <v>91.25</v>
      </c>
      <c r="Q1652" s="1" t="str">
        <v/>
      </c>
      <c r="R1652" s="1" t="str">
        <v/>
      </c>
      <c r="S1652" s="3">
        <v>0</v>
      </c>
      <c r="T1652" s="3">
        <v>0</v>
      </c>
    </row>
    <row r="1653" spans="1:20" x14ac:dyDescent="0.25">
      <c r="A1653" t="s">
        <v>78</v>
      </c>
      <c r="B1653" t="s">
        <v>79</v>
      </c>
      <c r="C1653" t="s">
        <v>2347</v>
      </c>
      <c r="D1653" t="s">
        <v>2348</v>
      </c>
      <c r="E1653">
        <v>4045.85</v>
      </c>
      <c r="F1653">
        <v>4072.1</v>
      </c>
      <c r="G1653">
        <v>4170</v>
      </c>
      <c r="H1653">
        <v>3960.1</v>
      </c>
      <c r="I1653" s="1">
        <v>3978.4</v>
      </c>
      <c r="J1653">
        <v>1526207961.7</v>
      </c>
      <c r="K1653">
        <v>374305</v>
      </c>
      <c r="L1653" t="s">
        <v>78</v>
      </c>
      <c r="M1653" t="s">
        <v>17</v>
      </c>
      <c r="N1653">
        <v>55193</v>
      </c>
      <c r="O1653">
        <v>4951</v>
      </c>
      <c r="P1653">
        <v>2612.1999999999998</v>
      </c>
      <c r="Q1653" s="1">
        <v>5320.35</v>
      </c>
      <c r="R1653" s="1">
        <v>4201</v>
      </c>
      <c r="S1653" s="3">
        <v>-2.3930624382976773E-2</v>
      </c>
      <c r="T1653" s="3">
        <v>-2.7169547992718091E-3</v>
      </c>
    </row>
    <row r="1654" spans="1:20" x14ac:dyDescent="0.25">
      <c r="A1654" t="s">
        <v>78</v>
      </c>
      <c r="B1654" t="s">
        <v>79</v>
      </c>
      <c r="C1654" t="s">
        <v>2349</v>
      </c>
      <c r="D1654" t="s">
        <v>2350</v>
      </c>
      <c r="E1654">
        <v>242.42</v>
      </c>
      <c r="F1654">
        <v>244.14</v>
      </c>
      <c r="G1654">
        <v>244.14</v>
      </c>
      <c r="H1654">
        <v>236</v>
      </c>
      <c r="I1654" s="1">
        <v>236.63</v>
      </c>
      <c r="J1654">
        <v>16780624.940000001</v>
      </c>
      <c r="K1654">
        <v>70481</v>
      </c>
      <c r="L1654" t="s">
        <v>78</v>
      </c>
      <c r="M1654" t="s">
        <v>17</v>
      </c>
      <c r="N1654">
        <v>5944</v>
      </c>
      <c r="O1654">
        <v>335</v>
      </c>
      <c r="P1654">
        <v>187.05</v>
      </c>
      <c r="Q1654" s="1">
        <v>136.80000000000001</v>
      </c>
      <c r="R1654" s="1">
        <v>68.349999999999994</v>
      </c>
      <c r="S1654" s="3">
        <v>4.6723502172568709E-2</v>
      </c>
      <c r="T1654" s="3">
        <v>6.4024911816500385E-2</v>
      </c>
    </row>
    <row r="1655" spans="1:20" x14ac:dyDescent="0.25">
      <c r="A1655" t="s">
        <v>78</v>
      </c>
      <c r="B1655" t="s">
        <v>79</v>
      </c>
      <c r="C1655" t="s">
        <v>2351</v>
      </c>
      <c r="D1655" t="s">
        <v>2352</v>
      </c>
      <c r="E1655">
        <v>797.7</v>
      </c>
      <c r="F1655">
        <v>798.85</v>
      </c>
      <c r="G1655">
        <v>818</v>
      </c>
      <c r="H1655">
        <v>786.45</v>
      </c>
      <c r="I1655" s="1">
        <v>789.9</v>
      </c>
      <c r="J1655">
        <v>219487086.34999999</v>
      </c>
      <c r="K1655">
        <v>274183</v>
      </c>
      <c r="L1655" t="s">
        <v>78</v>
      </c>
      <c r="M1655" t="s">
        <v>17</v>
      </c>
      <c r="N1655">
        <v>21291</v>
      </c>
      <c r="O1655">
        <v>980</v>
      </c>
      <c r="P1655">
        <v>272.10000000000002</v>
      </c>
      <c r="Q1655" s="1">
        <v>127.2</v>
      </c>
      <c r="R1655" s="1">
        <v>86.65</v>
      </c>
      <c r="S1655" s="3">
        <v>0.16436841700911398</v>
      </c>
      <c r="T1655" s="3">
        <v>0.11677040333235311</v>
      </c>
    </row>
    <row r="1656" spans="1:20" x14ac:dyDescent="0.25">
      <c r="A1656" t="s">
        <v>78</v>
      </c>
      <c r="B1656" t="s">
        <v>79</v>
      </c>
      <c r="C1656" t="s">
        <v>2353</v>
      </c>
      <c r="D1656" t="s">
        <v>2354</v>
      </c>
      <c r="E1656">
        <v>323.85000000000002</v>
      </c>
      <c r="F1656">
        <v>320.5</v>
      </c>
      <c r="G1656">
        <v>326.55</v>
      </c>
      <c r="H1656">
        <v>308.85000000000002</v>
      </c>
      <c r="I1656" s="1">
        <v>311.2</v>
      </c>
      <c r="J1656">
        <v>3047653390</v>
      </c>
      <c r="K1656">
        <v>9736775</v>
      </c>
      <c r="L1656" t="s">
        <v>78</v>
      </c>
      <c r="M1656" t="s">
        <v>17</v>
      </c>
      <c r="N1656">
        <v>104369</v>
      </c>
      <c r="O1656">
        <v>384.2</v>
      </c>
      <c r="P1656">
        <v>96.8</v>
      </c>
      <c r="Q1656" s="1">
        <v>110.3</v>
      </c>
      <c r="R1656" s="1">
        <v>29.55</v>
      </c>
      <c r="S1656" s="3">
        <v>9.0281575292495031E-2</v>
      </c>
      <c r="T1656" s="3">
        <v>0.12485387119821656</v>
      </c>
    </row>
    <row r="1657" spans="1:20" x14ac:dyDescent="0.25">
      <c r="A1657" t="s">
        <v>78</v>
      </c>
      <c r="B1657" t="s">
        <v>79</v>
      </c>
      <c r="C1657" t="s">
        <v>5458</v>
      </c>
      <c r="D1657" t="s">
        <v>5457</v>
      </c>
      <c r="E1657">
        <v>101.88</v>
      </c>
      <c r="F1657">
        <v>101.99</v>
      </c>
      <c r="G1657">
        <v>102.1</v>
      </c>
      <c r="H1657">
        <v>98.05</v>
      </c>
      <c r="I1657" s="1">
        <v>98.51</v>
      </c>
      <c r="J1657">
        <v>432152130.20999998</v>
      </c>
      <c r="K1657">
        <v>4350134</v>
      </c>
      <c r="L1657" t="s">
        <v>78</v>
      </c>
      <c r="M1657" t="s">
        <v>17</v>
      </c>
      <c r="N1657">
        <v>25357</v>
      </c>
      <c r="O1657">
        <v>108.55</v>
      </c>
      <c r="P1657">
        <v>36</v>
      </c>
      <c r="Q1657" s="1" t="str">
        <v/>
      </c>
      <c r="R1657" s="1" t="str">
        <v/>
      </c>
      <c r="S1657" s="3">
        <v>0</v>
      </c>
      <c r="T1657" s="3">
        <v>0</v>
      </c>
    </row>
    <row r="1658" spans="1:20" x14ac:dyDescent="0.25">
      <c r="A1658" t="s">
        <v>78</v>
      </c>
      <c r="B1658" t="s">
        <v>287</v>
      </c>
      <c r="C1658" t="s">
        <v>5456</v>
      </c>
      <c r="D1658" t="s">
        <v>5455</v>
      </c>
      <c r="E1658">
        <v>132.69999999999999</v>
      </c>
      <c r="F1658">
        <v>129</v>
      </c>
      <c r="G1658">
        <v>131.44999999999999</v>
      </c>
      <c r="H1658">
        <v>128.05000000000001</v>
      </c>
      <c r="I1658" s="1">
        <v>128.1</v>
      </c>
      <c r="J1658">
        <v>4627800</v>
      </c>
      <c r="K1658">
        <v>36000</v>
      </c>
      <c r="L1658" t="s">
        <v>78</v>
      </c>
      <c r="M1658" t="s">
        <v>17</v>
      </c>
      <c r="N1658">
        <v>17</v>
      </c>
      <c r="O1658">
        <v>136.4</v>
      </c>
      <c r="P1658">
        <v>55</v>
      </c>
      <c r="Q1658" s="1" t="str">
        <v/>
      </c>
      <c r="R1658" s="1" t="str">
        <v/>
      </c>
      <c r="S1658" s="3">
        <v>0</v>
      </c>
      <c r="T1658" s="3">
        <v>0</v>
      </c>
    </row>
    <row r="1659" spans="1:20" x14ac:dyDescent="0.25">
      <c r="A1659" t="s">
        <v>78</v>
      </c>
      <c r="B1659" t="s">
        <v>79</v>
      </c>
      <c r="C1659" t="s">
        <v>5454</v>
      </c>
      <c r="D1659" t="s">
        <v>5453</v>
      </c>
      <c r="E1659">
        <v>468.25</v>
      </c>
      <c r="F1659">
        <v>474.9</v>
      </c>
      <c r="G1659">
        <v>480.05</v>
      </c>
      <c r="H1659">
        <v>450.1</v>
      </c>
      <c r="I1659" s="1">
        <v>457.5</v>
      </c>
      <c r="J1659">
        <v>62404432.149999999</v>
      </c>
      <c r="K1659">
        <v>133657</v>
      </c>
      <c r="L1659" t="s">
        <v>78</v>
      </c>
      <c r="M1659" t="s">
        <v>17</v>
      </c>
      <c r="N1659">
        <v>6362</v>
      </c>
      <c r="O1659">
        <v>634.5</v>
      </c>
      <c r="P1659">
        <v>318.25</v>
      </c>
      <c r="Q1659" s="1" t="str">
        <v/>
      </c>
      <c r="R1659" s="1" t="str">
        <v/>
      </c>
      <c r="S1659" s="3">
        <v>0</v>
      </c>
      <c r="T1659" s="3">
        <v>0</v>
      </c>
    </row>
    <row r="1660" spans="1:20" x14ac:dyDescent="0.25">
      <c r="A1660" t="s">
        <v>78</v>
      </c>
      <c r="B1660" t="s">
        <v>79</v>
      </c>
      <c r="C1660" t="s">
        <v>3435</v>
      </c>
      <c r="D1660" t="s">
        <v>3436</v>
      </c>
      <c r="E1660">
        <v>111.12</v>
      </c>
      <c r="F1660">
        <v>111.05</v>
      </c>
      <c r="G1660">
        <v>114.4</v>
      </c>
      <c r="H1660">
        <v>110.55</v>
      </c>
      <c r="I1660" s="1">
        <v>111.6</v>
      </c>
      <c r="J1660">
        <v>163372016.19999999</v>
      </c>
      <c r="K1660">
        <v>1459259</v>
      </c>
      <c r="L1660" t="s">
        <v>78</v>
      </c>
      <c r="M1660" t="s">
        <v>17</v>
      </c>
      <c r="N1660">
        <v>11363</v>
      </c>
      <c r="O1660">
        <v>390</v>
      </c>
      <c r="P1660">
        <v>105</v>
      </c>
      <c r="Q1660" s="1">
        <v>45.15</v>
      </c>
      <c r="R1660" s="1">
        <v>121.1</v>
      </c>
      <c r="S1660" s="3">
        <v>7.8327141800782929E-2</v>
      </c>
      <c r="T1660" s="3">
        <v>-4.074220771125403E-3</v>
      </c>
    </row>
    <row r="1661" spans="1:20" x14ac:dyDescent="0.25">
      <c r="A1661" t="s">
        <v>78</v>
      </c>
      <c r="B1661" t="s">
        <v>79</v>
      </c>
      <c r="C1661" t="s">
        <v>2355</v>
      </c>
      <c r="D1661" t="s">
        <v>2356</v>
      </c>
      <c r="E1661">
        <v>1525.8</v>
      </c>
      <c r="F1661">
        <v>1514</v>
      </c>
      <c r="G1661">
        <v>1525</v>
      </c>
      <c r="H1661">
        <v>1475</v>
      </c>
      <c r="I1661" s="1">
        <v>1493.6</v>
      </c>
      <c r="J1661">
        <v>133041032.40000001</v>
      </c>
      <c r="K1661">
        <v>88733</v>
      </c>
      <c r="L1661" t="s">
        <v>78</v>
      </c>
      <c r="M1661" t="s">
        <v>17</v>
      </c>
      <c r="N1661">
        <v>9867</v>
      </c>
      <c r="O1661">
        <v>1595.9</v>
      </c>
      <c r="P1661">
        <v>607</v>
      </c>
      <c r="Q1661" s="1">
        <v>468.75</v>
      </c>
      <c r="R1661" s="1">
        <v>447</v>
      </c>
      <c r="S1661" s="3">
        <v>0.10138988926672998</v>
      </c>
      <c r="T1661" s="3">
        <v>6.2140558087540931E-2</v>
      </c>
    </row>
    <row r="1662" spans="1:20" x14ac:dyDescent="0.25">
      <c r="A1662" t="s">
        <v>78</v>
      </c>
      <c r="B1662" t="s">
        <v>79</v>
      </c>
      <c r="C1662" t="s">
        <v>5452</v>
      </c>
      <c r="D1662" t="s">
        <v>5451</v>
      </c>
      <c r="E1662">
        <v>97.81</v>
      </c>
      <c r="F1662">
        <v>97.88</v>
      </c>
      <c r="G1662">
        <v>97.88</v>
      </c>
      <c r="H1662">
        <v>97.87</v>
      </c>
      <c r="I1662" s="1">
        <v>97.87</v>
      </c>
      <c r="J1662">
        <v>293.62</v>
      </c>
      <c r="K1662">
        <v>3</v>
      </c>
      <c r="L1662" t="s">
        <v>78</v>
      </c>
      <c r="M1662" t="s">
        <v>17</v>
      </c>
      <c r="N1662">
        <v>3</v>
      </c>
      <c r="O1662">
        <v>145.35</v>
      </c>
      <c r="P1662">
        <v>71.349999999999994</v>
      </c>
      <c r="Q1662" s="1" t="str">
        <v/>
      </c>
      <c r="R1662" s="1" t="str">
        <v/>
      </c>
      <c r="S1662" s="3">
        <v>0</v>
      </c>
      <c r="T1662" s="3">
        <v>0</v>
      </c>
    </row>
    <row r="1663" spans="1:20" x14ac:dyDescent="0.25">
      <c r="A1663" t="s">
        <v>78</v>
      </c>
      <c r="B1663" t="s">
        <v>79</v>
      </c>
      <c r="C1663" t="s">
        <v>2359</v>
      </c>
      <c r="D1663" t="s">
        <v>2360</v>
      </c>
      <c r="E1663">
        <v>37.85</v>
      </c>
      <c r="F1663">
        <v>39</v>
      </c>
      <c r="G1663">
        <v>39</v>
      </c>
      <c r="H1663">
        <v>37.229999999999997</v>
      </c>
      <c r="I1663" s="1">
        <v>38.03</v>
      </c>
      <c r="J1663">
        <v>796891.86</v>
      </c>
      <c r="K1663">
        <v>20915</v>
      </c>
      <c r="L1663" t="s">
        <v>78</v>
      </c>
      <c r="M1663" t="s">
        <v>17</v>
      </c>
      <c r="N1663">
        <v>374</v>
      </c>
      <c r="O1663">
        <v>72.900000000000006</v>
      </c>
      <c r="P1663">
        <v>34.549999999999997</v>
      </c>
      <c r="Q1663" s="1">
        <v>86.05</v>
      </c>
      <c r="R1663" s="1" t="str">
        <v/>
      </c>
      <c r="S1663" s="3">
        <v>-6.5782594893732838E-2</v>
      </c>
      <c r="T1663" s="3">
        <v>0</v>
      </c>
    </row>
    <row r="1664" spans="1:20" x14ac:dyDescent="0.25">
      <c r="A1664" t="s">
        <v>78</v>
      </c>
      <c r="B1664" t="s">
        <v>287</v>
      </c>
      <c r="C1664" t="s">
        <v>5450</v>
      </c>
      <c r="D1664" t="s">
        <v>5449</v>
      </c>
      <c r="E1664">
        <v>389</v>
      </c>
      <c r="F1664">
        <v>380</v>
      </c>
      <c r="G1664">
        <v>388</v>
      </c>
      <c r="H1664">
        <v>372.1</v>
      </c>
      <c r="I1664" s="1">
        <v>372.1</v>
      </c>
      <c r="J1664">
        <v>1529480</v>
      </c>
      <c r="K1664">
        <v>4000</v>
      </c>
      <c r="L1664" t="s">
        <v>78</v>
      </c>
      <c r="M1664" t="s">
        <v>17</v>
      </c>
      <c r="N1664">
        <v>10</v>
      </c>
      <c r="O1664">
        <v>524.35</v>
      </c>
      <c r="P1664">
        <v>150</v>
      </c>
      <c r="Q1664" s="1" t="str">
        <v/>
      </c>
      <c r="R1664" s="1" t="str">
        <v/>
      </c>
      <c r="S1664" s="3">
        <v>0</v>
      </c>
      <c r="T1664" s="3">
        <v>0</v>
      </c>
    </row>
    <row r="1665" spans="1:20" x14ac:dyDescent="0.25">
      <c r="A1665" t="s">
        <v>78</v>
      </c>
      <c r="B1665" t="s">
        <v>79</v>
      </c>
      <c r="C1665" t="s">
        <v>2361</v>
      </c>
      <c r="D1665" t="s">
        <v>2362</v>
      </c>
      <c r="E1665">
        <v>767</v>
      </c>
      <c r="F1665">
        <v>766.85</v>
      </c>
      <c r="G1665">
        <v>771.95</v>
      </c>
      <c r="H1665">
        <v>726</v>
      </c>
      <c r="I1665" s="1">
        <v>730.4</v>
      </c>
      <c r="J1665">
        <v>110432203.34999999</v>
      </c>
      <c r="K1665">
        <v>148865</v>
      </c>
      <c r="L1665" t="s">
        <v>78</v>
      </c>
      <c r="M1665" t="s">
        <v>17</v>
      </c>
      <c r="N1665">
        <v>10289</v>
      </c>
      <c r="O1665">
        <v>818</v>
      </c>
      <c r="P1665">
        <v>335.15</v>
      </c>
      <c r="Q1665" s="1">
        <v>148.35</v>
      </c>
      <c r="R1665" s="1">
        <v>155.1</v>
      </c>
      <c r="S1665" s="3">
        <v>0.14206135062429248</v>
      </c>
      <c r="T1665" s="3">
        <v>8.0510574445460392E-2</v>
      </c>
    </row>
    <row r="1666" spans="1:20" x14ac:dyDescent="0.25">
      <c r="A1666" t="s">
        <v>78</v>
      </c>
      <c r="B1666" t="s">
        <v>79</v>
      </c>
      <c r="C1666" t="s">
        <v>5448</v>
      </c>
      <c r="D1666" t="s">
        <v>5447</v>
      </c>
      <c r="E1666">
        <v>58.96</v>
      </c>
      <c r="F1666">
        <v>58.9</v>
      </c>
      <c r="G1666">
        <v>58.91</v>
      </c>
      <c r="H1666">
        <v>58.11</v>
      </c>
      <c r="I1666" s="1">
        <v>58.68</v>
      </c>
      <c r="J1666">
        <v>333383.42</v>
      </c>
      <c r="K1666">
        <v>5688</v>
      </c>
      <c r="L1666" t="s">
        <v>78</v>
      </c>
      <c r="M1666" t="s">
        <v>17</v>
      </c>
      <c r="N1666">
        <v>353</v>
      </c>
      <c r="O1666">
        <v>132.65</v>
      </c>
      <c r="P1666">
        <v>58.11</v>
      </c>
      <c r="Q1666" s="1" t="str">
        <v/>
      </c>
      <c r="R1666" s="1" t="str">
        <v/>
      </c>
      <c r="S1666" s="3">
        <v>0</v>
      </c>
      <c r="T1666" s="3">
        <v>0</v>
      </c>
    </row>
    <row r="1667" spans="1:20" x14ac:dyDescent="0.25">
      <c r="A1667" t="s">
        <v>78</v>
      </c>
      <c r="B1667" t="s">
        <v>79</v>
      </c>
      <c r="C1667" t="s">
        <v>5446</v>
      </c>
      <c r="D1667" t="s">
        <v>5445</v>
      </c>
      <c r="E1667">
        <v>975.3</v>
      </c>
      <c r="F1667">
        <v>980.05</v>
      </c>
      <c r="G1667">
        <v>990.05</v>
      </c>
      <c r="H1667">
        <v>963</v>
      </c>
      <c r="I1667" s="1">
        <v>967.4</v>
      </c>
      <c r="J1667">
        <v>131414201.09999999</v>
      </c>
      <c r="K1667">
        <v>134914</v>
      </c>
      <c r="L1667" t="s">
        <v>78</v>
      </c>
      <c r="M1667" t="s">
        <v>17</v>
      </c>
      <c r="N1667">
        <v>14053</v>
      </c>
      <c r="O1667">
        <v>1177</v>
      </c>
      <c r="P1667">
        <v>358.45</v>
      </c>
      <c r="Q1667" s="1" t="str">
        <v/>
      </c>
      <c r="R1667" s="1" t="str">
        <v/>
      </c>
      <c r="S1667" s="3">
        <v>0</v>
      </c>
      <c r="T1667" s="3">
        <v>0</v>
      </c>
    </row>
    <row r="1668" spans="1:20" x14ac:dyDescent="0.25">
      <c r="A1668" t="s">
        <v>78</v>
      </c>
      <c r="B1668" t="s">
        <v>79</v>
      </c>
      <c r="C1668" t="s">
        <v>5444</v>
      </c>
      <c r="D1668" t="s">
        <v>5443</v>
      </c>
      <c r="E1668">
        <v>18.100000000000001</v>
      </c>
      <c r="F1668">
        <v>18.14</v>
      </c>
      <c r="G1668">
        <v>18.14</v>
      </c>
      <c r="H1668">
        <v>17.61</v>
      </c>
      <c r="I1668" s="1">
        <v>17.72</v>
      </c>
      <c r="J1668">
        <v>102252089.62</v>
      </c>
      <c r="K1668">
        <v>5736871</v>
      </c>
      <c r="L1668" t="s">
        <v>78</v>
      </c>
      <c r="M1668" t="s">
        <v>17</v>
      </c>
      <c r="N1668">
        <v>10354</v>
      </c>
      <c r="O1668">
        <v>27.7</v>
      </c>
      <c r="P1668">
        <v>10.6</v>
      </c>
      <c r="Q1668" s="1" t="str">
        <v/>
      </c>
      <c r="R1668" s="1" t="str">
        <v/>
      </c>
      <c r="S1668" s="3">
        <v>0</v>
      </c>
      <c r="T1668" s="3">
        <v>0</v>
      </c>
    </row>
    <row r="1669" spans="1:20" x14ac:dyDescent="0.25">
      <c r="A1669" t="s">
        <v>78</v>
      </c>
      <c r="B1669" t="s">
        <v>79</v>
      </c>
      <c r="C1669" t="s">
        <v>2363</v>
      </c>
      <c r="D1669" t="s">
        <v>2364</v>
      </c>
      <c r="E1669">
        <v>144.16999999999999</v>
      </c>
      <c r="F1669">
        <v>149</v>
      </c>
      <c r="G1669">
        <v>149.69999999999999</v>
      </c>
      <c r="H1669">
        <v>140.65</v>
      </c>
      <c r="I1669" s="1">
        <v>142.1</v>
      </c>
      <c r="J1669">
        <v>482386234.67000002</v>
      </c>
      <c r="K1669">
        <v>3321618</v>
      </c>
      <c r="L1669" t="s">
        <v>78</v>
      </c>
      <c r="M1669" t="s">
        <v>17</v>
      </c>
      <c r="N1669">
        <v>33593</v>
      </c>
      <c r="O1669">
        <v>155.5</v>
      </c>
      <c r="P1669">
        <v>86.4</v>
      </c>
      <c r="Q1669" s="1">
        <v>295.25</v>
      </c>
      <c r="R1669" s="1">
        <v>65.7</v>
      </c>
      <c r="S1669" s="3">
        <v>-5.9121204537495142E-2</v>
      </c>
      <c r="T1669" s="3">
        <v>3.9303193063592756E-2</v>
      </c>
    </row>
    <row r="1670" spans="1:20" x14ac:dyDescent="0.25">
      <c r="A1670" t="s">
        <v>78</v>
      </c>
      <c r="B1670" t="s">
        <v>79</v>
      </c>
      <c r="C1670" t="s">
        <v>2365</v>
      </c>
      <c r="D1670" t="s">
        <v>2366</v>
      </c>
      <c r="E1670">
        <v>123.21</v>
      </c>
      <c r="F1670">
        <v>125.5</v>
      </c>
      <c r="G1670">
        <v>127</v>
      </c>
      <c r="H1670">
        <v>117.04</v>
      </c>
      <c r="I1670" s="1">
        <v>117.04</v>
      </c>
      <c r="J1670">
        <v>494409159.20999998</v>
      </c>
      <c r="K1670">
        <v>4186005</v>
      </c>
      <c r="L1670" t="s">
        <v>78</v>
      </c>
      <c r="M1670" t="s">
        <v>17</v>
      </c>
      <c r="N1670">
        <v>23725</v>
      </c>
      <c r="O1670">
        <v>129.81</v>
      </c>
      <c r="P1670">
        <v>69.5</v>
      </c>
      <c r="Q1670" s="1">
        <v>16.399999999999999</v>
      </c>
      <c r="R1670" s="1">
        <v>14.6</v>
      </c>
      <c r="S1670" s="3">
        <v>0.17794280940280971</v>
      </c>
      <c r="T1670" s="3">
        <v>0.109620112096106</v>
      </c>
    </row>
    <row r="1671" spans="1:20" x14ac:dyDescent="0.25">
      <c r="A1671" t="s">
        <v>78</v>
      </c>
      <c r="B1671" t="s">
        <v>79</v>
      </c>
      <c r="C1671" t="s">
        <v>2367</v>
      </c>
      <c r="D1671" t="s">
        <v>2368</v>
      </c>
      <c r="E1671">
        <v>363.9</v>
      </c>
      <c r="F1671">
        <v>363.95</v>
      </c>
      <c r="G1671">
        <v>366.6</v>
      </c>
      <c r="H1671">
        <v>355.45</v>
      </c>
      <c r="I1671" s="1">
        <v>357.3</v>
      </c>
      <c r="J1671">
        <v>28516209.449999999</v>
      </c>
      <c r="K1671">
        <v>78980</v>
      </c>
      <c r="L1671" t="s">
        <v>78</v>
      </c>
      <c r="M1671" t="s">
        <v>17</v>
      </c>
      <c r="N1671">
        <v>4452</v>
      </c>
      <c r="O1671">
        <v>421.85</v>
      </c>
      <c r="P1671">
        <v>254.15</v>
      </c>
      <c r="Q1671" s="1">
        <v>210.1</v>
      </c>
      <c r="R1671" s="1">
        <v>918</v>
      </c>
      <c r="S1671" s="3">
        <v>4.5242949997531312E-2</v>
      </c>
      <c r="T1671" s="3">
        <v>-4.6060706103161597E-2</v>
      </c>
    </row>
    <row r="1672" spans="1:20" x14ac:dyDescent="0.25">
      <c r="A1672" t="s">
        <v>78</v>
      </c>
      <c r="B1672" t="s">
        <v>79</v>
      </c>
      <c r="C1672" t="s">
        <v>2373</v>
      </c>
      <c r="D1672" t="s">
        <v>2374</v>
      </c>
      <c r="E1672">
        <v>1034.45</v>
      </c>
      <c r="F1672">
        <v>1030</v>
      </c>
      <c r="G1672">
        <v>1030.45</v>
      </c>
      <c r="H1672">
        <v>1002</v>
      </c>
      <c r="I1672" s="1">
        <v>1018.8</v>
      </c>
      <c r="J1672">
        <v>67853169.549999997</v>
      </c>
      <c r="K1672">
        <v>66634</v>
      </c>
      <c r="L1672" t="s">
        <v>78</v>
      </c>
      <c r="M1672" t="s">
        <v>17</v>
      </c>
      <c r="N1672">
        <v>7790</v>
      </c>
      <c r="O1672">
        <v>1369.95</v>
      </c>
      <c r="P1672">
        <v>854</v>
      </c>
      <c r="Q1672" s="1">
        <v>2345</v>
      </c>
      <c r="R1672" s="1">
        <v>1250.2</v>
      </c>
      <c r="S1672" s="3">
        <v>-6.7113430366488758E-2</v>
      </c>
      <c r="T1672" s="3">
        <v>-1.0176168009254472E-2</v>
      </c>
    </row>
    <row r="1673" spans="1:20" x14ac:dyDescent="0.25">
      <c r="A1673" t="s">
        <v>78</v>
      </c>
      <c r="B1673" t="s">
        <v>79</v>
      </c>
      <c r="C1673" t="s">
        <v>5442</v>
      </c>
      <c r="D1673" t="s">
        <v>5441</v>
      </c>
      <c r="E1673">
        <v>351.1</v>
      </c>
      <c r="F1673">
        <v>355</v>
      </c>
      <c r="G1673">
        <v>364.85</v>
      </c>
      <c r="H1673">
        <v>340</v>
      </c>
      <c r="I1673" s="1">
        <v>343.1</v>
      </c>
      <c r="J1673">
        <v>27109433.949999999</v>
      </c>
      <c r="K1673">
        <v>77800</v>
      </c>
      <c r="L1673" t="s">
        <v>78</v>
      </c>
      <c r="M1673" t="s">
        <v>17</v>
      </c>
      <c r="N1673">
        <v>4122</v>
      </c>
      <c r="O1673">
        <v>436.9</v>
      </c>
      <c r="P1673">
        <v>185</v>
      </c>
      <c r="Q1673" s="1" t="str">
        <v/>
      </c>
      <c r="R1673" s="1" t="str">
        <v/>
      </c>
      <c r="S1673" s="3">
        <v>0</v>
      </c>
      <c r="T1673" s="3">
        <v>0</v>
      </c>
    </row>
    <row r="1674" spans="1:20" x14ac:dyDescent="0.25">
      <c r="A1674" t="s">
        <v>78</v>
      </c>
      <c r="B1674" t="s">
        <v>79</v>
      </c>
      <c r="C1674" t="s">
        <v>2375</v>
      </c>
      <c r="D1674" t="s">
        <v>2376</v>
      </c>
      <c r="E1674">
        <v>17.27</v>
      </c>
      <c r="F1674">
        <v>17.27</v>
      </c>
      <c r="G1674">
        <v>17.649999999999999</v>
      </c>
      <c r="H1674">
        <v>16.649999999999999</v>
      </c>
      <c r="I1674" s="1">
        <v>16.82</v>
      </c>
      <c r="J1674">
        <v>695865.48</v>
      </c>
      <c r="K1674">
        <v>40846</v>
      </c>
      <c r="L1674" t="s">
        <v>78</v>
      </c>
      <c r="M1674" t="s">
        <v>17</v>
      </c>
      <c r="N1674">
        <v>417</v>
      </c>
      <c r="O1674">
        <v>19.95</v>
      </c>
      <c r="P1674">
        <v>14.1</v>
      </c>
      <c r="Q1674" s="1">
        <v>14.7</v>
      </c>
      <c r="R1674" s="1">
        <v>11.55</v>
      </c>
      <c r="S1674" s="3">
        <v>1.1290020005551016E-2</v>
      </c>
      <c r="T1674" s="3">
        <v>1.896139500700289E-2</v>
      </c>
    </row>
    <row r="1675" spans="1:20" x14ac:dyDescent="0.25">
      <c r="A1675" t="s">
        <v>78</v>
      </c>
      <c r="B1675" t="s">
        <v>79</v>
      </c>
      <c r="C1675" t="s">
        <v>5440</v>
      </c>
      <c r="D1675" t="s">
        <v>5439</v>
      </c>
      <c r="E1675">
        <v>4.57</v>
      </c>
      <c r="F1675">
        <v>4.59</v>
      </c>
      <c r="G1675">
        <v>4.7</v>
      </c>
      <c r="H1675">
        <v>4.53</v>
      </c>
      <c r="I1675" s="1">
        <v>4.58</v>
      </c>
      <c r="J1675">
        <v>6832716.3399999999</v>
      </c>
      <c r="K1675">
        <v>1492891</v>
      </c>
      <c r="L1675" t="s">
        <v>78</v>
      </c>
      <c r="M1675" t="s">
        <v>17</v>
      </c>
      <c r="N1675">
        <v>2095</v>
      </c>
      <c r="O1675">
        <v>5.5</v>
      </c>
      <c r="P1675">
        <v>2.5499999999999998</v>
      </c>
      <c r="Q1675" s="1" t="str">
        <v/>
      </c>
      <c r="R1675" s="1" t="str">
        <v/>
      </c>
      <c r="S1675" s="3">
        <v>0</v>
      </c>
      <c r="T1675" s="3">
        <v>0</v>
      </c>
    </row>
    <row r="1676" spans="1:20" x14ac:dyDescent="0.25">
      <c r="A1676" t="s">
        <v>78</v>
      </c>
      <c r="B1676" t="s">
        <v>79</v>
      </c>
      <c r="C1676" t="s">
        <v>3441</v>
      </c>
      <c r="D1676" t="s">
        <v>3442</v>
      </c>
      <c r="E1676">
        <v>61.03</v>
      </c>
      <c r="F1676">
        <v>61.02</v>
      </c>
      <c r="G1676">
        <v>61.89</v>
      </c>
      <c r="H1676">
        <v>59.18</v>
      </c>
      <c r="I1676" s="1">
        <v>60.36</v>
      </c>
      <c r="J1676">
        <v>1502625.34</v>
      </c>
      <c r="K1676">
        <v>24707</v>
      </c>
      <c r="L1676" t="s">
        <v>78</v>
      </c>
      <c r="M1676" t="s">
        <v>17</v>
      </c>
      <c r="N1676">
        <v>526</v>
      </c>
      <c r="O1676">
        <v>89.35</v>
      </c>
      <c r="P1676">
        <v>51.95</v>
      </c>
      <c r="Q1676" s="1">
        <v>14.15</v>
      </c>
      <c r="R1676" s="1">
        <v>10.050000000000001</v>
      </c>
      <c r="S1676" s="3">
        <v>0.12849437655791518</v>
      </c>
      <c r="T1676" s="3">
        <v>9.3724244274168367E-2</v>
      </c>
    </row>
    <row r="1677" spans="1:20" x14ac:dyDescent="0.25">
      <c r="A1677" t="s">
        <v>78</v>
      </c>
      <c r="B1677" t="s">
        <v>79</v>
      </c>
      <c r="C1677" t="s">
        <v>5438</v>
      </c>
      <c r="D1677" t="s">
        <v>5437</v>
      </c>
      <c r="E1677">
        <v>866.35</v>
      </c>
      <c r="F1677">
        <v>869</v>
      </c>
      <c r="G1677">
        <v>869</v>
      </c>
      <c r="H1677">
        <v>835.6</v>
      </c>
      <c r="I1677" s="1">
        <v>843.1</v>
      </c>
      <c r="J1677">
        <v>27175768.5</v>
      </c>
      <c r="K1677">
        <v>31926</v>
      </c>
      <c r="L1677" t="s">
        <v>78</v>
      </c>
      <c r="M1677" t="s">
        <v>17</v>
      </c>
      <c r="N1677">
        <v>4096</v>
      </c>
      <c r="O1677">
        <v>1914.95</v>
      </c>
      <c r="P1677">
        <v>309.7</v>
      </c>
      <c r="Q1677" s="1" t="str">
        <v/>
      </c>
      <c r="R1677" s="1" t="str">
        <v/>
      </c>
      <c r="S1677" s="3">
        <v>0</v>
      </c>
      <c r="T1677" s="3">
        <v>0</v>
      </c>
    </row>
    <row r="1678" spans="1:20" x14ac:dyDescent="0.25">
      <c r="A1678" t="s">
        <v>78</v>
      </c>
      <c r="B1678" t="s">
        <v>79</v>
      </c>
      <c r="C1678" t="s">
        <v>2379</v>
      </c>
      <c r="D1678" t="s">
        <v>2380</v>
      </c>
      <c r="E1678">
        <v>299.45</v>
      </c>
      <c r="F1678">
        <v>300.8</v>
      </c>
      <c r="G1678">
        <v>301.60000000000002</v>
      </c>
      <c r="H1678">
        <v>287.60000000000002</v>
      </c>
      <c r="I1678" s="1">
        <v>291.45</v>
      </c>
      <c r="J1678">
        <v>312377561</v>
      </c>
      <c r="K1678">
        <v>1069343</v>
      </c>
      <c r="L1678" t="s">
        <v>78</v>
      </c>
      <c r="M1678" t="s">
        <v>17</v>
      </c>
      <c r="N1678">
        <v>64604</v>
      </c>
      <c r="O1678">
        <v>339.5</v>
      </c>
      <c r="P1678">
        <v>179.25</v>
      </c>
      <c r="Q1678" s="1">
        <v>187.15</v>
      </c>
      <c r="R1678" s="1">
        <v>90</v>
      </c>
      <c r="S1678" s="3">
        <v>3.7602921012394486E-2</v>
      </c>
      <c r="T1678" s="3">
        <v>6.0479075400756921E-2</v>
      </c>
    </row>
    <row r="1679" spans="1:20" x14ac:dyDescent="0.25">
      <c r="A1679" t="s">
        <v>78</v>
      </c>
      <c r="B1679" t="s">
        <v>79</v>
      </c>
      <c r="C1679" t="s">
        <v>2381</v>
      </c>
      <c r="D1679" t="s">
        <v>2382</v>
      </c>
      <c r="E1679">
        <v>148.02000000000001</v>
      </c>
      <c r="F1679">
        <v>146.16999999999999</v>
      </c>
      <c r="G1679">
        <v>148.22999999999999</v>
      </c>
      <c r="H1679">
        <v>144.15</v>
      </c>
      <c r="I1679" s="1">
        <v>147.58000000000001</v>
      </c>
      <c r="J1679">
        <v>17219039.219999999</v>
      </c>
      <c r="K1679">
        <v>117688</v>
      </c>
      <c r="L1679" t="s">
        <v>78</v>
      </c>
      <c r="M1679" t="s">
        <v>17</v>
      </c>
      <c r="N1679">
        <v>2241</v>
      </c>
      <c r="O1679">
        <v>224.15</v>
      </c>
      <c r="P1679">
        <v>134.19999999999999</v>
      </c>
      <c r="Q1679" s="1">
        <v>111</v>
      </c>
      <c r="R1679" s="1">
        <v>69.5</v>
      </c>
      <c r="S1679" s="3">
        <v>2.4020640712351993E-2</v>
      </c>
      <c r="T1679" s="3">
        <v>3.8348595748787462E-2</v>
      </c>
    </row>
    <row r="1680" spans="1:20" x14ac:dyDescent="0.25">
      <c r="A1680" t="s">
        <v>78</v>
      </c>
      <c r="B1680" t="s">
        <v>79</v>
      </c>
      <c r="C1680" t="s">
        <v>2383</v>
      </c>
      <c r="D1680" t="s">
        <v>2384</v>
      </c>
      <c r="E1680">
        <v>696.9</v>
      </c>
      <c r="F1680">
        <v>697</v>
      </c>
      <c r="G1680">
        <v>697</v>
      </c>
      <c r="H1680">
        <v>680</v>
      </c>
      <c r="I1680" s="1">
        <v>684.65</v>
      </c>
      <c r="J1680">
        <v>56537398.100000001</v>
      </c>
      <c r="K1680">
        <v>82188</v>
      </c>
      <c r="L1680" t="s">
        <v>78</v>
      </c>
      <c r="M1680" t="s">
        <v>17</v>
      </c>
      <c r="N1680">
        <v>6242</v>
      </c>
      <c r="O1680">
        <v>920</v>
      </c>
      <c r="P1680">
        <v>626</v>
      </c>
      <c r="Q1680" s="1">
        <v>521</v>
      </c>
      <c r="R1680" s="1">
        <v>330</v>
      </c>
      <c r="S1680" s="3">
        <v>2.3024200492826719E-2</v>
      </c>
      <c r="T1680" s="3">
        <v>3.7143989133313848E-2</v>
      </c>
    </row>
    <row r="1681" spans="1:20" x14ac:dyDescent="0.25">
      <c r="A1681" t="s">
        <v>78</v>
      </c>
      <c r="B1681" t="s">
        <v>79</v>
      </c>
      <c r="C1681" t="s">
        <v>2385</v>
      </c>
      <c r="D1681" t="s">
        <v>2386</v>
      </c>
      <c r="E1681">
        <v>681.75</v>
      </c>
      <c r="F1681">
        <v>681.95</v>
      </c>
      <c r="G1681">
        <v>681.95</v>
      </c>
      <c r="H1681">
        <v>657</v>
      </c>
      <c r="I1681" s="1">
        <v>663</v>
      </c>
      <c r="J1681">
        <v>35615002.600000001</v>
      </c>
      <c r="K1681">
        <v>53411</v>
      </c>
      <c r="L1681" t="s">
        <v>78</v>
      </c>
      <c r="M1681" t="s">
        <v>17</v>
      </c>
      <c r="N1681">
        <v>5058</v>
      </c>
      <c r="O1681">
        <v>703</v>
      </c>
      <c r="P1681">
        <v>401.25</v>
      </c>
      <c r="Q1681" s="1">
        <v>145.19999999999999</v>
      </c>
      <c r="R1681" s="1">
        <v>104.75</v>
      </c>
      <c r="S1681" s="3">
        <v>0.1349121427284945</v>
      </c>
      <c r="T1681" s="3">
        <v>9.659442038728705E-2</v>
      </c>
    </row>
    <row r="1682" spans="1:20" x14ac:dyDescent="0.25">
      <c r="A1682" t="s">
        <v>78</v>
      </c>
      <c r="B1682" t="s">
        <v>79</v>
      </c>
      <c r="C1682" t="s">
        <v>2387</v>
      </c>
      <c r="D1682" t="s">
        <v>2388</v>
      </c>
      <c r="E1682">
        <v>507.55</v>
      </c>
      <c r="F1682">
        <v>507.55</v>
      </c>
      <c r="G1682">
        <v>507.55</v>
      </c>
      <c r="H1682">
        <v>491</v>
      </c>
      <c r="I1682" s="1">
        <v>497.85</v>
      </c>
      <c r="J1682">
        <v>76553299.75</v>
      </c>
      <c r="K1682">
        <v>153978</v>
      </c>
      <c r="L1682" t="s">
        <v>78</v>
      </c>
      <c r="M1682" t="s">
        <v>17</v>
      </c>
      <c r="N1682">
        <v>8313</v>
      </c>
      <c r="O1682">
        <v>554.9</v>
      </c>
      <c r="P1682">
        <v>318.05</v>
      </c>
      <c r="Q1682" s="1">
        <v>355.4</v>
      </c>
      <c r="R1682" s="1">
        <v>310.85000000000002</v>
      </c>
      <c r="S1682" s="3">
        <v>2.848609389833312E-2</v>
      </c>
      <c r="T1682" s="3">
        <v>2.3815690409091816E-2</v>
      </c>
    </row>
    <row r="1683" spans="1:20" x14ac:dyDescent="0.25">
      <c r="A1683" t="s">
        <v>78</v>
      </c>
      <c r="B1683" t="s">
        <v>79</v>
      </c>
      <c r="C1683" t="s">
        <v>3443</v>
      </c>
      <c r="D1683" t="s">
        <v>3444</v>
      </c>
      <c r="E1683">
        <v>2624.5</v>
      </c>
      <c r="F1683">
        <v>2600</v>
      </c>
      <c r="G1683">
        <v>2600</v>
      </c>
      <c r="H1683">
        <v>2488.25</v>
      </c>
      <c r="I1683" s="1">
        <v>2532.75</v>
      </c>
      <c r="J1683">
        <v>138029891.15000001</v>
      </c>
      <c r="K1683">
        <v>54457</v>
      </c>
      <c r="L1683" t="s">
        <v>78</v>
      </c>
      <c r="M1683" t="s">
        <v>17</v>
      </c>
      <c r="N1683">
        <v>8394</v>
      </c>
      <c r="O1683">
        <v>2952.1</v>
      </c>
      <c r="P1683">
        <v>805</v>
      </c>
      <c r="Q1683" s="1">
        <v>603.1</v>
      </c>
      <c r="R1683" s="1">
        <v>925.05</v>
      </c>
      <c r="S1683" s="3">
        <v>0.12702508605810059</v>
      </c>
      <c r="T1683" s="3">
        <v>5.1621310100148809E-2</v>
      </c>
    </row>
    <row r="1684" spans="1:20" x14ac:dyDescent="0.25">
      <c r="A1684" t="s">
        <v>78</v>
      </c>
      <c r="B1684" t="s">
        <v>79</v>
      </c>
      <c r="C1684" t="s">
        <v>2389</v>
      </c>
      <c r="D1684" t="s">
        <v>2390</v>
      </c>
      <c r="E1684">
        <v>314.2</v>
      </c>
      <c r="F1684">
        <v>317</v>
      </c>
      <c r="G1684">
        <v>319.5</v>
      </c>
      <c r="H1684">
        <v>312</v>
      </c>
      <c r="I1684" s="1">
        <v>313.60000000000002</v>
      </c>
      <c r="J1684">
        <v>252379408.84999999</v>
      </c>
      <c r="K1684">
        <v>798828</v>
      </c>
      <c r="L1684" t="s">
        <v>78</v>
      </c>
      <c r="M1684" t="s">
        <v>17</v>
      </c>
      <c r="N1684">
        <v>18625</v>
      </c>
      <c r="O1684">
        <v>2026.4</v>
      </c>
      <c r="P1684">
        <v>285.10000000000002</v>
      </c>
      <c r="Q1684" s="1">
        <v>507</v>
      </c>
      <c r="R1684" s="1" t="str">
        <v/>
      </c>
      <c r="S1684" s="3">
        <v>-3.9242003377760848E-2</v>
      </c>
      <c r="T1684" s="3">
        <v>0</v>
      </c>
    </row>
    <row r="1685" spans="1:20" x14ac:dyDescent="0.25">
      <c r="A1685" t="s">
        <v>78</v>
      </c>
      <c r="B1685" t="s">
        <v>287</v>
      </c>
      <c r="C1685" t="s">
        <v>5436</v>
      </c>
      <c r="D1685" t="s">
        <v>5435</v>
      </c>
      <c r="E1685">
        <v>60.8</v>
      </c>
      <c r="F1685">
        <v>61</v>
      </c>
      <c r="G1685">
        <v>61.65</v>
      </c>
      <c r="H1685">
        <v>60.05</v>
      </c>
      <c r="I1685" s="1">
        <v>61</v>
      </c>
      <c r="J1685">
        <v>3169600</v>
      </c>
      <c r="K1685">
        <v>52000</v>
      </c>
      <c r="L1685" t="s">
        <v>78</v>
      </c>
      <c r="M1685" t="s">
        <v>17</v>
      </c>
      <c r="N1685">
        <v>21</v>
      </c>
      <c r="O1685">
        <v>91.9</v>
      </c>
      <c r="P1685">
        <v>55.1</v>
      </c>
      <c r="Q1685" s="1" t="str">
        <v/>
      </c>
      <c r="R1685" s="1" t="str">
        <v/>
      </c>
      <c r="S1685" s="3">
        <v>0</v>
      </c>
      <c r="T1685" s="3">
        <v>0</v>
      </c>
    </row>
    <row r="1686" spans="1:20" x14ac:dyDescent="0.25">
      <c r="A1686" t="s">
        <v>78</v>
      </c>
      <c r="B1686" t="s">
        <v>79</v>
      </c>
      <c r="C1686" t="s">
        <v>3445</v>
      </c>
      <c r="D1686" t="s">
        <v>3446</v>
      </c>
      <c r="E1686">
        <v>148.91999999999999</v>
      </c>
      <c r="F1686">
        <v>149.69999999999999</v>
      </c>
      <c r="G1686">
        <v>163.38999999999999</v>
      </c>
      <c r="H1686">
        <v>146.12</v>
      </c>
      <c r="I1686" s="1">
        <v>159.4</v>
      </c>
      <c r="J1686">
        <v>36049424.600000001</v>
      </c>
      <c r="K1686">
        <v>228195</v>
      </c>
      <c r="L1686" t="s">
        <v>78</v>
      </c>
      <c r="M1686" t="s">
        <v>17</v>
      </c>
      <c r="N1686">
        <v>4432</v>
      </c>
      <c r="O1686">
        <v>240</v>
      </c>
      <c r="P1686">
        <v>126.2</v>
      </c>
      <c r="Q1686" s="1">
        <v>136.19999999999999</v>
      </c>
      <c r="R1686" s="1">
        <v>322</v>
      </c>
      <c r="S1686" s="3">
        <v>1.3193980165744357E-2</v>
      </c>
      <c r="T1686" s="3">
        <v>-3.4527331401450367E-2</v>
      </c>
    </row>
    <row r="1687" spans="1:20" x14ac:dyDescent="0.25">
      <c r="A1687" t="s">
        <v>78</v>
      </c>
      <c r="B1687" t="s">
        <v>287</v>
      </c>
      <c r="C1687" t="s">
        <v>5434</v>
      </c>
      <c r="D1687" t="s">
        <v>5433</v>
      </c>
      <c r="E1687">
        <v>181.45</v>
      </c>
      <c r="F1687">
        <v>182</v>
      </c>
      <c r="G1687">
        <v>182.5</v>
      </c>
      <c r="H1687">
        <v>179.95</v>
      </c>
      <c r="I1687" s="1">
        <v>180.1</v>
      </c>
      <c r="J1687">
        <v>5239150</v>
      </c>
      <c r="K1687">
        <v>29000</v>
      </c>
      <c r="L1687" t="s">
        <v>78</v>
      </c>
      <c r="M1687" t="s">
        <v>17</v>
      </c>
      <c r="N1687">
        <v>27</v>
      </c>
      <c r="O1687">
        <v>209</v>
      </c>
      <c r="P1687">
        <v>96</v>
      </c>
      <c r="Q1687" s="1" t="str">
        <v/>
      </c>
      <c r="R1687" s="1" t="str">
        <v/>
      </c>
      <c r="S1687" s="3">
        <v>0</v>
      </c>
      <c r="T1687" s="3">
        <v>0</v>
      </c>
    </row>
    <row r="1688" spans="1:20" x14ac:dyDescent="0.25">
      <c r="A1688" t="s">
        <v>78</v>
      </c>
      <c r="B1688" t="s">
        <v>287</v>
      </c>
      <c r="C1688" t="s">
        <v>5432</v>
      </c>
      <c r="D1688" t="s">
        <v>5431</v>
      </c>
      <c r="E1688">
        <v>114.35</v>
      </c>
      <c r="F1688">
        <v>114</v>
      </c>
      <c r="G1688">
        <v>117.9</v>
      </c>
      <c r="H1688">
        <v>111.15</v>
      </c>
      <c r="I1688" s="1">
        <v>113</v>
      </c>
      <c r="J1688">
        <v>855600</v>
      </c>
      <c r="K1688">
        <v>7500</v>
      </c>
      <c r="L1688" t="s">
        <v>78</v>
      </c>
      <c r="M1688" t="s">
        <v>17</v>
      </c>
      <c r="N1688">
        <v>5</v>
      </c>
      <c r="O1688">
        <v>166.8</v>
      </c>
      <c r="P1688">
        <v>70.2</v>
      </c>
      <c r="Q1688" s="1" t="str">
        <v/>
      </c>
      <c r="R1688" s="1" t="str">
        <v/>
      </c>
      <c r="S1688" s="3">
        <v>0</v>
      </c>
      <c r="T1688" s="3">
        <v>0</v>
      </c>
    </row>
    <row r="1689" spans="1:20" x14ac:dyDescent="0.25">
      <c r="A1689" t="s">
        <v>78</v>
      </c>
      <c r="B1689" t="s">
        <v>79</v>
      </c>
      <c r="C1689" t="s">
        <v>2391</v>
      </c>
      <c r="D1689" t="s">
        <v>2392</v>
      </c>
      <c r="E1689">
        <v>647.9</v>
      </c>
      <c r="F1689">
        <v>647</v>
      </c>
      <c r="G1689">
        <v>653</v>
      </c>
      <c r="H1689">
        <v>630</v>
      </c>
      <c r="I1689" s="1">
        <v>646.1</v>
      </c>
      <c r="J1689">
        <v>109357419.84999999</v>
      </c>
      <c r="K1689">
        <v>170691</v>
      </c>
      <c r="L1689" t="s">
        <v>78</v>
      </c>
      <c r="M1689" t="s">
        <v>17</v>
      </c>
      <c r="N1689">
        <v>11153</v>
      </c>
      <c r="O1689">
        <v>685</v>
      </c>
      <c r="P1689">
        <v>296.8</v>
      </c>
      <c r="Q1689" s="1">
        <v>594.65</v>
      </c>
      <c r="R1689" s="1">
        <v>344.7</v>
      </c>
      <c r="S1689" s="3">
        <v>6.9390723477313898E-3</v>
      </c>
      <c r="T1689" s="3">
        <v>3.1894865271726136E-2</v>
      </c>
    </row>
    <row r="1690" spans="1:20" x14ac:dyDescent="0.25">
      <c r="A1690" t="s">
        <v>78</v>
      </c>
      <c r="B1690" t="s">
        <v>79</v>
      </c>
      <c r="C1690" t="s">
        <v>5430</v>
      </c>
      <c r="D1690" t="s">
        <v>5429</v>
      </c>
      <c r="E1690">
        <v>666.85</v>
      </c>
      <c r="F1690">
        <v>667.75</v>
      </c>
      <c r="G1690">
        <v>676.45</v>
      </c>
      <c r="H1690">
        <v>652.04999999999995</v>
      </c>
      <c r="I1690" s="1">
        <v>655.5</v>
      </c>
      <c r="J1690">
        <v>10446479.35</v>
      </c>
      <c r="K1690">
        <v>15734</v>
      </c>
      <c r="L1690" t="s">
        <v>78</v>
      </c>
      <c r="M1690" t="s">
        <v>17</v>
      </c>
      <c r="N1690">
        <v>2303</v>
      </c>
      <c r="O1690">
        <v>893</v>
      </c>
      <c r="P1690">
        <v>492.9</v>
      </c>
      <c r="Q1690" s="1" t="str">
        <v/>
      </c>
      <c r="R1690" s="1" t="str">
        <v/>
      </c>
      <c r="S1690" s="3">
        <v>0</v>
      </c>
      <c r="T1690" s="3">
        <v>0</v>
      </c>
    </row>
    <row r="1691" spans="1:20" x14ac:dyDescent="0.25">
      <c r="A1691" t="s">
        <v>78</v>
      </c>
      <c r="B1691" t="s">
        <v>79</v>
      </c>
      <c r="C1691" t="s">
        <v>3449</v>
      </c>
      <c r="D1691" t="s">
        <v>3450</v>
      </c>
      <c r="E1691">
        <v>39.270000000000003</v>
      </c>
      <c r="F1691">
        <v>39</v>
      </c>
      <c r="G1691">
        <v>39.479999999999997</v>
      </c>
      <c r="H1691">
        <v>37.200000000000003</v>
      </c>
      <c r="I1691" s="1">
        <v>37.590000000000003</v>
      </c>
      <c r="J1691">
        <v>8509126.5099999998</v>
      </c>
      <c r="K1691">
        <v>222739</v>
      </c>
      <c r="L1691" t="s">
        <v>78</v>
      </c>
      <c r="M1691" t="s">
        <v>17</v>
      </c>
      <c r="N1691">
        <v>2997</v>
      </c>
      <c r="O1691">
        <v>49.75</v>
      </c>
      <c r="P1691">
        <v>31</v>
      </c>
      <c r="Q1691" s="1">
        <v>26.05</v>
      </c>
      <c r="R1691" s="1">
        <v>23.9</v>
      </c>
      <c r="S1691" s="3">
        <v>3.1031774961014946E-2</v>
      </c>
      <c r="T1691" s="3">
        <v>2.2888593842261384E-2</v>
      </c>
    </row>
    <row r="1692" spans="1:20" x14ac:dyDescent="0.25">
      <c r="A1692" t="s">
        <v>78</v>
      </c>
      <c r="B1692" t="s">
        <v>79</v>
      </c>
      <c r="C1692" t="s">
        <v>2393</v>
      </c>
      <c r="D1692" t="s">
        <v>2394</v>
      </c>
      <c r="E1692">
        <v>91.5</v>
      </c>
      <c r="F1692">
        <v>90</v>
      </c>
      <c r="G1692">
        <v>91.89</v>
      </c>
      <c r="H1692">
        <v>90</v>
      </c>
      <c r="I1692" s="1">
        <v>91.6</v>
      </c>
      <c r="J1692">
        <v>821161.84</v>
      </c>
      <c r="K1692">
        <v>8989</v>
      </c>
      <c r="L1692" t="s">
        <v>78</v>
      </c>
      <c r="M1692" t="s">
        <v>17</v>
      </c>
      <c r="N1692">
        <v>182</v>
      </c>
      <c r="O1692">
        <v>119.35</v>
      </c>
      <c r="P1692">
        <v>70.599999999999994</v>
      </c>
      <c r="Q1692" s="1">
        <v>88.45</v>
      </c>
      <c r="R1692" s="1">
        <v>41</v>
      </c>
      <c r="S1692" s="3">
        <v>2.9204103701698791E-3</v>
      </c>
      <c r="T1692" s="3">
        <v>4.0988714722974384E-2</v>
      </c>
    </row>
    <row r="1693" spans="1:20" x14ac:dyDescent="0.25">
      <c r="A1693" t="s">
        <v>78</v>
      </c>
      <c r="B1693" t="s">
        <v>79</v>
      </c>
      <c r="C1693" t="s">
        <v>2395</v>
      </c>
      <c r="D1693" t="s">
        <v>2396</v>
      </c>
      <c r="E1693">
        <v>196.13</v>
      </c>
      <c r="F1693">
        <v>194.9</v>
      </c>
      <c r="G1693">
        <v>197.71</v>
      </c>
      <c r="H1693">
        <v>180.1</v>
      </c>
      <c r="I1693" s="1">
        <v>181.51</v>
      </c>
      <c r="J1693">
        <v>6555608.54</v>
      </c>
      <c r="K1693">
        <v>34984</v>
      </c>
      <c r="L1693" t="s">
        <v>78</v>
      </c>
      <c r="M1693" t="s">
        <v>17</v>
      </c>
      <c r="N1693">
        <v>1250</v>
      </c>
      <c r="O1693">
        <v>205</v>
      </c>
      <c r="P1693">
        <v>115</v>
      </c>
      <c r="Q1693" s="1">
        <v>186.65</v>
      </c>
      <c r="R1693" s="1">
        <v>123.25</v>
      </c>
      <c r="S1693" s="3">
        <v>-2.3243326087909466E-3</v>
      </c>
      <c r="T1693" s="3">
        <v>1.9532508490679446E-2</v>
      </c>
    </row>
    <row r="1694" spans="1:20" x14ac:dyDescent="0.25">
      <c r="A1694" t="s">
        <v>78</v>
      </c>
      <c r="B1694" t="s">
        <v>79</v>
      </c>
      <c r="C1694" t="s">
        <v>2397</v>
      </c>
      <c r="D1694" t="s">
        <v>2398</v>
      </c>
      <c r="E1694">
        <v>192.51</v>
      </c>
      <c r="F1694">
        <v>192.9</v>
      </c>
      <c r="G1694">
        <v>194.26</v>
      </c>
      <c r="H1694">
        <v>189.5</v>
      </c>
      <c r="I1694" s="1">
        <v>192.55</v>
      </c>
      <c r="J1694">
        <v>48459118.359999999</v>
      </c>
      <c r="K1694">
        <v>252046</v>
      </c>
      <c r="L1694" t="s">
        <v>78</v>
      </c>
      <c r="M1694" t="s">
        <v>17</v>
      </c>
      <c r="N1694">
        <v>6441</v>
      </c>
      <c r="O1694">
        <v>232</v>
      </c>
      <c r="P1694">
        <v>112.5</v>
      </c>
      <c r="Q1694" s="1">
        <v>165.55</v>
      </c>
      <c r="R1694" s="1">
        <v>126.4</v>
      </c>
      <c r="S1694" s="3">
        <v>1.2669806799137762E-2</v>
      </c>
      <c r="T1694" s="3">
        <v>2.1256460880704209E-2</v>
      </c>
    </row>
    <row r="1695" spans="1:20" x14ac:dyDescent="0.25">
      <c r="A1695" t="s">
        <v>78</v>
      </c>
      <c r="B1695" t="s">
        <v>79</v>
      </c>
      <c r="C1695" t="s">
        <v>2399</v>
      </c>
      <c r="D1695" t="s">
        <v>2400</v>
      </c>
      <c r="E1695">
        <v>821.3</v>
      </c>
      <c r="F1695">
        <v>821.3</v>
      </c>
      <c r="G1695">
        <v>840.85</v>
      </c>
      <c r="H1695">
        <v>811</v>
      </c>
      <c r="I1695" s="1">
        <v>819.35</v>
      </c>
      <c r="J1695">
        <v>60870859.049999997</v>
      </c>
      <c r="K1695">
        <v>73871</v>
      </c>
      <c r="L1695" t="s">
        <v>78</v>
      </c>
      <c r="M1695" t="s">
        <v>17</v>
      </c>
      <c r="N1695">
        <v>10469</v>
      </c>
      <c r="O1695">
        <v>920</v>
      </c>
      <c r="P1695">
        <v>616</v>
      </c>
      <c r="Q1695" s="1">
        <v>242.85</v>
      </c>
      <c r="R1695" s="1">
        <v>456.15</v>
      </c>
      <c r="S1695" s="3">
        <v>0.10665167540753173</v>
      </c>
      <c r="T1695" s="3">
        <v>2.9700974946813119E-2</v>
      </c>
    </row>
    <row r="1696" spans="1:20" x14ac:dyDescent="0.25">
      <c r="A1696" t="s">
        <v>78</v>
      </c>
      <c r="B1696" t="s">
        <v>79</v>
      </c>
      <c r="C1696" t="s">
        <v>2403</v>
      </c>
      <c r="D1696" t="s">
        <v>2404</v>
      </c>
      <c r="E1696">
        <v>115.22</v>
      </c>
      <c r="F1696">
        <v>115.7</v>
      </c>
      <c r="G1696">
        <v>116.41</v>
      </c>
      <c r="H1696">
        <v>113.5</v>
      </c>
      <c r="I1696" s="1">
        <v>114.15</v>
      </c>
      <c r="J1696">
        <v>115443588.42</v>
      </c>
      <c r="K1696">
        <v>1008272</v>
      </c>
      <c r="L1696" t="s">
        <v>78</v>
      </c>
      <c r="M1696" t="s">
        <v>17</v>
      </c>
      <c r="N1696">
        <v>11077</v>
      </c>
      <c r="O1696">
        <v>123.9</v>
      </c>
      <c r="P1696">
        <v>76.45</v>
      </c>
      <c r="Q1696" s="1">
        <v>86</v>
      </c>
      <c r="R1696" s="1" t="str">
        <v/>
      </c>
      <c r="S1696" s="3">
        <v>2.3877789250793313E-2</v>
      </c>
      <c r="T1696" s="3">
        <v>0</v>
      </c>
    </row>
    <row r="1697" spans="1:20" x14ac:dyDescent="0.25">
      <c r="A1697" t="s">
        <v>78</v>
      </c>
      <c r="B1697" t="s">
        <v>287</v>
      </c>
      <c r="C1697" t="s">
        <v>5428</v>
      </c>
      <c r="D1697" t="s">
        <v>5427</v>
      </c>
      <c r="E1697">
        <v>173.1</v>
      </c>
      <c r="F1697">
        <v>167</v>
      </c>
      <c r="G1697">
        <v>169.5</v>
      </c>
      <c r="H1697">
        <v>165</v>
      </c>
      <c r="I1697" s="1">
        <v>165.85</v>
      </c>
      <c r="J1697">
        <v>1836150</v>
      </c>
      <c r="K1697">
        <v>11000</v>
      </c>
      <c r="L1697" t="s">
        <v>78</v>
      </c>
      <c r="M1697" t="s">
        <v>17</v>
      </c>
      <c r="N1697">
        <v>11</v>
      </c>
      <c r="O1697">
        <v>190</v>
      </c>
      <c r="P1697">
        <v>63</v>
      </c>
      <c r="Q1697" s="1" t="str">
        <v/>
      </c>
      <c r="R1697" s="1" t="str">
        <v/>
      </c>
      <c r="S1697" s="3">
        <v>0</v>
      </c>
      <c r="T1697" s="3">
        <v>0</v>
      </c>
    </row>
    <row r="1698" spans="1:20" x14ac:dyDescent="0.25">
      <c r="A1698" t="s">
        <v>78</v>
      </c>
      <c r="B1698" t="s">
        <v>79</v>
      </c>
      <c r="C1698" t="s">
        <v>2405</v>
      </c>
      <c r="D1698" t="s">
        <v>2406</v>
      </c>
      <c r="E1698">
        <v>235.1</v>
      </c>
      <c r="F1698">
        <v>232</v>
      </c>
      <c r="G1698">
        <v>242</v>
      </c>
      <c r="H1698">
        <v>230.68</v>
      </c>
      <c r="I1698" s="1">
        <v>231.24</v>
      </c>
      <c r="J1698">
        <v>21886325.34</v>
      </c>
      <c r="K1698">
        <v>92908</v>
      </c>
      <c r="L1698" t="s">
        <v>78</v>
      </c>
      <c r="M1698" t="s">
        <v>17</v>
      </c>
      <c r="N1698">
        <v>5102</v>
      </c>
      <c r="O1698">
        <v>260</v>
      </c>
      <c r="P1698">
        <v>155.15</v>
      </c>
      <c r="Q1698" s="1">
        <v>180.25</v>
      </c>
      <c r="R1698" s="1">
        <v>91.7</v>
      </c>
      <c r="S1698" s="3">
        <v>2.0976252314673483E-2</v>
      </c>
      <c r="T1698" s="3">
        <v>4.7306217919774074E-2</v>
      </c>
    </row>
    <row r="1699" spans="1:20" x14ac:dyDescent="0.25">
      <c r="A1699" t="s">
        <v>78</v>
      </c>
      <c r="B1699" t="s">
        <v>79</v>
      </c>
      <c r="C1699" t="s">
        <v>2409</v>
      </c>
      <c r="D1699" t="s">
        <v>2410</v>
      </c>
      <c r="E1699">
        <v>307.75</v>
      </c>
      <c r="F1699">
        <v>312.35000000000002</v>
      </c>
      <c r="G1699">
        <v>312.35000000000002</v>
      </c>
      <c r="H1699">
        <v>298</v>
      </c>
      <c r="I1699" s="1">
        <v>300.89999999999998</v>
      </c>
      <c r="J1699">
        <v>11591473.949999999</v>
      </c>
      <c r="K1699">
        <v>38451</v>
      </c>
      <c r="L1699" t="s">
        <v>78</v>
      </c>
      <c r="M1699" t="s">
        <v>17</v>
      </c>
      <c r="N1699">
        <v>2058</v>
      </c>
      <c r="O1699">
        <v>347</v>
      </c>
      <c r="P1699">
        <v>201.5</v>
      </c>
      <c r="Q1699" s="1">
        <v>113.05</v>
      </c>
      <c r="R1699" s="1">
        <v>124</v>
      </c>
      <c r="S1699" s="3">
        <v>8.4998909666230915E-2</v>
      </c>
      <c r="T1699" s="3">
        <v>4.5296468013467539E-2</v>
      </c>
    </row>
    <row r="1700" spans="1:20" x14ac:dyDescent="0.25">
      <c r="A1700" t="s">
        <v>78</v>
      </c>
      <c r="B1700" t="s">
        <v>79</v>
      </c>
      <c r="C1700" t="s">
        <v>2411</v>
      </c>
      <c r="D1700" t="s">
        <v>2412</v>
      </c>
      <c r="E1700">
        <v>399.85</v>
      </c>
      <c r="F1700">
        <v>400</v>
      </c>
      <c r="G1700">
        <v>413.9</v>
      </c>
      <c r="H1700">
        <v>388</v>
      </c>
      <c r="I1700" s="1">
        <v>391.45</v>
      </c>
      <c r="J1700">
        <v>112000634.55</v>
      </c>
      <c r="K1700">
        <v>282667</v>
      </c>
      <c r="L1700" t="s">
        <v>78</v>
      </c>
      <c r="M1700" t="s">
        <v>17</v>
      </c>
      <c r="N1700">
        <v>13201</v>
      </c>
      <c r="O1700">
        <v>505.65</v>
      </c>
      <c r="P1700">
        <v>230.2</v>
      </c>
      <c r="Q1700" s="1">
        <v>189.55</v>
      </c>
      <c r="R1700" s="1">
        <v>131.4</v>
      </c>
      <c r="S1700" s="3">
        <v>6.2297213745284186E-2</v>
      </c>
      <c r="T1700" s="3">
        <v>5.6066010817437117E-2</v>
      </c>
    </row>
    <row r="1701" spans="1:20" x14ac:dyDescent="0.25">
      <c r="A1701" t="s">
        <v>78</v>
      </c>
      <c r="B1701" t="s">
        <v>79</v>
      </c>
      <c r="C1701" t="s">
        <v>3453</v>
      </c>
      <c r="D1701" t="s">
        <v>3454</v>
      </c>
      <c r="E1701">
        <v>1893.8</v>
      </c>
      <c r="F1701">
        <v>1908.8</v>
      </c>
      <c r="G1701">
        <v>1930</v>
      </c>
      <c r="H1701">
        <v>1880</v>
      </c>
      <c r="I1701" s="1">
        <v>1918.4</v>
      </c>
      <c r="J1701">
        <v>174765954.75</v>
      </c>
      <c r="K1701">
        <v>91711</v>
      </c>
      <c r="L1701" t="s">
        <v>78</v>
      </c>
      <c r="M1701" t="s">
        <v>17</v>
      </c>
      <c r="N1701">
        <v>9445</v>
      </c>
      <c r="O1701">
        <v>2206</v>
      </c>
      <c r="P1701">
        <v>948.9</v>
      </c>
      <c r="Q1701" s="1">
        <v>878</v>
      </c>
      <c r="R1701" s="1">
        <v>780.9</v>
      </c>
      <c r="S1701" s="3">
        <v>6.7301338696084567E-2</v>
      </c>
      <c r="T1701" s="3">
        <v>4.5939341472306827E-2</v>
      </c>
    </row>
    <row r="1702" spans="1:20" x14ac:dyDescent="0.25">
      <c r="A1702" t="s">
        <v>78</v>
      </c>
      <c r="B1702" t="s">
        <v>79</v>
      </c>
      <c r="C1702" t="s">
        <v>5426</v>
      </c>
      <c r="D1702" t="s">
        <v>5425</v>
      </c>
      <c r="E1702">
        <v>104.01</v>
      </c>
      <c r="F1702">
        <v>104.24</v>
      </c>
      <c r="G1702">
        <v>104.62</v>
      </c>
      <c r="H1702">
        <v>101.65</v>
      </c>
      <c r="I1702" s="1">
        <v>103.24</v>
      </c>
      <c r="J1702">
        <v>107492555.29000001</v>
      </c>
      <c r="K1702">
        <v>1043024</v>
      </c>
      <c r="L1702" t="s">
        <v>78</v>
      </c>
      <c r="M1702" t="s">
        <v>17</v>
      </c>
      <c r="N1702">
        <v>9725</v>
      </c>
      <c r="O1702">
        <v>140.9</v>
      </c>
      <c r="P1702">
        <v>65.3</v>
      </c>
      <c r="Q1702" s="1" t="str">
        <v/>
      </c>
      <c r="R1702" s="1" t="str">
        <v/>
      </c>
      <c r="S1702" s="3">
        <v>0</v>
      </c>
      <c r="T1702" s="3">
        <v>0</v>
      </c>
    </row>
    <row r="1703" spans="1:20" x14ac:dyDescent="0.25">
      <c r="A1703" t="s">
        <v>78</v>
      </c>
      <c r="B1703" t="s">
        <v>287</v>
      </c>
      <c r="C1703" t="s">
        <v>5424</v>
      </c>
      <c r="D1703" t="s">
        <v>5423</v>
      </c>
      <c r="E1703">
        <v>77.75</v>
      </c>
      <c r="F1703">
        <v>77</v>
      </c>
      <c r="G1703">
        <v>78.5</v>
      </c>
      <c r="H1703">
        <v>76</v>
      </c>
      <c r="I1703" s="1">
        <v>76.150000000000006</v>
      </c>
      <c r="J1703">
        <v>2615300</v>
      </c>
      <c r="K1703">
        <v>34000</v>
      </c>
      <c r="L1703" t="s">
        <v>78</v>
      </c>
      <c r="M1703" t="s">
        <v>17</v>
      </c>
      <c r="N1703">
        <v>16</v>
      </c>
      <c r="O1703">
        <v>106</v>
      </c>
      <c r="P1703">
        <v>51.5</v>
      </c>
      <c r="Q1703" s="1" t="str">
        <v/>
      </c>
      <c r="R1703" s="1" t="str">
        <v/>
      </c>
      <c r="S1703" s="3">
        <v>0</v>
      </c>
      <c r="T1703" s="3">
        <v>0</v>
      </c>
    </row>
    <row r="1704" spans="1:20" x14ac:dyDescent="0.25">
      <c r="A1704" t="s">
        <v>78</v>
      </c>
      <c r="B1704" t="s">
        <v>287</v>
      </c>
      <c r="C1704" t="s">
        <v>2417</v>
      </c>
      <c r="D1704" t="s">
        <v>2418</v>
      </c>
      <c r="E1704">
        <v>31.9</v>
      </c>
      <c r="F1704">
        <v>31.9</v>
      </c>
      <c r="G1704">
        <v>32.9</v>
      </c>
      <c r="H1704">
        <v>30.35</v>
      </c>
      <c r="I1704" s="1">
        <v>31.15</v>
      </c>
      <c r="J1704">
        <v>594850</v>
      </c>
      <c r="K1704">
        <v>19000</v>
      </c>
      <c r="L1704" t="s">
        <v>78</v>
      </c>
      <c r="M1704" t="s">
        <v>17</v>
      </c>
      <c r="N1704">
        <v>15</v>
      </c>
      <c r="O1704">
        <v>99</v>
      </c>
      <c r="P1704">
        <v>30.35</v>
      </c>
      <c r="Q1704" s="1">
        <v>12.4</v>
      </c>
      <c r="R1704" s="1">
        <v>183.2</v>
      </c>
      <c r="S1704" s="3">
        <v>7.978269697332796E-2</v>
      </c>
      <c r="T1704" s="3">
        <v>-8.4733221910565981E-2</v>
      </c>
    </row>
    <row r="1705" spans="1:20" x14ac:dyDescent="0.25">
      <c r="A1705" t="s">
        <v>78</v>
      </c>
      <c r="B1705" t="s">
        <v>79</v>
      </c>
      <c r="C1705" t="s">
        <v>2419</v>
      </c>
      <c r="D1705" t="s">
        <v>2420</v>
      </c>
      <c r="E1705">
        <v>17.14</v>
      </c>
      <c r="F1705">
        <v>17.399999999999999</v>
      </c>
      <c r="G1705">
        <v>17.5</v>
      </c>
      <c r="H1705">
        <v>17</v>
      </c>
      <c r="I1705" s="1">
        <v>17.11</v>
      </c>
      <c r="J1705">
        <v>2482660.87</v>
      </c>
      <c r="K1705">
        <v>144513</v>
      </c>
      <c r="L1705" t="s">
        <v>78</v>
      </c>
      <c r="M1705" t="s">
        <v>17</v>
      </c>
      <c r="N1705">
        <v>934</v>
      </c>
      <c r="O1705">
        <v>32.4</v>
      </c>
      <c r="P1705">
        <v>16</v>
      </c>
      <c r="Q1705" s="1">
        <v>16.100000000000001</v>
      </c>
      <c r="R1705" s="1">
        <v>3.6</v>
      </c>
      <c r="S1705" s="3">
        <v>5.083193807374764E-3</v>
      </c>
      <c r="T1705" s="3">
        <v>8.1007828567016604E-2</v>
      </c>
    </row>
    <row r="1706" spans="1:20" x14ac:dyDescent="0.25">
      <c r="A1706" t="s">
        <v>78</v>
      </c>
      <c r="B1706" t="s">
        <v>79</v>
      </c>
      <c r="C1706" t="s">
        <v>2421</v>
      </c>
      <c r="D1706" t="s">
        <v>2422</v>
      </c>
      <c r="E1706">
        <v>694.25</v>
      </c>
      <c r="F1706">
        <v>697.6</v>
      </c>
      <c r="G1706">
        <v>698</v>
      </c>
      <c r="H1706">
        <v>671.95</v>
      </c>
      <c r="I1706" s="1">
        <v>682.05</v>
      </c>
      <c r="J1706">
        <v>242250280.59999999</v>
      </c>
      <c r="K1706">
        <v>353523</v>
      </c>
      <c r="L1706" t="s">
        <v>78</v>
      </c>
      <c r="M1706" t="s">
        <v>17</v>
      </c>
      <c r="N1706">
        <v>11630</v>
      </c>
      <c r="O1706">
        <v>745.3</v>
      </c>
      <c r="P1706">
        <v>362.65</v>
      </c>
      <c r="Q1706" s="1">
        <v>413</v>
      </c>
      <c r="R1706" s="1" t="str">
        <v/>
      </c>
      <c r="S1706" s="3">
        <v>4.2690732368673157E-2</v>
      </c>
      <c r="T1706" s="3">
        <v>0</v>
      </c>
    </row>
    <row r="1707" spans="1:20" x14ac:dyDescent="0.25">
      <c r="A1707" t="s">
        <v>78</v>
      </c>
      <c r="B1707" t="s">
        <v>287</v>
      </c>
      <c r="C1707" t="s">
        <v>2425</v>
      </c>
      <c r="D1707" t="s">
        <v>2426</v>
      </c>
      <c r="E1707">
        <v>338.45</v>
      </c>
      <c r="F1707">
        <v>355.25</v>
      </c>
      <c r="G1707">
        <v>355.35</v>
      </c>
      <c r="H1707">
        <v>345.25</v>
      </c>
      <c r="I1707" s="1">
        <v>355.35</v>
      </c>
      <c r="J1707">
        <v>25335925</v>
      </c>
      <c r="K1707">
        <v>71500</v>
      </c>
      <c r="L1707" t="s">
        <v>78</v>
      </c>
      <c r="M1707" t="s">
        <v>17</v>
      </c>
      <c r="N1707">
        <v>117</v>
      </c>
      <c r="O1707">
        <v>355.35</v>
      </c>
      <c r="P1707">
        <v>171.2</v>
      </c>
      <c r="Q1707" s="1">
        <v>61</v>
      </c>
      <c r="R1707" s="1" t="str">
        <v/>
      </c>
      <c r="S1707" s="3">
        <v>0.15818305617767936</v>
      </c>
      <c r="T1707" s="3">
        <v>0</v>
      </c>
    </row>
    <row r="1708" spans="1:20" x14ac:dyDescent="0.25">
      <c r="A1708" t="s">
        <v>78</v>
      </c>
      <c r="B1708" t="s">
        <v>79</v>
      </c>
      <c r="C1708" t="s">
        <v>5422</v>
      </c>
      <c r="D1708" t="s">
        <v>5421</v>
      </c>
      <c r="E1708">
        <v>60.21</v>
      </c>
      <c r="F1708">
        <v>60.39</v>
      </c>
      <c r="G1708">
        <v>60.59</v>
      </c>
      <c r="H1708">
        <v>59.05</v>
      </c>
      <c r="I1708" s="1">
        <v>59.48</v>
      </c>
      <c r="J1708">
        <v>54485706.960000001</v>
      </c>
      <c r="K1708">
        <v>912400</v>
      </c>
      <c r="L1708" t="s">
        <v>78</v>
      </c>
      <c r="M1708" t="s">
        <v>17</v>
      </c>
      <c r="N1708">
        <v>7419</v>
      </c>
      <c r="O1708">
        <v>419.4</v>
      </c>
      <c r="P1708">
        <v>36.4</v>
      </c>
      <c r="Q1708" s="1" t="str">
        <v/>
      </c>
      <c r="R1708" s="1" t="str">
        <v/>
      </c>
      <c r="S1708" s="3">
        <v>0</v>
      </c>
      <c r="T1708" s="3">
        <v>0</v>
      </c>
    </row>
    <row r="1709" spans="1:20" x14ac:dyDescent="0.25">
      <c r="A1709" t="s">
        <v>78</v>
      </c>
      <c r="B1709" t="s">
        <v>79</v>
      </c>
      <c r="C1709" t="s">
        <v>2427</v>
      </c>
      <c r="D1709" t="s">
        <v>2428</v>
      </c>
      <c r="E1709">
        <v>82.77</v>
      </c>
      <c r="F1709">
        <v>82</v>
      </c>
      <c r="G1709">
        <v>83.64</v>
      </c>
      <c r="H1709">
        <v>80.5</v>
      </c>
      <c r="I1709" s="1">
        <v>81.09</v>
      </c>
      <c r="J1709">
        <v>5945541.0800000001</v>
      </c>
      <c r="K1709">
        <v>73032</v>
      </c>
      <c r="L1709" t="s">
        <v>78</v>
      </c>
      <c r="M1709" t="s">
        <v>17</v>
      </c>
      <c r="N1709">
        <v>1834</v>
      </c>
      <c r="O1709">
        <v>97.35</v>
      </c>
      <c r="P1709">
        <v>54.15</v>
      </c>
      <c r="Q1709" s="1">
        <v>50.95</v>
      </c>
      <c r="R1709" s="1">
        <v>23.5</v>
      </c>
      <c r="S1709" s="3">
        <v>3.948587584609653E-2</v>
      </c>
      <c r="T1709" s="3">
        <v>6.3849620531700291E-2</v>
      </c>
    </row>
    <row r="1710" spans="1:20" x14ac:dyDescent="0.25">
      <c r="A1710" t="s">
        <v>78</v>
      </c>
      <c r="B1710" t="s">
        <v>79</v>
      </c>
      <c r="C1710" t="s">
        <v>2429</v>
      </c>
      <c r="D1710" t="s">
        <v>2430</v>
      </c>
      <c r="E1710">
        <v>415.45</v>
      </c>
      <c r="F1710">
        <v>419.05</v>
      </c>
      <c r="G1710">
        <v>423.5</v>
      </c>
      <c r="H1710">
        <v>408.5</v>
      </c>
      <c r="I1710" s="1">
        <v>421.35</v>
      </c>
      <c r="J1710">
        <v>4342611.55</v>
      </c>
      <c r="K1710">
        <v>10407</v>
      </c>
      <c r="L1710" t="s">
        <v>78</v>
      </c>
      <c r="M1710" t="s">
        <v>17</v>
      </c>
      <c r="N1710">
        <v>770</v>
      </c>
      <c r="O1710">
        <v>570</v>
      </c>
      <c r="P1710">
        <v>341.1</v>
      </c>
      <c r="Q1710" s="1">
        <v>181.65</v>
      </c>
      <c r="R1710" s="1" t="str">
        <v/>
      </c>
      <c r="S1710" s="3">
        <v>7.2631713027530242E-2</v>
      </c>
      <c r="T1710" s="3">
        <v>0</v>
      </c>
    </row>
    <row r="1711" spans="1:20" x14ac:dyDescent="0.25">
      <c r="A1711" t="s">
        <v>78</v>
      </c>
      <c r="B1711" t="s">
        <v>79</v>
      </c>
      <c r="C1711" t="s">
        <v>5420</v>
      </c>
      <c r="D1711" t="s">
        <v>5419</v>
      </c>
      <c r="E1711">
        <v>1459.9</v>
      </c>
      <c r="F1711">
        <v>1460.75</v>
      </c>
      <c r="G1711">
        <v>1498</v>
      </c>
      <c r="H1711">
        <v>1457.55</v>
      </c>
      <c r="I1711" s="1">
        <v>1479.15</v>
      </c>
      <c r="J1711">
        <v>1175002255.25</v>
      </c>
      <c r="K1711">
        <v>793603</v>
      </c>
      <c r="L1711" t="s">
        <v>78</v>
      </c>
      <c r="M1711" t="s">
        <v>17</v>
      </c>
      <c r="N1711">
        <v>16396</v>
      </c>
      <c r="O1711">
        <v>1564</v>
      </c>
      <c r="P1711">
        <v>444</v>
      </c>
      <c r="Q1711" s="1" t="str">
        <v/>
      </c>
      <c r="R1711" s="1" t="str">
        <v/>
      </c>
      <c r="S1711" s="3">
        <v>0</v>
      </c>
      <c r="T1711" s="3">
        <v>0</v>
      </c>
    </row>
    <row r="1712" spans="1:20" x14ac:dyDescent="0.25">
      <c r="A1712" t="s">
        <v>78</v>
      </c>
      <c r="B1712" t="s">
        <v>287</v>
      </c>
      <c r="C1712" t="s">
        <v>5418</v>
      </c>
      <c r="D1712" t="s">
        <v>5417</v>
      </c>
      <c r="E1712">
        <v>146</v>
      </c>
      <c r="F1712">
        <v>145</v>
      </c>
      <c r="G1712">
        <v>145</v>
      </c>
      <c r="H1712">
        <v>145</v>
      </c>
      <c r="I1712" s="1">
        <v>145</v>
      </c>
      <c r="J1712">
        <v>870000</v>
      </c>
      <c r="K1712">
        <v>6000</v>
      </c>
      <c r="L1712" t="s">
        <v>78</v>
      </c>
      <c r="M1712" t="s">
        <v>17</v>
      </c>
      <c r="N1712">
        <v>3</v>
      </c>
      <c r="O1712">
        <v>198</v>
      </c>
      <c r="P1712">
        <v>113.95</v>
      </c>
      <c r="Q1712" s="1" t="str">
        <v/>
      </c>
      <c r="R1712" s="1" t="str">
        <v/>
      </c>
      <c r="S1712" s="3">
        <v>0</v>
      </c>
      <c r="T1712" s="3">
        <v>0</v>
      </c>
    </row>
    <row r="1713" spans="1:20" x14ac:dyDescent="0.25">
      <c r="A1713" t="s">
        <v>78</v>
      </c>
      <c r="B1713" t="s">
        <v>79</v>
      </c>
      <c r="C1713" t="s">
        <v>5416</v>
      </c>
      <c r="D1713" t="s">
        <v>5415</v>
      </c>
      <c r="E1713">
        <v>265.2</v>
      </c>
      <c r="F1713">
        <v>265.2</v>
      </c>
      <c r="G1713">
        <v>267</v>
      </c>
      <c r="H1713">
        <v>249.85</v>
      </c>
      <c r="I1713" s="1">
        <v>253.65</v>
      </c>
      <c r="J1713">
        <v>23234212.649999999</v>
      </c>
      <c r="K1713">
        <v>90460</v>
      </c>
      <c r="L1713" t="s">
        <v>78</v>
      </c>
      <c r="M1713" t="s">
        <v>17</v>
      </c>
      <c r="N1713">
        <v>5421</v>
      </c>
      <c r="O1713">
        <v>466</v>
      </c>
      <c r="P1713">
        <v>228</v>
      </c>
      <c r="Q1713" s="1" t="str">
        <v/>
      </c>
      <c r="R1713" s="1" t="str">
        <v/>
      </c>
      <c r="S1713" s="3">
        <v>0</v>
      </c>
      <c r="T1713" s="3">
        <v>0</v>
      </c>
    </row>
    <row r="1714" spans="1:20" x14ac:dyDescent="0.25">
      <c r="A1714" t="s">
        <v>78</v>
      </c>
      <c r="B1714" t="s">
        <v>79</v>
      </c>
      <c r="C1714" t="s">
        <v>3459</v>
      </c>
      <c r="D1714" t="s">
        <v>3460</v>
      </c>
      <c r="E1714">
        <v>27.99</v>
      </c>
      <c r="F1714">
        <v>28.4</v>
      </c>
      <c r="G1714">
        <v>28.4</v>
      </c>
      <c r="H1714">
        <v>27</v>
      </c>
      <c r="I1714" s="1">
        <v>27.25</v>
      </c>
      <c r="J1714">
        <v>2925344.64</v>
      </c>
      <c r="K1714">
        <v>106075</v>
      </c>
      <c r="L1714" t="s">
        <v>78</v>
      </c>
      <c r="M1714" t="s">
        <v>17</v>
      </c>
      <c r="N1714">
        <v>1190</v>
      </c>
      <c r="O1714">
        <v>31.55</v>
      </c>
      <c r="P1714">
        <v>20.2</v>
      </c>
      <c r="Q1714" s="1">
        <v>16.75</v>
      </c>
      <c r="R1714" s="1">
        <v>14.5</v>
      </c>
      <c r="S1714" s="3">
        <v>4.1388173397487682E-2</v>
      </c>
      <c r="T1714" s="3">
        <v>3.2030238998510097E-2</v>
      </c>
    </row>
    <row r="1715" spans="1:20" x14ac:dyDescent="0.25">
      <c r="A1715" t="s">
        <v>78</v>
      </c>
      <c r="B1715" t="s">
        <v>79</v>
      </c>
      <c r="C1715" t="s">
        <v>2431</v>
      </c>
      <c r="D1715" t="s">
        <v>2432</v>
      </c>
      <c r="E1715">
        <v>35.299999999999997</v>
      </c>
      <c r="F1715">
        <v>35</v>
      </c>
      <c r="G1715">
        <v>35.549999999999997</v>
      </c>
      <c r="H1715">
        <v>34.5</v>
      </c>
      <c r="I1715" s="1">
        <v>34.83</v>
      </c>
      <c r="J1715">
        <v>4524610.93</v>
      </c>
      <c r="K1715">
        <v>129208</v>
      </c>
      <c r="L1715" t="s">
        <v>78</v>
      </c>
      <c r="M1715" t="s">
        <v>17</v>
      </c>
      <c r="N1715">
        <v>2805</v>
      </c>
      <c r="O1715">
        <v>43</v>
      </c>
      <c r="P1715">
        <v>21.1</v>
      </c>
      <c r="Q1715" s="1">
        <v>42.1</v>
      </c>
      <c r="R1715" s="1" t="str">
        <v/>
      </c>
      <c r="S1715" s="3">
        <v>-1.5673263764231282E-2</v>
      </c>
      <c r="T1715" s="3">
        <v>0</v>
      </c>
    </row>
    <row r="1716" spans="1:20" x14ac:dyDescent="0.25">
      <c r="A1716" t="s">
        <v>78</v>
      </c>
      <c r="B1716" t="s">
        <v>79</v>
      </c>
      <c r="C1716" t="s">
        <v>2433</v>
      </c>
      <c r="D1716" t="s">
        <v>2434</v>
      </c>
      <c r="E1716">
        <v>587.6</v>
      </c>
      <c r="F1716">
        <v>582.29999999999995</v>
      </c>
      <c r="G1716">
        <v>595.5</v>
      </c>
      <c r="H1716">
        <v>580</v>
      </c>
      <c r="I1716" s="1">
        <v>582.35</v>
      </c>
      <c r="J1716">
        <v>5379520.3499999996</v>
      </c>
      <c r="K1716">
        <v>9228</v>
      </c>
      <c r="L1716" t="s">
        <v>78</v>
      </c>
      <c r="M1716" t="s">
        <v>17</v>
      </c>
      <c r="N1716">
        <v>813</v>
      </c>
      <c r="O1716">
        <v>629.95000000000005</v>
      </c>
      <c r="P1716">
        <v>305</v>
      </c>
      <c r="Q1716" s="1">
        <v>312.55</v>
      </c>
      <c r="R1716" s="1">
        <v>161.9</v>
      </c>
      <c r="S1716" s="3">
        <v>5.3227155487574063E-2</v>
      </c>
      <c r="T1716" s="3">
        <v>6.6059976415240307E-2</v>
      </c>
    </row>
    <row r="1717" spans="1:20" x14ac:dyDescent="0.25">
      <c r="A1717" t="s">
        <v>78</v>
      </c>
      <c r="B1717" t="s">
        <v>287</v>
      </c>
      <c r="C1717" t="s">
        <v>5414</v>
      </c>
      <c r="D1717" t="s">
        <v>5413</v>
      </c>
      <c r="E1717">
        <v>63.8</v>
      </c>
      <c r="F1717">
        <v>66.349999999999994</v>
      </c>
      <c r="G1717">
        <v>66.349999999999994</v>
      </c>
      <c r="H1717">
        <v>63</v>
      </c>
      <c r="I1717" s="1">
        <v>64</v>
      </c>
      <c r="J1717">
        <v>1402000</v>
      </c>
      <c r="K1717">
        <v>22000</v>
      </c>
      <c r="L1717" t="s">
        <v>78</v>
      </c>
      <c r="M1717" t="s">
        <v>17</v>
      </c>
      <c r="N1717">
        <v>11</v>
      </c>
      <c r="O1717">
        <v>74.900000000000006</v>
      </c>
      <c r="P1717">
        <v>46.1</v>
      </c>
      <c r="Q1717" s="1" t="str">
        <v/>
      </c>
      <c r="R1717" s="1" t="str">
        <v/>
      </c>
      <c r="S1717" s="3">
        <v>0</v>
      </c>
      <c r="T1717" s="3">
        <v>0</v>
      </c>
    </row>
    <row r="1718" spans="1:20" x14ac:dyDescent="0.25">
      <c r="A1718" t="s">
        <v>78</v>
      </c>
      <c r="B1718" t="s">
        <v>79</v>
      </c>
      <c r="C1718" t="s">
        <v>3461</v>
      </c>
      <c r="D1718" t="s">
        <v>3462</v>
      </c>
      <c r="E1718">
        <v>18.66</v>
      </c>
      <c r="F1718">
        <v>18.5</v>
      </c>
      <c r="G1718">
        <v>19.8</v>
      </c>
      <c r="H1718">
        <v>17.510000000000002</v>
      </c>
      <c r="I1718" s="1">
        <v>19.28</v>
      </c>
      <c r="J1718">
        <v>341809.5</v>
      </c>
      <c r="K1718">
        <v>18107</v>
      </c>
      <c r="L1718" t="s">
        <v>78</v>
      </c>
      <c r="M1718" t="s">
        <v>17</v>
      </c>
      <c r="N1718">
        <v>202</v>
      </c>
      <c r="O1718">
        <v>23</v>
      </c>
      <c r="P1718">
        <v>13.25</v>
      </c>
      <c r="Q1718" s="1">
        <v>20.75</v>
      </c>
      <c r="R1718" s="1">
        <v>54.55</v>
      </c>
      <c r="S1718" s="3">
        <v>-6.1044547654552916E-3</v>
      </c>
      <c r="T1718" s="3">
        <v>-5.0646442932923197E-2</v>
      </c>
    </row>
    <row r="1719" spans="1:20" x14ac:dyDescent="0.25">
      <c r="A1719" t="s">
        <v>78</v>
      </c>
      <c r="B1719" t="s">
        <v>79</v>
      </c>
      <c r="C1719" t="s">
        <v>2435</v>
      </c>
      <c r="D1719" t="s">
        <v>2436</v>
      </c>
      <c r="E1719">
        <v>741.95</v>
      </c>
      <c r="F1719">
        <v>743</v>
      </c>
      <c r="G1719">
        <v>754</v>
      </c>
      <c r="H1719">
        <v>722.7</v>
      </c>
      <c r="I1719" s="1">
        <v>742.65</v>
      </c>
      <c r="J1719">
        <v>17352551.550000001</v>
      </c>
      <c r="K1719">
        <v>23281</v>
      </c>
      <c r="L1719" t="s">
        <v>78</v>
      </c>
      <c r="M1719" t="s">
        <v>17</v>
      </c>
      <c r="N1719">
        <v>1226</v>
      </c>
      <c r="O1719">
        <v>826.95</v>
      </c>
      <c r="P1719">
        <v>376.1</v>
      </c>
      <c r="Q1719" s="1">
        <v>86</v>
      </c>
      <c r="R1719" s="1">
        <v>121</v>
      </c>
      <c r="S1719" s="3">
        <v>0.1968061471162017</v>
      </c>
      <c r="T1719" s="3">
        <v>9.4909851999391392E-2</v>
      </c>
    </row>
    <row r="1720" spans="1:20" x14ac:dyDescent="0.25">
      <c r="A1720" t="s">
        <v>78</v>
      </c>
      <c r="B1720" t="s">
        <v>79</v>
      </c>
      <c r="C1720" t="s">
        <v>2437</v>
      </c>
      <c r="D1720" t="s">
        <v>2438</v>
      </c>
      <c r="E1720">
        <v>145</v>
      </c>
      <c r="F1720">
        <v>148</v>
      </c>
      <c r="G1720">
        <v>151.9</v>
      </c>
      <c r="H1720">
        <v>142.13999999999999</v>
      </c>
      <c r="I1720" s="1">
        <v>146.12</v>
      </c>
      <c r="J1720">
        <v>14965205.65</v>
      </c>
      <c r="K1720">
        <v>102891</v>
      </c>
      <c r="L1720" t="s">
        <v>78</v>
      </c>
      <c r="M1720" t="s">
        <v>17</v>
      </c>
      <c r="N1720">
        <v>599</v>
      </c>
      <c r="O1720">
        <v>160.97999999999999</v>
      </c>
      <c r="P1720">
        <v>109.05</v>
      </c>
      <c r="Q1720" s="1">
        <v>49.35</v>
      </c>
      <c r="R1720" s="1">
        <v>86.5</v>
      </c>
      <c r="S1720" s="3">
        <v>9.4675022743761383E-2</v>
      </c>
      <c r="T1720" s="3">
        <v>2.6546066093188658E-2</v>
      </c>
    </row>
    <row r="1721" spans="1:20" x14ac:dyDescent="0.25">
      <c r="A1721" t="s">
        <v>78</v>
      </c>
      <c r="B1721" t="s">
        <v>79</v>
      </c>
      <c r="C1721" t="s">
        <v>5412</v>
      </c>
      <c r="D1721" t="s">
        <v>5411</v>
      </c>
      <c r="E1721">
        <v>109.42</v>
      </c>
      <c r="F1721">
        <v>109.01</v>
      </c>
      <c r="G1721">
        <v>111.75</v>
      </c>
      <c r="H1721">
        <v>107.5</v>
      </c>
      <c r="I1721" s="1">
        <v>108.52</v>
      </c>
      <c r="J1721">
        <v>20403018.989999998</v>
      </c>
      <c r="K1721">
        <v>185902</v>
      </c>
      <c r="L1721" t="s">
        <v>78</v>
      </c>
      <c r="M1721" t="s">
        <v>17</v>
      </c>
      <c r="N1721">
        <v>3962</v>
      </c>
      <c r="O1721">
        <v>137.94999999999999</v>
      </c>
      <c r="P1721">
        <v>100.55</v>
      </c>
      <c r="Q1721" s="1" t="str">
        <v/>
      </c>
      <c r="R1721" s="1" t="str">
        <v/>
      </c>
      <c r="S1721" s="3">
        <v>0</v>
      </c>
      <c r="T1721" s="3">
        <v>0</v>
      </c>
    </row>
    <row r="1722" spans="1:20" x14ac:dyDescent="0.25">
      <c r="A1722" t="s">
        <v>78</v>
      </c>
      <c r="B1722" t="s">
        <v>79</v>
      </c>
      <c r="C1722" t="s">
        <v>5410</v>
      </c>
      <c r="D1722" t="s">
        <v>5409</v>
      </c>
      <c r="E1722">
        <v>19.100000000000001</v>
      </c>
      <c r="F1722">
        <v>19.39</v>
      </c>
      <c r="G1722">
        <v>19.47</v>
      </c>
      <c r="H1722">
        <v>18.559999999999999</v>
      </c>
      <c r="I1722" s="1">
        <v>18.78</v>
      </c>
      <c r="J1722">
        <v>12654147.949999999</v>
      </c>
      <c r="K1722">
        <v>672775</v>
      </c>
      <c r="L1722" t="s">
        <v>78</v>
      </c>
      <c r="M1722" t="s">
        <v>17</v>
      </c>
      <c r="N1722">
        <v>2608</v>
      </c>
      <c r="O1722">
        <v>45.15</v>
      </c>
      <c r="P1722">
        <v>16.7</v>
      </c>
      <c r="Q1722" s="1" t="str">
        <v/>
      </c>
      <c r="R1722" s="1" t="str">
        <v/>
      </c>
      <c r="S1722" s="3">
        <v>0</v>
      </c>
      <c r="T1722" s="3">
        <v>0</v>
      </c>
    </row>
    <row r="1723" spans="1:20" x14ac:dyDescent="0.25">
      <c r="A1723" t="s">
        <v>78</v>
      </c>
      <c r="B1723" t="s">
        <v>79</v>
      </c>
      <c r="C1723" t="s">
        <v>2439</v>
      </c>
      <c r="D1723" t="s">
        <v>2440</v>
      </c>
      <c r="E1723">
        <v>136.31</v>
      </c>
      <c r="F1723">
        <v>137</v>
      </c>
      <c r="G1723">
        <v>138</v>
      </c>
      <c r="H1723">
        <v>135</v>
      </c>
      <c r="I1723" s="1">
        <v>135</v>
      </c>
      <c r="J1723">
        <v>1404217.74</v>
      </c>
      <c r="K1723">
        <v>10305</v>
      </c>
      <c r="L1723" t="s">
        <v>78</v>
      </c>
      <c r="M1723" t="s">
        <v>17</v>
      </c>
      <c r="N1723">
        <v>133</v>
      </c>
      <c r="O1723">
        <v>143</v>
      </c>
      <c r="P1723">
        <v>120.6</v>
      </c>
      <c r="Q1723" s="1">
        <v>77.150000000000006</v>
      </c>
      <c r="R1723" s="1">
        <v>63.25</v>
      </c>
      <c r="S1723" s="3">
        <v>4.7731062592178297E-2</v>
      </c>
      <c r="T1723" s="3">
        <v>3.8615131934707225E-2</v>
      </c>
    </row>
    <row r="1724" spans="1:20" x14ac:dyDescent="0.25">
      <c r="A1724" t="s">
        <v>78</v>
      </c>
      <c r="B1724" t="s">
        <v>79</v>
      </c>
      <c r="C1724" t="s">
        <v>2441</v>
      </c>
      <c r="D1724" t="s">
        <v>2442</v>
      </c>
      <c r="E1724">
        <v>372.85</v>
      </c>
      <c r="F1724">
        <v>372.5</v>
      </c>
      <c r="G1724">
        <v>379</v>
      </c>
      <c r="H1724">
        <v>366.55</v>
      </c>
      <c r="I1724" s="1">
        <v>373.45</v>
      </c>
      <c r="J1724">
        <v>122202815.45</v>
      </c>
      <c r="K1724">
        <v>327091</v>
      </c>
      <c r="L1724" t="s">
        <v>78</v>
      </c>
      <c r="M1724" t="s">
        <v>17</v>
      </c>
      <c r="N1724">
        <v>16464</v>
      </c>
      <c r="O1724">
        <v>444</v>
      </c>
      <c r="P1724">
        <v>282.05</v>
      </c>
      <c r="Q1724" s="1">
        <v>344.95</v>
      </c>
      <c r="R1724" s="1">
        <v>205</v>
      </c>
      <c r="S1724" s="3">
        <v>6.6373173240852346E-3</v>
      </c>
      <c r="T1724" s="3">
        <v>3.0425974491741892E-2</v>
      </c>
    </row>
    <row r="1725" spans="1:20" x14ac:dyDescent="0.25">
      <c r="A1725" t="s">
        <v>78</v>
      </c>
      <c r="B1725" t="s">
        <v>79</v>
      </c>
      <c r="C1725" t="s">
        <v>2443</v>
      </c>
      <c r="D1725" t="s">
        <v>2444</v>
      </c>
      <c r="E1725">
        <v>441.3</v>
      </c>
      <c r="F1725">
        <v>443.55</v>
      </c>
      <c r="G1725">
        <v>446.6</v>
      </c>
      <c r="H1725">
        <v>435</v>
      </c>
      <c r="I1725" s="1">
        <v>439.35</v>
      </c>
      <c r="J1725">
        <v>43227763.299999997</v>
      </c>
      <c r="K1725">
        <v>98109</v>
      </c>
      <c r="L1725" t="s">
        <v>78</v>
      </c>
      <c r="M1725" t="s">
        <v>17</v>
      </c>
      <c r="N1725">
        <v>6466</v>
      </c>
      <c r="O1725">
        <v>564.54999999999995</v>
      </c>
      <c r="P1725">
        <v>393</v>
      </c>
      <c r="Q1725" s="1">
        <v>495.5</v>
      </c>
      <c r="R1725" s="1">
        <v>825.75</v>
      </c>
      <c r="S1725" s="3">
        <v>-9.97252394958692E-3</v>
      </c>
      <c r="T1725" s="3">
        <v>-3.1040542052782838E-2</v>
      </c>
    </row>
    <row r="1726" spans="1:20" x14ac:dyDescent="0.25">
      <c r="A1726" t="s">
        <v>78</v>
      </c>
      <c r="B1726" t="s">
        <v>79</v>
      </c>
      <c r="C1726" t="s">
        <v>2445</v>
      </c>
      <c r="D1726" t="s">
        <v>2446</v>
      </c>
      <c r="E1726">
        <v>511.55</v>
      </c>
      <c r="F1726">
        <v>514.5</v>
      </c>
      <c r="G1726">
        <v>516.5</v>
      </c>
      <c r="H1726">
        <v>499.8</v>
      </c>
      <c r="I1726" s="1">
        <v>510.05</v>
      </c>
      <c r="J1726">
        <v>26631152.550000001</v>
      </c>
      <c r="K1726">
        <v>52239</v>
      </c>
      <c r="L1726" t="s">
        <v>78</v>
      </c>
      <c r="M1726" t="s">
        <v>17</v>
      </c>
      <c r="N1726">
        <v>4839</v>
      </c>
      <c r="O1726">
        <v>635</v>
      </c>
      <c r="P1726">
        <v>409.6</v>
      </c>
      <c r="Q1726" s="1">
        <v>410.45</v>
      </c>
      <c r="R1726" s="1">
        <v>266.60000000000002</v>
      </c>
      <c r="S1726" s="3">
        <v>1.8269434401237961E-2</v>
      </c>
      <c r="T1726" s="3">
        <v>3.2951463555697558E-2</v>
      </c>
    </row>
    <row r="1727" spans="1:20" x14ac:dyDescent="0.25">
      <c r="A1727" t="s">
        <v>78</v>
      </c>
      <c r="B1727" t="s">
        <v>287</v>
      </c>
      <c r="C1727" t="s">
        <v>5408</v>
      </c>
      <c r="D1727" t="s">
        <v>5407</v>
      </c>
      <c r="E1727">
        <v>486.35</v>
      </c>
      <c r="F1727">
        <v>481.2</v>
      </c>
      <c r="G1727">
        <v>490</v>
      </c>
      <c r="H1727">
        <v>462.05</v>
      </c>
      <c r="I1727" s="1">
        <v>464.1</v>
      </c>
      <c r="J1727">
        <v>23764325</v>
      </c>
      <c r="K1727">
        <v>50500</v>
      </c>
      <c r="L1727" t="s">
        <v>78</v>
      </c>
      <c r="M1727" t="s">
        <v>17</v>
      </c>
      <c r="N1727">
        <v>100</v>
      </c>
      <c r="O1727">
        <v>510.8</v>
      </c>
      <c r="P1727">
        <v>157.6</v>
      </c>
      <c r="Q1727" s="1" t="str">
        <v/>
      </c>
      <c r="R1727" s="1" t="str">
        <v/>
      </c>
      <c r="S1727" s="3">
        <v>0</v>
      </c>
      <c r="T1727" s="3">
        <v>0</v>
      </c>
    </row>
    <row r="1728" spans="1:20" x14ac:dyDescent="0.25">
      <c r="A1728" t="s">
        <v>78</v>
      </c>
      <c r="B1728" t="s">
        <v>79</v>
      </c>
      <c r="C1728" t="s">
        <v>5406</v>
      </c>
      <c r="D1728" t="s">
        <v>5405</v>
      </c>
      <c r="E1728">
        <v>833.3</v>
      </c>
      <c r="F1728">
        <v>835</v>
      </c>
      <c r="G1728">
        <v>843.5</v>
      </c>
      <c r="H1728">
        <v>798.1</v>
      </c>
      <c r="I1728" s="1">
        <v>802.8</v>
      </c>
      <c r="J1728">
        <v>71799754</v>
      </c>
      <c r="K1728">
        <v>88327</v>
      </c>
      <c r="L1728" t="s">
        <v>78</v>
      </c>
      <c r="M1728" t="s">
        <v>17</v>
      </c>
      <c r="N1728">
        <v>11065</v>
      </c>
      <c r="O1728">
        <v>865</v>
      </c>
      <c r="P1728">
        <v>552.04999999999995</v>
      </c>
      <c r="Q1728" s="1" t="str">
        <v/>
      </c>
      <c r="R1728" s="1" t="str">
        <v/>
      </c>
      <c r="S1728" s="3">
        <v>0</v>
      </c>
      <c r="T1728" s="3">
        <v>0</v>
      </c>
    </row>
    <row r="1729" spans="1:20" x14ac:dyDescent="0.25">
      <c r="A1729" t="s">
        <v>78</v>
      </c>
      <c r="B1729" t="s">
        <v>79</v>
      </c>
      <c r="C1729" t="s">
        <v>2447</v>
      </c>
      <c r="D1729" t="s">
        <v>2448</v>
      </c>
      <c r="E1729">
        <v>151.33000000000001</v>
      </c>
      <c r="F1729">
        <v>151.9</v>
      </c>
      <c r="G1729">
        <v>153.4</v>
      </c>
      <c r="H1729">
        <v>144.21</v>
      </c>
      <c r="I1729" s="1">
        <v>146.44</v>
      </c>
      <c r="J1729">
        <v>3825173953.7199998</v>
      </c>
      <c r="K1729">
        <v>25911911</v>
      </c>
      <c r="L1729" t="s">
        <v>78</v>
      </c>
      <c r="M1729" t="s">
        <v>17</v>
      </c>
      <c r="N1729">
        <v>126397</v>
      </c>
      <c r="O1729">
        <v>170.5</v>
      </c>
      <c r="P1729">
        <v>45.35</v>
      </c>
      <c r="Q1729" s="1">
        <v>27.6</v>
      </c>
      <c r="R1729" s="1">
        <v>24.6</v>
      </c>
      <c r="S1729" s="3">
        <v>0.14920071231775944</v>
      </c>
      <c r="T1729" s="3">
        <v>9.3238750064065234E-2</v>
      </c>
    </row>
    <row r="1730" spans="1:20" x14ac:dyDescent="0.25">
      <c r="A1730" t="s">
        <v>78</v>
      </c>
      <c r="B1730" t="s">
        <v>79</v>
      </c>
      <c r="C1730" t="s">
        <v>2449</v>
      </c>
      <c r="D1730" t="s">
        <v>2450</v>
      </c>
      <c r="E1730">
        <v>5868.25</v>
      </c>
      <c r="F1730">
        <v>5880</v>
      </c>
      <c r="G1730">
        <v>5880.65</v>
      </c>
      <c r="H1730">
        <v>5751</v>
      </c>
      <c r="I1730" s="1">
        <v>5779.5</v>
      </c>
      <c r="J1730">
        <v>211097168.05000001</v>
      </c>
      <c r="K1730">
        <v>36357</v>
      </c>
      <c r="L1730" t="s">
        <v>78</v>
      </c>
      <c r="M1730" t="s">
        <v>17</v>
      </c>
      <c r="N1730">
        <v>6951</v>
      </c>
      <c r="O1730">
        <v>7350</v>
      </c>
      <c r="P1730">
        <v>4024.5</v>
      </c>
      <c r="Q1730" s="1">
        <v>2525</v>
      </c>
      <c r="R1730" s="1">
        <v>1915</v>
      </c>
      <c r="S1730" s="3">
        <v>7.1443004845560099E-2</v>
      </c>
      <c r="T1730" s="3">
        <v>5.6751659799641363E-2</v>
      </c>
    </row>
    <row r="1731" spans="1:20" x14ac:dyDescent="0.25">
      <c r="A1731" t="s">
        <v>78</v>
      </c>
      <c r="B1731" t="s">
        <v>79</v>
      </c>
      <c r="C1731" t="s">
        <v>2451</v>
      </c>
      <c r="D1731" t="s">
        <v>2452</v>
      </c>
      <c r="E1731">
        <v>362.6</v>
      </c>
      <c r="F1731">
        <v>355</v>
      </c>
      <c r="G1731">
        <v>359.9</v>
      </c>
      <c r="H1731">
        <v>349.45</v>
      </c>
      <c r="I1731" s="1">
        <v>351.75</v>
      </c>
      <c r="J1731">
        <v>186115431.80000001</v>
      </c>
      <c r="K1731">
        <v>527353</v>
      </c>
      <c r="L1731" t="s">
        <v>78</v>
      </c>
      <c r="M1731" t="s">
        <v>17</v>
      </c>
      <c r="N1731">
        <v>23490</v>
      </c>
      <c r="O1731">
        <v>405.65</v>
      </c>
      <c r="P1731">
        <v>161.85</v>
      </c>
      <c r="Q1731" s="1">
        <v>87</v>
      </c>
      <c r="R1731" s="1">
        <v>50.55</v>
      </c>
      <c r="S1731" s="3">
        <v>0.12346506209201169</v>
      </c>
      <c r="T1731" s="3">
        <v>0.10179951636454398</v>
      </c>
    </row>
    <row r="1732" spans="1:20" x14ac:dyDescent="0.25">
      <c r="A1732" t="s">
        <v>78</v>
      </c>
      <c r="B1732" t="s">
        <v>862</v>
      </c>
      <c r="C1732" t="s">
        <v>5404</v>
      </c>
      <c r="D1732" t="s">
        <v>5403</v>
      </c>
      <c r="E1732">
        <v>219.05</v>
      </c>
      <c r="F1732">
        <v>219.05</v>
      </c>
      <c r="G1732">
        <v>219.05</v>
      </c>
      <c r="H1732">
        <v>200</v>
      </c>
      <c r="I1732" s="1">
        <v>205.1</v>
      </c>
      <c r="J1732">
        <v>1328588.75</v>
      </c>
      <c r="K1732">
        <v>6387</v>
      </c>
      <c r="L1732" t="s">
        <v>78</v>
      </c>
      <c r="M1732" t="s">
        <v>17</v>
      </c>
      <c r="N1732">
        <v>162</v>
      </c>
      <c r="O1732">
        <v>257.89999999999998</v>
      </c>
      <c r="P1732">
        <v>113.35</v>
      </c>
      <c r="Q1732" s="1" t="str">
        <v/>
      </c>
      <c r="R1732" s="1" t="str">
        <v/>
      </c>
      <c r="S1732" s="3">
        <v>0</v>
      </c>
      <c r="T1732" s="3">
        <v>0</v>
      </c>
    </row>
    <row r="1733" spans="1:20" x14ac:dyDescent="0.25">
      <c r="A1733" t="s">
        <v>78</v>
      </c>
      <c r="B1733" t="s">
        <v>79</v>
      </c>
      <c r="C1733" t="s">
        <v>2453</v>
      </c>
      <c r="D1733" t="s">
        <v>2454</v>
      </c>
      <c r="E1733">
        <v>249.75</v>
      </c>
      <c r="F1733">
        <v>250.5</v>
      </c>
      <c r="G1733">
        <v>273</v>
      </c>
      <c r="H1733">
        <v>249.6</v>
      </c>
      <c r="I1733" s="1">
        <v>262.35000000000002</v>
      </c>
      <c r="J1733">
        <v>122864941.3</v>
      </c>
      <c r="K1733">
        <v>467780</v>
      </c>
      <c r="L1733" t="s">
        <v>78</v>
      </c>
      <c r="M1733" t="s">
        <v>17</v>
      </c>
      <c r="N1733">
        <v>19637</v>
      </c>
      <c r="O1733">
        <v>560.4</v>
      </c>
      <c r="P1733">
        <v>215</v>
      </c>
      <c r="Q1733" s="1">
        <v>88.1</v>
      </c>
      <c r="R1733" s="1">
        <v>30.3</v>
      </c>
      <c r="S1733" s="3">
        <v>9.5196624716111788E-2</v>
      </c>
      <c r="T1733" s="3">
        <v>0.11390012535998495</v>
      </c>
    </row>
    <row r="1734" spans="1:20" x14ac:dyDescent="0.25">
      <c r="A1734" t="s">
        <v>78</v>
      </c>
      <c r="B1734" t="s">
        <v>287</v>
      </c>
      <c r="C1734" t="s">
        <v>5402</v>
      </c>
      <c r="D1734" t="s">
        <v>5401</v>
      </c>
      <c r="E1734">
        <v>224.85</v>
      </c>
      <c r="F1734">
        <v>227</v>
      </c>
      <c r="G1734">
        <v>227.1</v>
      </c>
      <c r="H1734">
        <v>224</v>
      </c>
      <c r="I1734" s="1">
        <v>224.25</v>
      </c>
      <c r="J1734">
        <v>1351250</v>
      </c>
      <c r="K1734">
        <v>6000</v>
      </c>
      <c r="L1734" t="s">
        <v>78</v>
      </c>
      <c r="M1734" t="s">
        <v>17</v>
      </c>
      <c r="N1734">
        <v>11</v>
      </c>
      <c r="O1734">
        <v>344.95</v>
      </c>
      <c r="P1734">
        <v>169</v>
      </c>
      <c r="Q1734" s="1" t="str">
        <v/>
      </c>
      <c r="R1734" s="1" t="str">
        <v/>
      </c>
      <c r="S1734" s="3">
        <v>0</v>
      </c>
      <c r="T1734" s="3">
        <v>0</v>
      </c>
    </row>
    <row r="1735" spans="1:20" x14ac:dyDescent="0.25">
      <c r="A1735" t="s">
        <v>78</v>
      </c>
      <c r="B1735" t="s">
        <v>79</v>
      </c>
      <c r="C1735" t="s">
        <v>2457</v>
      </c>
      <c r="D1735" t="s">
        <v>2458</v>
      </c>
      <c r="E1735">
        <v>155.36000000000001</v>
      </c>
      <c r="F1735">
        <v>156.5</v>
      </c>
      <c r="G1735">
        <v>159.13999999999999</v>
      </c>
      <c r="H1735">
        <v>154.15</v>
      </c>
      <c r="I1735" s="1">
        <v>155.16999999999999</v>
      </c>
      <c r="J1735">
        <v>30341466.140000001</v>
      </c>
      <c r="K1735">
        <v>194150</v>
      </c>
      <c r="L1735" t="s">
        <v>78</v>
      </c>
      <c r="M1735" t="s">
        <v>17</v>
      </c>
      <c r="N1735">
        <v>6902</v>
      </c>
      <c r="O1735">
        <v>183</v>
      </c>
      <c r="P1735">
        <v>71</v>
      </c>
      <c r="Q1735" s="1">
        <v>98.45</v>
      </c>
      <c r="R1735" s="1" t="str">
        <v/>
      </c>
      <c r="S1735" s="3">
        <v>3.8642294026960844E-2</v>
      </c>
      <c r="T1735" s="3">
        <v>0</v>
      </c>
    </row>
    <row r="1736" spans="1:20" x14ac:dyDescent="0.25">
      <c r="A1736" t="s">
        <v>78</v>
      </c>
      <c r="B1736" t="s">
        <v>79</v>
      </c>
      <c r="C1736" t="s">
        <v>2459</v>
      </c>
      <c r="D1736" t="s">
        <v>2460</v>
      </c>
      <c r="E1736">
        <v>2032.25</v>
      </c>
      <c r="F1736">
        <v>2043</v>
      </c>
      <c r="G1736">
        <v>2047.45</v>
      </c>
      <c r="H1736">
        <v>2001.25</v>
      </c>
      <c r="I1736" s="1">
        <v>2010.3</v>
      </c>
      <c r="J1736">
        <v>20002613.5</v>
      </c>
      <c r="K1736">
        <v>9881</v>
      </c>
      <c r="L1736" t="s">
        <v>78</v>
      </c>
      <c r="M1736" t="s">
        <v>17</v>
      </c>
      <c r="N1736">
        <v>2157</v>
      </c>
      <c r="O1736">
        <v>2480</v>
      </c>
      <c r="P1736">
        <v>1030.8499999999999</v>
      </c>
      <c r="Q1736" s="1">
        <v>588</v>
      </c>
      <c r="R1736" s="1">
        <v>641.6</v>
      </c>
      <c r="S1736" s="3">
        <v>0.10787380929642798</v>
      </c>
      <c r="T1736" s="3">
        <v>5.8732498798064636E-2</v>
      </c>
    </row>
    <row r="1737" spans="1:20" x14ac:dyDescent="0.25">
      <c r="A1737" t="s">
        <v>78</v>
      </c>
      <c r="B1737" t="s">
        <v>79</v>
      </c>
      <c r="C1737" t="s">
        <v>5400</v>
      </c>
      <c r="D1737" t="s">
        <v>5399</v>
      </c>
      <c r="E1737">
        <v>193.78</v>
      </c>
      <c r="F1737">
        <v>193.78</v>
      </c>
      <c r="G1737">
        <v>196.16</v>
      </c>
      <c r="H1737">
        <v>187</v>
      </c>
      <c r="I1737" s="1">
        <v>189.97</v>
      </c>
      <c r="J1737">
        <v>6325325.1200000001</v>
      </c>
      <c r="K1737">
        <v>33330</v>
      </c>
      <c r="L1737" t="s">
        <v>78</v>
      </c>
      <c r="M1737" t="s">
        <v>17</v>
      </c>
      <c r="N1737">
        <v>1515</v>
      </c>
      <c r="O1737">
        <v>448</v>
      </c>
      <c r="P1737">
        <v>187</v>
      </c>
      <c r="Q1737" s="1" t="str">
        <v/>
      </c>
      <c r="R1737" s="1" t="str">
        <v/>
      </c>
      <c r="S1737" s="3">
        <v>0</v>
      </c>
      <c r="T1737" s="3">
        <v>0</v>
      </c>
    </row>
    <row r="1738" spans="1:20" x14ac:dyDescent="0.25">
      <c r="A1738" t="s">
        <v>78</v>
      </c>
      <c r="B1738" t="s">
        <v>79</v>
      </c>
      <c r="C1738" t="s">
        <v>2461</v>
      </c>
      <c r="D1738" t="s">
        <v>2462</v>
      </c>
      <c r="E1738">
        <v>837.7</v>
      </c>
      <c r="F1738">
        <v>837.7</v>
      </c>
      <c r="G1738">
        <v>896</v>
      </c>
      <c r="H1738">
        <v>835.7</v>
      </c>
      <c r="I1738" s="1">
        <v>856.35</v>
      </c>
      <c r="J1738">
        <v>3483781.3</v>
      </c>
      <c r="K1738">
        <v>4093</v>
      </c>
      <c r="L1738" t="s">
        <v>78</v>
      </c>
      <c r="M1738" t="s">
        <v>17</v>
      </c>
      <c r="N1738">
        <v>402</v>
      </c>
      <c r="O1738">
        <v>948</v>
      </c>
      <c r="P1738">
        <v>472.05</v>
      </c>
      <c r="Q1738" s="1">
        <v>721.9</v>
      </c>
      <c r="R1738" s="1">
        <v>368.15</v>
      </c>
      <c r="S1738" s="3">
        <v>1.4334479443801174E-2</v>
      </c>
      <c r="T1738" s="3">
        <v>4.3088808506462462E-2</v>
      </c>
    </row>
    <row r="1739" spans="1:20" x14ac:dyDescent="0.25">
      <c r="A1739" t="s">
        <v>78</v>
      </c>
      <c r="B1739" t="s">
        <v>79</v>
      </c>
      <c r="C1739" t="s">
        <v>2463</v>
      </c>
      <c r="D1739" t="s">
        <v>2464</v>
      </c>
      <c r="E1739">
        <v>246.32</v>
      </c>
      <c r="F1739">
        <v>246.32</v>
      </c>
      <c r="G1739">
        <v>246.62</v>
      </c>
      <c r="H1739">
        <v>239.12</v>
      </c>
      <c r="I1739" s="1">
        <v>240.41</v>
      </c>
      <c r="J1739">
        <v>32581993.190000001</v>
      </c>
      <c r="K1739">
        <v>134693</v>
      </c>
      <c r="L1739" t="s">
        <v>78</v>
      </c>
      <c r="M1739" t="s">
        <v>17</v>
      </c>
      <c r="N1739">
        <v>6005</v>
      </c>
      <c r="O1739">
        <v>263.73</v>
      </c>
      <c r="P1739">
        <v>100.8</v>
      </c>
      <c r="Q1739" s="1">
        <v>180.15</v>
      </c>
      <c r="R1739" s="1">
        <v>47.2</v>
      </c>
      <c r="S1739" s="3">
        <v>2.4337774525934996E-2</v>
      </c>
      <c r="T1739" s="3">
        <v>8.4753766946749076E-2</v>
      </c>
    </row>
    <row r="1740" spans="1:20" x14ac:dyDescent="0.25">
      <c r="A1740" t="s">
        <v>78</v>
      </c>
      <c r="B1740" t="s">
        <v>79</v>
      </c>
      <c r="C1740" t="s">
        <v>2465</v>
      </c>
      <c r="D1740" t="s">
        <v>2466</v>
      </c>
      <c r="E1740">
        <v>74.430000000000007</v>
      </c>
      <c r="F1740">
        <v>74.42</v>
      </c>
      <c r="G1740">
        <v>77.7</v>
      </c>
      <c r="H1740">
        <v>73.55</v>
      </c>
      <c r="I1740" s="1">
        <v>76.56</v>
      </c>
      <c r="J1740">
        <v>146822685.84999999</v>
      </c>
      <c r="K1740">
        <v>1941698</v>
      </c>
      <c r="L1740" t="s">
        <v>78</v>
      </c>
      <c r="M1740" t="s">
        <v>17</v>
      </c>
      <c r="N1740">
        <v>11851</v>
      </c>
      <c r="O1740">
        <v>84.9</v>
      </c>
      <c r="P1740">
        <v>46.1</v>
      </c>
      <c r="Q1740" s="1">
        <v>51.3</v>
      </c>
      <c r="R1740" s="1">
        <v>31.05</v>
      </c>
      <c r="S1740" s="3">
        <v>3.392819825300375E-2</v>
      </c>
      <c r="T1740" s="3">
        <v>4.6131510830165201E-2</v>
      </c>
    </row>
    <row r="1741" spans="1:20" x14ac:dyDescent="0.25">
      <c r="A1741" t="s">
        <v>78</v>
      </c>
      <c r="B1741" t="s">
        <v>79</v>
      </c>
      <c r="C1741" t="s">
        <v>2467</v>
      </c>
      <c r="D1741" t="s">
        <v>2468</v>
      </c>
      <c r="E1741">
        <v>1964.9</v>
      </c>
      <c r="F1741">
        <v>1979.95</v>
      </c>
      <c r="G1741">
        <v>1979.95</v>
      </c>
      <c r="H1741">
        <v>1892.75</v>
      </c>
      <c r="I1741" s="1">
        <v>1931.35</v>
      </c>
      <c r="J1741">
        <v>309673208.60000002</v>
      </c>
      <c r="K1741">
        <v>160755</v>
      </c>
      <c r="L1741" t="s">
        <v>78</v>
      </c>
      <c r="M1741" t="s">
        <v>17</v>
      </c>
      <c r="N1741">
        <v>15081</v>
      </c>
      <c r="O1741">
        <v>2220</v>
      </c>
      <c r="P1741">
        <v>553.04999999999995</v>
      </c>
      <c r="Q1741" s="1">
        <v>615.35</v>
      </c>
      <c r="R1741" s="1">
        <v>550</v>
      </c>
      <c r="S1741" s="3">
        <v>0.10000560542824943</v>
      </c>
      <c r="T1741" s="3">
        <v>6.4780227164934034E-2</v>
      </c>
    </row>
    <row r="1742" spans="1:20" x14ac:dyDescent="0.25">
      <c r="A1742" t="s">
        <v>78</v>
      </c>
      <c r="B1742" t="s">
        <v>79</v>
      </c>
      <c r="C1742" t="s">
        <v>5398</v>
      </c>
      <c r="D1742" t="s">
        <v>5397</v>
      </c>
      <c r="E1742">
        <v>362.15</v>
      </c>
      <c r="F1742">
        <v>361.05</v>
      </c>
      <c r="G1742">
        <v>380.25</v>
      </c>
      <c r="H1742">
        <v>356.2</v>
      </c>
      <c r="I1742" s="1">
        <v>358.35</v>
      </c>
      <c r="J1742">
        <v>6479341.7000000002</v>
      </c>
      <c r="K1742">
        <v>17687</v>
      </c>
      <c r="L1742" t="s">
        <v>78</v>
      </c>
      <c r="M1742" t="s">
        <v>17</v>
      </c>
      <c r="N1742">
        <v>479</v>
      </c>
      <c r="O1742">
        <v>395.95</v>
      </c>
      <c r="P1742">
        <v>138.05000000000001</v>
      </c>
      <c r="Q1742" s="1" t="str">
        <v/>
      </c>
      <c r="R1742" s="1">
        <v>54.15</v>
      </c>
      <c r="S1742" s="3">
        <v>0</v>
      </c>
      <c r="T1742" s="3">
        <v>9.9038672676382333E-2</v>
      </c>
    </row>
    <row r="1743" spans="1:20" x14ac:dyDescent="0.25">
      <c r="A1743" t="s">
        <v>78</v>
      </c>
      <c r="B1743" t="s">
        <v>79</v>
      </c>
      <c r="C1743" t="s">
        <v>2471</v>
      </c>
      <c r="D1743" t="s">
        <v>2472</v>
      </c>
      <c r="E1743">
        <v>11780.95</v>
      </c>
      <c r="F1743">
        <v>11750</v>
      </c>
      <c r="G1743">
        <v>11915.25</v>
      </c>
      <c r="H1743">
        <v>11130.05</v>
      </c>
      <c r="I1743" s="1">
        <v>11305.75</v>
      </c>
      <c r="J1743">
        <v>1360187859.9000001</v>
      </c>
      <c r="K1743">
        <v>118522</v>
      </c>
      <c r="L1743" t="s">
        <v>78</v>
      </c>
      <c r="M1743" t="s">
        <v>17</v>
      </c>
      <c r="N1743">
        <v>28156</v>
      </c>
      <c r="O1743">
        <v>13298</v>
      </c>
      <c r="P1743">
        <v>3655.15</v>
      </c>
      <c r="Q1743" s="1">
        <v>1570.3</v>
      </c>
      <c r="R1743" s="1">
        <v>1151.9000000000001</v>
      </c>
      <c r="S1743" s="3">
        <v>0.17880796668838461</v>
      </c>
      <c r="T1743" s="3">
        <v>0.1209005181933025</v>
      </c>
    </row>
    <row r="1744" spans="1:20" x14ac:dyDescent="0.25">
      <c r="A1744" t="s">
        <v>78</v>
      </c>
      <c r="B1744" t="s">
        <v>287</v>
      </c>
      <c r="C1744" t="s">
        <v>2473</v>
      </c>
      <c r="D1744" t="s">
        <v>2474</v>
      </c>
      <c r="E1744">
        <v>1504.75</v>
      </c>
      <c r="F1744">
        <v>1548.95</v>
      </c>
      <c r="G1744">
        <v>1579.95</v>
      </c>
      <c r="H1744">
        <v>1529.25</v>
      </c>
      <c r="I1744" s="1">
        <v>1541.65</v>
      </c>
      <c r="J1744">
        <v>122343340</v>
      </c>
      <c r="K1744">
        <v>77800</v>
      </c>
      <c r="L1744" t="s">
        <v>78</v>
      </c>
      <c r="M1744" t="s">
        <v>17</v>
      </c>
      <c r="N1744">
        <v>269</v>
      </c>
      <c r="O1744">
        <v>1640</v>
      </c>
      <c r="P1744">
        <v>415</v>
      </c>
      <c r="Q1744" s="1">
        <v>56.05</v>
      </c>
      <c r="R1744" s="1">
        <v>25.3</v>
      </c>
      <c r="S1744" s="3">
        <v>0.31810754966516175</v>
      </c>
      <c r="T1744" s="3">
        <v>0.22798875439360344</v>
      </c>
    </row>
    <row r="1745" spans="1:20" x14ac:dyDescent="0.25">
      <c r="A1745" t="s">
        <v>78</v>
      </c>
      <c r="B1745" t="s">
        <v>79</v>
      </c>
      <c r="C1745" t="s">
        <v>3471</v>
      </c>
      <c r="D1745" t="s">
        <v>3472</v>
      </c>
      <c r="E1745">
        <v>776.15</v>
      </c>
      <c r="F1745">
        <v>776.15</v>
      </c>
      <c r="G1745">
        <v>785</v>
      </c>
      <c r="H1745">
        <v>765.05</v>
      </c>
      <c r="I1745" s="1">
        <v>772.75</v>
      </c>
      <c r="J1745">
        <v>19874887.699999999</v>
      </c>
      <c r="K1745">
        <v>25699</v>
      </c>
      <c r="L1745" t="s">
        <v>78</v>
      </c>
      <c r="M1745" t="s">
        <v>17</v>
      </c>
      <c r="N1745">
        <v>4598</v>
      </c>
      <c r="O1745">
        <v>872.6</v>
      </c>
      <c r="P1745">
        <v>561.20000000000005</v>
      </c>
      <c r="Q1745" s="1">
        <v>680</v>
      </c>
      <c r="R1745" s="1">
        <v>416.6</v>
      </c>
      <c r="S1745" s="3">
        <v>1.0712201046984227E-2</v>
      </c>
      <c r="T1745" s="3">
        <v>3.1356096733547778E-2</v>
      </c>
    </row>
    <row r="1746" spans="1:20" x14ac:dyDescent="0.25">
      <c r="A1746" t="s">
        <v>78</v>
      </c>
      <c r="B1746" t="s">
        <v>79</v>
      </c>
      <c r="C1746" t="s">
        <v>2477</v>
      </c>
      <c r="D1746" t="s">
        <v>2478</v>
      </c>
      <c r="E1746">
        <v>714.15</v>
      </c>
      <c r="F1746">
        <v>710</v>
      </c>
      <c r="G1746">
        <v>721.9</v>
      </c>
      <c r="H1746">
        <v>701.75</v>
      </c>
      <c r="I1746" s="1">
        <v>711.5</v>
      </c>
      <c r="J1746">
        <v>943443855.85000002</v>
      </c>
      <c r="K1746">
        <v>1328438</v>
      </c>
      <c r="L1746" t="s">
        <v>78</v>
      </c>
      <c r="M1746" t="s">
        <v>17</v>
      </c>
      <c r="N1746">
        <v>52730</v>
      </c>
      <c r="O1746">
        <v>764.5</v>
      </c>
      <c r="P1746">
        <v>488.1</v>
      </c>
      <c r="Q1746" s="1">
        <v>388</v>
      </c>
      <c r="R1746" s="1" t="str">
        <v/>
      </c>
      <c r="S1746" s="3">
        <v>5.1829301086970592E-2</v>
      </c>
      <c r="T1746" s="3">
        <v>0</v>
      </c>
    </row>
    <row r="1747" spans="1:20" x14ac:dyDescent="0.25">
      <c r="A1747" t="s">
        <v>78</v>
      </c>
      <c r="B1747" t="s">
        <v>287</v>
      </c>
      <c r="C1747" t="s">
        <v>5396</v>
      </c>
      <c r="D1747" t="s">
        <v>5395</v>
      </c>
      <c r="E1747">
        <v>203.45</v>
      </c>
      <c r="F1747">
        <v>199.9</v>
      </c>
      <c r="G1747">
        <v>202</v>
      </c>
      <c r="H1747">
        <v>195.05</v>
      </c>
      <c r="I1747" s="1">
        <v>198.75</v>
      </c>
      <c r="J1747">
        <v>5936600</v>
      </c>
      <c r="K1747">
        <v>30000</v>
      </c>
      <c r="L1747" t="s">
        <v>78</v>
      </c>
      <c r="M1747" t="s">
        <v>17</v>
      </c>
      <c r="N1747">
        <v>28</v>
      </c>
      <c r="O1747">
        <v>249.9</v>
      </c>
      <c r="P1747">
        <v>115.1</v>
      </c>
      <c r="Q1747" s="1" t="str">
        <v/>
      </c>
      <c r="R1747" s="1" t="str">
        <v/>
      </c>
      <c r="S1747" s="3">
        <v>0</v>
      </c>
      <c r="T1747" s="3">
        <v>0</v>
      </c>
    </row>
    <row r="1748" spans="1:20" x14ac:dyDescent="0.25">
      <c r="A1748" t="s">
        <v>78</v>
      </c>
      <c r="B1748" t="s">
        <v>79</v>
      </c>
      <c r="C1748" t="s">
        <v>5394</v>
      </c>
      <c r="D1748" t="s">
        <v>5393</v>
      </c>
      <c r="E1748">
        <v>39.79</v>
      </c>
      <c r="F1748">
        <v>40.950000000000003</v>
      </c>
      <c r="G1748">
        <v>44.4</v>
      </c>
      <c r="H1748">
        <v>40</v>
      </c>
      <c r="I1748" s="1">
        <v>43.83</v>
      </c>
      <c r="J1748">
        <v>14900405.24</v>
      </c>
      <c r="K1748">
        <v>350296</v>
      </c>
      <c r="L1748" t="s">
        <v>78</v>
      </c>
      <c r="M1748" t="s">
        <v>17</v>
      </c>
      <c r="N1748">
        <v>2038</v>
      </c>
      <c r="O1748">
        <v>95</v>
      </c>
      <c r="P1748">
        <v>34</v>
      </c>
      <c r="Q1748" s="1" t="str">
        <v/>
      </c>
      <c r="R1748" s="1" t="str">
        <v/>
      </c>
      <c r="S1748" s="3">
        <v>0</v>
      </c>
      <c r="T1748" s="3">
        <v>0</v>
      </c>
    </row>
    <row r="1749" spans="1:20" x14ac:dyDescent="0.25">
      <c r="A1749" t="s">
        <v>78</v>
      </c>
      <c r="B1749" t="s">
        <v>79</v>
      </c>
      <c r="C1749" t="s">
        <v>2481</v>
      </c>
      <c r="D1749" t="s">
        <v>2482</v>
      </c>
      <c r="E1749">
        <v>678.15</v>
      </c>
      <c r="F1749">
        <v>674</v>
      </c>
      <c r="G1749">
        <v>701.5</v>
      </c>
      <c r="H1749">
        <v>665.25</v>
      </c>
      <c r="I1749" s="1">
        <v>694.35</v>
      </c>
      <c r="J1749">
        <v>2007618009.5999999</v>
      </c>
      <c r="K1749">
        <v>2937651</v>
      </c>
      <c r="L1749" t="s">
        <v>78</v>
      </c>
      <c r="M1749" t="s">
        <v>17</v>
      </c>
      <c r="N1749">
        <v>58040</v>
      </c>
      <c r="O1749">
        <v>1485</v>
      </c>
      <c r="P1749">
        <v>469.6</v>
      </c>
      <c r="Q1749" s="1">
        <v>771.05</v>
      </c>
      <c r="R1749" s="1">
        <v>340.1</v>
      </c>
      <c r="S1749" s="3">
        <v>-8.6934140154351081E-3</v>
      </c>
      <c r="T1749" s="3">
        <v>3.631098720493342E-2</v>
      </c>
    </row>
    <row r="1750" spans="1:20" x14ac:dyDescent="0.25">
      <c r="A1750" t="s">
        <v>78</v>
      </c>
      <c r="B1750" t="s">
        <v>79</v>
      </c>
      <c r="C1750" t="s">
        <v>2485</v>
      </c>
      <c r="D1750" t="s">
        <v>2486</v>
      </c>
      <c r="E1750">
        <v>610.45000000000005</v>
      </c>
      <c r="F1750">
        <v>605.1</v>
      </c>
      <c r="G1750">
        <v>610.20000000000005</v>
      </c>
      <c r="H1750">
        <v>590</v>
      </c>
      <c r="I1750" s="1">
        <v>593.04999999999995</v>
      </c>
      <c r="J1750">
        <v>64647809.75</v>
      </c>
      <c r="K1750">
        <v>107975</v>
      </c>
      <c r="L1750" t="s">
        <v>78</v>
      </c>
      <c r="M1750" t="s">
        <v>17</v>
      </c>
      <c r="N1750">
        <v>7696</v>
      </c>
      <c r="O1750">
        <v>655</v>
      </c>
      <c r="P1750">
        <v>289.85000000000002</v>
      </c>
      <c r="Q1750" s="1">
        <v>1465.1</v>
      </c>
      <c r="R1750" s="1">
        <v>975</v>
      </c>
      <c r="S1750" s="3">
        <v>-7.2596629028934045E-2</v>
      </c>
      <c r="T1750" s="3">
        <v>-2.4538244389780917E-2</v>
      </c>
    </row>
    <row r="1751" spans="1:20" x14ac:dyDescent="0.25">
      <c r="A1751" t="s">
        <v>78</v>
      </c>
      <c r="B1751" t="s">
        <v>79</v>
      </c>
      <c r="C1751" t="s">
        <v>2487</v>
      </c>
      <c r="D1751" t="s">
        <v>2488</v>
      </c>
      <c r="E1751">
        <v>26.81</v>
      </c>
      <c r="F1751">
        <v>27</v>
      </c>
      <c r="G1751">
        <v>27.15</v>
      </c>
      <c r="H1751">
        <v>26.43</v>
      </c>
      <c r="I1751" s="1">
        <v>26.51</v>
      </c>
      <c r="J1751">
        <v>607249021.85000002</v>
      </c>
      <c r="K1751">
        <v>22701521</v>
      </c>
      <c r="L1751" t="s">
        <v>78</v>
      </c>
      <c r="M1751" t="s">
        <v>17</v>
      </c>
      <c r="N1751">
        <v>37587</v>
      </c>
      <c r="O1751">
        <v>40.15</v>
      </c>
      <c r="P1751">
        <v>19.5</v>
      </c>
      <c r="Q1751" s="1">
        <v>12.3</v>
      </c>
      <c r="R1751" s="1">
        <v>12.6</v>
      </c>
      <c r="S1751" s="3">
        <v>6.6085536517622501E-2</v>
      </c>
      <c r="T1751" s="3">
        <v>3.7870370158592737E-2</v>
      </c>
    </row>
    <row r="1752" spans="1:20" x14ac:dyDescent="0.25">
      <c r="A1752" t="s">
        <v>78</v>
      </c>
      <c r="B1752" t="s">
        <v>79</v>
      </c>
      <c r="C1752" t="s">
        <v>2489</v>
      </c>
      <c r="D1752" t="s">
        <v>2490</v>
      </c>
      <c r="E1752">
        <v>111.13</v>
      </c>
      <c r="F1752">
        <v>112</v>
      </c>
      <c r="G1752">
        <v>112.99</v>
      </c>
      <c r="H1752">
        <v>108.17</v>
      </c>
      <c r="I1752" s="1">
        <v>108.67</v>
      </c>
      <c r="J1752">
        <v>12151625.27</v>
      </c>
      <c r="K1752">
        <v>111171</v>
      </c>
      <c r="L1752" t="s">
        <v>78</v>
      </c>
      <c r="M1752" t="s">
        <v>17</v>
      </c>
      <c r="N1752">
        <v>2507</v>
      </c>
      <c r="O1752">
        <v>188.2</v>
      </c>
      <c r="P1752">
        <v>98.1</v>
      </c>
      <c r="Q1752" s="1">
        <v>52</v>
      </c>
      <c r="R1752" s="1" t="str">
        <v/>
      </c>
      <c r="S1752" s="3">
        <v>6.3348265380654745E-2</v>
      </c>
      <c r="T1752" s="3">
        <v>0</v>
      </c>
    </row>
    <row r="1753" spans="1:20" x14ac:dyDescent="0.25">
      <c r="A1753" t="s">
        <v>78</v>
      </c>
      <c r="B1753" t="s">
        <v>79</v>
      </c>
      <c r="C1753" t="s">
        <v>2491</v>
      </c>
      <c r="D1753" t="s">
        <v>2492</v>
      </c>
      <c r="E1753">
        <v>843.4</v>
      </c>
      <c r="F1753">
        <v>835.7</v>
      </c>
      <c r="G1753">
        <v>885</v>
      </c>
      <c r="H1753">
        <v>835.7</v>
      </c>
      <c r="I1753" s="1">
        <v>877.55</v>
      </c>
      <c r="J1753">
        <v>28524038.149999999</v>
      </c>
      <c r="K1753">
        <v>32990</v>
      </c>
      <c r="L1753" t="s">
        <v>78</v>
      </c>
      <c r="M1753" t="s">
        <v>17</v>
      </c>
      <c r="N1753">
        <v>5019</v>
      </c>
      <c r="O1753">
        <v>885</v>
      </c>
      <c r="P1753">
        <v>430.25</v>
      </c>
      <c r="Q1753" s="1">
        <v>295.95</v>
      </c>
      <c r="R1753" s="1">
        <v>247.25</v>
      </c>
      <c r="S1753" s="3">
        <v>9.4807575533521815E-2</v>
      </c>
      <c r="T1753" s="3">
        <v>6.5348538831142111E-2</v>
      </c>
    </row>
    <row r="1754" spans="1:20" x14ac:dyDescent="0.25">
      <c r="A1754" t="s">
        <v>78</v>
      </c>
      <c r="B1754" t="s">
        <v>79</v>
      </c>
      <c r="C1754" t="s">
        <v>2493</v>
      </c>
      <c r="D1754" t="s">
        <v>2494</v>
      </c>
      <c r="E1754">
        <v>730.25</v>
      </c>
      <c r="F1754">
        <v>729.9</v>
      </c>
      <c r="G1754">
        <v>729.9</v>
      </c>
      <c r="H1754">
        <v>717</v>
      </c>
      <c r="I1754" s="1">
        <v>725.3</v>
      </c>
      <c r="J1754">
        <v>87357535.799999997</v>
      </c>
      <c r="K1754">
        <v>120949</v>
      </c>
      <c r="L1754" t="s">
        <v>78</v>
      </c>
      <c r="M1754" t="s">
        <v>17</v>
      </c>
      <c r="N1754">
        <v>7909</v>
      </c>
      <c r="O1754">
        <v>1243.2</v>
      </c>
      <c r="P1754">
        <v>678.05</v>
      </c>
      <c r="Q1754" s="1">
        <v>674</v>
      </c>
      <c r="R1754" s="1" t="str">
        <v/>
      </c>
      <c r="S1754" s="3">
        <v>6.131659754238461E-3</v>
      </c>
      <c r="T1754" s="3">
        <v>0</v>
      </c>
    </row>
    <row r="1755" spans="1:20" x14ac:dyDescent="0.25">
      <c r="A1755" t="s">
        <v>78</v>
      </c>
      <c r="B1755" t="s">
        <v>79</v>
      </c>
      <c r="C1755" t="s">
        <v>2495</v>
      </c>
      <c r="D1755" t="s">
        <v>2496</v>
      </c>
      <c r="E1755">
        <v>237.09</v>
      </c>
      <c r="F1755">
        <v>237.09</v>
      </c>
      <c r="G1755">
        <v>237.4</v>
      </c>
      <c r="H1755">
        <v>230</v>
      </c>
      <c r="I1755" s="1">
        <v>231.18</v>
      </c>
      <c r="J1755">
        <v>116600775.23999999</v>
      </c>
      <c r="K1755">
        <v>502045</v>
      </c>
      <c r="L1755" t="s">
        <v>78</v>
      </c>
      <c r="M1755" t="s">
        <v>17</v>
      </c>
      <c r="N1755">
        <v>8432</v>
      </c>
      <c r="O1755">
        <v>472.8</v>
      </c>
      <c r="P1755">
        <v>196.1</v>
      </c>
      <c r="Q1755" s="1">
        <v>242</v>
      </c>
      <c r="R1755" s="1">
        <v>149.55000000000001</v>
      </c>
      <c r="S1755" s="3">
        <v>-3.8045026623285683E-3</v>
      </c>
      <c r="T1755" s="3">
        <v>2.2004980813404851E-2</v>
      </c>
    </row>
    <row r="1756" spans="1:20" x14ac:dyDescent="0.25">
      <c r="A1756" t="s">
        <v>78</v>
      </c>
      <c r="B1756" t="s">
        <v>79</v>
      </c>
      <c r="C1756" t="s">
        <v>3475</v>
      </c>
      <c r="D1756" t="s">
        <v>3476</v>
      </c>
      <c r="E1756">
        <v>31.51</v>
      </c>
      <c r="F1756">
        <v>31.85</v>
      </c>
      <c r="G1756">
        <v>31.85</v>
      </c>
      <c r="H1756">
        <v>30.35</v>
      </c>
      <c r="I1756" s="1">
        <v>30.67</v>
      </c>
      <c r="J1756">
        <v>82588320.159999996</v>
      </c>
      <c r="K1756">
        <v>2672678</v>
      </c>
      <c r="L1756" t="s">
        <v>78</v>
      </c>
      <c r="M1756" t="s">
        <v>17</v>
      </c>
      <c r="N1756">
        <v>3689</v>
      </c>
      <c r="O1756">
        <v>39.4</v>
      </c>
      <c r="P1756">
        <v>21.3</v>
      </c>
      <c r="Q1756" s="1">
        <v>1.95</v>
      </c>
      <c r="R1756" s="1">
        <v>0.95</v>
      </c>
      <c r="S1756" s="3">
        <v>0.25812346892649685</v>
      </c>
      <c r="T1756" s="3">
        <v>0.18961981374895709</v>
      </c>
    </row>
    <row r="1757" spans="1:20" x14ac:dyDescent="0.25">
      <c r="A1757" t="s">
        <v>78</v>
      </c>
      <c r="B1757" t="s">
        <v>287</v>
      </c>
      <c r="C1757" t="s">
        <v>5392</v>
      </c>
      <c r="D1757" t="s">
        <v>5391</v>
      </c>
      <c r="E1757">
        <v>337.8</v>
      </c>
      <c r="F1757">
        <v>340</v>
      </c>
      <c r="G1757">
        <v>345.5</v>
      </c>
      <c r="H1757">
        <v>321</v>
      </c>
      <c r="I1757" s="1">
        <v>327.95</v>
      </c>
      <c r="J1757">
        <v>79650960</v>
      </c>
      <c r="K1757">
        <v>240000</v>
      </c>
      <c r="L1757" t="s">
        <v>78</v>
      </c>
      <c r="M1757" t="s">
        <v>17</v>
      </c>
      <c r="N1757">
        <v>194</v>
      </c>
      <c r="O1757">
        <v>396.75</v>
      </c>
      <c r="P1757">
        <v>297</v>
      </c>
      <c r="Q1757" s="1" t="str">
        <v/>
      </c>
      <c r="R1757" s="1" t="str">
        <v/>
      </c>
      <c r="S1757" s="3">
        <v>0</v>
      </c>
      <c r="T1757" s="3">
        <v>0</v>
      </c>
    </row>
    <row r="1758" spans="1:20" x14ac:dyDescent="0.25">
      <c r="A1758" t="s">
        <v>78</v>
      </c>
      <c r="B1758" t="s">
        <v>79</v>
      </c>
      <c r="C1758" t="s">
        <v>2497</v>
      </c>
      <c r="D1758" t="s">
        <v>2498</v>
      </c>
      <c r="E1758">
        <v>171.74</v>
      </c>
      <c r="F1758">
        <v>172.8</v>
      </c>
      <c r="G1758">
        <v>172.83</v>
      </c>
      <c r="H1758">
        <v>168.98</v>
      </c>
      <c r="I1758" s="1">
        <v>170.8</v>
      </c>
      <c r="J1758">
        <v>8609424.9800000004</v>
      </c>
      <c r="K1758">
        <v>50440</v>
      </c>
      <c r="L1758" t="s">
        <v>78</v>
      </c>
      <c r="M1758" t="s">
        <v>17</v>
      </c>
      <c r="N1758">
        <v>2279</v>
      </c>
      <c r="O1758">
        <v>287.10000000000002</v>
      </c>
      <c r="P1758">
        <v>152.80000000000001</v>
      </c>
      <c r="Q1758" s="1">
        <v>68.099999999999994</v>
      </c>
      <c r="R1758" s="1">
        <v>75.099999999999994</v>
      </c>
      <c r="S1758" s="3">
        <v>7.9638582197917973E-2</v>
      </c>
      <c r="T1758" s="3">
        <v>4.1915803075722735E-2</v>
      </c>
    </row>
    <row r="1759" spans="1:20" x14ac:dyDescent="0.25">
      <c r="A1759" t="s">
        <v>78</v>
      </c>
      <c r="B1759" t="s">
        <v>287</v>
      </c>
      <c r="C1759" t="s">
        <v>5390</v>
      </c>
      <c r="D1759" t="s">
        <v>5389</v>
      </c>
      <c r="E1759">
        <v>2086.5500000000002</v>
      </c>
      <c r="F1759">
        <v>1982.5</v>
      </c>
      <c r="G1759">
        <v>2019.25</v>
      </c>
      <c r="H1759">
        <v>1982.25</v>
      </c>
      <c r="I1759" s="1">
        <v>1982.25</v>
      </c>
      <c r="J1759">
        <v>7711293.75</v>
      </c>
      <c r="K1759">
        <v>3875</v>
      </c>
      <c r="L1759" t="s">
        <v>78</v>
      </c>
      <c r="M1759" t="s">
        <v>17</v>
      </c>
      <c r="N1759">
        <v>26</v>
      </c>
      <c r="O1759">
        <v>2520</v>
      </c>
      <c r="P1759">
        <v>770</v>
      </c>
      <c r="Q1759" s="1" t="str">
        <v/>
      </c>
      <c r="R1759" s="1" t="str">
        <v/>
      </c>
      <c r="S1759" s="3">
        <v>0</v>
      </c>
      <c r="T1759" s="3">
        <v>0</v>
      </c>
    </row>
    <row r="1760" spans="1:20" x14ac:dyDescent="0.25">
      <c r="A1760" t="s">
        <v>78</v>
      </c>
      <c r="B1760" t="s">
        <v>287</v>
      </c>
      <c r="C1760" t="s">
        <v>5388</v>
      </c>
      <c r="D1760" t="s">
        <v>5387</v>
      </c>
      <c r="E1760">
        <v>101.2</v>
      </c>
      <c r="F1760">
        <v>101.25</v>
      </c>
      <c r="G1760">
        <v>102.4</v>
      </c>
      <c r="H1760">
        <v>99.35</v>
      </c>
      <c r="I1760" s="1">
        <v>100.6</v>
      </c>
      <c r="J1760">
        <v>645920</v>
      </c>
      <c r="K1760">
        <v>6400</v>
      </c>
      <c r="L1760" t="s">
        <v>78</v>
      </c>
      <c r="M1760" t="s">
        <v>17</v>
      </c>
      <c r="N1760">
        <v>8</v>
      </c>
      <c r="O1760">
        <v>164</v>
      </c>
      <c r="P1760">
        <v>73.55</v>
      </c>
      <c r="Q1760" s="1" t="str">
        <v/>
      </c>
      <c r="R1760" s="1" t="str">
        <v/>
      </c>
      <c r="S1760" s="3">
        <v>0</v>
      </c>
      <c r="T1760" s="3">
        <v>0</v>
      </c>
    </row>
    <row r="1761" spans="1:20" x14ac:dyDescent="0.25">
      <c r="A1761" t="s">
        <v>78</v>
      </c>
      <c r="B1761" t="s">
        <v>79</v>
      </c>
      <c r="C1761" t="s">
        <v>2499</v>
      </c>
      <c r="D1761" t="s">
        <v>5386</v>
      </c>
      <c r="E1761">
        <v>83.52</v>
      </c>
      <c r="F1761">
        <v>83.8</v>
      </c>
      <c r="G1761">
        <v>83.95</v>
      </c>
      <c r="H1761">
        <v>79.11</v>
      </c>
      <c r="I1761" s="1">
        <v>80.45</v>
      </c>
      <c r="J1761">
        <v>30665017.300000001</v>
      </c>
      <c r="K1761">
        <v>376867</v>
      </c>
      <c r="L1761" t="s">
        <v>78</v>
      </c>
      <c r="M1761" t="s">
        <v>17</v>
      </c>
      <c r="N1761">
        <v>5747</v>
      </c>
      <c r="O1761">
        <v>139.30000000000001</v>
      </c>
      <c r="P1761">
        <v>57.9</v>
      </c>
      <c r="Q1761" s="1">
        <v>93.1</v>
      </c>
      <c r="R1761" s="1">
        <v>81.05</v>
      </c>
      <c r="S1761" s="3">
        <v>-1.2096105992174477E-2</v>
      </c>
      <c r="T1761" s="3">
        <v>-3.7124634775342891E-4</v>
      </c>
    </row>
    <row r="1762" spans="1:20" x14ac:dyDescent="0.25">
      <c r="A1762" t="s">
        <v>78</v>
      </c>
      <c r="B1762" t="s">
        <v>79</v>
      </c>
      <c r="C1762" t="s">
        <v>2501</v>
      </c>
      <c r="D1762" t="s">
        <v>2502</v>
      </c>
      <c r="E1762">
        <v>86.52</v>
      </c>
      <c r="F1762">
        <v>86.95</v>
      </c>
      <c r="G1762">
        <v>86.95</v>
      </c>
      <c r="H1762">
        <v>84.44</v>
      </c>
      <c r="I1762" s="1">
        <v>84.59</v>
      </c>
      <c r="J1762">
        <v>79509492.840000004</v>
      </c>
      <c r="K1762">
        <v>933557</v>
      </c>
      <c r="L1762" t="s">
        <v>78</v>
      </c>
      <c r="M1762" t="s">
        <v>17</v>
      </c>
      <c r="N1762">
        <v>9974</v>
      </c>
      <c r="O1762">
        <v>107.5</v>
      </c>
      <c r="P1762">
        <v>62</v>
      </c>
      <c r="Q1762" s="1">
        <v>64</v>
      </c>
      <c r="R1762" s="1">
        <v>20.100000000000001</v>
      </c>
      <c r="S1762" s="3">
        <v>2.3516671204490747E-2</v>
      </c>
      <c r="T1762" s="3">
        <v>7.4457046672896432E-2</v>
      </c>
    </row>
    <row r="1763" spans="1:20" x14ac:dyDescent="0.25">
      <c r="A1763" t="s">
        <v>78</v>
      </c>
      <c r="B1763" t="s">
        <v>79</v>
      </c>
      <c r="C1763" t="s">
        <v>2505</v>
      </c>
      <c r="D1763" t="s">
        <v>2506</v>
      </c>
      <c r="E1763">
        <v>64.02</v>
      </c>
      <c r="F1763">
        <v>65.48</v>
      </c>
      <c r="G1763">
        <v>65.48</v>
      </c>
      <c r="H1763">
        <v>62.5</v>
      </c>
      <c r="I1763" s="1">
        <v>63.11</v>
      </c>
      <c r="J1763">
        <v>3291938.92</v>
      </c>
      <c r="K1763">
        <v>51897</v>
      </c>
      <c r="L1763" t="s">
        <v>78</v>
      </c>
      <c r="M1763" t="s">
        <v>17</v>
      </c>
      <c r="N1763">
        <v>1315</v>
      </c>
      <c r="O1763">
        <v>80.650000000000006</v>
      </c>
      <c r="P1763">
        <v>52.3</v>
      </c>
      <c r="Q1763" s="1">
        <v>50.5</v>
      </c>
      <c r="R1763" s="1">
        <v>37.1</v>
      </c>
      <c r="S1763" s="3">
        <v>1.8749089275228004E-2</v>
      </c>
      <c r="T1763" s="3">
        <v>2.6904118819437883E-2</v>
      </c>
    </row>
    <row r="1764" spans="1:20" x14ac:dyDescent="0.25">
      <c r="A1764" t="s">
        <v>78</v>
      </c>
      <c r="B1764" t="s">
        <v>79</v>
      </c>
      <c r="C1764" t="s">
        <v>5385</v>
      </c>
      <c r="D1764" t="s">
        <v>5384</v>
      </c>
      <c r="E1764">
        <v>900.15</v>
      </c>
      <c r="F1764">
        <v>907</v>
      </c>
      <c r="G1764">
        <v>912</v>
      </c>
      <c r="H1764">
        <v>881</v>
      </c>
      <c r="I1764" s="1">
        <v>901.75</v>
      </c>
      <c r="J1764">
        <v>131270130.40000001</v>
      </c>
      <c r="K1764">
        <v>145835</v>
      </c>
      <c r="L1764" t="s">
        <v>78</v>
      </c>
      <c r="M1764" t="s">
        <v>17</v>
      </c>
      <c r="N1764">
        <v>10877</v>
      </c>
      <c r="O1764">
        <v>926.6</v>
      </c>
      <c r="P1764">
        <v>409</v>
      </c>
      <c r="Q1764" s="1" t="str">
        <v/>
      </c>
      <c r="R1764" s="1" t="str">
        <v/>
      </c>
      <c r="S1764" s="3">
        <v>0</v>
      </c>
      <c r="T1764" s="3">
        <v>0</v>
      </c>
    </row>
    <row r="1765" spans="1:20" x14ac:dyDescent="0.25">
      <c r="A1765" t="s">
        <v>78</v>
      </c>
      <c r="B1765" t="s">
        <v>79</v>
      </c>
      <c r="C1765" t="s">
        <v>3477</v>
      </c>
      <c r="D1765" t="s">
        <v>3478</v>
      </c>
      <c r="E1765">
        <v>180.16</v>
      </c>
      <c r="F1765">
        <v>185.98</v>
      </c>
      <c r="G1765">
        <v>187.9</v>
      </c>
      <c r="H1765">
        <v>180.41</v>
      </c>
      <c r="I1765" s="1">
        <v>184.09</v>
      </c>
      <c r="J1765">
        <v>25786045.859999999</v>
      </c>
      <c r="K1765">
        <v>140058</v>
      </c>
      <c r="L1765" t="s">
        <v>78</v>
      </c>
      <c r="M1765" t="s">
        <v>17</v>
      </c>
      <c r="N1765">
        <v>2462</v>
      </c>
      <c r="O1765">
        <v>210.79</v>
      </c>
      <c r="P1765">
        <v>33.6</v>
      </c>
      <c r="Q1765" s="1">
        <v>11.4</v>
      </c>
      <c r="R1765" s="1">
        <v>15.65</v>
      </c>
      <c r="S1765" s="3">
        <v>0.26088974395398035</v>
      </c>
      <c r="T1765" s="3">
        <v>0.13108822080888838</v>
      </c>
    </row>
    <row r="1766" spans="1:20" x14ac:dyDescent="0.25">
      <c r="A1766" t="s">
        <v>78</v>
      </c>
      <c r="B1766" t="s">
        <v>79</v>
      </c>
      <c r="C1766" t="s">
        <v>5383</v>
      </c>
      <c r="D1766" t="s">
        <v>5382</v>
      </c>
      <c r="E1766">
        <v>1059.05</v>
      </c>
      <c r="F1766">
        <v>1069</v>
      </c>
      <c r="G1766">
        <v>1084.8</v>
      </c>
      <c r="H1766">
        <v>1006</v>
      </c>
      <c r="I1766" s="1">
        <v>1017.95</v>
      </c>
      <c r="J1766">
        <v>123059582.25</v>
      </c>
      <c r="K1766">
        <v>117363</v>
      </c>
      <c r="L1766" t="s">
        <v>78</v>
      </c>
      <c r="M1766" t="s">
        <v>17</v>
      </c>
      <c r="N1766">
        <v>14284</v>
      </c>
      <c r="O1766">
        <v>1140.3499999999999</v>
      </c>
      <c r="P1766">
        <v>704.55</v>
      </c>
      <c r="Q1766" s="1" t="str">
        <v/>
      </c>
      <c r="R1766" s="1" t="str">
        <v/>
      </c>
      <c r="S1766" s="3">
        <v>0</v>
      </c>
      <c r="T1766" s="3">
        <v>0</v>
      </c>
    </row>
    <row r="1767" spans="1:20" x14ac:dyDescent="0.25">
      <c r="A1767" t="s">
        <v>78</v>
      </c>
      <c r="B1767" t="s">
        <v>79</v>
      </c>
      <c r="C1767" t="s">
        <v>2507</v>
      </c>
      <c r="D1767" t="s">
        <v>2508</v>
      </c>
      <c r="E1767">
        <v>293.45</v>
      </c>
      <c r="F1767">
        <v>298.7</v>
      </c>
      <c r="G1767">
        <v>298.7</v>
      </c>
      <c r="H1767">
        <v>291.10000000000002</v>
      </c>
      <c r="I1767" s="1">
        <v>292.8</v>
      </c>
      <c r="J1767">
        <v>3061287.8</v>
      </c>
      <c r="K1767">
        <v>10376</v>
      </c>
      <c r="L1767" t="s">
        <v>78</v>
      </c>
      <c r="M1767" t="s">
        <v>17</v>
      </c>
      <c r="N1767">
        <v>927</v>
      </c>
      <c r="O1767">
        <v>433.7</v>
      </c>
      <c r="P1767">
        <v>202.5</v>
      </c>
      <c r="Q1767" s="1">
        <v>185</v>
      </c>
      <c r="R1767" s="1">
        <v>165</v>
      </c>
      <c r="S1767" s="3">
        <v>3.9002546557811879E-2</v>
      </c>
      <c r="T1767" s="3">
        <v>2.9076203996712291E-2</v>
      </c>
    </row>
    <row r="1768" spans="1:20" x14ac:dyDescent="0.25">
      <c r="A1768" t="s">
        <v>78</v>
      </c>
      <c r="B1768" t="s">
        <v>79</v>
      </c>
      <c r="C1768" t="s">
        <v>5381</v>
      </c>
      <c r="D1768" t="s">
        <v>5380</v>
      </c>
      <c r="E1768">
        <v>366.85</v>
      </c>
      <c r="F1768">
        <v>368.8</v>
      </c>
      <c r="G1768">
        <v>381.1</v>
      </c>
      <c r="H1768">
        <v>368.8</v>
      </c>
      <c r="I1768" s="1">
        <v>379.4</v>
      </c>
      <c r="J1768">
        <v>4536084.75</v>
      </c>
      <c r="K1768">
        <v>12051</v>
      </c>
      <c r="L1768" t="s">
        <v>78</v>
      </c>
      <c r="M1768" t="s">
        <v>17</v>
      </c>
      <c r="N1768">
        <v>863</v>
      </c>
      <c r="O1768">
        <v>414.65</v>
      </c>
      <c r="P1768">
        <v>230</v>
      </c>
      <c r="Q1768" s="1" t="str">
        <v/>
      </c>
      <c r="R1768" s="1" t="str">
        <v/>
      </c>
      <c r="S1768" s="3">
        <v>0</v>
      </c>
      <c r="T1768" s="3">
        <v>0</v>
      </c>
    </row>
    <row r="1769" spans="1:20" x14ac:dyDescent="0.25">
      <c r="A1769" t="s">
        <v>78</v>
      </c>
      <c r="B1769" t="s">
        <v>79</v>
      </c>
      <c r="C1769" t="s">
        <v>2513</v>
      </c>
      <c r="D1769" t="s">
        <v>2514</v>
      </c>
      <c r="E1769">
        <v>583.45000000000005</v>
      </c>
      <c r="F1769">
        <v>582</v>
      </c>
      <c r="G1769">
        <v>598.45000000000005</v>
      </c>
      <c r="H1769">
        <v>578.04999999999995</v>
      </c>
      <c r="I1769" s="1">
        <v>587.04999999999995</v>
      </c>
      <c r="J1769">
        <v>20516062.100000001</v>
      </c>
      <c r="K1769">
        <v>34865</v>
      </c>
      <c r="L1769" t="s">
        <v>78</v>
      </c>
      <c r="M1769" t="s">
        <v>17</v>
      </c>
      <c r="N1769">
        <v>3422</v>
      </c>
      <c r="O1769">
        <v>814</v>
      </c>
      <c r="P1769">
        <v>441</v>
      </c>
      <c r="Q1769" s="1">
        <v>317.95</v>
      </c>
      <c r="R1769" s="1">
        <v>96</v>
      </c>
      <c r="S1769" s="3">
        <v>5.2429521563132298E-2</v>
      </c>
      <c r="T1769" s="3">
        <v>9.4708926557629303E-2</v>
      </c>
    </row>
    <row r="1770" spans="1:20" x14ac:dyDescent="0.25">
      <c r="A1770" t="s">
        <v>78</v>
      </c>
      <c r="B1770" t="s">
        <v>287</v>
      </c>
      <c r="C1770" t="s">
        <v>5379</v>
      </c>
      <c r="D1770" t="s">
        <v>5378</v>
      </c>
      <c r="E1770">
        <v>111.1</v>
      </c>
      <c r="F1770">
        <v>109.55</v>
      </c>
      <c r="G1770">
        <v>110.95</v>
      </c>
      <c r="H1770">
        <v>107.5</v>
      </c>
      <c r="I1770" s="1">
        <v>108</v>
      </c>
      <c r="J1770">
        <v>2062400</v>
      </c>
      <c r="K1770">
        <v>19000</v>
      </c>
      <c r="L1770" t="s">
        <v>78</v>
      </c>
      <c r="M1770" t="s">
        <v>17</v>
      </c>
      <c r="N1770">
        <v>19</v>
      </c>
      <c r="O1770">
        <v>181</v>
      </c>
      <c r="P1770">
        <v>93.3</v>
      </c>
      <c r="Q1770" s="1" t="str">
        <v/>
      </c>
      <c r="R1770" s="1" t="str">
        <v/>
      </c>
      <c r="S1770" s="3">
        <v>0</v>
      </c>
      <c r="T1770" s="3">
        <v>0</v>
      </c>
    </row>
    <row r="1771" spans="1:20" x14ac:dyDescent="0.25">
      <c r="A1771" t="s">
        <v>78</v>
      </c>
      <c r="B1771" t="s">
        <v>79</v>
      </c>
      <c r="C1771" t="s">
        <v>5377</v>
      </c>
      <c r="D1771" t="s">
        <v>5376</v>
      </c>
      <c r="E1771">
        <v>208.42</v>
      </c>
      <c r="F1771">
        <v>208.36</v>
      </c>
      <c r="G1771">
        <v>214.42</v>
      </c>
      <c r="H1771">
        <v>205.43</v>
      </c>
      <c r="I1771" s="1">
        <v>208.7</v>
      </c>
      <c r="J1771">
        <v>49119341.960000001</v>
      </c>
      <c r="K1771">
        <v>234647</v>
      </c>
      <c r="L1771" t="s">
        <v>78</v>
      </c>
      <c r="M1771" t="s">
        <v>17</v>
      </c>
      <c r="N1771">
        <v>7721</v>
      </c>
      <c r="O1771">
        <v>237.3</v>
      </c>
      <c r="P1771">
        <v>142.85</v>
      </c>
      <c r="Q1771" s="1" t="str">
        <v/>
      </c>
      <c r="R1771" s="1" t="str">
        <v/>
      </c>
      <c r="S1771" s="3">
        <v>0</v>
      </c>
      <c r="T1771" s="3">
        <v>0</v>
      </c>
    </row>
    <row r="1772" spans="1:20" x14ac:dyDescent="0.25">
      <c r="A1772" t="s">
        <v>78</v>
      </c>
      <c r="B1772" t="s">
        <v>287</v>
      </c>
      <c r="C1772" t="s">
        <v>5375</v>
      </c>
      <c r="D1772" t="s">
        <v>5374</v>
      </c>
      <c r="E1772">
        <v>265.45</v>
      </c>
      <c r="F1772">
        <v>267</v>
      </c>
      <c r="G1772">
        <v>267</v>
      </c>
      <c r="H1772">
        <v>255.2</v>
      </c>
      <c r="I1772" s="1">
        <v>263</v>
      </c>
      <c r="J1772">
        <v>2725300</v>
      </c>
      <c r="K1772">
        <v>10500</v>
      </c>
      <c r="L1772" t="s">
        <v>78</v>
      </c>
      <c r="M1772" t="s">
        <v>17</v>
      </c>
      <c r="N1772">
        <v>20</v>
      </c>
      <c r="O1772">
        <v>417.95</v>
      </c>
      <c r="P1772">
        <v>103</v>
      </c>
      <c r="Q1772" s="1" t="str">
        <v/>
      </c>
      <c r="R1772" s="1" t="str">
        <v/>
      </c>
      <c r="S1772" s="3">
        <v>0</v>
      </c>
      <c r="T1772" s="3">
        <v>0</v>
      </c>
    </row>
    <row r="1773" spans="1:20" x14ac:dyDescent="0.25">
      <c r="A1773" t="s">
        <v>78</v>
      </c>
      <c r="B1773" t="s">
        <v>79</v>
      </c>
      <c r="C1773" t="s">
        <v>2521</v>
      </c>
      <c r="D1773" t="s">
        <v>2522</v>
      </c>
      <c r="E1773">
        <v>221.34</v>
      </c>
      <c r="F1773">
        <v>223.55</v>
      </c>
      <c r="G1773">
        <v>248</v>
      </c>
      <c r="H1773">
        <v>220.8</v>
      </c>
      <c r="I1773" s="1">
        <v>238.75</v>
      </c>
      <c r="J1773">
        <v>410728317.54000002</v>
      </c>
      <c r="K1773">
        <v>1730174</v>
      </c>
      <c r="L1773" t="s">
        <v>78</v>
      </c>
      <c r="M1773" t="s">
        <v>17</v>
      </c>
      <c r="N1773">
        <v>46932</v>
      </c>
      <c r="O1773">
        <v>299</v>
      </c>
      <c r="P1773">
        <v>190.55</v>
      </c>
      <c r="Q1773" s="1">
        <v>1216</v>
      </c>
      <c r="R1773" s="1">
        <v>767</v>
      </c>
      <c r="S1773" s="3">
        <v>-0.12685946518646585</v>
      </c>
      <c r="T1773" s="3">
        <v>-5.6653419421357709E-2</v>
      </c>
    </row>
    <row r="1774" spans="1:20" x14ac:dyDescent="0.25">
      <c r="A1774" t="s">
        <v>78</v>
      </c>
      <c r="B1774" t="s">
        <v>79</v>
      </c>
      <c r="C1774" t="s">
        <v>5373</v>
      </c>
      <c r="D1774" t="s">
        <v>5372</v>
      </c>
      <c r="E1774">
        <v>592.85</v>
      </c>
      <c r="F1774">
        <v>593</v>
      </c>
      <c r="G1774">
        <v>598.6</v>
      </c>
      <c r="H1774">
        <v>580.6</v>
      </c>
      <c r="I1774" s="1">
        <v>582.29999999999995</v>
      </c>
      <c r="J1774">
        <v>166442578.90000001</v>
      </c>
      <c r="K1774">
        <v>283758</v>
      </c>
      <c r="L1774" t="s">
        <v>78</v>
      </c>
      <c r="M1774" t="s">
        <v>17</v>
      </c>
      <c r="N1774">
        <v>13785</v>
      </c>
      <c r="O1774">
        <v>627.5</v>
      </c>
      <c r="P1774">
        <v>470.2</v>
      </c>
      <c r="Q1774" s="1" t="str">
        <v/>
      </c>
      <c r="R1774" s="1" t="str">
        <v/>
      </c>
      <c r="S1774" s="3">
        <v>0</v>
      </c>
      <c r="T1774" s="3">
        <v>0</v>
      </c>
    </row>
    <row r="1775" spans="1:20" x14ac:dyDescent="0.25">
      <c r="A1775" t="s">
        <v>78</v>
      </c>
      <c r="B1775" t="s">
        <v>79</v>
      </c>
      <c r="C1775" t="s">
        <v>2523</v>
      </c>
      <c r="D1775" t="s">
        <v>2524</v>
      </c>
      <c r="E1775">
        <v>942.55</v>
      </c>
      <c r="F1775">
        <v>950</v>
      </c>
      <c r="G1775">
        <v>968</v>
      </c>
      <c r="H1775">
        <v>930.6</v>
      </c>
      <c r="I1775" s="1">
        <v>935</v>
      </c>
      <c r="J1775">
        <v>387793253.10000002</v>
      </c>
      <c r="K1775">
        <v>410025</v>
      </c>
      <c r="L1775" t="s">
        <v>78</v>
      </c>
      <c r="M1775" t="s">
        <v>17</v>
      </c>
      <c r="N1775">
        <v>18858</v>
      </c>
      <c r="O1775">
        <v>993.85</v>
      </c>
      <c r="P1775">
        <v>412.1</v>
      </c>
      <c r="Q1775" s="1">
        <v>778.6</v>
      </c>
      <c r="R1775" s="1">
        <v>346.7</v>
      </c>
      <c r="S1775" s="3">
        <v>1.5371028659914021E-2</v>
      </c>
      <c r="T1775" s="3">
        <v>5.0826679550669773E-2</v>
      </c>
    </row>
    <row r="1776" spans="1:20" x14ac:dyDescent="0.25">
      <c r="A1776" t="s">
        <v>78</v>
      </c>
      <c r="B1776" t="s">
        <v>79</v>
      </c>
      <c r="C1776" t="s">
        <v>2525</v>
      </c>
      <c r="D1776" t="s">
        <v>2526</v>
      </c>
      <c r="E1776">
        <v>205.25</v>
      </c>
      <c r="F1776">
        <v>205.5</v>
      </c>
      <c r="G1776">
        <v>207.4</v>
      </c>
      <c r="H1776">
        <v>204.02</v>
      </c>
      <c r="I1776" s="1">
        <v>206.62</v>
      </c>
      <c r="J1776">
        <v>74179892.670000002</v>
      </c>
      <c r="K1776">
        <v>360420</v>
      </c>
      <c r="L1776" t="s">
        <v>78</v>
      </c>
      <c r="M1776" t="s">
        <v>17</v>
      </c>
      <c r="N1776">
        <v>8968</v>
      </c>
      <c r="O1776">
        <v>256</v>
      </c>
      <c r="P1776">
        <v>140.1</v>
      </c>
      <c r="Q1776" s="1">
        <v>108</v>
      </c>
      <c r="R1776" s="1">
        <v>109.5</v>
      </c>
      <c r="S1776" s="3">
        <v>5.5550583465514114E-2</v>
      </c>
      <c r="T1776" s="3">
        <v>3.2239231700672777E-2</v>
      </c>
    </row>
    <row r="1777" spans="1:20" x14ac:dyDescent="0.25">
      <c r="A1777" t="s">
        <v>78</v>
      </c>
      <c r="B1777" t="s">
        <v>79</v>
      </c>
      <c r="C1777" t="s">
        <v>5371</v>
      </c>
      <c r="D1777" t="s">
        <v>5370</v>
      </c>
      <c r="E1777">
        <v>589.4</v>
      </c>
      <c r="F1777">
        <v>589.4</v>
      </c>
      <c r="G1777">
        <v>616.29999999999995</v>
      </c>
      <c r="H1777">
        <v>583</v>
      </c>
      <c r="I1777" s="1">
        <v>586.20000000000005</v>
      </c>
      <c r="J1777">
        <v>833606932.70000005</v>
      </c>
      <c r="K1777">
        <v>1390327</v>
      </c>
      <c r="L1777" t="s">
        <v>78</v>
      </c>
      <c r="M1777" t="s">
        <v>17</v>
      </c>
      <c r="N1777">
        <v>52469</v>
      </c>
      <c r="O1777">
        <v>675</v>
      </c>
      <c r="P1777">
        <v>454.8</v>
      </c>
      <c r="Q1777" s="1" t="str">
        <v/>
      </c>
      <c r="R1777" s="1" t="str">
        <v/>
      </c>
      <c r="S1777" s="3">
        <v>0</v>
      </c>
      <c r="T1777" s="3">
        <v>0</v>
      </c>
    </row>
    <row r="1778" spans="1:20" x14ac:dyDescent="0.25">
      <c r="A1778" t="s">
        <v>78</v>
      </c>
      <c r="B1778" t="s">
        <v>79</v>
      </c>
      <c r="C1778" t="s">
        <v>2527</v>
      </c>
      <c r="D1778" t="s">
        <v>2528</v>
      </c>
      <c r="E1778">
        <v>259.14999999999998</v>
      </c>
      <c r="F1778">
        <v>259.3</v>
      </c>
      <c r="G1778">
        <v>260</v>
      </c>
      <c r="H1778">
        <v>255.2</v>
      </c>
      <c r="I1778" s="1">
        <v>256.35000000000002</v>
      </c>
      <c r="J1778">
        <v>9191975.9000000004</v>
      </c>
      <c r="K1778">
        <v>35780</v>
      </c>
      <c r="L1778" t="s">
        <v>78</v>
      </c>
      <c r="M1778" t="s">
        <v>17</v>
      </c>
      <c r="N1778">
        <v>1343</v>
      </c>
      <c r="O1778">
        <v>288</v>
      </c>
      <c r="P1778">
        <v>169.6</v>
      </c>
      <c r="Q1778" s="1">
        <v>157.19999999999999</v>
      </c>
      <c r="R1778" s="1">
        <v>91.7</v>
      </c>
      <c r="S1778" s="3">
        <v>4.1593829282032146E-2</v>
      </c>
      <c r="T1778" s="3">
        <v>5.2715394934205628E-2</v>
      </c>
    </row>
    <row r="1779" spans="1:20" x14ac:dyDescent="0.25">
      <c r="A1779" t="s">
        <v>78</v>
      </c>
      <c r="B1779" t="s">
        <v>79</v>
      </c>
      <c r="C1779" t="s">
        <v>2529</v>
      </c>
      <c r="D1779" t="s">
        <v>2530</v>
      </c>
      <c r="E1779">
        <v>183.25</v>
      </c>
      <c r="F1779">
        <v>183.02</v>
      </c>
      <c r="G1779">
        <v>189.01</v>
      </c>
      <c r="H1779">
        <v>175.5</v>
      </c>
      <c r="I1779" s="1">
        <v>176.51</v>
      </c>
      <c r="J1779">
        <v>81457405.920000002</v>
      </c>
      <c r="K1779">
        <v>448643</v>
      </c>
      <c r="L1779" t="s">
        <v>78</v>
      </c>
      <c r="M1779" t="s">
        <v>17</v>
      </c>
      <c r="N1779">
        <v>14284</v>
      </c>
      <c r="O1779">
        <v>202.69</v>
      </c>
      <c r="P1779">
        <v>80</v>
      </c>
      <c r="Q1779" s="1">
        <v>111.65</v>
      </c>
      <c r="R1779" s="1">
        <v>102.6</v>
      </c>
      <c r="S1779" s="3">
        <v>3.890510971874539E-2</v>
      </c>
      <c r="T1779" s="3">
        <v>2.7483001813713326E-2</v>
      </c>
    </row>
    <row r="1780" spans="1:20" x14ac:dyDescent="0.25">
      <c r="A1780" t="s">
        <v>78</v>
      </c>
      <c r="B1780" t="s">
        <v>79</v>
      </c>
      <c r="C1780" t="s">
        <v>5369</v>
      </c>
      <c r="D1780" t="s">
        <v>5368</v>
      </c>
      <c r="E1780">
        <v>652.65</v>
      </c>
      <c r="F1780">
        <v>662.45</v>
      </c>
      <c r="G1780">
        <v>679.7</v>
      </c>
      <c r="H1780">
        <v>649.1</v>
      </c>
      <c r="I1780" s="1">
        <v>651.6</v>
      </c>
      <c r="J1780">
        <v>21832018.100000001</v>
      </c>
      <c r="K1780">
        <v>33010</v>
      </c>
      <c r="L1780" t="s">
        <v>78</v>
      </c>
      <c r="M1780" t="s">
        <v>17</v>
      </c>
      <c r="N1780">
        <v>3716</v>
      </c>
      <c r="O1780">
        <v>747</v>
      </c>
      <c r="P1780">
        <v>473.75</v>
      </c>
      <c r="Q1780" s="1" t="str">
        <v/>
      </c>
      <c r="R1780" s="1" t="str">
        <v/>
      </c>
      <c r="S1780" s="3">
        <v>0</v>
      </c>
      <c r="T1780" s="3">
        <v>0</v>
      </c>
    </row>
    <row r="1781" spans="1:20" x14ac:dyDescent="0.25">
      <c r="A1781" t="s">
        <v>78</v>
      </c>
      <c r="B1781" t="s">
        <v>79</v>
      </c>
      <c r="C1781" t="s">
        <v>2531</v>
      </c>
      <c r="D1781" t="s">
        <v>2532</v>
      </c>
      <c r="E1781">
        <v>89.79</v>
      </c>
      <c r="F1781">
        <v>91.48</v>
      </c>
      <c r="G1781">
        <v>91.48</v>
      </c>
      <c r="H1781">
        <v>87.21</v>
      </c>
      <c r="I1781" s="1">
        <v>88.58</v>
      </c>
      <c r="J1781">
        <v>2681243.4900000002</v>
      </c>
      <c r="K1781">
        <v>30217</v>
      </c>
      <c r="L1781" t="s">
        <v>78</v>
      </c>
      <c r="M1781" t="s">
        <v>17</v>
      </c>
      <c r="N1781">
        <v>733</v>
      </c>
      <c r="O1781">
        <v>109.7</v>
      </c>
      <c r="P1781">
        <v>60.55</v>
      </c>
      <c r="Q1781" s="1">
        <v>72</v>
      </c>
      <c r="R1781" s="1">
        <v>32.549999999999997</v>
      </c>
      <c r="S1781" s="3">
        <v>1.7419986900679252E-2</v>
      </c>
      <c r="T1781" s="3">
        <v>5.1301608205230886E-2</v>
      </c>
    </row>
    <row r="1782" spans="1:20" x14ac:dyDescent="0.25">
      <c r="A1782" t="s">
        <v>78</v>
      </c>
      <c r="B1782" t="s">
        <v>79</v>
      </c>
      <c r="C1782" t="s">
        <v>2533</v>
      </c>
      <c r="D1782" t="s">
        <v>2534</v>
      </c>
      <c r="E1782">
        <v>13.51</v>
      </c>
      <c r="F1782">
        <v>13.62</v>
      </c>
      <c r="G1782">
        <v>13.64</v>
      </c>
      <c r="H1782">
        <v>13.14</v>
      </c>
      <c r="I1782" s="1">
        <v>13.18</v>
      </c>
      <c r="J1782">
        <v>40467782.450000003</v>
      </c>
      <c r="K1782">
        <v>3037054</v>
      </c>
      <c r="L1782" t="s">
        <v>78</v>
      </c>
      <c r="M1782" t="s">
        <v>17</v>
      </c>
      <c r="N1782">
        <v>7482</v>
      </c>
      <c r="O1782">
        <v>18.399999999999999</v>
      </c>
      <c r="P1782">
        <v>7.8</v>
      </c>
      <c r="Q1782" s="1">
        <v>68.05</v>
      </c>
      <c r="R1782" s="1">
        <v>9.1999999999999993</v>
      </c>
      <c r="S1782" s="3">
        <v>-0.12785116154365528</v>
      </c>
      <c r="T1782" s="3">
        <v>1.8127349872445464E-2</v>
      </c>
    </row>
    <row r="1783" spans="1:20" x14ac:dyDescent="0.25">
      <c r="A1783" t="s">
        <v>78</v>
      </c>
      <c r="B1783" t="s">
        <v>79</v>
      </c>
      <c r="C1783" t="s">
        <v>2535</v>
      </c>
      <c r="D1783" t="s">
        <v>2536</v>
      </c>
      <c r="E1783">
        <v>416.4</v>
      </c>
      <c r="F1783">
        <v>424.6</v>
      </c>
      <c r="G1783">
        <v>424.65</v>
      </c>
      <c r="H1783">
        <v>413.4</v>
      </c>
      <c r="I1783" s="1">
        <v>417.2</v>
      </c>
      <c r="J1783">
        <v>1980667.9</v>
      </c>
      <c r="K1783">
        <v>4756</v>
      </c>
      <c r="L1783" t="s">
        <v>78</v>
      </c>
      <c r="M1783" t="s">
        <v>17</v>
      </c>
      <c r="N1783">
        <v>340</v>
      </c>
      <c r="O1783">
        <v>476.95</v>
      </c>
      <c r="P1783">
        <v>293.8</v>
      </c>
      <c r="Q1783" s="1">
        <v>107.6</v>
      </c>
      <c r="R1783" s="1">
        <v>70.7</v>
      </c>
      <c r="S1783" s="3">
        <v>0.1195521690496566</v>
      </c>
      <c r="T1783" s="3">
        <v>9.27608684963801E-2</v>
      </c>
    </row>
    <row r="1784" spans="1:20" x14ac:dyDescent="0.25">
      <c r="A1784" t="s">
        <v>78</v>
      </c>
      <c r="B1784" t="s">
        <v>79</v>
      </c>
      <c r="C1784" t="s">
        <v>2537</v>
      </c>
      <c r="D1784" t="s">
        <v>2538</v>
      </c>
      <c r="E1784">
        <v>394.45</v>
      </c>
      <c r="F1784">
        <v>395</v>
      </c>
      <c r="G1784">
        <v>405</v>
      </c>
      <c r="H1784">
        <v>382.1</v>
      </c>
      <c r="I1784" s="1">
        <v>383.85</v>
      </c>
      <c r="J1784">
        <v>33640112.899999999</v>
      </c>
      <c r="K1784">
        <v>86400</v>
      </c>
      <c r="L1784" t="s">
        <v>78</v>
      </c>
      <c r="M1784" t="s">
        <v>17</v>
      </c>
      <c r="N1784">
        <v>8916</v>
      </c>
      <c r="O1784">
        <v>440.7</v>
      </c>
      <c r="P1784">
        <v>304.35000000000002</v>
      </c>
      <c r="Q1784" s="1">
        <v>200.25</v>
      </c>
      <c r="R1784" s="1">
        <v>198</v>
      </c>
      <c r="S1784" s="3">
        <v>5.5720816600171919E-2</v>
      </c>
      <c r="T1784" s="3">
        <v>3.3634378464045822E-2</v>
      </c>
    </row>
    <row r="1785" spans="1:20" x14ac:dyDescent="0.25">
      <c r="A1785" t="s">
        <v>78</v>
      </c>
      <c r="B1785" t="s">
        <v>79</v>
      </c>
      <c r="C1785" t="s">
        <v>2539</v>
      </c>
      <c r="D1785" t="s">
        <v>2540</v>
      </c>
      <c r="E1785">
        <v>148.55000000000001</v>
      </c>
      <c r="F1785">
        <v>148.26</v>
      </c>
      <c r="G1785">
        <v>148.38999999999999</v>
      </c>
      <c r="H1785">
        <v>141.86000000000001</v>
      </c>
      <c r="I1785" s="1">
        <v>142.79</v>
      </c>
      <c r="J1785">
        <v>337373621.72000003</v>
      </c>
      <c r="K1785">
        <v>2328635</v>
      </c>
      <c r="L1785" t="s">
        <v>78</v>
      </c>
      <c r="M1785" t="s">
        <v>17</v>
      </c>
      <c r="N1785">
        <v>24708</v>
      </c>
      <c r="O1785">
        <v>179.05</v>
      </c>
      <c r="P1785">
        <v>109.5</v>
      </c>
      <c r="Q1785" s="1">
        <v>296.5</v>
      </c>
      <c r="R1785" s="1" t="str">
        <v/>
      </c>
      <c r="S1785" s="3">
        <v>-5.9072652294090977E-2</v>
      </c>
      <c r="T1785" s="3">
        <v>0</v>
      </c>
    </row>
    <row r="1786" spans="1:20" x14ac:dyDescent="0.25">
      <c r="A1786" t="s">
        <v>78</v>
      </c>
      <c r="B1786" t="s">
        <v>79</v>
      </c>
      <c r="C1786" t="s">
        <v>2541</v>
      </c>
      <c r="D1786" t="s">
        <v>2542</v>
      </c>
      <c r="E1786">
        <v>603.75</v>
      </c>
      <c r="F1786">
        <v>594</v>
      </c>
      <c r="G1786">
        <v>608.70000000000005</v>
      </c>
      <c r="H1786">
        <v>592.04999999999995</v>
      </c>
      <c r="I1786" s="1">
        <v>598.79999999999995</v>
      </c>
      <c r="J1786">
        <v>59873643.799999997</v>
      </c>
      <c r="K1786">
        <v>99804</v>
      </c>
      <c r="L1786" t="s">
        <v>78</v>
      </c>
      <c r="M1786" t="s">
        <v>17</v>
      </c>
      <c r="N1786">
        <v>8021</v>
      </c>
      <c r="O1786">
        <v>656.3</v>
      </c>
      <c r="P1786">
        <v>409.5</v>
      </c>
      <c r="Q1786" s="1">
        <v>730</v>
      </c>
      <c r="R1786" s="1" t="str">
        <v/>
      </c>
      <c r="S1786" s="3">
        <v>-1.6374201302166713E-2</v>
      </c>
      <c r="T1786" s="3">
        <v>0</v>
      </c>
    </row>
    <row r="1787" spans="1:20" x14ac:dyDescent="0.25">
      <c r="A1787" t="s">
        <v>78</v>
      </c>
      <c r="B1787" t="s">
        <v>79</v>
      </c>
      <c r="C1787" t="s">
        <v>5367</v>
      </c>
      <c r="D1787" t="s">
        <v>5366</v>
      </c>
      <c r="E1787">
        <v>1991.25</v>
      </c>
      <c r="F1787">
        <v>1990</v>
      </c>
      <c r="G1787">
        <v>1990</v>
      </c>
      <c r="H1787">
        <v>1908.2</v>
      </c>
      <c r="I1787" s="1">
        <v>1923.2</v>
      </c>
      <c r="J1787">
        <v>1566465561.2</v>
      </c>
      <c r="K1787">
        <v>801350</v>
      </c>
      <c r="L1787" t="s">
        <v>78</v>
      </c>
      <c r="M1787" t="s">
        <v>17</v>
      </c>
      <c r="N1787">
        <v>9492</v>
      </c>
      <c r="O1787">
        <v>2090</v>
      </c>
      <c r="P1787">
        <v>1414</v>
      </c>
      <c r="Q1787" s="1" t="str">
        <v/>
      </c>
      <c r="R1787" s="1" t="str">
        <v/>
      </c>
      <c r="S1787" s="3">
        <v>0</v>
      </c>
      <c r="T1787" s="3">
        <v>0</v>
      </c>
    </row>
    <row r="1788" spans="1:20" x14ac:dyDescent="0.25">
      <c r="A1788" t="s">
        <v>78</v>
      </c>
      <c r="B1788" t="s">
        <v>79</v>
      </c>
      <c r="C1788" t="s">
        <v>5365</v>
      </c>
      <c r="D1788" t="s">
        <v>5364</v>
      </c>
      <c r="E1788">
        <v>2576.35</v>
      </c>
      <c r="F1788">
        <v>2598.65</v>
      </c>
      <c r="G1788">
        <v>2639</v>
      </c>
      <c r="H1788">
        <v>2476.0500000000002</v>
      </c>
      <c r="I1788" s="1">
        <v>2558.15</v>
      </c>
      <c r="J1788">
        <v>371266364.94999999</v>
      </c>
      <c r="K1788">
        <v>145595</v>
      </c>
      <c r="L1788" t="s">
        <v>78</v>
      </c>
      <c r="M1788" t="s">
        <v>17</v>
      </c>
      <c r="N1788">
        <v>18652</v>
      </c>
      <c r="O1788">
        <v>2731.2</v>
      </c>
      <c r="P1788">
        <v>991.25</v>
      </c>
      <c r="Q1788" s="1" t="str">
        <v/>
      </c>
      <c r="R1788" s="1" t="str">
        <v/>
      </c>
      <c r="S1788" s="3">
        <v>0</v>
      </c>
      <c r="T1788" s="3">
        <v>0</v>
      </c>
    </row>
    <row r="1789" spans="1:20" x14ac:dyDescent="0.25">
      <c r="A1789" t="s">
        <v>78</v>
      </c>
      <c r="B1789" t="s">
        <v>79</v>
      </c>
      <c r="C1789" t="s">
        <v>2543</v>
      </c>
      <c r="D1789" t="s">
        <v>2544</v>
      </c>
      <c r="E1789">
        <v>31.69</v>
      </c>
      <c r="F1789">
        <v>31.54</v>
      </c>
      <c r="G1789">
        <v>31.67</v>
      </c>
      <c r="H1789">
        <v>30.79</v>
      </c>
      <c r="I1789" s="1">
        <v>31.26</v>
      </c>
      <c r="J1789">
        <v>166583089.49000001</v>
      </c>
      <c r="K1789">
        <v>5341909</v>
      </c>
      <c r="L1789" t="s">
        <v>78</v>
      </c>
      <c r="M1789" t="s">
        <v>17</v>
      </c>
      <c r="N1789">
        <v>13770</v>
      </c>
      <c r="O1789">
        <v>45.8</v>
      </c>
      <c r="P1789">
        <v>22.5</v>
      </c>
      <c r="Q1789" s="1">
        <v>66.7</v>
      </c>
      <c r="R1789" s="1" t="str">
        <v/>
      </c>
      <c r="S1789" s="3">
        <v>-6.120249156133406E-2</v>
      </c>
      <c r="T1789" s="3">
        <v>0</v>
      </c>
    </row>
    <row r="1790" spans="1:20" x14ac:dyDescent="0.25">
      <c r="A1790" t="s">
        <v>78</v>
      </c>
      <c r="B1790" t="s">
        <v>79</v>
      </c>
      <c r="C1790" t="s">
        <v>2545</v>
      </c>
      <c r="D1790" t="s">
        <v>2546</v>
      </c>
      <c r="E1790">
        <v>682.5</v>
      </c>
      <c r="F1790">
        <v>680</v>
      </c>
      <c r="G1790">
        <v>680.4</v>
      </c>
      <c r="H1790">
        <v>662.9</v>
      </c>
      <c r="I1790" s="1">
        <v>664.95</v>
      </c>
      <c r="J1790">
        <v>41123599.200000003</v>
      </c>
      <c r="K1790">
        <v>61376</v>
      </c>
      <c r="L1790" t="s">
        <v>78</v>
      </c>
      <c r="M1790" t="s">
        <v>17</v>
      </c>
      <c r="N1790">
        <v>5289</v>
      </c>
      <c r="O1790">
        <v>776.8</v>
      </c>
      <c r="P1790">
        <v>350.65</v>
      </c>
      <c r="Q1790" s="1">
        <v>321.89999999999998</v>
      </c>
      <c r="R1790" s="1">
        <v>213.95</v>
      </c>
      <c r="S1790" s="3">
        <v>6.2320758067855531E-2</v>
      </c>
      <c r="T1790" s="3">
        <v>5.8303786168789173E-2</v>
      </c>
    </row>
    <row r="1791" spans="1:20" x14ac:dyDescent="0.25">
      <c r="A1791" t="s">
        <v>78</v>
      </c>
      <c r="B1791" t="s">
        <v>79</v>
      </c>
      <c r="C1791" t="s">
        <v>2547</v>
      </c>
      <c r="D1791" t="s">
        <v>2548</v>
      </c>
      <c r="E1791">
        <v>920.95</v>
      </c>
      <c r="F1791">
        <v>925</v>
      </c>
      <c r="G1791">
        <v>941.95</v>
      </c>
      <c r="H1791">
        <v>916.5</v>
      </c>
      <c r="I1791" s="1">
        <v>920.9</v>
      </c>
      <c r="J1791">
        <v>259318620.94999999</v>
      </c>
      <c r="K1791">
        <v>279971</v>
      </c>
      <c r="L1791" t="s">
        <v>78</v>
      </c>
      <c r="M1791" t="s">
        <v>17</v>
      </c>
      <c r="N1791">
        <v>16816</v>
      </c>
      <c r="O1791">
        <v>964</v>
      </c>
      <c r="P1791">
        <v>437.1</v>
      </c>
      <c r="Q1791" s="1">
        <v>745.15</v>
      </c>
      <c r="R1791" s="1">
        <v>322.55</v>
      </c>
      <c r="S1791" s="3">
        <v>1.7803790486060622E-2</v>
      </c>
      <c r="T1791" s="3">
        <v>5.3824510780548618E-2</v>
      </c>
    </row>
    <row r="1792" spans="1:20" x14ac:dyDescent="0.25">
      <c r="A1792" t="s">
        <v>78</v>
      </c>
      <c r="B1792" t="s">
        <v>79</v>
      </c>
      <c r="C1792" t="s">
        <v>5363</v>
      </c>
      <c r="D1792" t="s">
        <v>5362</v>
      </c>
      <c r="E1792">
        <v>482.75</v>
      </c>
      <c r="F1792">
        <v>485.3</v>
      </c>
      <c r="G1792">
        <v>499.9</v>
      </c>
      <c r="H1792">
        <v>482</v>
      </c>
      <c r="I1792" s="1">
        <v>490.6</v>
      </c>
      <c r="J1792">
        <v>30342741.25</v>
      </c>
      <c r="K1792">
        <v>61642</v>
      </c>
      <c r="L1792" t="s">
        <v>78</v>
      </c>
      <c r="M1792" t="s">
        <v>17</v>
      </c>
      <c r="N1792">
        <v>4003</v>
      </c>
      <c r="O1792">
        <v>597.9</v>
      </c>
      <c r="P1792">
        <v>386</v>
      </c>
      <c r="Q1792" s="1" t="str">
        <v/>
      </c>
      <c r="R1792" s="1" t="str">
        <v/>
      </c>
      <c r="S1792" s="3">
        <v>0</v>
      </c>
      <c r="T1792" s="3">
        <v>0</v>
      </c>
    </row>
    <row r="1793" spans="1:20" x14ac:dyDescent="0.25">
      <c r="A1793" t="s">
        <v>78</v>
      </c>
      <c r="B1793" t="s">
        <v>79</v>
      </c>
      <c r="C1793" t="s">
        <v>5361</v>
      </c>
      <c r="D1793" t="s">
        <v>5360</v>
      </c>
      <c r="E1793">
        <v>498.3</v>
      </c>
      <c r="F1793">
        <v>498</v>
      </c>
      <c r="G1793">
        <v>500.5</v>
      </c>
      <c r="H1793">
        <v>494</v>
      </c>
      <c r="I1793" s="1">
        <v>494.3</v>
      </c>
      <c r="J1793">
        <v>107644111.55</v>
      </c>
      <c r="K1793">
        <v>217026</v>
      </c>
      <c r="L1793" t="s">
        <v>78</v>
      </c>
      <c r="M1793" t="s">
        <v>17</v>
      </c>
      <c r="N1793">
        <v>15162</v>
      </c>
      <c r="O1793">
        <v>699</v>
      </c>
      <c r="P1793">
        <v>447</v>
      </c>
      <c r="Q1793" s="1" t="str">
        <v/>
      </c>
      <c r="R1793" s="1" t="str">
        <v/>
      </c>
      <c r="S1793" s="3">
        <v>0</v>
      </c>
      <c r="T1793" s="3">
        <v>0</v>
      </c>
    </row>
    <row r="1794" spans="1:20" x14ac:dyDescent="0.25">
      <c r="A1794" t="s">
        <v>78</v>
      </c>
      <c r="B1794" t="s">
        <v>79</v>
      </c>
      <c r="C1794" t="s">
        <v>2549</v>
      </c>
      <c r="D1794" t="s">
        <v>2550</v>
      </c>
      <c r="E1794">
        <v>498.4</v>
      </c>
      <c r="F1794">
        <v>498.05</v>
      </c>
      <c r="G1794">
        <v>507.2</v>
      </c>
      <c r="H1794">
        <v>495.85</v>
      </c>
      <c r="I1794" s="1">
        <v>505.2</v>
      </c>
      <c r="J1794">
        <v>328259187</v>
      </c>
      <c r="K1794">
        <v>651863</v>
      </c>
      <c r="L1794" t="s">
        <v>78</v>
      </c>
      <c r="M1794" t="s">
        <v>17</v>
      </c>
      <c r="N1794">
        <v>33301</v>
      </c>
      <c r="O1794">
        <v>517.70000000000005</v>
      </c>
      <c r="P1794">
        <v>336.1</v>
      </c>
      <c r="Q1794" s="1">
        <v>431.3</v>
      </c>
      <c r="R1794" s="1" t="str">
        <v/>
      </c>
      <c r="S1794" s="3">
        <v>1.3266435766623452E-2</v>
      </c>
      <c r="T1794" s="3">
        <v>0</v>
      </c>
    </row>
    <row r="1795" spans="1:20" x14ac:dyDescent="0.25">
      <c r="A1795" t="s">
        <v>78</v>
      </c>
      <c r="B1795" t="s">
        <v>79</v>
      </c>
      <c r="C1795" t="s">
        <v>2553</v>
      </c>
      <c r="D1795" t="s">
        <v>2554</v>
      </c>
      <c r="E1795">
        <v>1920.25</v>
      </c>
      <c r="F1795">
        <v>1910</v>
      </c>
      <c r="G1795">
        <v>1939.95</v>
      </c>
      <c r="H1795">
        <v>1875</v>
      </c>
      <c r="I1795" s="1">
        <v>1891.85</v>
      </c>
      <c r="J1795">
        <v>14704279.9</v>
      </c>
      <c r="K1795">
        <v>7724</v>
      </c>
      <c r="L1795" t="s">
        <v>78</v>
      </c>
      <c r="M1795" t="s">
        <v>17</v>
      </c>
      <c r="N1795">
        <v>1563</v>
      </c>
      <c r="O1795">
        <v>1995</v>
      </c>
      <c r="P1795">
        <v>806.6</v>
      </c>
      <c r="Q1795" s="1">
        <v>647.79999999999995</v>
      </c>
      <c r="R1795" s="1">
        <v>456.95</v>
      </c>
      <c r="S1795" s="3">
        <v>9.342033458648169E-2</v>
      </c>
      <c r="T1795" s="3">
        <v>7.3578994440310241E-2</v>
      </c>
    </row>
    <row r="1796" spans="1:20" x14ac:dyDescent="0.25">
      <c r="A1796" t="s">
        <v>78</v>
      </c>
      <c r="B1796" t="s">
        <v>79</v>
      </c>
      <c r="C1796" t="s">
        <v>5359</v>
      </c>
      <c r="D1796" t="s">
        <v>2556</v>
      </c>
      <c r="E1796">
        <v>1735.35</v>
      </c>
      <c r="F1796">
        <v>1745</v>
      </c>
      <c r="G1796">
        <v>1769.85</v>
      </c>
      <c r="H1796">
        <v>1675.6</v>
      </c>
      <c r="I1796" s="1">
        <v>1699.6</v>
      </c>
      <c r="J1796">
        <v>66337855.25</v>
      </c>
      <c r="K1796">
        <v>38149</v>
      </c>
      <c r="L1796" t="s">
        <v>78</v>
      </c>
      <c r="M1796" t="s">
        <v>17</v>
      </c>
      <c r="N1796">
        <v>3217</v>
      </c>
      <c r="O1796">
        <v>1845.05</v>
      </c>
      <c r="P1796">
        <v>1203.9000000000001</v>
      </c>
      <c r="Q1796" s="1" t="str">
        <v/>
      </c>
      <c r="R1796" s="1" t="str">
        <v/>
      </c>
      <c r="S1796" s="3">
        <v>0</v>
      </c>
      <c r="T1796" s="3">
        <v>0</v>
      </c>
    </row>
    <row r="1797" spans="1:20" x14ac:dyDescent="0.25">
      <c r="A1797" t="s">
        <v>78</v>
      </c>
      <c r="B1797" t="s">
        <v>79</v>
      </c>
      <c r="C1797" t="s">
        <v>2557</v>
      </c>
      <c r="D1797" t="s">
        <v>2558</v>
      </c>
      <c r="E1797">
        <v>4218.3999999999996</v>
      </c>
      <c r="F1797">
        <v>4251.8500000000004</v>
      </c>
      <c r="G1797">
        <v>4294.75</v>
      </c>
      <c r="H1797">
        <v>4180.55</v>
      </c>
      <c r="I1797" s="1">
        <v>4233.3999999999996</v>
      </c>
      <c r="J1797">
        <v>382977999.44999999</v>
      </c>
      <c r="K1797">
        <v>90398</v>
      </c>
      <c r="L1797" t="s">
        <v>78</v>
      </c>
      <c r="M1797" t="s">
        <v>17</v>
      </c>
      <c r="N1797">
        <v>20447</v>
      </c>
      <c r="O1797">
        <v>4998</v>
      </c>
      <c r="P1797">
        <v>2493.1</v>
      </c>
      <c r="Q1797" s="1">
        <v>2615.35</v>
      </c>
      <c r="R1797" s="1">
        <v>1532</v>
      </c>
      <c r="S1797" s="3">
        <v>4.0950210623698746E-2</v>
      </c>
      <c r="T1797" s="3">
        <v>5.2105860268637505E-2</v>
      </c>
    </row>
    <row r="1798" spans="1:20" x14ac:dyDescent="0.25">
      <c r="A1798" t="s">
        <v>78</v>
      </c>
      <c r="B1798" t="s">
        <v>79</v>
      </c>
      <c r="C1798" t="s">
        <v>2559</v>
      </c>
      <c r="D1798" t="s">
        <v>2560</v>
      </c>
      <c r="E1798">
        <v>268</v>
      </c>
      <c r="F1798">
        <v>268.2</v>
      </c>
      <c r="G1798">
        <v>272</v>
      </c>
      <c r="H1798">
        <v>263.25</v>
      </c>
      <c r="I1798" s="1">
        <v>269.25</v>
      </c>
      <c r="J1798">
        <v>32447593.050000001</v>
      </c>
      <c r="K1798">
        <v>121365</v>
      </c>
      <c r="L1798" t="s">
        <v>78</v>
      </c>
      <c r="M1798" t="s">
        <v>17</v>
      </c>
      <c r="N1798">
        <v>5849</v>
      </c>
      <c r="O1798">
        <v>300</v>
      </c>
      <c r="P1798">
        <v>97.95</v>
      </c>
      <c r="Q1798" s="1">
        <v>77.75</v>
      </c>
      <c r="R1798" s="1">
        <v>83</v>
      </c>
      <c r="S1798" s="3">
        <v>0.10905889543008995</v>
      </c>
      <c r="T1798" s="3">
        <v>6.0571339008494096E-2</v>
      </c>
    </row>
    <row r="1799" spans="1:20" x14ac:dyDescent="0.25">
      <c r="A1799" t="s">
        <v>78</v>
      </c>
      <c r="B1799" t="s">
        <v>79</v>
      </c>
      <c r="C1799" t="s">
        <v>2561</v>
      </c>
      <c r="D1799" t="s">
        <v>2562</v>
      </c>
      <c r="E1799">
        <v>748.4</v>
      </c>
      <c r="F1799">
        <v>748.25</v>
      </c>
      <c r="G1799">
        <v>757.9</v>
      </c>
      <c r="H1799">
        <v>734</v>
      </c>
      <c r="I1799" s="1">
        <v>740.65</v>
      </c>
      <c r="J1799">
        <v>1879721.45</v>
      </c>
      <c r="K1799">
        <v>2526</v>
      </c>
      <c r="L1799" t="s">
        <v>78</v>
      </c>
      <c r="M1799" t="s">
        <v>17</v>
      </c>
      <c r="N1799">
        <v>202</v>
      </c>
      <c r="O1799">
        <v>939.25</v>
      </c>
      <c r="P1799">
        <v>651.54999999999995</v>
      </c>
      <c r="Q1799" s="1">
        <v>433.5</v>
      </c>
      <c r="R1799" s="1">
        <v>283</v>
      </c>
      <c r="S1799" s="3">
        <v>4.5647556962479907E-2</v>
      </c>
      <c r="T1799" s="3">
        <v>4.9252200155169845E-2</v>
      </c>
    </row>
    <row r="1800" spans="1:20" x14ac:dyDescent="0.25">
      <c r="A1800" t="s">
        <v>78</v>
      </c>
      <c r="B1800" t="s">
        <v>79</v>
      </c>
      <c r="C1800" t="s">
        <v>2563</v>
      </c>
      <c r="D1800" t="s">
        <v>2564</v>
      </c>
      <c r="E1800">
        <v>1381.7</v>
      </c>
      <c r="F1800">
        <v>1381</v>
      </c>
      <c r="G1800">
        <v>1505.95</v>
      </c>
      <c r="H1800">
        <v>1378.8</v>
      </c>
      <c r="I1800" s="1">
        <v>1401.3</v>
      </c>
      <c r="J1800">
        <v>1121150460.7</v>
      </c>
      <c r="K1800">
        <v>780881</v>
      </c>
      <c r="L1800" t="s">
        <v>78</v>
      </c>
      <c r="M1800" t="s">
        <v>17</v>
      </c>
      <c r="N1800">
        <v>60197</v>
      </c>
      <c r="O1800">
        <v>1505.95</v>
      </c>
      <c r="P1800">
        <v>1003.05</v>
      </c>
      <c r="Q1800" s="1">
        <v>777.25</v>
      </c>
      <c r="R1800" s="1">
        <v>440.35</v>
      </c>
      <c r="S1800" s="3">
        <v>5.0342324045974607E-2</v>
      </c>
      <c r="T1800" s="3">
        <v>5.955349922367259E-2</v>
      </c>
    </row>
    <row r="1801" spans="1:20" x14ac:dyDescent="0.25">
      <c r="A1801" t="s">
        <v>78</v>
      </c>
      <c r="B1801" t="s">
        <v>79</v>
      </c>
      <c r="C1801" t="s">
        <v>2565</v>
      </c>
      <c r="D1801" t="s">
        <v>2566</v>
      </c>
      <c r="E1801">
        <v>250.32</v>
      </c>
      <c r="F1801">
        <v>249.99</v>
      </c>
      <c r="G1801">
        <v>253.53</v>
      </c>
      <c r="H1801">
        <v>242.35</v>
      </c>
      <c r="I1801" s="1">
        <v>243.16</v>
      </c>
      <c r="J1801">
        <v>104910621.55</v>
      </c>
      <c r="K1801">
        <v>425050</v>
      </c>
      <c r="L1801" t="s">
        <v>78</v>
      </c>
      <c r="M1801" t="s">
        <v>17</v>
      </c>
      <c r="N1801">
        <v>11254</v>
      </c>
      <c r="O1801">
        <v>274.79000000000002</v>
      </c>
      <c r="P1801">
        <v>159.05000000000001</v>
      </c>
      <c r="Q1801" s="1">
        <v>81.099999999999994</v>
      </c>
      <c r="R1801" s="1">
        <v>32.5</v>
      </c>
      <c r="S1801" s="3">
        <v>9.5820128231284496E-2</v>
      </c>
      <c r="T1801" s="3">
        <v>0.10579979821813379</v>
      </c>
    </row>
    <row r="1802" spans="1:20" x14ac:dyDescent="0.25">
      <c r="A1802" t="s">
        <v>78</v>
      </c>
      <c r="B1802" t="s">
        <v>287</v>
      </c>
      <c r="C1802" t="s">
        <v>5358</v>
      </c>
      <c r="D1802" t="s">
        <v>5357</v>
      </c>
      <c r="E1802">
        <v>62.2</v>
      </c>
      <c r="F1802">
        <v>62.2</v>
      </c>
      <c r="G1802">
        <v>63</v>
      </c>
      <c r="H1802">
        <v>62.2</v>
      </c>
      <c r="I1802" s="1">
        <v>63</v>
      </c>
      <c r="J1802">
        <v>301120</v>
      </c>
      <c r="K1802">
        <v>4800</v>
      </c>
      <c r="L1802" t="s">
        <v>78</v>
      </c>
      <c r="M1802" t="s">
        <v>17</v>
      </c>
      <c r="N1802">
        <v>3</v>
      </c>
      <c r="O1802">
        <v>84</v>
      </c>
      <c r="P1802">
        <v>57.4</v>
      </c>
      <c r="Q1802" s="1" t="str">
        <v/>
      </c>
      <c r="R1802" s="1" t="str">
        <v/>
      </c>
      <c r="S1802" s="3">
        <v>0</v>
      </c>
      <c r="T1802" s="3">
        <v>0</v>
      </c>
    </row>
    <row r="1803" spans="1:20" x14ac:dyDescent="0.25">
      <c r="A1803" t="s">
        <v>78</v>
      </c>
      <c r="B1803" t="s">
        <v>79</v>
      </c>
      <c r="C1803" t="s">
        <v>2567</v>
      </c>
      <c r="D1803" t="s">
        <v>2568</v>
      </c>
      <c r="E1803">
        <v>630.04999999999995</v>
      </c>
      <c r="F1803">
        <v>630.54999999999995</v>
      </c>
      <c r="G1803">
        <v>637.70000000000005</v>
      </c>
      <c r="H1803">
        <v>612.20000000000005</v>
      </c>
      <c r="I1803" s="1">
        <v>615.75</v>
      </c>
      <c r="J1803">
        <v>738770164.64999998</v>
      </c>
      <c r="K1803">
        <v>1185316</v>
      </c>
      <c r="L1803" t="s">
        <v>78</v>
      </c>
      <c r="M1803" t="s">
        <v>17</v>
      </c>
      <c r="N1803">
        <v>38769</v>
      </c>
      <c r="O1803">
        <v>699</v>
      </c>
      <c r="P1803">
        <v>351</v>
      </c>
      <c r="Q1803" s="1">
        <v>360.3</v>
      </c>
      <c r="R1803" s="1">
        <v>439.55</v>
      </c>
      <c r="S1803" s="3">
        <v>4.5670878338275767E-2</v>
      </c>
      <c r="T1803" s="3">
        <v>1.6987928989472989E-2</v>
      </c>
    </row>
    <row r="1804" spans="1:20" x14ac:dyDescent="0.25">
      <c r="A1804" t="s">
        <v>78</v>
      </c>
      <c r="B1804" t="s">
        <v>79</v>
      </c>
      <c r="C1804" t="s">
        <v>2569</v>
      </c>
      <c r="D1804" t="s">
        <v>2570</v>
      </c>
      <c r="E1804">
        <v>806.8</v>
      </c>
      <c r="F1804">
        <v>807</v>
      </c>
      <c r="G1804">
        <v>807.7</v>
      </c>
      <c r="H1804">
        <v>790</v>
      </c>
      <c r="I1804" s="1">
        <v>801.2</v>
      </c>
      <c r="J1804">
        <v>756509318.04999995</v>
      </c>
      <c r="K1804">
        <v>946664</v>
      </c>
      <c r="L1804" t="s">
        <v>78</v>
      </c>
      <c r="M1804" t="s">
        <v>17</v>
      </c>
      <c r="N1804">
        <v>31543</v>
      </c>
      <c r="O1804">
        <v>823.45</v>
      </c>
      <c r="P1804">
        <v>493</v>
      </c>
      <c r="Q1804" s="1">
        <v>530</v>
      </c>
      <c r="R1804" s="1">
        <v>458.4</v>
      </c>
      <c r="S1804" s="3">
        <v>3.5035921733338249E-2</v>
      </c>
      <c r="T1804" s="3">
        <v>2.8296071159957359E-2</v>
      </c>
    </row>
    <row r="1805" spans="1:20" x14ac:dyDescent="0.25">
      <c r="A1805" t="s">
        <v>78</v>
      </c>
      <c r="B1805" t="s">
        <v>79</v>
      </c>
      <c r="C1805" t="s">
        <v>2571</v>
      </c>
      <c r="D1805" t="s">
        <v>2572</v>
      </c>
      <c r="E1805">
        <v>223.58</v>
      </c>
      <c r="F1805">
        <v>225.6</v>
      </c>
      <c r="G1805">
        <v>227</v>
      </c>
      <c r="H1805">
        <v>221</v>
      </c>
      <c r="I1805" s="1">
        <v>225.77</v>
      </c>
      <c r="J1805">
        <v>1715856.04</v>
      </c>
      <c r="K1805">
        <v>7656</v>
      </c>
      <c r="L1805" t="s">
        <v>78</v>
      </c>
      <c r="M1805" t="s">
        <v>17</v>
      </c>
      <c r="N1805">
        <v>230</v>
      </c>
      <c r="O1805">
        <v>275</v>
      </c>
      <c r="P1805">
        <v>190</v>
      </c>
      <c r="Q1805" s="1">
        <v>161</v>
      </c>
      <c r="R1805" s="1">
        <v>74.150000000000006</v>
      </c>
      <c r="S1805" s="3">
        <v>2.857673373068681E-2</v>
      </c>
      <c r="T1805" s="3">
        <v>5.7217913120906072E-2</v>
      </c>
    </row>
    <row r="1806" spans="1:20" x14ac:dyDescent="0.25">
      <c r="A1806" t="s">
        <v>78</v>
      </c>
      <c r="B1806" t="s">
        <v>79</v>
      </c>
      <c r="C1806" t="s">
        <v>3493</v>
      </c>
      <c r="D1806" t="s">
        <v>3494</v>
      </c>
      <c r="E1806">
        <v>7.92</v>
      </c>
      <c r="F1806">
        <v>8</v>
      </c>
      <c r="G1806">
        <v>8</v>
      </c>
      <c r="H1806">
        <v>7.77</v>
      </c>
      <c r="I1806" s="1">
        <v>7.91</v>
      </c>
      <c r="J1806">
        <v>498796.12</v>
      </c>
      <c r="K1806">
        <v>63106</v>
      </c>
      <c r="L1806" t="s">
        <v>78</v>
      </c>
      <c r="M1806" t="s">
        <v>17</v>
      </c>
      <c r="N1806">
        <v>348</v>
      </c>
      <c r="O1806">
        <v>11.72</v>
      </c>
      <c r="P1806">
        <v>6.05</v>
      </c>
      <c r="Q1806" s="1">
        <v>12</v>
      </c>
      <c r="R1806" s="1">
        <v>4.6500000000000004</v>
      </c>
      <c r="S1806" s="3">
        <v>-3.4135353743610541E-2</v>
      </c>
      <c r="T1806" s="3">
        <v>2.6904031385262428E-2</v>
      </c>
    </row>
    <row r="1807" spans="1:20" x14ac:dyDescent="0.25">
      <c r="A1807" t="s">
        <v>78</v>
      </c>
      <c r="B1807" t="s">
        <v>79</v>
      </c>
      <c r="C1807" t="s">
        <v>2573</v>
      </c>
      <c r="D1807" t="s">
        <v>2574</v>
      </c>
      <c r="E1807">
        <v>517.1</v>
      </c>
      <c r="F1807">
        <v>520.15</v>
      </c>
      <c r="G1807">
        <v>541.1</v>
      </c>
      <c r="H1807">
        <v>520.1</v>
      </c>
      <c r="I1807" s="1">
        <v>534.25</v>
      </c>
      <c r="J1807">
        <v>234223691</v>
      </c>
      <c r="K1807">
        <v>440781</v>
      </c>
      <c r="L1807" t="s">
        <v>78</v>
      </c>
      <c r="M1807" t="s">
        <v>17</v>
      </c>
      <c r="N1807">
        <v>26594</v>
      </c>
      <c r="O1807">
        <v>553.70000000000005</v>
      </c>
      <c r="P1807">
        <v>353.75</v>
      </c>
      <c r="Q1807" s="1">
        <v>308.2</v>
      </c>
      <c r="R1807" s="1">
        <v>198</v>
      </c>
      <c r="S1807" s="3">
        <v>4.6909943433206758E-2</v>
      </c>
      <c r="T1807" s="3">
        <v>5.0853471112750404E-2</v>
      </c>
    </row>
    <row r="1808" spans="1:20" x14ac:dyDescent="0.25">
      <c r="A1808" t="s">
        <v>78</v>
      </c>
      <c r="B1808" t="s">
        <v>79</v>
      </c>
      <c r="C1808" t="s">
        <v>2575</v>
      </c>
      <c r="D1808" t="s">
        <v>2576</v>
      </c>
      <c r="E1808">
        <v>5799.9</v>
      </c>
      <c r="F1808">
        <v>5800.85</v>
      </c>
      <c r="G1808">
        <v>5850</v>
      </c>
      <c r="H1808">
        <v>5610</v>
      </c>
      <c r="I1808" s="1">
        <v>5721.25</v>
      </c>
      <c r="J1808">
        <v>1315133357.8</v>
      </c>
      <c r="K1808">
        <v>229785</v>
      </c>
      <c r="L1808" t="s">
        <v>78</v>
      </c>
      <c r="M1808" t="s">
        <v>17</v>
      </c>
      <c r="N1808">
        <v>59764</v>
      </c>
      <c r="O1808">
        <v>6460</v>
      </c>
      <c r="P1808">
        <v>3182.25</v>
      </c>
      <c r="Q1808" s="1">
        <v>2062.9499999999998</v>
      </c>
      <c r="R1808" s="1">
        <v>1077</v>
      </c>
      <c r="S1808" s="3">
        <v>8.8721631674952395E-2</v>
      </c>
      <c r="T1808" s="3">
        <v>8.7035935745212623E-2</v>
      </c>
    </row>
    <row r="1809" spans="1:20" x14ac:dyDescent="0.25">
      <c r="A1809" t="s">
        <v>78</v>
      </c>
      <c r="B1809" t="s">
        <v>79</v>
      </c>
      <c r="C1809" t="s">
        <v>5356</v>
      </c>
      <c r="D1809" t="s">
        <v>5355</v>
      </c>
      <c r="E1809">
        <v>410.5</v>
      </c>
      <c r="F1809">
        <v>415.05</v>
      </c>
      <c r="G1809">
        <v>417.45</v>
      </c>
      <c r="H1809">
        <v>391.5</v>
      </c>
      <c r="I1809" s="1">
        <v>399.9</v>
      </c>
      <c r="J1809">
        <v>130150156.05</v>
      </c>
      <c r="K1809">
        <v>322330</v>
      </c>
      <c r="L1809" t="s">
        <v>78</v>
      </c>
      <c r="M1809" t="s">
        <v>17</v>
      </c>
      <c r="N1809">
        <v>13421</v>
      </c>
      <c r="O1809">
        <v>424.7</v>
      </c>
      <c r="P1809">
        <v>233.3</v>
      </c>
      <c r="Q1809" s="1" t="str">
        <v/>
      </c>
      <c r="R1809" s="1" t="str">
        <v/>
      </c>
      <c r="S1809" s="3">
        <v>0</v>
      </c>
      <c r="T1809" s="3">
        <v>0</v>
      </c>
    </row>
    <row r="1810" spans="1:20" x14ac:dyDescent="0.25">
      <c r="A1810" t="s">
        <v>78</v>
      </c>
      <c r="B1810" t="s">
        <v>79</v>
      </c>
      <c r="C1810" t="s">
        <v>2577</v>
      </c>
      <c r="D1810" t="s">
        <v>2578</v>
      </c>
      <c r="E1810">
        <v>39.369999999999997</v>
      </c>
      <c r="F1810">
        <v>41.33</v>
      </c>
      <c r="G1810">
        <v>41.33</v>
      </c>
      <c r="H1810">
        <v>40.6</v>
      </c>
      <c r="I1810" s="1">
        <v>41.33</v>
      </c>
      <c r="J1810">
        <v>40814025.340000004</v>
      </c>
      <c r="K1810">
        <v>987915</v>
      </c>
      <c r="L1810" t="s">
        <v>78</v>
      </c>
      <c r="M1810" t="s">
        <v>17</v>
      </c>
      <c r="N1810">
        <v>2178</v>
      </c>
      <c r="O1810">
        <v>46.9</v>
      </c>
      <c r="P1810">
        <v>23.4</v>
      </c>
      <c r="Q1810" s="1">
        <v>13.4</v>
      </c>
      <c r="R1810" s="1">
        <v>6.4</v>
      </c>
      <c r="S1810" s="3">
        <v>9.8407232613192175E-2</v>
      </c>
      <c r="T1810" s="3">
        <v>9.7696020109741877E-2</v>
      </c>
    </row>
    <row r="1811" spans="1:20" x14ac:dyDescent="0.25">
      <c r="A1811" t="s">
        <v>78</v>
      </c>
      <c r="B1811" t="s">
        <v>287</v>
      </c>
      <c r="C1811" t="s">
        <v>5354</v>
      </c>
      <c r="D1811" t="s">
        <v>5353</v>
      </c>
      <c r="E1811">
        <v>341</v>
      </c>
      <c r="F1811">
        <v>340</v>
      </c>
      <c r="G1811">
        <v>341</v>
      </c>
      <c r="H1811">
        <v>336</v>
      </c>
      <c r="I1811" s="1">
        <v>339.5</v>
      </c>
      <c r="J1811">
        <v>678440</v>
      </c>
      <c r="K1811">
        <v>2000</v>
      </c>
      <c r="L1811" t="s">
        <v>78</v>
      </c>
      <c r="M1811" t="s">
        <v>17</v>
      </c>
      <c r="N1811">
        <v>10</v>
      </c>
      <c r="O1811">
        <v>734.6</v>
      </c>
      <c r="P1811">
        <v>186.2</v>
      </c>
      <c r="Q1811" s="1" t="str">
        <v/>
      </c>
      <c r="R1811" s="1">
        <v>41.5</v>
      </c>
      <c r="S1811" s="3">
        <v>0</v>
      </c>
      <c r="T1811" s="3">
        <v>0.11074556996167884</v>
      </c>
    </row>
    <row r="1812" spans="1:20" x14ac:dyDescent="0.25">
      <c r="A1812" t="s">
        <v>78</v>
      </c>
      <c r="B1812" t="s">
        <v>79</v>
      </c>
      <c r="C1812" t="s">
        <v>3499</v>
      </c>
      <c r="D1812" t="s">
        <v>3500</v>
      </c>
      <c r="E1812">
        <v>89.86</v>
      </c>
      <c r="F1812">
        <v>89.41</v>
      </c>
      <c r="G1812">
        <v>92.4</v>
      </c>
      <c r="H1812">
        <v>86.11</v>
      </c>
      <c r="I1812" s="1">
        <v>87.39</v>
      </c>
      <c r="J1812">
        <v>7562151.1600000001</v>
      </c>
      <c r="K1812">
        <v>85854</v>
      </c>
      <c r="L1812" t="s">
        <v>78</v>
      </c>
      <c r="M1812" t="s">
        <v>17</v>
      </c>
      <c r="N1812">
        <v>1354</v>
      </c>
      <c r="O1812">
        <v>94.9</v>
      </c>
      <c r="P1812">
        <v>55.35</v>
      </c>
      <c r="Q1812" s="1">
        <v>70</v>
      </c>
      <c r="R1812" s="1">
        <v>20.55</v>
      </c>
      <c r="S1812" s="3">
        <v>1.866247536756438E-2</v>
      </c>
      <c r="T1812" s="3">
        <v>7.5016875475816258E-2</v>
      </c>
    </row>
    <row r="1813" spans="1:20" x14ac:dyDescent="0.25">
      <c r="A1813" t="s">
        <v>78</v>
      </c>
      <c r="B1813" t="s">
        <v>79</v>
      </c>
      <c r="C1813" t="s">
        <v>2581</v>
      </c>
      <c r="D1813" t="s">
        <v>2582</v>
      </c>
      <c r="E1813">
        <v>617.35</v>
      </c>
      <c r="F1813">
        <v>617.35</v>
      </c>
      <c r="G1813">
        <v>630</v>
      </c>
      <c r="H1813">
        <v>605</v>
      </c>
      <c r="I1813" s="1">
        <v>608.25</v>
      </c>
      <c r="J1813">
        <v>137636650.5</v>
      </c>
      <c r="K1813">
        <v>224434</v>
      </c>
      <c r="L1813" t="s">
        <v>78</v>
      </c>
      <c r="M1813" t="s">
        <v>17</v>
      </c>
      <c r="N1813">
        <v>10550</v>
      </c>
      <c r="O1813">
        <v>1154</v>
      </c>
      <c r="P1813">
        <v>467.55</v>
      </c>
      <c r="Q1813" s="1">
        <v>528.95000000000005</v>
      </c>
      <c r="R1813" s="1">
        <v>206</v>
      </c>
      <c r="S1813" s="3">
        <v>1.1709026214732132E-2</v>
      </c>
      <c r="T1813" s="3">
        <v>5.5596324364002303E-2</v>
      </c>
    </row>
    <row r="1814" spans="1:20" x14ac:dyDescent="0.25">
      <c r="A1814" t="s">
        <v>78</v>
      </c>
      <c r="B1814" t="s">
        <v>79</v>
      </c>
      <c r="C1814" t="s">
        <v>2583</v>
      </c>
      <c r="D1814" t="s">
        <v>2584</v>
      </c>
      <c r="E1814">
        <v>183.77</v>
      </c>
      <c r="F1814">
        <v>183.77</v>
      </c>
      <c r="G1814">
        <v>183.98</v>
      </c>
      <c r="H1814">
        <v>181.43</v>
      </c>
      <c r="I1814" s="1">
        <v>182.84</v>
      </c>
      <c r="J1814">
        <v>70792717.540000007</v>
      </c>
      <c r="K1814">
        <v>387263</v>
      </c>
      <c r="L1814" t="s">
        <v>78</v>
      </c>
      <c r="M1814" t="s">
        <v>17</v>
      </c>
      <c r="N1814">
        <v>7151</v>
      </c>
      <c r="O1814">
        <v>217.7</v>
      </c>
      <c r="P1814">
        <v>142.30000000000001</v>
      </c>
      <c r="Q1814" s="1">
        <v>207.9</v>
      </c>
      <c r="R1814" s="1" t="str">
        <v/>
      </c>
      <c r="S1814" s="3">
        <v>-1.06467298363635E-2</v>
      </c>
      <c r="T1814" s="3">
        <v>0</v>
      </c>
    </row>
    <row r="1815" spans="1:20" x14ac:dyDescent="0.25">
      <c r="A1815" t="s">
        <v>78</v>
      </c>
      <c r="B1815" t="s">
        <v>79</v>
      </c>
      <c r="C1815" t="s">
        <v>2585</v>
      </c>
      <c r="D1815" t="s">
        <v>2586</v>
      </c>
      <c r="E1815">
        <v>65.930000000000007</v>
      </c>
      <c r="F1815">
        <v>68.900000000000006</v>
      </c>
      <c r="G1815">
        <v>69.77</v>
      </c>
      <c r="H1815">
        <v>67.010000000000005</v>
      </c>
      <c r="I1815" s="1">
        <v>68.069999999999993</v>
      </c>
      <c r="J1815">
        <v>176465138.53</v>
      </c>
      <c r="K1815">
        <v>2577500</v>
      </c>
      <c r="L1815" t="s">
        <v>78</v>
      </c>
      <c r="M1815" t="s">
        <v>17</v>
      </c>
      <c r="N1815">
        <v>20189</v>
      </c>
      <c r="O1815">
        <v>73.45</v>
      </c>
      <c r="P1815">
        <v>44.5</v>
      </c>
      <c r="Q1815" s="1">
        <v>74.099999999999994</v>
      </c>
      <c r="R1815" s="1">
        <v>27.8</v>
      </c>
      <c r="S1815" s="3">
        <v>-7.0482888791199017E-3</v>
      </c>
      <c r="T1815" s="3">
        <v>4.5766916368646493E-2</v>
      </c>
    </row>
    <row r="1816" spans="1:20" x14ac:dyDescent="0.25">
      <c r="A1816" t="s">
        <v>78</v>
      </c>
      <c r="B1816" t="s">
        <v>79</v>
      </c>
      <c r="C1816" t="s">
        <v>2589</v>
      </c>
      <c r="D1816" t="s">
        <v>2590</v>
      </c>
      <c r="E1816">
        <v>135.36000000000001</v>
      </c>
      <c r="F1816">
        <v>136</v>
      </c>
      <c r="G1816">
        <v>137.38999999999999</v>
      </c>
      <c r="H1816">
        <v>130.5</v>
      </c>
      <c r="I1816" s="1">
        <v>131.29</v>
      </c>
      <c r="J1816">
        <v>32524958.23</v>
      </c>
      <c r="K1816">
        <v>244970</v>
      </c>
      <c r="L1816" t="s">
        <v>78</v>
      </c>
      <c r="M1816" t="s">
        <v>17</v>
      </c>
      <c r="N1816">
        <v>2583</v>
      </c>
      <c r="O1816">
        <v>144.80000000000001</v>
      </c>
      <c r="P1816">
        <v>60.75</v>
      </c>
      <c r="Q1816" s="1">
        <v>88.7</v>
      </c>
      <c r="R1816" s="1">
        <v>240.3</v>
      </c>
      <c r="S1816" s="3">
        <v>3.3218885411680388E-2</v>
      </c>
      <c r="T1816" s="3">
        <v>-2.9755739539004344E-2</v>
      </c>
    </row>
    <row r="1817" spans="1:20" x14ac:dyDescent="0.25">
      <c r="A1817" t="s">
        <v>78</v>
      </c>
      <c r="B1817" t="s">
        <v>79</v>
      </c>
      <c r="C1817" t="s">
        <v>2591</v>
      </c>
      <c r="D1817" t="s">
        <v>2592</v>
      </c>
      <c r="E1817">
        <v>858.6</v>
      </c>
      <c r="F1817">
        <v>855.6</v>
      </c>
      <c r="G1817">
        <v>881.6</v>
      </c>
      <c r="H1817">
        <v>846.35</v>
      </c>
      <c r="I1817" s="1">
        <v>872.3</v>
      </c>
      <c r="J1817">
        <v>468886966.69999999</v>
      </c>
      <c r="K1817">
        <v>538651</v>
      </c>
      <c r="L1817" t="s">
        <v>78</v>
      </c>
      <c r="M1817" t="s">
        <v>17</v>
      </c>
      <c r="N1817">
        <v>27312</v>
      </c>
      <c r="O1817">
        <v>889.7</v>
      </c>
      <c r="P1817">
        <v>477.65</v>
      </c>
      <c r="Q1817" s="1">
        <v>457.05</v>
      </c>
      <c r="R1817" s="1" t="str">
        <v/>
      </c>
      <c r="S1817" s="3">
        <v>5.5338656962640842E-2</v>
      </c>
      <c r="T1817" s="3">
        <v>0</v>
      </c>
    </row>
    <row r="1818" spans="1:20" x14ac:dyDescent="0.25">
      <c r="A1818" t="s">
        <v>78</v>
      </c>
      <c r="B1818" t="s">
        <v>79</v>
      </c>
      <c r="C1818" t="s">
        <v>2593</v>
      </c>
      <c r="D1818" t="s">
        <v>2594</v>
      </c>
      <c r="E1818">
        <v>5.36</v>
      </c>
      <c r="F1818">
        <v>5.36</v>
      </c>
      <c r="G1818">
        <v>5.38</v>
      </c>
      <c r="H1818">
        <v>5.28</v>
      </c>
      <c r="I1818" s="1">
        <v>5.32</v>
      </c>
      <c r="J1818">
        <v>910628.17</v>
      </c>
      <c r="K1818">
        <v>170898</v>
      </c>
      <c r="L1818" t="s">
        <v>78</v>
      </c>
      <c r="M1818" t="s">
        <v>17</v>
      </c>
      <c r="N1818">
        <v>1509</v>
      </c>
      <c r="O1818">
        <v>8.9</v>
      </c>
      <c r="P1818">
        <v>4.99</v>
      </c>
      <c r="Q1818" s="1">
        <v>24.9</v>
      </c>
      <c r="R1818" s="1" t="str">
        <v/>
      </c>
      <c r="S1818" s="3">
        <v>-0.12068862683682868</v>
      </c>
      <c r="T1818" s="3">
        <v>0</v>
      </c>
    </row>
    <row r="1819" spans="1:20" x14ac:dyDescent="0.25">
      <c r="A1819" t="s">
        <v>78</v>
      </c>
      <c r="B1819" t="s">
        <v>79</v>
      </c>
      <c r="C1819" t="s">
        <v>2595</v>
      </c>
      <c r="D1819" t="s">
        <v>2596</v>
      </c>
      <c r="E1819">
        <v>55.88</v>
      </c>
      <c r="F1819">
        <v>55.5</v>
      </c>
      <c r="G1819">
        <v>55.72</v>
      </c>
      <c r="H1819">
        <v>53.82</v>
      </c>
      <c r="I1819" s="1">
        <v>55.39</v>
      </c>
      <c r="J1819">
        <v>3762889026.3699999</v>
      </c>
      <c r="K1819">
        <v>68196637</v>
      </c>
      <c r="L1819" t="s">
        <v>78</v>
      </c>
      <c r="M1819" t="s">
        <v>17</v>
      </c>
      <c r="N1819">
        <v>120328</v>
      </c>
      <c r="O1819">
        <v>56.49</v>
      </c>
      <c r="P1819">
        <v>17.45</v>
      </c>
      <c r="Q1819" s="1">
        <v>7.65</v>
      </c>
      <c r="R1819" s="1">
        <v>4.25</v>
      </c>
      <c r="S1819" s="3">
        <v>0.17936298798118711</v>
      </c>
      <c r="T1819" s="3">
        <v>0.13689822746590186</v>
      </c>
    </row>
    <row r="1820" spans="1:20" x14ac:dyDescent="0.25">
      <c r="A1820" t="s">
        <v>78</v>
      </c>
      <c r="B1820" t="s">
        <v>79</v>
      </c>
      <c r="C1820" t="s">
        <v>5352</v>
      </c>
      <c r="D1820" t="s">
        <v>5351</v>
      </c>
      <c r="E1820">
        <v>229.81</v>
      </c>
      <c r="F1820">
        <v>220.8</v>
      </c>
      <c r="G1820">
        <v>229.01</v>
      </c>
      <c r="H1820">
        <v>220.8</v>
      </c>
      <c r="I1820" s="1">
        <v>227.05</v>
      </c>
      <c r="J1820">
        <v>280822.15000000002</v>
      </c>
      <c r="K1820">
        <v>1248</v>
      </c>
      <c r="L1820" t="s">
        <v>78</v>
      </c>
      <c r="M1820" t="s">
        <v>17</v>
      </c>
      <c r="N1820">
        <v>187</v>
      </c>
      <c r="O1820">
        <v>265</v>
      </c>
      <c r="P1820">
        <v>155</v>
      </c>
      <c r="Q1820" s="1" t="str">
        <v/>
      </c>
      <c r="R1820" s="1" t="str">
        <v/>
      </c>
      <c r="S1820" s="3">
        <v>0</v>
      </c>
      <c r="T1820" s="3">
        <v>0</v>
      </c>
    </row>
    <row r="1821" spans="1:20" x14ac:dyDescent="0.25">
      <c r="A1821" t="s">
        <v>78</v>
      </c>
      <c r="B1821" t="s">
        <v>79</v>
      </c>
      <c r="C1821" t="s">
        <v>2597</v>
      </c>
      <c r="D1821" t="s">
        <v>5350</v>
      </c>
      <c r="E1821">
        <v>7.13</v>
      </c>
      <c r="F1821">
        <v>7.13</v>
      </c>
      <c r="G1821">
        <v>7.36</v>
      </c>
      <c r="H1821">
        <v>6.91</v>
      </c>
      <c r="I1821" s="1">
        <v>7.09</v>
      </c>
      <c r="J1821">
        <v>729934.99</v>
      </c>
      <c r="K1821">
        <v>103529</v>
      </c>
      <c r="L1821" t="s">
        <v>78</v>
      </c>
      <c r="M1821" t="s">
        <v>17</v>
      </c>
      <c r="N1821">
        <v>588</v>
      </c>
      <c r="O1821">
        <v>10.9</v>
      </c>
      <c r="P1821">
        <v>5.8</v>
      </c>
      <c r="Q1821" s="1">
        <v>106</v>
      </c>
      <c r="R1821" s="1" t="str">
        <v/>
      </c>
      <c r="S1821" s="3">
        <v>-0.20180004770295745</v>
      </c>
      <c r="T1821" s="3">
        <v>0</v>
      </c>
    </row>
    <row r="1822" spans="1:20" x14ac:dyDescent="0.25">
      <c r="A1822" t="s">
        <v>78</v>
      </c>
      <c r="B1822" t="s">
        <v>79</v>
      </c>
      <c r="C1822" t="s">
        <v>2599</v>
      </c>
      <c r="D1822" t="s">
        <v>2600</v>
      </c>
      <c r="E1822">
        <v>720.9</v>
      </c>
      <c r="F1822">
        <v>724.85</v>
      </c>
      <c r="G1822">
        <v>728.3</v>
      </c>
      <c r="H1822">
        <v>702.35</v>
      </c>
      <c r="I1822" s="1">
        <v>709.75</v>
      </c>
      <c r="J1822">
        <v>1206691934.45</v>
      </c>
      <c r="K1822">
        <v>1680040</v>
      </c>
      <c r="L1822" t="s">
        <v>78</v>
      </c>
      <c r="M1822" t="s">
        <v>17</v>
      </c>
      <c r="N1822">
        <v>28023</v>
      </c>
      <c r="O1822">
        <v>782.25</v>
      </c>
      <c r="P1822">
        <v>214.25</v>
      </c>
      <c r="Q1822" s="1">
        <v>140.15</v>
      </c>
      <c r="R1822" s="1">
        <v>103.05</v>
      </c>
      <c r="S1822" s="3">
        <v>0.14474658932562368</v>
      </c>
      <c r="T1822" s="3">
        <v>0.10123478813575826</v>
      </c>
    </row>
    <row r="1823" spans="1:20" x14ac:dyDescent="0.25">
      <c r="A1823" t="s">
        <v>78</v>
      </c>
      <c r="B1823" t="s">
        <v>287</v>
      </c>
      <c r="C1823" t="s">
        <v>5349</v>
      </c>
      <c r="D1823" t="s">
        <v>5348</v>
      </c>
      <c r="E1823">
        <v>322.39999999999998</v>
      </c>
      <c r="F1823">
        <v>336</v>
      </c>
      <c r="G1823">
        <v>336</v>
      </c>
      <c r="H1823">
        <v>311.3</v>
      </c>
      <c r="I1823" s="1">
        <v>315.2</v>
      </c>
      <c r="J1823">
        <v>10705800</v>
      </c>
      <c r="K1823">
        <v>33000</v>
      </c>
      <c r="L1823" t="s">
        <v>78</v>
      </c>
      <c r="M1823" t="s">
        <v>17</v>
      </c>
      <c r="N1823">
        <v>33</v>
      </c>
      <c r="O1823">
        <v>336</v>
      </c>
      <c r="P1823">
        <v>84.1</v>
      </c>
      <c r="Q1823" s="1" t="str">
        <v/>
      </c>
      <c r="R1823" s="1" t="str">
        <v/>
      </c>
      <c r="S1823" s="3">
        <v>0</v>
      </c>
      <c r="T1823" s="3">
        <v>0</v>
      </c>
    </row>
    <row r="1824" spans="1:20" x14ac:dyDescent="0.25">
      <c r="A1824" t="s">
        <v>78</v>
      </c>
      <c r="B1824" t="s">
        <v>79</v>
      </c>
      <c r="C1824" t="s">
        <v>2601</v>
      </c>
      <c r="D1824" t="s">
        <v>2602</v>
      </c>
      <c r="E1824">
        <v>2865.15</v>
      </c>
      <c r="F1824">
        <v>2880</v>
      </c>
      <c r="G1824">
        <v>3200</v>
      </c>
      <c r="H1824">
        <v>2830</v>
      </c>
      <c r="I1824" s="1">
        <v>3005.9</v>
      </c>
      <c r="J1824">
        <v>492165390.14999998</v>
      </c>
      <c r="K1824">
        <v>160296</v>
      </c>
      <c r="L1824" t="s">
        <v>78</v>
      </c>
      <c r="M1824" t="s">
        <v>17</v>
      </c>
      <c r="N1824">
        <v>30031</v>
      </c>
      <c r="O1824">
        <v>3200</v>
      </c>
      <c r="P1824">
        <v>1918.3</v>
      </c>
      <c r="Q1824" s="1">
        <v>1756.15</v>
      </c>
      <c r="R1824" s="1">
        <v>1160.05</v>
      </c>
      <c r="S1824" s="3">
        <v>4.5805873729357405E-2</v>
      </c>
      <c r="T1824" s="3">
        <v>4.8729702678894871E-2</v>
      </c>
    </row>
    <row r="1825" spans="1:20" x14ac:dyDescent="0.25">
      <c r="A1825" t="s">
        <v>78</v>
      </c>
      <c r="B1825" t="s">
        <v>287</v>
      </c>
      <c r="C1825" t="s">
        <v>5347</v>
      </c>
      <c r="D1825" t="s">
        <v>5346</v>
      </c>
      <c r="E1825">
        <v>68.95</v>
      </c>
      <c r="F1825">
        <v>68.95</v>
      </c>
      <c r="G1825">
        <v>68.95</v>
      </c>
      <c r="H1825">
        <v>67.5</v>
      </c>
      <c r="I1825" s="1">
        <v>67.5</v>
      </c>
      <c r="J1825">
        <v>654720</v>
      </c>
      <c r="K1825">
        <v>9600</v>
      </c>
      <c r="L1825" t="s">
        <v>78</v>
      </c>
      <c r="M1825" t="s">
        <v>17</v>
      </c>
      <c r="N1825">
        <v>8</v>
      </c>
      <c r="O1825">
        <v>126</v>
      </c>
      <c r="P1825">
        <v>66.5</v>
      </c>
      <c r="Q1825" s="1" t="str">
        <v/>
      </c>
      <c r="R1825" s="1" t="str">
        <v/>
      </c>
      <c r="S1825" s="3">
        <v>0</v>
      </c>
      <c r="T1825" s="3">
        <v>0</v>
      </c>
    </row>
    <row r="1826" spans="1:20" x14ac:dyDescent="0.25">
      <c r="A1826" t="s">
        <v>78</v>
      </c>
      <c r="B1826" t="s">
        <v>79</v>
      </c>
      <c r="C1826" t="s">
        <v>2603</v>
      </c>
      <c r="D1826" t="s">
        <v>2604</v>
      </c>
      <c r="E1826">
        <v>1241.45</v>
      </c>
      <c r="F1826">
        <v>1240</v>
      </c>
      <c r="G1826">
        <v>1240</v>
      </c>
      <c r="H1826">
        <v>1192</v>
      </c>
      <c r="I1826" s="1">
        <v>1196.9000000000001</v>
      </c>
      <c r="J1826">
        <v>54010896.75</v>
      </c>
      <c r="K1826">
        <v>44708</v>
      </c>
      <c r="L1826" t="s">
        <v>78</v>
      </c>
      <c r="M1826" t="s">
        <v>17</v>
      </c>
      <c r="N1826">
        <v>4490</v>
      </c>
      <c r="O1826">
        <v>1492.75</v>
      </c>
      <c r="P1826">
        <v>444</v>
      </c>
      <c r="Q1826" s="1">
        <v>251.25</v>
      </c>
      <c r="R1826" s="1">
        <v>211.4</v>
      </c>
      <c r="S1826" s="3">
        <v>0.13892724745761065</v>
      </c>
      <c r="T1826" s="3">
        <v>9.0503406729476321E-2</v>
      </c>
    </row>
    <row r="1827" spans="1:20" x14ac:dyDescent="0.25">
      <c r="A1827" t="s">
        <v>78</v>
      </c>
      <c r="B1827" t="s">
        <v>79</v>
      </c>
      <c r="C1827" t="s">
        <v>2605</v>
      </c>
      <c r="D1827" t="s">
        <v>5345</v>
      </c>
      <c r="E1827">
        <v>693.6</v>
      </c>
      <c r="F1827">
        <v>698.45</v>
      </c>
      <c r="G1827">
        <v>717.8</v>
      </c>
      <c r="H1827">
        <v>661</v>
      </c>
      <c r="I1827" s="1">
        <v>676.6</v>
      </c>
      <c r="J1827">
        <v>2547055092.3499999</v>
      </c>
      <c r="K1827">
        <v>3687102</v>
      </c>
      <c r="L1827" t="s">
        <v>78</v>
      </c>
      <c r="M1827" t="s">
        <v>17</v>
      </c>
      <c r="N1827">
        <v>67037</v>
      </c>
      <c r="O1827">
        <v>828</v>
      </c>
      <c r="P1827">
        <v>253</v>
      </c>
      <c r="Q1827" s="1">
        <v>274.10000000000002</v>
      </c>
      <c r="R1827" s="1" t="str">
        <v/>
      </c>
      <c r="S1827" s="3">
        <v>7.8206419317559783E-2</v>
      </c>
      <c r="T1827" s="3">
        <v>0</v>
      </c>
    </row>
    <row r="1828" spans="1:20" x14ac:dyDescent="0.25">
      <c r="A1828" t="s">
        <v>78</v>
      </c>
      <c r="B1828" t="s">
        <v>287</v>
      </c>
      <c r="C1828" t="s">
        <v>5344</v>
      </c>
      <c r="D1828" t="s">
        <v>5343</v>
      </c>
      <c r="E1828">
        <v>135.1</v>
      </c>
      <c r="F1828">
        <v>137.94999999999999</v>
      </c>
      <c r="G1828">
        <v>139</v>
      </c>
      <c r="H1828">
        <v>121.6</v>
      </c>
      <c r="I1828" s="1">
        <v>122.05</v>
      </c>
      <c r="J1828">
        <v>143028100</v>
      </c>
      <c r="K1828">
        <v>1140000</v>
      </c>
      <c r="L1828" t="s">
        <v>78</v>
      </c>
      <c r="M1828" t="s">
        <v>17</v>
      </c>
      <c r="N1828">
        <v>495</v>
      </c>
      <c r="O1828">
        <v>139</v>
      </c>
      <c r="P1828">
        <v>62.7</v>
      </c>
      <c r="Q1828" s="1" t="str">
        <v/>
      </c>
      <c r="R1828" s="1" t="str">
        <v/>
      </c>
      <c r="S1828" s="3">
        <v>0</v>
      </c>
      <c r="T1828" s="3">
        <v>0</v>
      </c>
    </row>
    <row r="1829" spans="1:20" x14ac:dyDescent="0.25">
      <c r="A1829" t="s">
        <v>78</v>
      </c>
      <c r="B1829" t="s">
        <v>79</v>
      </c>
      <c r="C1829" t="s">
        <v>2607</v>
      </c>
      <c r="D1829" t="s">
        <v>2608</v>
      </c>
      <c r="E1829">
        <v>1168.3</v>
      </c>
      <c r="F1829">
        <v>1170.9000000000001</v>
      </c>
      <c r="G1829">
        <v>1196.25</v>
      </c>
      <c r="H1829">
        <v>1137</v>
      </c>
      <c r="I1829" s="1">
        <v>1144.95</v>
      </c>
      <c r="J1829">
        <v>86984228.299999997</v>
      </c>
      <c r="K1829">
        <v>75023</v>
      </c>
      <c r="L1829" t="s">
        <v>78</v>
      </c>
      <c r="M1829" t="s">
        <v>17</v>
      </c>
      <c r="N1829">
        <v>11448</v>
      </c>
      <c r="O1829">
        <v>1290</v>
      </c>
      <c r="P1829">
        <v>820</v>
      </c>
      <c r="Q1829" s="1">
        <v>1065</v>
      </c>
      <c r="R1829" s="1">
        <v>1220</v>
      </c>
      <c r="S1829" s="3">
        <v>6.0504109705394882E-3</v>
      </c>
      <c r="T1829" s="3">
        <v>-3.1677281726237849E-3</v>
      </c>
    </row>
    <row r="1830" spans="1:20" x14ac:dyDescent="0.25">
      <c r="A1830" t="s">
        <v>78</v>
      </c>
      <c r="B1830" t="s">
        <v>79</v>
      </c>
      <c r="C1830" t="s">
        <v>5342</v>
      </c>
      <c r="D1830" t="s">
        <v>5341</v>
      </c>
      <c r="E1830">
        <v>15.61</v>
      </c>
      <c r="F1830">
        <v>15.95</v>
      </c>
      <c r="G1830">
        <v>15.98</v>
      </c>
      <c r="H1830">
        <v>15.05</v>
      </c>
      <c r="I1830" s="1">
        <v>15.22</v>
      </c>
      <c r="J1830">
        <v>131930066.23999999</v>
      </c>
      <c r="K1830">
        <v>8579502</v>
      </c>
      <c r="L1830" t="s">
        <v>78</v>
      </c>
      <c r="M1830" t="s">
        <v>17</v>
      </c>
      <c r="N1830">
        <v>24445</v>
      </c>
      <c r="O1830">
        <v>18.649999999999999</v>
      </c>
      <c r="P1830">
        <v>7.15</v>
      </c>
      <c r="Q1830" s="1" t="str">
        <v/>
      </c>
      <c r="R1830" s="1" t="str">
        <v/>
      </c>
      <c r="S1830" s="3">
        <v>0</v>
      </c>
      <c r="T1830" s="3">
        <v>0</v>
      </c>
    </row>
    <row r="1831" spans="1:20" x14ac:dyDescent="0.25">
      <c r="A1831" t="s">
        <v>78</v>
      </c>
      <c r="B1831" t="s">
        <v>79</v>
      </c>
      <c r="C1831" t="s">
        <v>2609</v>
      </c>
      <c r="D1831" t="s">
        <v>2610</v>
      </c>
      <c r="E1831">
        <v>752</v>
      </c>
      <c r="F1831">
        <v>749.75</v>
      </c>
      <c r="G1831">
        <v>768.9</v>
      </c>
      <c r="H1831">
        <v>745.7</v>
      </c>
      <c r="I1831" s="1">
        <v>766.5</v>
      </c>
      <c r="J1831">
        <v>822228125</v>
      </c>
      <c r="K1831">
        <v>1084841</v>
      </c>
      <c r="L1831" t="s">
        <v>78</v>
      </c>
      <c r="M1831" t="s">
        <v>17</v>
      </c>
      <c r="N1831">
        <v>42298</v>
      </c>
      <c r="O1831">
        <v>860.25</v>
      </c>
      <c r="P1831">
        <v>607.65</v>
      </c>
      <c r="Q1831" s="1">
        <v>651.20000000000005</v>
      </c>
      <c r="R1831" s="1">
        <v>314</v>
      </c>
      <c r="S1831" s="3">
        <v>1.3677516615555385E-2</v>
      </c>
      <c r="T1831" s="3">
        <v>4.5607073742775395E-2</v>
      </c>
    </row>
    <row r="1832" spans="1:20" x14ac:dyDescent="0.25">
      <c r="A1832" t="s">
        <v>78</v>
      </c>
      <c r="B1832" t="s">
        <v>287</v>
      </c>
      <c r="C1832" t="s">
        <v>5340</v>
      </c>
      <c r="D1832" t="s">
        <v>5339</v>
      </c>
      <c r="E1832">
        <v>110.3</v>
      </c>
      <c r="F1832">
        <v>110.3</v>
      </c>
      <c r="G1832">
        <v>110.3</v>
      </c>
      <c r="H1832">
        <v>106.35</v>
      </c>
      <c r="I1832" s="1">
        <v>108.5</v>
      </c>
      <c r="J1832">
        <v>583140</v>
      </c>
      <c r="K1832">
        <v>5400</v>
      </c>
      <c r="L1832" t="s">
        <v>78</v>
      </c>
      <c r="M1832" t="s">
        <v>17</v>
      </c>
      <c r="N1832">
        <v>9</v>
      </c>
      <c r="O1832">
        <v>188</v>
      </c>
      <c r="P1832">
        <v>97</v>
      </c>
      <c r="Q1832" s="1" t="str">
        <v/>
      </c>
      <c r="R1832" s="1" t="str">
        <v/>
      </c>
      <c r="S1832" s="3">
        <v>0</v>
      </c>
      <c r="T1832" s="3">
        <v>0</v>
      </c>
    </row>
    <row r="1833" spans="1:20" x14ac:dyDescent="0.25">
      <c r="A1833" t="s">
        <v>78</v>
      </c>
      <c r="B1833" t="s">
        <v>79</v>
      </c>
      <c r="C1833" t="s">
        <v>5338</v>
      </c>
      <c r="D1833" t="s">
        <v>5337</v>
      </c>
      <c r="E1833">
        <v>479.5</v>
      </c>
      <c r="F1833">
        <v>479</v>
      </c>
      <c r="G1833">
        <v>480.5</v>
      </c>
      <c r="H1833">
        <v>460.1</v>
      </c>
      <c r="I1833" s="1">
        <v>462.5</v>
      </c>
      <c r="J1833">
        <v>318329256.60000002</v>
      </c>
      <c r="K1833">
        <v>682935</v>
      </c>
      <c r="L1833" t="s">
        <v>78</v>
      </c>
      <c r="M1833" t="s">
        <v>17</v>
      </c>
      <c r="N1833">
        <v>35316</v>
      </c>
      <c r="O1833">
        <v>705.2</v>
      </c>
      <c r="P1833">
        <v>386.1</v>
      </c>
      <c r="Q1833" s="1" t="str">
        <v/>
      </c>
      <c r="R1833" s="1" t="str">
        <v/>
      </c>
      <c r="S1833" s="3">
        <v>0</v>
      </c>
      <c r="T1833" s="3">
        <v>0</v>
      </c>
    </row>
    <row r="1834" spans="1:20" x14ac:dyDescent="0.25">
      <c r="A1834" t="s">
        <v>78</v>
      </c>
      <c r="B1834" t="s">
        <v>287</v>
      </c>
      <c r="C1834" t="s">
        <v>5336</v>
      </c>
      <c r="D1834" t="s">
        <v>5335</v>
      </c>
      <c r="E1834">
        <v>264.3</v>
      </c>
      <c r="F1834">
        <v>266.95</v>
      </c>
      <c r="G1834">
        <v>267</v>
      </c>
      <c r="H1834">
        <v>259.5</v>
      </c>
      <c r="I1834" s="1">
        <v>261.45</v>
      </c>
      <c r="J1834">
        <v>4415640</v>
      </c>
      <c r="K1834">
        <v>16800</v>
      </c>
      <c r="L1834" t="s">
        <v>78</v>
      </c>
      <c r="M1834" t="s">
        <v>17</v>
      </c>
      <c r="N1834">
        <v>42</v>
      </c>
      <c r="O1834">
        <v>407.7</v>
      </c>
      <c r="P1834">
        <v>209</v>
      </c>
      <c r="Q1834" s="1" t="str">
        <v/>
      </c>
      <c r="R1834" s="1" t="str">
        <v/>
      </c>
      <c r="S1834" s="3">
        <v>0</v>
      </c>
      <c r="T1834" s="3">
        <v>0</v>
      </c>
    </row>
    <row r="1835" spans="1:20" x14ac:dyDescent="0.25">
      <c r="A1835" t="s">
        <v>78</v>
      </c>
      <c r="B1835" t="s">
        <v>287</v>
      </c>
      <c r="C1835" t="s">
        <v>5334</v>
      </c>
      <c r="D1835" t="s">
        <v>5333</v>
      </c>
      <c r="E1835">
        <v>584.95000000000005</v>
      </c>
      <c r="F1835">
        <v>586</v>
      </c>
      <c r="G1835">
        <v>586</v>
      </c>
      <c r="H1835">
        <v>555.70000000000005</v>
      </c>
      <c r="I1835" s="1">
        <v>555.70000000000005</v>
      </c>
      <c r="J1835">
        <v>18928080</v>
      </c>
      <c r="K1835">
        <v>33600</v>
      </c>
      <c r="L1835" t="s">
        <v>78</v>
      </c>
      <c r="M1835" t="s">
        <v>17</v>
      </c>
      <c r="N1835">
        <v>28</v>
      </c>
      <c r="O1835">
        <v>760</v>
      </c>
      <c r="P1835">
        <v>261.10000000000002</v>
      </c>
      <c r="Q1835" s="1" t="str">
        <v/>
      </c>
      <c r="R1835" s="1" t="str">
        <v/>
      </c>
      <c r="S1835" s="3">
        <v>0</v>
      </c>
      <c r="T1835" s="3">
        <v>0</v>
      </c>
    </row>
    <row r="1836" spans="1:20" x14ac:dyDescent="0.25">
      <c r="A1836" t="s">
        <v>78</v>
      </c>
      <c r="B1836" t="s">
        <v>79</v>
      </c>
      <c r="C1836" t="s">
        <v>2613</v>
      </c>
      <c r="D1836" t="s">
        <v>2614</v>
      </c>
      <c r="E1836">
        <v>325.3</v>
      </c>
      <c r="F1836">
        <v>325.3</v>
      </c>
      <c r="G1836">
        <v>329.4</v>
      </c>
      <c r="H1836">
        <v>322.39999999999998</v>
      </c>
      <c r="I1836" s="1">
        <v>323.35000000000002</v>
      </c>
      <c r="J1836">
        <v>35558303.600000001</v>
      </c>
      <c r="K1836">
        <v>109349</v>
      </c>
      <c r="L1836" t="s">
        <v>78</v>
      </c>
      <c r="M1836" t="s">
        <v>17</v>
      </c>
      <c r="N1836">
        <v>7623</v>
      </c>
      <c r="O1836">
        <v>422.65</v>
      </c>
      <c r="P1836">
        <v>212.7</v>
      </c>
      <c r="Q1836" s="1">
        <v>133.80000000000001</v>
      </c>
      <c r="R1836" s="1">
        <v>184</v>
      </c>
      <c r="S1836" s="3">
        <v>7.6303442438141245E-2</v>
      </c>
      <c r="T1836" s="3">
        <v>2.8575196691285276E-2</v>
      </c>
    </row>
    <row r="1837" spans="1:20" x14ac:dyDescent="0.25">
      <c r="A1837" t="s">
        <v>78</v>
      </c>
      <c r="B1837" t="s">
        <v>79</v>
      </c>
      <c r="C1837" t="s">
        <v>2615</v>
      </c>
      <c r="D1837" t="s">
        <v>2616</v>
      </c>
      <c r="E1837">
        <v>20.38</v>
      </c>
      <c r="F1837">
        <v>20.38</v>
      </c>
      <c r="G1837">
        <v>20.74</v>
      </c>
      <c r="H1837">
        <v>20.23</v>
      </c>
      <c r="I1837" s="1">
        <v>20.440000000000001</v>
      </c>
      <c r="J1837">
        <v>3523221.36</v>
      </c>
      <c r="K1837">
        <v>172328</v>
      </c>
      <c r="L1837" t="s">
        <v>78</v>
      </c>
      <c r="M1837" t="s">
        <v>17</v>
      </c>
      <c r="N1837">
        <v>1052</v>
      </c>
      <c r="O1837">
        <v>24.4</v>
      </c>
      <c r="P1837">
        <v>18.75</v>
      </c>
      <c r="Q1837" s="1">
        <v>63</v>
      </c>
      <c r="R1837" s="1">
        <v>112.75</v>
      </c>
      <c r="S1837" s="3">
        <v>-8.9538270794711883E-2</v>
      </c>
      <c r="T1837" s="3">
        <v>-8.1797386225629487E-2</v>
      </c>
    </row>
    <row r="1838" spans="1:20" x14ac:dyDescent="0.25">
      <c r="A1838" t="s">
        <v>78</v>
      </c>
      <c r="B1838" t="s">
        <v>79</v>
      </c>
      <c r="C1838" t="s">
        <v>2617</v>
      </c>
      <c r="D1838" t="s">
        <v>2618</v>
      </c>
      <c r="E1838">
        <v>357.7</v>
      </c>
      <c r="F1838">
        <v>357</v>
      </c>
      <c r="G1838">
        <v>371</v>
      </c>
      <c r="H1838">
        <v>346.7</v>
      </c>
      <c r="I1838" s="1">
        <v>363.55</v>
      </c>
      <c r="J1838">
        <v>248175123.75</v>
      </c>
      <c r="K1838">
        <v>690074</v>
      </c>
      <c r="L1838" t="s">
        <v>78</v>
      </c>
      <c r="M1838" t="s">
        <v>17</v>
      </c>
      <c r="N1838">
        <v>27382</v>
      </c>
      <c r="O1838">
        <v>1163.5</v>
      </c>
      <c r="P1838">
        <v>213.3</v>
      </c>
      <c r="Q1838" s="1">
        <v>314</v>
      </c>
      <c r="R1838" s="1">
        <v>130.30000000000001</v>
      </c>
      <c r="S1838" s="3">
        <v>1.228517140818397E-2</v>
      </c>
      <c r="T1838" s="3">
        <v>5.2613133895919706E-2</v>
      </c>
    </row>
    <row r="1839" spans="1:20" x14ac:dyDescent="0.25">
      <c r="A1839" t="s">
        <v>78</v>
      </c>
      <c r="B1839" t="s">
        <v>79</v>
      </c>
      <c r="C1839" t="s">
        <v>3501</v>
      </c>
      <c r="D1839" t="s">
        <v>3502</v>
      </c>
      <c r="E1839">
        <v>1003.05</v>
      </c>
      <c r="F1839">
        <v>999</v>
      </c>
      <c r="G1839">
        <v>1027</v>
      </c>
      <c r="H1839">
        <v>983</v>
      </c>
      <c r="I1839" s="1">
        <v>993.05</v>
      </c>
      <c r="J1839">
        <v>902506916.95000005</v>
      </c>
      <c r="K1839">
        <v>904408</v>
      </c>
      <c r="L1839" t="s">
        <v>78</v>
      </c>
      <c r="M1839" t="s">
        <v>1555</v>
      </c>
      <c r="N1839">
        <v>31548</v>
      </c>
      <c r="O1839">
        <v>1317.95</v>
      </c>
      <c r="P1839">
        <v>782.05</v>
      </c>
      <c r="Q1839" s="1">
        <v>909</v>
      </c>
      <c r="R1839" s="1">
        <v>64.3</v>
      </c>
      <c r="S1839" s="3">
        <v>7.3968828669734865E-3</v>
      </c>
      <c r="T1839" s="3">
        <v>0.1465828887398859</v>
      </c>
    </row>
    <row r="1840" spans="1:20" x14ac:dyDescent="0.25">
      <c r="A1840" t="s">
        <v>78</v>
      </c>
      <c r="B1840" t="s">
        <v>79</v>
      </c>
      <c r="C1840" t="s">
        <v>5332</v>
      </c>
      <c r="D1840" t="s">
        <v>5331</v>
      </c>
      <c r="E1840">
        <v>434.95</v>
      </c>
      <c r="F1840">
        <v>442</v>
      </c>
      <c r="G1840">
        <v>442</v>
      </c>
      <c r="H1840">
        <v>417</v>
      </c>
      <c r="I1840" s="1">
        <v>426.4</v>
      </c>
      <c r="J1840">
        <v>6168797.1500000004</v>
      </c>
      <c r="K1840">
        <v>14464</v>
      </c>
      <c r="L1840" t="s">
        <v>78</v>
      </c>
      <c r="M1840" t="s">
        <v>546</v>
      </c>
      <c r="N1840">
        <v>517</v>
      </c>
      <c r="O1840">
        <v>507.7</v>
      </c>
      <c r="P1840">
        <v>79.45</v>
      </c>
      <c r="Q1840" s="1" t="str">
        <v/>
      </c>
      <c r="R1840" s="1">
        <v>33.5</v>
      </c>
      <c r="S1840" s="3">
        <v>0</v>
      </c>
      <c r="T1840" s="3">
        <v>0.13555550830509477</v>
      </c>
    </row>
    <row r="1841" spans="1:20" x14ac:dyDescent="0.25">
      <c r="A1841" t="s">
        <v>78</v>
      </c>
      <c r="B1841" t="s">
        <v>79</v>
      </c>
      <c r="C1841" t="s">
        <v>5330</v>
      </c>
      <c r="D1841" t="s">
        <v>5329</v>
      </c>
      <c r="E1841">
        <v>500.8</v>
      </c>
      <c r="F1841">
        <v>500.85</v>
      </c>
      <c r="G1841">
        <v>504.85</v>
      </c>
      <c r="H1841">
        <v>486.35</v>
      </c>
      <c r="I1841" s="1">
        <v>488.45</v>
      </c>
      <c r="J1841">
        <v>29945794.75</v>
      </c>
      <c r="K1841">
        <v>60983</v>
      </c>
      <c r="L1841" t="s">
        <v>78</v>
      </c>
      <c r="M1841" t="s">
        <v>17</v>
      </c>
      <c r="N1841">
        <v>5979</v>
      </c>
      <c r="O1841">
        <v>642.45000000000005</v>
      </c>
      <c r="P1841">
        <v>389.1</v>
      </c>
      <c r="Q1841" s="1" t="str">
        <v/>
      </c>
      <c r="R1841" s="1" t="str">
        <v/>
      </c>
      <c r="S1841" s="3">
        <v>0</v>
      </c>
      <c r="T1841" s="3">
        <v>0</v>
      </c>
    </row>
    <row r="1842" spans="1:20" x14ac:dyDescent="0.25">
      <c r="A1842" t="s">
        <v>78</v>
      </c>
      <c r="B1842" t="s">
        <v>79</v>
      </c>
      <c r="C1842" t="s">
        <v>2623</v>
      </c>
      <c r="D1842" t="s">
        <v>2624</v>
      </c>
      <c r="E1842">
        <v>9944</v>
      </c>
      <c r="F1842">
        <v>9900.1</v>
      </c>
      <c r="G1842">
        <v>10975.45</v>
      </c>
      <c r="H1842">
        <v>9900</v>
      </c>
      <c r="I1842" s="1">
        <v>9968.5</v>
      </c>
      <c r="J1842">
        <v>155523378.34999999</v>
      </c>
      <c r="K1842">
        <v>15147</v>
      </c>
      <c r="L1842" t="s">
        <v>78</v>
      </c>
      <c r="M1842" t="s">
        <v>17</v>
      </c>
      <c r="N1842">
        <v>6117</v>
      </c>
      <c r="O1842">
        <v>19791.95</v>
      </c>
      <c r="P1842">
        <v>9820</v>
      </c>
      <c r="Q1842" s="1">
        <v>18700</v>
      </c>
      <c r="R1842" s="1">
        <v>8474.9</v>
      </c>
      <c r="S1842" s="3">
        <v>-5.107399049465966E-2</v>
      </c>
      <c r="T1842" s="3">
        <v>8.1446069676136545E-3</v>
      </c>
    </row>
    <row r="1843" spans="1:20" x14ac:dyDescent="0.25">
      <c r="A1843" t="s">
        <v>78</v>
      </c>
      <c r="B1843" t="s">
        <v>79</v>
      </c>
      <c r="C1843" t="s">
        <v>2625</v>
      </c>
      <c r="D1843" t="s">
        <v>2626</v>
      </c>
      <c r="E1843">
        <v>1065.9000000000001</v>
      </c>
      <c r="F1843">
        <v>1065.95</v>
      </c>
      <c r="G1843">
        <v>1068.9000000000001</v>
      </c>
      <c r="H1843">
        <v>1047.1500000000001</v>
      </c>
      <c r="I1843" s="1">
        <v>1060.55</v>
      </c>
      <c r="J1843">
        <v>1474899831.9000001</v>
      </c>
      <c r="K1843">
        <v>1395138</v>
      </c>
      <c r="L1843" t="s">
        <v>78</v>
      </c>
      <c r="M1843" t="s">
        <v>17</v>
      </c>
      <c r="N1843">
        <v>36622</v>
      </c>
      <c r="O1843">
        <v>1349</v>
      </c>
      <c r="P1843">
        <v>933</v>
      </c>
      <c r="Q1843" s="1">
        <v>769.05</v>
      </c>
      <c r="R1843" s="1">
        <v>590</v>
      </c>
      <c r="S1843" s="3">
        <v>2.7144112092703621E-2</v>
      </c>
      <c r="T1843" s="3">
        <v>2.9738577387429244E-2</v>
      </c>
    </row>
    <row r="1844" spans="1:20" x14ac:dyDescent="0.25">
      <c r="A1844" t="s">
        <v>78</v>
      </c>
      <c r="B1844" t="s">
        <v>79</v>
      </c>
      <c r="C1844" t="s">
        <v>2629</v>
      </c>
      <c r="D1844" t="s">
        <v>2630</v>
      </c>
      <c r="E1844">
        <v>1851.05</v>
      </c>
      <c r="F1844">
        <v>1835</v>
      </c>
      <c r="G1844">
        <v>1888</v>
      </c>
      <c r="H1844">
        <v>1825.55</v>
      </c>
      <c r="I1844" s="1">
        <v>1870.45</v>
      </c>
      <c r="J1844">
        <v>1592855278.5999999</v>
      </c>
      <c r="K1844">
        <v>856144</v>
      </c>
      <c r="L1844" t="s">
        <v>78</v>
      </c>
      <c r="M1844" t="s">
        <v>17</v>
      </c>
      <c r="N1844">
        <v>42672</v>
      </c>
      <c r="O1844">
        <v>2084.65</v>
      </c>
      <c r="P1844">
        <v>1543.4</v>
      </c>
      <c r="Q1844" s="1">
        <v>1355</v>
      </c>
      <c r="R1844" s="1">
        <v>464.05</v>
      </c>
      <c r="S1844" s="3">
        <v>2.7228911109534737E-2</v>
      </c>
      <c r="T1844" s="3">
        <v>7.2142444979854226E-2</v>
      </c>
    </row>
    <row r="1845" spans="1:20" x14ac:dyDescent="0.25">
      <c r="A1845" t="s">
        <v>78</v>
      </c>
      <c r="B1845" t="s">
        <v>79</v>
      </c>
      <c r="C1845" t="s">
        <v>2631</v>
      </c>
      <c r="D1845" t="s">
        <v>2632</v>
      </c>
      <c r="E1845">
        <v>6998.2</v>
      </c>
      <c r="F1845">
        <v>6998</v>
      </c>
      <c r="G1845">
        <v>7050</v>
      </c>
      <c r="H1845">
        <v>6942</v>
      </c>
      <c r="I1845" s="1">
        <v>7034.4</v>
      </c>
      <c r="J1845">
        <v>759663674.85000002</v>
      </c>
      <c r="K1845">
        <v>108684</v>
      </c>
      <c r="L1845" t="s">
        <v>78</v>
      </c>
      <c r="M1845" t="s">
        <v>17</v>
      </c>
      <c r="N1845">
        <v>19193</v>
      </c>
      <c r="O1845">
        <v>9200</v>
      </c>
      <c r="P1845">
        <v>6411.2</v>
      </c>
      <c r="Q1845" s="1">
        <v>4211</v>
      </c>
      <c r="R1845" s="1">
        <v>696.2</v>
      </c>
      <c r="S1845" s="3">
        <v>4.3686705762524758E-2</v>
      </c>
      <c r="T1845" s="3">
        <v>0.12252790708745409</v>
      </c>
    </row>
    <row r="1846" spans="1:20" x14ac:dyDescent="0.25">
      <c r="A1846" t="s">
        <v>78</v>
      </c>
      <c r="B1846" t="s">
        <v>79</v>
      </c>
      <c r="C1846" t="s">
        <v>2633</v>
      </c>
      <c r="D1846" t="s">
        <v>2634</v>
      </c>
      <c r="E1846">
        <v>6474.9</v>
      </c>
      <c r="F1846">
        <v>6475</v>
      </c>
      <c r="G1846">
        <v>6498.95</v>
      </c>
      <c r="H1846">
        <v>6381.55</v>
      </c>
      <c r="I1846" s="1">
        <v>6409.85</v>
      </c>
      <c r="J1846">
        <v>150547183.94999999</v>
      </c>
      <c r="K1846">
        <v>23458</v>
      </c>
      <c r="L1846" t="s">
        <v>78</v>
      </c>
      <c r="M1846" t="s">
        <v>17</v>
      </c>
      <c r="N1846">
        <v>5891</v>
      </c>
      <c r="O1846">
        <v>9756.85</v>
      </c>
      <c r="P1846">
        <v>2328.65</v>
      </c>
      <c r="Q1846" s="1">
        <v>1145.3</v>
      </c>
      <c r="R1846" s="1">
        <v>830</v>
      </c>
      <c r="S1846" s="3">
        <v>0.15432309225608631</v>
      </c>
      <c r="T1846" s="3">
        <v>0.10755213745014625</v>
      </c>
    </row>
    <row r="1847" spans="1:20" x14ac:dyDescent="0.25">
      <c r="A1847" t="s">
        <v>78</v>
      </c>
      <c r="B1847" t="s">
        <v>79</v>
      </c>
      <c r="C1847" t="s">
        <v>2637</v>
      </c>
      <c r="D1847" t="s">
        <v>5328</v>
      </c>
      <c r="E1847">
        <v>696.45</v>
      </c>
      <c r="F1847">
        <v>695.05</v>
      </c>
      <c r="G1847">
        <v>704.2</v>
      </c>
      <c r="H1847">
        <v>688</v>
      </c>
      <c r="I1847" s="1">
        <v>701.25</v>
      </c>
      <c r="J1847">
        <v>1335266207.5</v>
      </c>
      <c r="K1847">
        <v>1923075</v>
      </c>
      <c r="L1847" t="s">
        <v>78</v>
      </c>
      <c r="M1847" t="s">
        <v>17</v>
      </c>
      <c r="N1847">
        <v>46552</v>
      </c>
      <c r="O1847">
        <v>712.6</v>
      </c>
      <c r="P1847">
        <v>334.1</v>
      </c>
      <c r="Q1847" s="1">
        <v>140.6</v>
      </c>
      <c r="R1847" s="1">
        <v>73.349999999999994</v>
      </c>
      <c r="S1847" s="3">
        <v>0.14329234626768828</v>
      </c>
      <c r="T1847" s="3">
        <v>0.11942961003767416</v>
      </c>
    </row>
    <row r="1848" spans="1:20" x14ac:dyDescent="0.25">
      <c r="A1848" t="s">
        <v>78</v>
      </c>
      <c r="B1848" t="s">
        <v>79</v>
      </c>
      <c r="C1848" t="s">
        <v>5327</v>
      </c>
      <c r="D1848" t="s">
        <v>5326</v>
      </c>
      <c r="E1848">
        <v>1015.25</v>
      </c>
      <c r="F1848">
        <v>1019.25</v>
      </c>
      <c r="G1848">
        <v>1020</v>
      </c>
      <c r="H1848">
        <v>1008</v>
      </c>
      <c r="I1848" s="1">
        <v>1009.15</v>
      </c>
      <c r="J1848">
        <v>662951447.64999998</v>
      </c>
      <c r="K1848">
        <v>655960</v>
      </c>
      <c r="L1848" t="s">
        <v>78</v>
      </c>
      <c r="M1848" t="s">
        <v>17</v>
      </c>
      <c r="N1848">
        <v>36628</v>
      </c>
      <c r="O1848">
        <v>1400</v>
      </c>
      <c r="P1848">
        <v>982.25</v>
      </c>
      <c r="Q1848" s="1" t="str">
        <v/>
      </c>
      <c r="R1848" s="1" t="str">
        <v/>
      </c>
      <c r="S1848" s="3">
        <v>0</v>
      </c>
      <c r="T1848" s="3">
        <v>0</v>
      </c>
    </row>
    <row r="1849" spans="1:20" x14ac:dyDescent="0.25">
      <c r="A1849" t="s">
        <v>78</v>
      </c>
      <c r="B1849" t="s">
        <v>79</v>
      </c>
      <c r="C1849" t="s">
        <v>5325</v>
      </c>
      <c r="D1849" t="s">
        <v>5324</v>
      </c>
      <c r="E1849">
        <v>1173.5</v>
      </c>
      <c r="F1849">
        <v>1175</v>
      </c>
      <c r="G1849">
        <v>1176.6500000000001</v>
      </c>
      <c r="H1849">
        <v>1115.5</v>
      </c>
      <c r="I1849" s="1">
        <v>1119.55</v>
      </c>
      <c r="J1849">
        <v>49615731.100000001</v>
      </c>
      <c r="K1849">
        <v>43690</v>
      </c>
      <c r="L1849" t="s">
        <v>78</v>
      </c>
      <c r="M1849" t="s">
        <v>17</v>
      </c>
      <c r="N1849">
        <v>6068</v>
      </c>
      <c r="O1849">
        <v>1772.4</v>
      </c>
      <c r="P1849">
        <v>956.7</v>
      </c>
      <c r="Q1849" s="1" t="str">
        <v/>
      </c>
      <c r="R1849" s="1" t="str">
        <v/>
      </c>
      <c r="S1849" s="3">
        <v>0</v>
      </c>
      <c r="T1849" s="3">
        <v>0</v>
      </c>
    </row>
    <row r="1850" spans="1:20" x14ac:dyDescent="0.25">
      <c r="A1850" t="s">
        <v>78</v>
      </c>
      <c r="B1850" t="s">
        <v>79</v>
      </c>
      <c r="C1850" t="s">
        <v>5323</v>
      </c>
      <c r="D1850" t="s">
        <v>5322</v>
      </c>
      <c r="E1850">
        <v>1799.15</v>
      </c>
      <c r="F1850">
        <v>1805</v>
      </c>
      <c r="G1850">
        <v>1830</v>
      </c>
      <c r="H1850">
        <v>1770.5</v>
      </c>
      <c r="I1850" s="1">
        <v>1779.3</v>
      </c>
      <c r="J1850">
        <v>267512189.80000001</v>
      </c>
      <c r="K1850">
        <v>148849</v>
      </c>
      <c r="L1850" t="s">
        <v>78</v>
      </c>
      <c r="M1850" t="s">
        <v>17</v>
      </c>
      <c r="N1850">
        <v>15536</v>
      </c>
      <c r="O1850">
        <v>1938.45</v>
      </c>
      <c r="P1850">
        <v>1231.6500000000001</v>
      </c>
      <c r="Q1850" s="1" t="str">
        <v/>
      </c>
      <c r="R1850" s="1" t="str">
        <v/>
      </c>
      <c r="S1850" s="3">
        <v>0</v>
      </c>
      <c r="T1850" s="3">
        <v>0</v>
      </c>
    </row>
    <row r="1851" spans="1:20" x14ac:dyDescent="0.25">
      <c r="A1851" t="s">
        <v>78</v>
      </c>
      <c r="B1851" t="s">
        <v>79</v>
      </c>
      <c r="C1851" t="s">
        <v>2643</v>
      </c>
      <c r="D1851" t="s">
        <v>2644</v>
      </c>
      <c r="E1851">
        <v>142.53</v>
      </c>
      <c r="F1851">
        <v>142</v>
      </c>
      <c r="G1851">
        <v>145.06</v>
      </c>
      <c r="H1851">
        <v>136.55000000000001</v>
      </c>
      <c r="I1851" s="1">
        <v>137.74</v>
      </c>
      <c r="J1851">
        <v>56205380.149999999</v>
      </c>
      <c r="K1851">
        <v>400306</v>
      </c>
      <c r="L1851" t="s">
        <v>78</v>
      </c>
      <c r="M1851" t="s">
        <v>17</v>
      </c>
      <c r="N1851">
        <v>8923</v>
      </c>
      <c r="O1851">
        <v>153.9</v>
      </c>
      <c r="P1851">
        <v>83.6</v>
      </c>
      <c r="Q1851" s="1">
        <v>80.150000000000006</v>
      </c>
      <c r="R1851" s="1">
        <v>39.299999999999997</v>
      </c>
      <c r="S1851" s="3">
        <v>4.6155829288141437E-2</v>
      </c>
      <c r="T1851" s="3">
        <v>6.4678446377613552E-2</v>
      </c>
    </row>
    <row r="1852" spans="1:20" x14ac:dyDescent="0.25">
      <c r="A1852" t="s">
        <v>78</v>
      </c>
      <c r="B1852" t="s">
        <v>79</v>
      </c>
      <c r="C1852" t="s">
        <v>2645</v>
      </c>
      <c r="D1852" t="s">
        <v>2646</v>
      </c>
      <c r="E1852">
        <v>935.5</v>
      </c>
      <c r="F1852">
        <v>943.5</v>
      </c>
      <c r="G1852">
        <v>1038</v>
      </c>
      <c r="H1852">
        <v>943.5</v>
      </c>
      <c r="I1852" s="1">
        <v>978.65</v>
      </c>
      <c r="J1852">
        <v>654328154.10000002</v>
      </c>
      <c r="K1852">
        <v>654410</v>
      </c>
      <c r="L1852" t="s">
        <v>78</v>
      </c>
      <c r="M1852" t="s">
        <v>17</v>
      </c>
      <c r="N1852">
        <v>56231</v>
      </c>
      <c r="O1852">
        <v>1079.5</v>
      </c>
      <c r="P1852">
        <v>738.35</v>
      </c>
      <c r="Q1852" s="1">
        <v>395.1</v>
      </c>
      <c r="R1852" s="1">
        <v>285.14999999999998</v>
      </c>
      <c r="S1852" s="3">
        <v>7.8516261329136805E-2</v>
      </c>
      <c r="T1852" s="3">
        <v>6.3562549827729908E-2</v>
      </c>
    </row>
    <row r="1853" spans="1:20" x14ac:dyDescent="0.25">
      <c r="A1853" t="s">
        <v>78</v>
      </c>
      <c r="B1853" t="s">
        <v>79</v>
      </c>
      <c r="C1853" t="s">
        <v>2649</v>
      </c>
      <c r="D1853" t="s">
        <v>2650</v>
      </c>
      <c r="E1853">
        <v>1214.55</v>
      </c>
      <c r="F1853">
        <v>1215</v>
      </c>
      <c r="G1853">
        <v>1225</v>
      </c>
      <c r="H1853">
        <v>1199.55</v>
      </c>
      <c r="I1853" s="1">
        <v>1203.1500000000001</v>
      </c>
      <c r="J1853">
        <v>42504660.25</v>
      </c>
      <c r="K1853">
        <v>35167</v>
      </c>
      <c r="L1853" t="s">
        <v>78</v>
      </c>
      <c r="M1853" t="s">
        <v>17</v>
      </c>
      <c r="N1853">
        <v>3615</v>
      </c>
      <c r="O1853">
        <v>1655</v>
      </c>
      <c r="P1853">
        <v>997.85</v>
      </c>
      <c r="Q1853" s="1">
        <v>1570.85</v>
      </c>
      <c r="R1853" s="1">
        <v>605</v>
      </c>
      <c r="S1853" s="3">
        <v>-2.1977705360786914E-2</v>
      </c>
      <c r="T1853" s="3">
        <v>3.4951610458793025E-2</v>
      </c>
    </row>
    <row r="1854" spans="1:20" x14ac:dyDescent="0.25">
      <c r="A1854" t="s">
        <v>78</v>
      </c>
      <c r="B1854" t="s">
        <v>287</v>
      </c>
      <c r="C1854" t="s">
        <v>5321</v>
      </c>
      <c r="D1854" t="s">
        <v>5320</v>
      </c>
      <c r="E1854">
        <v>200.1</v>
      </c>
      <c r="F1854">
        <v>193.1</v>
      </c>
      <c r="G1854">
        <v>199.75</v>
      </c>
      <c r="H1854">
        <v>191</v>
      </c>
      <c r="I1854" s="1">
        <v>195.95</v>
      </c>
      <c r="J1854">
        <v>17326000</v>
      </c>
      <c r="K1854">
        <v>88800</v>
      </c>
      <c r="L1854" t="s">
        <v>78</v>
      </c>
      <c r="M1854" t="s">
        <v>17</v>
      </c>
      <c r="N1854">
        <v>107</v>
      </c>
      <c r="O1854">
        <v>261.64999999999998</v>
      </c>
      <c r="P1854">
        <v>131.1</v>
      </c>
      <c r="Q1854" s="1" t="str">
        <v/>
      </c>
      <c r="R1854" s="1" t="str">
        <v/>
      </c>
      <c r="S1854" s="3">
        <v>0</v>
      </c>
      <c r="T1854" s="3">
        <v>0</v>
      </c>
    </row>
    <row r="1855" spans="1:20" x14ac:dyDescent="0.25">
      <c r="A1855" t="s">
        <v>78</v>
      </c>
      <c r="B1855" t="s">
        <v>79</v>
      </c>
      <c r="C1855" t="s">
        <v>2653</v>
      </c>
      <c r="D1855" t="s">
        <v>2654</v>
      </c>
      <c r="E1855">
        <v>541.54999999999995</v>
      </c>
      <c r="F1855">
        <v>541.35</v>
      </c>
      <c r="G1855">
        <v>556.5</v>
      </c>
      <c r="H1855">
        <v>539</v>
      </c>
      <c r="I1855" s="1">
        <v>543.85</v>
      </c>
      <c r="J1855">
        <v>263151860.90000001</v>
      </c>
      <c r="K1855">
        <v>480756</v>
      </c>
      <c r="L1855" t="s">
        <v>78</v>
      </c>
      <c r="M1855" t="s">
        <v>17</v>
      </c>
      <c r="N1855">
        <v>24039</v>
      </c>
      <c r="O1855">
        <v>571.65</v>
      </c>
      <c r="P1855">
        <v>329</v>
      </c>
      <c r="Q1855" s="1">
        <v>587</v>
      </c>
      <c r="R1855" s="1">
        <v>771.1</v>
      </c>
      <c r="S1855" s="3">
        <v>-6.3424136349715665E-3</v>
      </c>
      <c r="T1855" s="3">
        <v>-1.7296340108301722E-2</v>
      </c>
    </row>
    <row r="1856" spans="1:20" x14ac:dyDescent="0.25">
      <c r="A1856" t="s">
        <v>78</v>
      </c>
      <c r="B1856" t="s">
        <v>79</v>
      </c>
      <c r="C1856" t="s">
        <v>2655</v>
      </c>
      <c r="D1856" t="s">
        <v>2656</v>
      </c>
      <c r="E1856">
        <v>2489.1999999999998</v>
      </c>
      <c r="F1856">
        <v>2499</v>
      </c>
      <c r="G1856">
        <v>2524.6999999999998</v>
      </c>
      <c r="H1856">
        <v>2425.35</v>
      </c>
      <c r="I1856" s="1">
        <v>2445.9499999999998</v>
      </c>
      <c r="J1856">
        <v>14432285.199999999</v>
      </c>
      <c r="K1856">
        <v>5821</v>
      </c>
      <c r="L1856" t="s">
        <v>78</v>
      </c>
      <c r="M1856" t="s">
        <v>17</v>
      </c>
      <c r="N1856">
        <v>1848</v>
      </c>
      <c r="O1856">
        <v>2741.25</v>
      </c>
      <c r="P1856">
        <v>1535.45</v>
      </c>
      <c r="Q1856" s="1">
        <v>514</v>
      </c>
      <c r="R1856" s="1">
        <v>304</v>
      </c>
      <c r="S1856" s="3">
        <v>0.13882511954640253</v>
      </c>
      <c r="T1856" s="3">
        <v>0.10982346511282404</v>
      </c>
    </row>
    <row r="1857" spans="1:20" x14ac:dyDescent="0.25">
      <c r="A1857" t="s">
        <v>78</v>
      </c>
      <c r="B1857" t="s">
        <v>79</v>
      </c>
      <c r="C1857" t="s">
        <v>2657</v>
      </c>
      <c r="D1857" t="s">
        <v>2658</v>
      </c>
      <c r="E1857">
        <v>389.55</v>
      </c>
      <c r="F1857">
        <v>391.4</v>
      </c>
      <c r="G1857">
        <v>396.5</v>
      </c>
      <c r="H1857">
        <v>379.35</v>
      </c>
      <c r="I1857" s="1">
        <v>381.75</v>
      </c>
      <c r="J1857">
        <v>174170743.09999999</v>
      </c>
      <c r="K1857">
        <v>453002</v>
      </c>
      <c r="L1857" t="s">
        <v>78</v>
      </c>
      <c r="M1857" t="s">
        <v>17</v>
      </c>
      <c r="N1857">
        <v>22535</v>
      </c>
      <c r="O1857">
        <v>423.5</v>
      </c>
      <c r="P1857">
        <v>226.05</v>
      </c>
      <c r="Q1857" s="1">
        <v>201.4</v>
      </c>
      <c r="R1857" s="1">
        <v>152.5</v>
      </c>
      <c r="S1857" s="3">
        <v>5.4734855616784595E-2</v>
      </c>
      <c r="T1857" s="3">
        <v>4.6922534832137153E-2</v>
      </c>
    </row>
    <row r="1858" spans="1:20" x14ac:dyDescent="0.25">
      <c r="A1858" t="s">
        <v>78</v>
      </c>
      <c r="B1858" t="s">
        <v>79</v>
      </c>
      <c r="C1858" t="s">
        <v>2659</v>
      </c>
      <c r="D1858" t="s">
        <v>2660</v>
      </c>
      <c r="E1858">
        <v>2834.4</v>
      </c>
      <c r="F1858">
        <v>2869</v>
      </c>
      <c r="G1858">
        <v>2925</v>
      </c>
      <c r="H1858">
        <v>2811.4</v>
      </c>
      <c r="I1858" s="1">
        <v>2845.75</v>
      </c>
      <c r="J1858">
        <v>144131837.05000001</v>
      </c>
      <c r="K1858">
        <v>50447</v>
      </c>
      <c r="L1858" t="s">
        <v>78</v>
      </c>
      <c r="M1858" t="s">
        <v>17</v>
      </c>
      <c r="N1858">
        <v>7932</v>
      </c>
      <c r="O1858">
        <v>3700</v>
      </c>
      <c r="P1858">
        <v>2180.1</v>
      </c>
      <c r="Q1858" s="1">
        <v>3814.3</v>
      </c>
      <c r="R1858" s="1">
        <v>2931</v>
      </c>
      <c r="S1858" s="3">
        <v>-2.4115339923236667E-2</v>
      </c>
      <c r="T1858" s="3">
        <v>-1.4739548429553162E-3</v>
      </c>
    </row>
    <row r="1859" spans="1:20" x14ac:dyDescent="0.25">
      <c r="A1859" t="s">
        <v>78</v>
      </c>
      <c r="B1859" t="s">
        <v>79</v>
      </c>
      <c r="C1859" t="s">
        <v>5319</v>
      </c>
      <c r="D1859" t="s">
        <v>5318</v>
      </c>
      <c r="E1859">
        <v>1801.95</v>
      </c>
      <c r="F1859">
        <v>1799</v>
      </c>
      <c r="G1859">
        <v>1825</v>
      </c>
      <c r="H1859">
        <v>1761.65</v>
      </c>
      <c r="I1859" s="1">
        <v>1817.1</v>
      </c>
      <c r="J1859">
        <v>84600226.950000003</v>
      </c>
      <c r="K1859">
        <v>46837</v>
      </c>
      <c r="L1859" t="s">
        <v>78</v>
      </c>
      <c r="M1859" t="s">
        <v>17</v>
      </c>
      <c r="N1859">
        <v>10005</v>
      </c>
      <c r="O1859">
        <v>1917.85</v>
      </c>
      <c r="P1859">
        <v>841.7</v>
      </c>
      <c r="Q1859" s="1" t="str">
        <v/>
      </c>
      <c r="R1859" s="1" t="str">
        <v/>
      </c>
      <c r="S1859" s="3">
        <v>0</v>
      </c>
      <c r="T1859" s="3">
        <v>0</v>
      </c>
    </row>
    <row r="1860" spans="1:20" x14ac:dyDescent="0.25">
      <c r="A1860" t="s">
        <v>78</v>
      </c>
      <c r="B1860" t="s">
        <v>79</v>
      </c>
      <c r="C1860" t="s">
        <v>3509</v>
      </c>
      <c r="D1860" t="s">
        <v>3510</v>
      </c>
      <c r="E1860">
        <v>1427.45</v>
      </c>
      <c r="F1860">
        <v>1440</v>
      </c>
      <c r="G1860">
        <v>1468.6</v>
      </c>
      <c r="H1860">
        <v>1410.25</v>
      </c>
      <c r="I1860" s="1">
        <v>1438</v>
      </c>
      <c r="J1860">
        <v>1144468684.2</v>
      </c>
      <c r="K1860">
        <v>793445</v>
      </c>
      <c r="L1860" t="s">
        <v>78</v>
      </c>
      <c r="M1860" t="s">
        <v>17</v>
      </c>
      <c r="N1860">
        <v>34926</v>
      </c>
      <c r="O1860">
        <v>1495</v>
      </c>
      <c r="P1860">
        <v>651.25</v>
      </c>
      <c r="Q1860" s="1">
        <v>182.1</v>
      </c>
      <c r="R1860" s="1">
        <v>132</v>
      </c>
      <c r="S1860" s="3">
        <v>0.18792059477975442</v>
      </c>
      <c r="T1860" s="3">
        <v>0.12675851117541437</v>
      </c>
    </row>
    <row r="1861" spans="1:20" x14ac:dyDescent="0.25">
      <c r="A1861" t="s">
        <v>78</v>
      </c>
      <c r="B1861" t="s">
        <v>79</v>
      </c>
      <c r="C1861" t="s">
        <v>3511</v>
      </c>
      <c r="D1861" t="s">
        <v>3512</v>
      </c>
      <c r="E1861">
        <v>232.12</v>
      </c>
      <c r="F1861">
        <v>233.3</v>
      </c>
      <c r="G1861">
        <v>234.58</v>
      </c>
      <c r="H1861">
        <v>225.75</v>
      </c>
      <c r="I1861" s="1">
        <v>226.91</v>
      </c>
      <c r="J1861">
        <v>12816120.02</v>
      </c>
      <c r="K1861">
        <v>55895</v>
      </c>
      <c r="L1861" t="s">
        <v>78</v>
      </c>
      <c r="M1861" t="s">
        <v>17</v>
      </c>
      <c r="N1861">
        <v>944</v>
      </c>
      <c r="O1861">
        <v>332.65</v>
      </c>
      <c r="P1861">
        <v>191.35</v>
      </c>
      <c r="Q1861" s="1">
        <v>215.1</v>
      </c>
      <c r="R1861" s="1" t="str">
        <v/>
      </c>
      <c r="S1861" s="3">
        <v>4.4641369386491103E-3</v>
      </c>
      <c r="T1861" s="3">
        <v>0</v>
      </c>
    </row>
    <row r="1862" spans="1:20" x14ac:dyDescent="0.25">
      <c r="A1862" t="s">
        <v>78</v>
      </c>
      <c r="B1862" t="s">
        <v>79</v>
      </c>
      <c r="C1862" t="s">
        <v>2665</v>
      </c>
      <c r="D1862" t="s">
        <v>2666</v>
      </c>
      <c r="E1862">
        <v>135.19</v>
      </c>
      <c r="F1862">
        <v>135.97</v>
      </c>
      <c r="G1862">
        <v>135.97</v>
      </c>
      <c r="H1862">
        <v>129.80000000000001</v>
      </c>
      <c r="I1862" s="1">
        <v>130.56</v>
      </c>
      <c r="J1862">
        <v>159714783.91</v>
      </c>
      <c r="K1862">
        <v>1208491</v>
      </c>
      <c r="L1862" t="s">
        <v>78</v>
      </c>
      <c r="M1862" t="s">
        <v>17</v>
      </c>
      <c r="N1862">
        <v>10750</v>
      </c>
      <c r="O1862">
        <v>150.94999999999999</v>
      </c>
      <c r="P1862">
        <v>61.45</v>
      </c>
      <c r="Q1862" s="1">
        <v>65.150000000000006</v>
      </c>
      <c r="R1862" s="1">
        <v>39</v>
      </c>
      <c r="S1862" s="3">
        <v>5.9639104081232297E-2</v>
      </c>
      <c r="T1862" s="3">
        <v>6.224062786123441E-2</v>
      </c>
    </row>
    <row r="1863" spans="1:20" x14ac:dyDescent="0.25">
      <c r="A1863" t="s">
        <v>78</v>
      </c>
      <c r="B1863" t="s">
        <v>79</v>
      </c>
      <c r="C1863" t="s">
        <v>2667</v>
      </c>
      <c r="D1863" t="s">
        <v>2668</v>
      </c>
      <c r="E1863">
        <v>73.3</v>
      </c>
      <c r="F1863">
        <v>73.3</v>
      </c>
      <c r="G1863">
        <v>74.69</v>
      </c>
      <c r="H1863">
        <v>71.489999999999995</v>
      </c>
      <c r="I1863" s="1">
        <v>71.69</v>
      </c>
      <c r="J1863">
        <v>7057729.0700000003</v>
      </c>
      <c r="K1863">
        <v>97542</v>
      </c>
      <c r="L1863" t="s">
        <v>78</v>
      </c>
      <c r="M1863" t="s">
        <v>17</v>
      </c>
      <c r="N1863">
        <v>1692</v>
      </c>
      <c r="O1863">
        <v>87.15</v>
      </c>
      <c r="P1863">
        <v>66.8</v>
      </c>
      <c r="Q1863" s="1">
        <v>50.8</v>
      </c>
      <c r="R1863" s="1">
        <v>15.2</v>
      </c>
      <c r="S1863" s="3">
        <v>2.9120522770802237E-2</v>
      </c>
      <c r="T1863" s="3">
        <v>8.0593384764543252E-2</v>
      </c>
    </row>
    <row r="1864" spans="1:20" x14ac:dyDescent="0.25">
      <c r="A1864" t="s">
        <v>78</v>
      </c>
      <c r="B1864" t="s">
        <v>79</v>
      </c>
      <c r="C1864" t="s">
        <v>2669</v>
      </c>
      <c r="D1864" t="s">
        <v>2670</v>
      </c>
      <c r="E1864">
        <v>276.95</v>
      </c>
      <c r="F1864">
        <v>276.39999999999998</v>
      </c>
      <c r="G1864">
        <v>276.39999999999998</v>
      </c>
      <c r="H1864">
        <v>263</v>
      </c>
      <c r="I1864" s="1">
        <v>268.51</v>
      </c>
      <c r="J1864">
        <v>1631277413.3199999</v>
      </c>
      <c r="K1864">
        <v>6078059</v>
      </c>
      <c r="L1864" t="s">
        <v>78</v>
      </c>
      <c r="M1864" t="s">
        <v>17</v>
      </c>
      <c r="N1864">
        <v>70615</v>
      </c>
      <c r="O1864">
        <v>296.49</v>
      </c>
      <c r="P1864">
        <v>78.05</v>
      </c>
      <c r="Q1864" s="1">
        <v>37.15</v>
      </c>
      <c r="R1864" s="1">
        <v>53</v>
      </c>
      <c r="S1864" s="3">
        <v>0.17918913928432612</v>
      </c>
      <c r="T1864" s="3">
        <v>8.446348609786325E-2</v>
      </c>
    </row>
    <row r="1865" spans="1:20" x14ac:dyDescent="0.25">
      <c r="A1865" t="s">
        <v>78</v>
      </c>
      <c r="B1865" t="s">
        <v>79</v>
      </c>
      <c r="C1865" t="s">
        <v>2671</v>
      </c>
      <c r="D1865" t="s">
        <v>2672</v>
      </c>
      <c r="E1865">
        <v>188.22</v>
      </c>
      <c r="F1865">
        <v>185.27</v>
      </c>
      <c r="G1865">
        <v>191.43</v>
      </c>
      <c r="H1865">
        <v>183.76</v>
      </c>
      <c r="I1865" s="1">
        <v>184.58</v>
      </c>
      <c r="J1865">
        <v>180535275.91999999</v>
      </c>
      <c r="K1865">
        <v>966631</v>
      </c>
      <c r="L1865" t="s">
        <v>78</v>
      </c>
      <c r="M1865" t="s">
        <v>17</v>
      </c>
      <c r="N1865">
        <v>16440</v>
      </c>
      <c r="O1865">
        <v>267.55</v>
      </c>
      <c r="P1865">
        <v>79.45</v>
      </c>
      <c r="Q1865" s="1">
        <v>75.400000000000006</v>
      </c>
      <c r="R1865" s="1">
        <v>63.9</v>
      </c>
      <c r="S1865" s="3">
        <v>7.745988029251949E-2</v>
      </c>
      <c r="T1865" s="3">
        <v>5.4439276873704312E-2</v>
      </c>
    </row>
    <row r="1866" spans="1:20" x14ac:dyDescent="0.25">
      <c r="A1866" t="s">
        <v>78</v>
      </c>
      <c r="B1866" t="s">
        <v>79</v>
      </c>
      <c r="C1866" t="s">
        <v>3515</v>
      </c>
      <c r="D1866" t="s">
        <v>3516</v>
      </c>
      <c r="E1866">
        <v>16.54</v>
      </c>
      <c r="F1866">
        <v>16.149999999999999</v>
      </c>
      <c r="G1866">
        <v>16.62</v>
      </c>
      <c r="H1866">
        <v>15.73</v>
      </c>
      <c r="I1866" s="1">
        <v>15.9</v>
      </c>
      <c r="J1866">
        <v>3297850</v>
      </c>
      <c r="K1866">
        <v>205064</v>
      </c>
      <c r="L1866" t="s">
        <v>78</v>
      </c>
      <c r="M1866" t="s">
        <v>17</v>
      </c>
      <c r="N1866">
        <v>728</v>
      </c>
      <c r="O1866">
        <v>20.3</v>
      </c>
      <c r="P1866">
        <v>9.4</v>
      </c>
      <c r="Q1866" s="1">
        <v>8.5</v>
      </c>
      <c r="R1866" s="1">
        <v>4.6500000000000004</v>
      </c>
      <c r="S1866" s="3">
        <v>5.357352761117018E-2</v>
      </c>
      <c r="T1866" s="3">
        <v>6.3365554082559505E-2</v>
      </c>
    </row>
    <row r="1867" spans="1:20" x14ac:dyDescent="0.25">
      <c r="A1867" t="s">
        <v>78</v>
      </c>
      <c r="B1867" t="s">
        <v>79</v>
      </c>
      <c r="C1867" t="s">
        <v>2673</v>
      </c>
      <c r="D1867" t="s">
        <v>2674</v>
      </c>
      <c r="E1867">
        <v>1754.15</v>
      </c>
      <c r="F1867">
        <v>1759.15</v>
      </c>
      <c r="G1867">
        <v>1789.95</v>
      </c>
      <c r="H1867">
        <v>1716.35</v>
      </c>
      <c r="I1867" s="1">
        <v>1766.4</v>
      </c>
      <c r="J1867">
        <v>48846090.450000003</v>
      </c>
      <c r="K1867">
        <v>27846</v>
      </c>
      <c r="L1867" t="s">
        <v>78</v>
      </c>
      <c r="M1867" t="s">
        <v>546</v>
      </c>
      <c r="N1867">
        <v>6221</v>
      </c>
      <c r="O1867">
        <v>1880</v>
      </c>
      <c r="P1867">
        <v>846</v>
      </c>
      <c r="Q1867" s="1">
        <v>824.9</v>
      </c>
      <c r="R1867" s="1">
        <v>310</v>
      </c>
      <c r="S1867" s="3">
        <v>6.5509466879713596E-2</v>
      </c>
      <c r="T1867" s="3">
        <v>9.0851604077412107E-2</v>
      </c>
    </row>
    <row r="1868" spans="1:20" x14ac:dyDescent="0.25">
      <c r="A1868" t="s">
        <v>78</v>
      </c>
      <c r="B1868" t="s">
        <v>79</v>
      </c>
      <c r="C1868" t="s">
        <v>2677</v>
      </c>
      <c r="D1868" t="s">
        <v>2678</v>
      </c>
      <c r="E1868">
        <v>3353.3</v>
      </c>
      <c r="F1868">
        <v>3353.2</v>
      </c>
      <c r="G1868">
        <v>3353.2</v>
      </c>
      <c r="H1868">
        <v>3199.65</v>
      </c>
      <c r="I1868" s="1">
        <v>3231.25</v>
      </c>
      <c r="J1868">
        <v>80221169</v>
      </c>
      <c r="K1868">
        <v>24597</v>
      </c>
      <c r="L1868" t="s">
        <v>78</v>
      </c>
      <c r="M1868" t="s">
        <v>17</v>
      </c>
      <c r="N1868">
        <v>4603</v>
      </c>
      <c r="O1868">
        <v>3707.9</v>
      </c>
      <c r="P1868">
        <v>1450.15</v>
      </c>
      <c r="Q1868" s="1">
        <v>2524</v>
      </c>
      <c r="R1868" s="1" t="str">
        <v/>
      </c>
      <c r="S1868" s="3">
        <v>2.0798682428342818E-2</v>
      </c>
      <c r="T1868" s="3">
        <v>0</v>
      </c>
    </row>
    <row r="1869" spans="1:20" x14ac:dyDescent="0.25">
      <c r="A1869" t="s">
        <v>78</v>
      </c>
      <c r="B1869" t="s">
        <v>79</v>
      </c>
      <c r="C1869" t="s">
        <v>2679</v>
      </c>
      <c r="D1869" t="s">
        <v>2680</v>
      </c>
      <c r="E1869">
        <v>228.68</v>
      </c>
      <c r="F1869">
        <v>229.9</v>
      </c>
      <c r="G1869">
        <v>233.19</v>
      </c>
      <c r="H1869">
        <v>223.77</v>
      </c>
      <c r="I1869" s="1">
        <v>226.26</v>
      </c>
      <c r="J1869">
        <v>6710276.0499999998</v>
      </c>
      <c r="K1869">
        <v>29469</v>
      </c>
      <c r="L1869" t="s">
        <v>78</v>
      </c>
      <c r="M1869" t="s">
        <v>17</v>
      </c>
      <c r="N1869">
        <v>1979</v>
      </c>
      <c r="O1869">
        <v>1971.65</v>
      </c>
      <c r="P1869">
        <v>142</v>
      </c>
      <c r="Q1869" s="1">
        <v>837.95</v>
      </c>
      <c r="R1869" s="1">
        <v>240.1</v>
      </c>
      <c r="S1869" s="3">
        <v>-0.10336475435000869</v>
      </c>
      <c r="T1869" s="3">
        <v>-2.962513502848596E-3</v>
      </c>
    </row>
    <row r="1870" spans="1:20" x14ac:dyDescent="0.25">
      <c r="A1870" t="s">
        <v>78</v>
      </c>
      <c r="B1870" t="s">
        <v>79</v>
      </c>
      <c r="C1870" t="s">
        <v>2681</v>
      </c>
      <c r="D1870" t="s">
        <v>2682</v>
      </c>
      <c r="E1870">
        <v>5098.6000000000004</v>
      </c>
      <c r="F1870">
        <v>5089.55</v>
      </c>
      <c r="G1870">
        <v>5135</v>
      </c>
      <c r="H1870">
        <v>4905.1499999999996</v>
      </c>
      <c r="I1870" s="1">
        <v>4962.3500000000004</v>
      </c>
      <c r="J1870">
        <v>865962357.75</v>
      </c>
      <c r="K1870">
        <v>174482</v>
      </c>
      <c r="L1870" t="s">
        <v>78</v>
      </c>
      <c r="M1870" t="s">
        <v>17</v>
      </c>
      <c r="N1870">
        <v>25846</v>
      </c>
      <c r="O1870">
        <v>5839.95</v>
      </c>
      <c r="P1870">
        <v>2331.35</v>
      </c>
      <c r="Q1870" s="1">
        <v>1372</v>
      </c>
      <c r="R1870" s="1">
        <v>1080</v>
      </c>
      <c r="S1870" s="3">
        <v>0.11308357293093874</v>
      </c>
      <c r="T1870" s="3">
        <v>7.9182881076204747E-2</v>
      </c>
    </row>
    <row r="1871" spans="1:20" x14ac:dyDescent="0.25">
      <c r="A1871" t="s">
        <v>78</v>
      </c>
      <c r="B1871" t="s">
        <v>79</v>
      </c>
      <c r="C1871" t="s">
        <v>2683</v>
      </c>
      <c r="D1871" t="s">
        <v>2684</v>
      </c>
      <c r="E1871">
        <v>251.1</v>
      </c>
      <c r="F1871">
        <v>250.77</v>
      </c>
      <c r="G1871">
        <v>255.37</v>
      </c>
      <c r="H1871">
        <v>245.2</v>
      </c>
      <c r="I1871" s="1">
        <v>248.53</v>
      </c>
      <c r="J1871">
        <v>221140468.63999999</v>
      </c>
      <c r="K1871">
        <v>883707</v>
      </c>
      <c r="L1871" t="s">
        <v>78</v>
      </c>
      <c r="M1871" t="s">
        <v>17</v>
      </c>
      <c r="N1871">
        <v>22038</v>
      </c>
      <c r="O1871">
        <v>260.75</v>
      </c>
      <c r="P1871">
        <v>180</v>
      </c>
      <c r="Q1871" s="1">
        <v>60.75</v>
      </c>
      <c r="R1871" s="1">
        <v>181.3</v>
      </c>
      <c r="S1871" s="3">
        <v>0.12456883756557513</v>
      </c>
      <c r="T1871" s="3">
        <v>1.588675933003314E-2</v>
      </c>
    </row>
    <row r="1872" spans="1:20" x14ac:dyDescent="0.25">
      <c r="A1872" t="s">
        <v>78</v>
      </c>
      <c r="B1872" t="s">
        <v>79</v>
      </c>
      <c r="C1872" t="s">
        <v>2685</v>
      </c>
      <c r="D1872" t="s">
        <v>2686</v>
      </c>
      <c r="E1872">
        <v>641.70000000000005</v>
      </c>
      <c r="F1872">
        <v>644</v>
      </c>
      <c r="G1872">
        <v>665</v>
      </c>
      <c r="H1872">
        <v>638.70000000000005</v>
      </c>
      <c r="I1872" s="1">
        <v>643.9</v>
      </c>
      <c r="J1872">
        <v>48341192.950000003</v>
      </c>
      <c r="K1872">
        <v>74271</v>
      </c>
      <c r="L1872" t="s">
        <v>78</v>
      </c>
      <c r="M1872" t="s">
        <v>17</v>
      </c>
      <c r="N1872">
        <v>7967</v>
      </c>
      <c r="O1872">
        <v>722.65</v>
      </c>
      <c r="P1872">
        <v>506.8</v>
      </c>
      <c r="Q1872" s="1">
        <v>1311.2</v>
      </c>
      <c r="R1872" s="1">
        <v>440</v>
      </c>
      <c r="S1872" s="3">
        <v>-5.7541019610701349E-2</v>
      </c>
      <c r="T1872" s="3">
        <v>1.9210195352678427E-2</v>
      </c>
    </row>
    <row r="1873" spans="1:20" x14ac:dyDescent="0.25">
      <c r="A1873" t="s">
        <v>78</v>
      </c>
      <c r="B1873" t="s">
        <v>79</v>
      </c>
      <c r="C1873" t="s">
        <v>2687</v>
      </c>
      <c r="D1873" t="s">
        <v>2688</v>
      </c>
      <c r="E1873">
        <v>232.55</v>
      </c>
      <c r="F1873">
        <v>232.5</v>
      </c>
      <c r="G1873">
        <v>255</v>
      </c>
      <c r="H1873">
        <v>230.3</v>
      </c>
      <c r="I1873" s="1">
        <v>248.75</v>
      </c>
      <c r="J1873">
        <v>778119681.70000005</v>
      </c>
      <c r="K1873">
        <v>3156763</v>
      </c>
      <c r="L1873" t="s">
        <v>78</v>
      </c>
      <c r="M1873" t="s">
        <v>17</v>
      </c>
      <c r="N1873">
        <v>64100</v>
      </c>
      <c r="O1873">
        <v>291.39999999999998</v>
      </c>
      <c r="P1873">
        <v>162.25</v>
      </c>
      <c r="Q1873" s="1">
        <v>42.85</v>
      </c>
      <c r="R1873" s="1">
        <v>12.7</v>
      </c>
      <c r="S1873" s="3">
        <v>0.1578465926466821</v>
      </c>
      <c r="T1873" s="3">
        <v>0.16027942661447248</v>
      </c>
    </row>
    <row r="1874" spans="1:20" x14ac:dyDescent="0.25">
      <c r="A1874" t="s">
        <v>78</v>
      </c>
      <c r="B1874" t="s">
        <v>79</v>
      </c>
      <c r="C1874" t="s">
        <v>3519</v>
      </c>
      <c r="D1874" t="s">
        <v>3520</v>
      </c>
      <c r="E1874">
        <v>2398.85</v>
      </c>
      <c r="F1874">
        <v>2425</v>
      </c>
      <c r="G1874">
        <v>2440</v>
      </c>
      <c r="H1874">
        <v>2313.1999999999998</v>
      </c>
      <c r="I1874" s="1">
        <v>2355.1999999999998</v>
      </c>
      <c r="J1874">
        <v>118515777.34999999</v>
      </c>
      <c r="K1874">
        <v>50247</v>
      </c>
      <c r="L1874" t="s">
        <v>78</v>
      </c>
      <c r="M1874" t="s">
        <v>17</v>
      </c>
      <c r="N1874">
        <v>8506</v>
      </c>
      <c r="O1874">
        <v>2471</v>
      </c>
      <c r="P1874">
        <v>1050</v>
      </c>
      <c r="Q1874" s="1">
        <v>15900</v>
      </c>
      <c r="R1874" s="1">
        <v>4835.05</v>
      </c>
      <c r="S1874" s="3">
        <v>-0.1471240087820701</v>
      </c>
      <c r="T1874" s="3">
        <v>-3.5305295321564123E-2</v>
      </c>
    </row>
    <row r="1875" spans="1:20" x14ac:dyDescent="0.25">
      <c r="A1875" t="s">
        <v>78</v>
      </c>
      <c r="B1875" t="s">
        <v>79</v>
      </c>
      <c r="C1875" t="s">
        <v>2689</v>
      </c>
      <c r="D1875" t="s">
        <v>2690</v>
      </c>
      <c r="E1875">
        <v>2810.2</v>
      </c>
      <c r="F1875">
        <v>2810.4</v>
      </c>
      <c r="G1875">
        <v>2849.8</v>
      </c>
      <c r="H1875">
        <v>2722.55</v>
      </c>
      <c r="I1875" s="1">
        <v>2754.25</v>
      </c>
      <c r="J1875">
        <v>37060304.450000003</v>
      </c>
      <c r="K1875">
        <v>13425</v>
      </c>
      <c r="L1875" t="s">
        <v>78</v>
      </c>
      <c r="M1875" t="s">
        <v>17</v>
      </c>
      <c r="N1875">
        <v>3934</v>
      </c>
      <c r="O1875">
        <v>3190</v>
      </c>
      <c r="P1875">
        <v>1532.5</v>
      </c>
      <c r="Q1875" s="1">
        <v>607</v>
      </c>
      <c r="R1875" s="1">
        <v>311</v>
      </c>
      <c r="S1875" s="3">
        <v>0.13431729954599403</v>
      </c>
      <c r="T1875" s="3">
        <v>0.11515750313865847</v>
      </c>
    </row>
    <row r="1876" spans="1:20" x14ac:dyDescent="0.25">
      <c r="A1876" t="s">
        <v>78</v>
      </c>
      <c r="B1876" t="s">
        <v>79</v>
      </c>
      <c r="C1876" t="s">
        <v>2691</v>
      </c>
      <c r="D1876" t="s">
        <v>2692</v>
      </c>
      <c r="E1876">
        <v>4095.2</v>
      </c>
      <c r="F1876">
        <v>4094.8</v>
      </c>
      <c r="G1876">
        <v>4155</v>
      </c>
      <c r="H1876">
        <v>3982</v>
      </c>
      <c r="I1876" s="1">
        <v>4093.2</v>
      </c>
      <c r="J1876">
        <v>2066922264.2</v>
      </c>
      <c r="K1876">
        <v>507647</v>
      </c>
      <c r="L1876" t="s">
        <v>78</v>
      </c>
      <c r="M1876" t="s">
        <v>17</v>
      </c>
      <c r="N1876">
        <v>45116</v>
      </c>
      <c r="O1876">
        <v>4681.7</v>
      </c>
      <c r="P1876">
        <v>2758</v>
      </c>
      <c r="Q1876" s="1">
        <v>1101.05</v>
      </c>
      <c r="R1876" s="1">
        <v>389.2</v>
      </c>
      <c r="S1876" s="3">
        <v>0.11563293569476274</v>
      </c>
      <c r="T1876" s="3">
        <v>0.12477725365066883</v>
      </c>
    </row>
    <row r="1877" spans="1:20" x14ac:dyDescent="0.25">
      <c r="A1877" t="s">
        <v>78</v>
      </c>
      <c r="B1877" t="s">
        <v>287</v>
      </c>
      <c r="C1877" t="s">
        <v>5317</v>
      </c>
      <c r="D1877" t="s">
        <v>5316</v>
      </c>
      <c r="E1877">
        <v>69.7</v>
      </c>
      <c r="F1877">
        <v>67</v>
      </c>
      <c r="G1877">
        <v>69.400000000000006</v>
      </c>
      <c r="H1877">
        <v>66.25</v>
      </c>
      <c r="I1877" s="1">
        <v>67.25</v>
      </c>
      <c r="J1877">
        <v>942000</v>
      </c>
      <c r="K1877">
        <v>14000</v>
      </c>
      <c r="L1877" t="s">
        <v>78</v>
      </c>
      <c r="M1877" t="s">
        <v>17</v>
      </c>
      <c r="N1877">
        <v>7</v>
      </c>
      <c r="O1877">
        <v>203.7</v>
      </c>
      <c r="P1877">
        <v>56.6</v>
      </c>
      <c r="Q1877" s="1" t="str">
        <v/>
      </c>
      <c r="R1877" s="1" t="str">
        <v/>
      </c>
      <c r="S1877" s="3">
        <v>0</v>
      </c>
      <c r="T1877" s="3">
        <v>0</v>
      </c>
    </row>
    <row r="1878" spans="1:20" x14ac:dyDescent="0.25">
      <c r="A1878" t="s">
        <v>78</v>
      </c>
      <c r="B1878" t="s">
        <v>79</v>
      </c>
      <c r="C1878" t="s">
        <v>2695</v>
      </c>
      <c r="D1878" t="s">
        <v>2696</v>
      </c>
      <c r="E1878">
        <v>139.96</v>
      </c>
      <c r="F1878">
        <v>143.80000000000001</v>
      </c>
      <c r="G1878">
        <v>143.80000000000001</v>
      </c>
      <c r="H1878">
        <v>125.96</v>
      </c>
      <c r="I1878" s="1">
        <v>128.91</v>
      </c>
      <c r="J1878">
        <v>2951985.24</v>
      </c>
      <c r="K1878">
        <v>22460</v>
      </c>
      <c r="L1878" t="s">
        <v>78</v>
      </c>
      <c r="M1878" t="s">
        <v>17</v>
      </c>
      <c r="N1878">
        <v>324</v>
      </c>
      <c r="O1878">
        <v>165.05</v>
      </c>
      <c r="P1878">
        <v>53.05</v>
      </c>
      <c r="Q1878" s="1">
        <v>53.65</v>
      </c>
      <c r="R1878" s="1">
        <v>32.450000000000003</v>
      </c>
      <c r="S1878" s="3">
        <v>7.5787284755142403E-2</v>
      </c>
      <c r="T1878" s="3">
        <v>7.1364351077678023E-2</v>
      </c>
    </row>
    <row r="1879" spans="1:20" x14ac:dyDescent="0.25">
      <c r="A1879" t="s">
        <v>78</v>
      </c>
      <c r="B1879" t="s">
        <v>79</v>
      </c>
      <c r="C1879" t="s">
        <v>2697</v>
      </c>
      <c r="D1879" t="s">
        <v>2698</v>
      </c>
      <c r="E1879">
        <v>346.5</v>
      </c>
      <c r="F1879">
        <v>347.9</v>
      </c>
      <c r="G1879">
        <v>348</v>
      </c>
      <c r="H1879">
        <v>336</v>
      </c>
      <c r="I1879" s="1">
        <v>337.65</v>
      </c>
      <c r="J1879">
        <v>679506047.25</v>
      </c>
      <c r="K1879">
        <v>1989584</v>
      </c>
      <c r="L1879" t="s">
        <v>78</v>
      </c>
      <c r="M1879" t="s">
        <v>17</v>
      </c>
      <c r="N1879">
        <v>35957</v>
      </c>
      <c r="O1879">
        <v>362.5</v>
      </c>
      <c r="P1879">
        <v>129.5</v>
      </c>
      <c r="Q1879" s="1">
        <v>82.5</v>
      </c>
      <c r="R1879" s="1">
        <v>77</v>
      </c>
      <c r="S1879" s="3">
        <v>0.12460773729042107</v>
      </c>
      <c r="T1879" s="3">
        <v>7.6666555306205586E-2</v>
      </c>
    </row>
    <row r="1880" spans="1:20" x14ac:dyDescent="0.25">
      <c r="A1880" t="s">
        <v>78</v>
      </c>
      <c r="B1880" t="s">
        <v>79</v>
      </c>
      <c r="C1880" t="s">
        <v>2699</v>
      </c>
      <c r="D1880" t="s">
        <v>2700</v>
      </c>
      <c r="E1880">
        <v>3924.8</v>
      </c>
      <c r="F1880">
        <v>3933.8</v>
      </c>
      <c r="G1880">
        <v>4025</v>
      </c>
      <c r="H1880">
        <v>3911.35</v>
      </c>
      <c r="I1880" s="1">
        <v>3921.05</v>
      </c>
      <c r="J1880">
        <v>350930558.5</v>
      </c>
      <c r="K1880">
        <v>88983</v>
      </c>
      <c r="L1880" t="s">
        <v>78</v>
      </c>
      <c r="M1880" t="s">
        <v>17</v>
      </c>
      <c r="N1880">
        <v>13517</v>
      </c>
      <c r="O1880">
        <v>4817.8999999999996</v>
      </c>
      <c r="P1880">
        <v>2524.5</v>
      </c>
      <c r="Q1880" s="1">
        <v>1498</v>
      </c>
      <c r="R1880" s="1">
        <v>691</v>
      </c>
      <c r="S1880" s="3">
        <v>8.3488269916568214E-2</v>
      </c>
      <c r="T1880" s="3">
        <v>9.062531104138194E-2</v>
      </c>
    </row>
    <row r="1881" spans="1:20" x14ac:dyDescent="0.25">
      <c r="A1881" t="s">
        <v>78</v>
      </c>
      <c r="B1881" t="s">
        <v>79</v>
      </c>
      <c r="C1881" t="s">
        <v>5315</v>
      </c>
      <c r="D1881" t="s">
        <v>5314</v>
      </c>
      <c r="E1881">
        <v>583.20000000000005</v>
      </c>
      <c r="F1881">
        <v>597</v>
      </c>
      <c r="G1881">
        <v>598.85</v>
      </c>
      <c r="H1881">
        <v>566.5</v>
      </c>
      <c r="I1881" s="1">
        <v>585.20000000000005</v>
      </c>
      <c r="J1881">
        <v>3628036.2</v>
      </c>
      <c r="K1881">
        <v>6200</v>
      </c>
      <c r="L1881" t="s">
        <v>78</v>
      </c>
      <c r="M1881" t="s">
        <v>17</v>
      </c>
      <c r="N1881">
        <v>631</v>
      </c>
      <c r="O1881">
        <v>994.9</v>
      </c>
      <c r="P1881">
        <v>490.25</v>
      </c>
      <c r="Q1881" s="1" t="str">
        <v/>
      </c>
      <c r="R1881" s="1" t="str">
        <v/>
      </c>
      <c r="S1881" s="3">
        <v>0</v>
      </c>
      <c r="T1881" s="3">
        <v>0</v>
      </c>
    </row>
    <row r="1882" spans="1:20" x14ac:dyDescent="0.25">
      <c r="A1882" t="s">
        <v>78</v>
      </c>
      <c r="B1882" t="s">
        <v>79</v>
      </c>
      <c r="C1882" t="s">
        <v>3523</v>
      </c>
      <c r="D1882" t="s">
        <v>5313</v>
      </c>
      <c r="E1882">
        <v>589</v>
      </c>
      <c r="F1882">
        <v>589.95000000000005</v>
      </c>
      <c r="G1882">
        <v>593.4</v>
      </c>
      <c r="H1882">
        <v>557</v>
      </c>
      <c r="I1882" s="1">
        <v>570.79999999999995</v>
      </c>
      <c r="J1882">
        <v>209440388.15000001</v>
      </c>
      <c r="K1882">
        <v>366922</v>
      </c>
      <c r="L1882" t="s">
        <v>78</v>
      </c>
      <c r="M1882" t="s">
        <v>17</v>
      </c>
      <c r="N1882">
        <v>27606</v>
      </c>
      <c r="O1882">
        <v>595.95000000000005</v>
      </c>
      <c r="P1882">
        <v>268</v>
      </c>
      <c r="Q1882" s="1">
        <v>1210</v>
      </c>
      <c r="R1882" s="1">
        <v>56.05</v>
      </c>
      <c r="S1882" s="3">
        <v>-6.0691578293009751E-2</v>
      </c>
      <c r="T1882" s="3">
        <v>0.12296913190743908</v>
      </c>
    </row>
    <row r="1883" spans="1:20" x14ac:dyDescent="0.25">
      <c r="A1883" t="s">
        <v>78</v>
      </c>
      <c r="B1883" t="s">
        <v>79</v>
      </c>
      <c r="C1883" t="s">
        <v>2703</v>
      </c>
      <c r="D1883" t="s">
        <v>2704</v>
      </c>
      <c r="E1883">
        <v>311.05</v>
      </c>
      <c r="F1883">
        <v>312.89999999999998</v>
      </c>
      <c r="G1883">
        <v>320</v>
      </c>
      <c r="H1883">
        <v>304.64999999999998</v>
      </c>
      <c r="I1883" s="1">
        <v>306.5</v>
      </c>
      <c r="J1883">
        <v>95618513.700000003</v>
      </c>
      <c r="K1883">
        <v>308633</v>
      </c>
      <c r="L1883" t="s">
        <v>78</v>
      </c>
      <c r="M1883" t="s">
        <v>17</v>
      </c>
      <c r="N1883">
        <v>10418</v>
      </c>
      <c r="O1883">
        <v>332.95</v>
      </c>
      <c r="P1883">
        <v>184.8</v>
      </c>
      <c r="Q1883" s="1">
        <v>163.15</v>
      </c>
      <c r="R1883" s="1">
        <v>69.3</v>
      </c>
      <c r="S1883" s="3">
        <v>5.395066788584435E-2</v>
      </c>
      <c r="T1883" s="3">
        <v>7.7127667703725811E-2</v>
      </c>
    </row>
    <row r="1884" spans="1:20" x14ac:dyDescent="0.25">
      <c r="A1884" t="s">
        <v>78</v>
      </c>
      <c r="B1884" t="s">
        <v>287</v>
      </c>
      <c r="C1884" t="s">
        <v>5312</v>
      </c>
      <c r="D1884" t="s">
        <v>5311</v>
      </c>
      <c r="E1884">
        <v>734.35</v>
      </c>
      <c r="F1884">
        <v>763</v>
      </c>
      <c r="G1884">
        <v>764.5</v>
      </c>
      <c r="H1884">
        <v>701</v>
      </c>
      <c r="I1884" s="1">
        <v>701.75</v>
      </c>
      <c r="J1884">
        <v>14815000</v>
      </c>
      <c r="K1884">
        <v>20500</v>
      </c>
      <c r="L1884" t="s">
        <v>78</v>
      </c>
      <c r="M1884" t="s">
        <v>17</v>
      </c>
      <c r="N1884">
        <v>51</v>
      </c>
      <c r="O1884">
        <v>837.5</v>
      </c>
      <c r="P1884">
        <v>111.85</v>
      </c>
      <c r="Q1884" s="1" t="str">
        <v/>
      </c>
      <c r="R1884" s="1" t="str">
        <v/>
      </c>
      <c r="S1884" s="3">
        <v>0</v>
      </c>
      <c r="T1884" s="3">
        <v>0</v>
      </c>
    </row>
    <row r="1885" spans="1:20" x14ac:dyDescent="0.25">
      <c r="A1885" t="s">
        <v>78</v>
      </c>
      <c r="B1885" t="s">
        <v>79</v>
      </c>
      <c r="C1885" t="s">
        <v>5310</v>
      </c>
      <c r="D1885" t="s">
        <v>5309</v>
      </c>
      <c r="E1885">
        <v>1704.35</v>
      </c>
      <c r="F1885">
        <v>1703</v>
      </c>
      <c r="G1885">
        <v>1703</v>
      </c>
      <c r="H1885">
        <v>1600</v>
      </c>
      <c r="I1885" s="1">
        <v>1609.3</v>
      </c>
      <c r="J1885">
        <v>2260412119.6500001</v>
      </c>
      <c r="K1885">
        <v>1382345</v>
      </c>
      <c r="L1885" t="s">
        <v>78</v>
      </c>
      <c r="M1885" t="s">
        <v>17</v>
      </c>
      <c r="N1885">
        <v>117426</v>
      </c>
      <c r="O1885">
        <v>1896.95</v>
      </c>
      <c r="P1885">
        <v>538.15</v>
      </c>
      <c r="Q1885" s="1" t="str">
        <v/>
      </c>
      <c r="R1885" s="1" t="str">
        <v/>
      </c>
      <c r="S1885" s="3">
        <v>0</v>
      </c>
      <c r="T1885" s="3">
        <v>0</v>
      </c>
    </row>
    <row r="1886" spans="1:20" x14ac:dyDescent="0.25">
      <c r="A1886" t="s">
        <v>78</v>
      </c>
      <c r="B1886" t="s">
        <v>79</v>
      </c>
      <c r="C1886" t="s">
        <v>5308</v>
      </c>
      <c r="D1886" t="s">
        <v>5307</v>
      </c>
      <c r="E1886">
        <v>467.65</v>
      </c>
      <c r="F1886">
        <v>467.85</v>
      </c>
      <c r="G1886">
        <v>472.25</v>
      </c>
      <c r="H1886">
        <v>462</v>
      </c>
      <c r="I1886" s="1">
        <v>463.1</v>
      </c>
      <c r="J1886">
        <v>77990477.400000006</v>
      </c>
      <c r="K1886">
        <v>168139</v>
      </c>
      <c r="L1886" t="s">
        <v>78</v>
      </c>
      <c r="M1886" t="s">
        <v>17</v>
      </c>
      <c r="N1886">
        <v>11727</v>
      </c>
      <c r="O1886">
        <v>611.35</v>
      </c>
      <c r="P1886">
        <v>422</v>
      </c>
      <c r="Q1886" s="1" t="str">
        <v/>
      </c>
      <c r="R1886" s="1" t="str">
        <v/>
      </c>
      <c r="S1886" s="3">
        <v>0</v>
      </c>
      <c r="T1886" s="3">
        <v>0</v>
      </c>
    </row>
    <row r="1887" spans="1:20" x14ac:dyDescent="0.25">
      <c r="A1887" t="s">
        <v>78</v>
      </c>
      <c r="B1887" t="s">
        <v>79</v>
      </c>
      <c r="C1887" t="s">
        <v>2705</v>
      </c>
      <c r="D1887" t="s">
        <v>2706</v>
      </c>
      <c r="E1887">
        <v>106.45</v>
      </c>
      <c r="F1887">
        <v>107.79</v>
      </c>
      <c r="G1887">
        <v>110.77</v>
      </c>
      <c r="H1887">
        <v>105</v>
      </c>
      <c r="I1887" s="1">
        <v>105.66</v>
      </c>
      <c r="J1887">
        <v>520437584.62</v>
      </c>
      <c r="K1887">
        <v>4817049</v>
      </c>
      <c r="L1887" t="s">
        <v>78</v>
      </c>
      <c r="M1887" t="s">
        <v>17</v>
      </c>
      <c r="N1887">
        <v>38958</v>
      </c>
      <c r="O1887">
        <v>114</v>
      </c>
      <c r="P1887">
        <v>75.599999999999994</v>
      </c>
      <c r="Q1887" s="1">
        <v>120</v>
      </c>
      <c r="R1887" s="1">
        <v>32.200000000000003</v>
      </c>
      <c r="S1887" s="3">
        <v>-1.0549406461681343E-2</v>
      </c>
      <c r="T1887" s="3">
        <v>6.1178899775519824E-2</v>
      </c>
    </row>
    <row r="1888" spans="1:20" x14ac:dyDescent="0.25">
      <c r="A1888" t="s">
        <v>78</v>
      </c>
      <c r="B1888" t="s">
        <v>79</v>
      </c>
      <c r="C1888" t="s">
        <v>2707</v>
      </c>
      <c r="D1888" t="s">
        <v>2708</v>
      </c>
      <c r="E1888">
        <v>271.85000000000002</v>
      </c>
      <c r="F1888">
        <v>271.85000000000002</v>
      </c>
      <c r="G1888">
        <v>271.89999999999998</v>
      </c>
      <c r="H1888">
        <v>264.2</v>
      </c>
      <c r="I1888" s="1">
        <v>265.35000000000002</v>
      </c>
      <c r="J1888">
        <v>48526538.700000003</v>
      </c>
      <c r="K1888">
        <v>182029</v>
      </c>
      <c r="L1888" t="s">
        <v>78</v>
      </c>
      <c r="M1888" t="s">
        <v>17</v>
      </c>
      <c r="N1888">
        <v>6606</v>
      </c>
      <c r="O1888">
        <v>331</v>
      </c>
      <c r="P1888">
        <v>201.9</v>
      </c>
      <c r="Q1888" s="1">
        <v>150</v>
      </c>
      <c r="R1888" s="1">
        <v>170.25</v>
      </c>
      <c r="S1888" s="3">
        <v>4.8682416321764288E-2</v>
      </c>
      <c r="T1888" s="3">
        <v>2.2424672675650736E-2</v>
      </c>
    </row>
    <row r="1889" spans="1:20" x14ac:dyDescent="0.25">
      <c r="A1889" t="s">
        <v>78</v>
      </c>
      <c r="B1889" t="s">
        <v>79</v>
      </c>
      <c r="C1889" t="s">
        <v>2709</v>
      </c>
      <c r="D1889" t="s">
        <v>2710</v>
      </c>
      <c r="E1889">
        <v>118.03</v>
      </c>
      <c r="F1889">
        <v>118.5</v>
      </c>
      <c r="G1889">
        <v>118.99</v>
      </c>
      <c r="H1889">
        <v>115.5</v>
      </c>
      <c r="I1889" s="1">
        <v>115.75</v>
      </c>
      <c r="J1889">
        <v>942080.92</v>
      </c>
      <c r="K1889">
        <v>8080</v>
      </c>
      <c r="L1889" t="s">
        <v>78</v>
      </c>
      <c r="M1889" t="s">
        <v>17</v>
      </c>
      <c r="N1889">
        <v>385</v>
      </c>
      <c r="O1889">
        <v>138.75</v>
      </c>
      <c r="P1889">
        <v>92.6</v>
      </c>
      <c r="Q1889" s="1">
        <v>109</v>
      </c>
      <c r="R1889" s="1">
        <v>49.1</v>
      </c>
      <c r="S1889" s="3">
        <v>5.0196238722339803E-3</v>
      </c>
      <c r="T1889" s="3">
        <v>4.3786744220205565E-2</v>
      </c>
    </row>
    <row r="1890" spans="1:20" x14ac:dyDescent="0.25">
      <c r="A1890" t="s">
        <v>78</v>
      </c>
      <c r="B1890" t="s">
        <v>79</v>
      </c>
      <c r="C1890" t="s">
        <v>2711</v>
      </c>
      <c r="D1890" t="s">
        <v>2712</v>
      </c>
      <c r="E1890">
        <v>1545.55</v>
      </c>
      <c r="F1890">
        <v>1551.15</v>
      </c>
      <c r="G1890">
        <v>1687</v>
      </c>
      <c r="H1890">
        <v>1520</v>
      </c>
      <c r="I1890" s="1">
        <v>1542.7</v>
      </c>
      <c r="J1890">
        <v>5232067704.3500004</v>
      </c>
      <c r="K1890">
        <v>3254915</v>
      </c>
      <c r="L1890" t="s">
        <v>78</v>
      </c>
      <c r="M1890" t="s">
        <v>17</v>
      </c>
      <c r="N1890">
        <v>183431</v>
      </c>
      <c r="O1890">
        <v>1687</v>
      </c>
      <c r="P1890">
        <v>601</v>
      </c>
      <c r="Q1890" s="1">
        <v>474</v>
      </c>
      <c r="R1890" s="1">
        <v>301.2</v>
      </c>
      <c r="S1890" s="3">
        <v>0.10333804794856993</v>
      </c>
      <c r="T1890" s="3">
        <v>8.5055368136156773E-2</v>
      </c>
    </row>
    <row r="1891" spans="1:20" x14ac:dyDescent="0.25">
      <c r="A1891" t="s">
        <v>78</v>
      </c>
      <c r="B1891" t="s">
        <v>79</v>
      </c>
      <c r="C1891" t="s">
        <v>2715</v>
      </c>
      <c r="D1891" t="s">
        <v>2716</v>
      </c>
      <c r="E1891">
        <v>140.43</v>
      </c>
      <c r="F1891">
        <v>141.13999999999999</v>
      </c>
      <c r="G1891">
        <v>143.12</v>
      </c>
      <c r="H1891">
        <v>135.25</v>
      </c>
      <c r="I1891" s="1">
        <v>136.15</v>
      </c>
      <c r="J1891">
        <v>605695.42000000004</v>
      </c>
      <c r="K1891">
        <v>4377</v>
      </c>
      <c r="L1891" t="s">
        <v>78</v>
      </c>
      <c r="M1891" t="s">
        <v>17</v>
      </c>
      <c r="N1891">
        <v>778</v>
      </c>
      <c r="O1891">
        <v>221.9</v>
      </c>
      <c r="P1891">
        <v>118.15</v>
      </c>
      <c r="Q1891" s="1">
        <v>105</v>
      </c>
      <c r="R1891" s="1" t="str">
        <v/>
      </c>
      <c r="S1891" s="3">
        <v>2.1885795120716089E-2</v>
      </c>
      <c r="T1891" s="3">
        <v>0</v>
      </c>
    </row>
    <row r="1892" spans="1:20" x14ac:dyDescent="0.25">
      <c r="A1892" t="s">
        <v>78</v>
      </c>
      <c r="B1892" t="s">
        <v>79</v>
      </c>
      <c r="C1892" t="s">
        <v>2717</v>
      </c>
      <c r="D1892" t="s">
        <v>2718</v>
      </c>
      <c r="E1892">
        <v>97.66</v>
      </c>
      <c r="F1892">
        <v>98.6</v>
      </c>
      <c r="G1892">
        <v>101.87</v>
      </c>
      <c r="H1892">
        <v>97.16</v>
      </c>
      <c r="I1892" s="1">
        <v>98.83</v>
      </c>
      <c r="J1892">
        <v>70999105.900000006</v>
      </c>
      <c r="K1892">
        <v>713431</v>
      </c>
      <c r="L1892" t="s">
        <v>78</v>
      </c>
      <c r="M1892" t="s">
        <v>17</v>
      </c>
      <c r="N1892">
        <v>4296</v>
      </c>
      <c r="O1892">
        <v>108.42</v>
      </c>
      <c r="P1892">
        <v>42.15</v>
      </c>
      <c r="Q1892" s="1">
        <v>253.2</v>
      </c>
      <c r="R1892" s="1">
        <v>110.1</v>
      </c>
      <c r="S1892" s="3">
        <v>-7.5403827739439433E-2</v>
      </c>
      <c r="T1892" s="3">
        <v>-5.3819005170567813E-3</v>
      </c>
    </row>
    <row r="1893" spans="1:20" x14ac:dyDescent="0.25">
      <c r="A1893" t="s">
        <v>78</v>
      </c>
      <c r="B1893" t="s">
        <v>79</v>
      </c>
      <c r="C1893" t="s">
        <v>5306</v>
      </c>
      <c r="D1893" t="s">
        <v>5305</v>
      </c>
      <c r="E1893">
        <v>94.48</v>
      </c>
      <c r="F1893">
        <v>95.25</v>
      </c>
      <c r="G1893">
        <v>96.55</v>
      </c>
      <c r="H1893">
        <v>92.97</v>
      </c>
      <c r="I1893" s="1">
        <v>93.74</v>
      </c>
      <c r="J1893">
        <v>104360308.72</v>
      </c>
      <c r="K1893">
        <v>1100678</v>
      </c>
      <c r="L1893" t="s">
        <v>78</v>
      </c>
      <c r="M1893" t="s">
        <v>17</v>
      </c>
      <c r="N1893">
        <v>28996</v>
      </c>
      <c r="O1893">
        <v>124.2</v>
      </c>
      <c r="P1893">
        <v>66.3</v>
      </c>
      <c r="Q1893" s="1" t="str">
        <v/>
      </c>
      <c r="R1893" s="1" t="str">
        <v/>
      </c>
      <c r="S1893" s="3">
        <v>0</v>
      </c>
      <c r="T1893" s="3">
        <v>0</v>
      </c>
    </row>
    <row r="1894" spans="1:20" x14ac:dyDescent="0.25">
      <c r="A1894" t="s">
        <v>78</v>
      </c>
      <c r="B1894" t="s">
        <v>287</v>
      </c>
      <c r="C1894" t="s">
        <v>5304</v>
      </c>
      <c r="D1894" t="s">
        <v>5303</v>
      </c>
      <c r="E1894">
        <v>74.599999999999994</v>
      </c>
      <c r="F1894">
        <v>75.95</v>
      </c>
      <c r="G1894">
        <v>75.95</v>
      </c>
      <c r="H1894">
        <v>71.55</v>
      </c>
      <c r="I1894" s="1">
        <v>72.95</v>
      </c>
      <c r="J1894">
        <v>5574800</v>
      </c>
      <c r="K1894">
        <v>76000</v>
      </c>
      <c r="L1894" t="s">
        <v>78</v>
      </c>
      <c r="M1894" t="s">
        <v>17</v>
      </c>
      <c r="N1894">
        <v>38</v>
      </c>
      <c r="O1894">
        <v>114.25</v>
      </c>
      <c r="P1894">
        <v>59</v>
      </c>
      <c r="Q1894" s="1" t="str">
        <v/>
      </c>
      <c r="R1894" s="1" t="str">
        <v/>
      </c>
      <c r="S1894" s="3">
        <v>0</v>
      </c>
      <c r="T1894" s="3">
        <v>0</v>
      </c>
    </row>
    <row r="1895" spans="1:20" x14ac:dyDescent="0.25">
      <c r="A1895" t="s">
        <v>78</v>
      </c>
      <c r="B1895" t="s">
        <v>287</v>
      </c>
      <c r="C1895" t="s">
        <v>2719</v>
      </c>
      <c r="D1895" t="s">
        <v>2720</v>
      </c>
      <c r="E1895">
        <v>23</v>
      </c>
      <c r="F1895">
        <v>22.95</v>
      </c>
      <c r="G1895">
        <v>22.95</v>
      </c>
      <c r="H1895">
        <v>21.85</v>
      </c>
      <c r="I1895" s="1">
        <v>21.85</v>
      </c>
      <c r="J1895">
        <v>354000</v>
      </c>
      <c r="K1895">
        <v>16000</v>
      </c>
      <c r="L1895" t="s">
        <v>78</v>
      </c>
      <c r="M1895" t="s">
        <v>17</v>
      </c>
      <c r="N1895">
        <v>4</v>
      </c>
      <c r="O1895">
        <v>39.9</v>
      </c>
      <c r="P1895">
        <v>8.15</v>
      </c>
      <c r="Q1895" s="1">
        <v>5.3</v>
      </c>
      <c r="R1895" s="1">
        <v>4.25</v>
      </c>
      <c r="S1895" s="3">
        <v>0.12529044433972847</v>
      </c>
      <c r="T1895" s="3">
        <v>8.5259647111232351E-2</v>
      </c>
    </row>
    <row r="1896" spans="1:20" x14ac:dyDescent="0.25">
      <c r="A1896" t="s">
        <v>78</v>
      </c>
      <c r="B1896" t="s">
        <v>79</v>
      </c>
      <c r="C1896" t="s">
        <v>3531</v>
      </c>
      <c r="D1896" t="s">
        <v>3532</v>
      </c>
      <c r="E1896">
        <v>25.09</v>
      </c>
      <c r="F1896">
        <v>25.09</v>
      </c>
      <c r="G1896">
        <v>25.7</v>
      </c>
      <c r="H1896">
        <v>23.33</v>
      </c>
      <c r="I1896" s="1">
        <v>23.56</v>
      </c>
      <c r="J1896">
        <v>4091063.18</v>
      </c>
      <c r="K1896">
        <v>170656</v>
      </c>
      <c r="L1896" t="s">
        <v>78</v>
      </c>
      <c r="M1896" t="s">
        <v>17</v>
      </c>
      <c r="N1896">
        <v>906</v>
      </c>
      <c r="O1896">
        <v>34.65</v>
      </c>
      <c r="P1896">
        <v>15.05</v>
      </c>
      <c r="Q1896" s="1">
        <v>10.55</v>
      </c>
      <c r="R1896" s="1">
        <v>4.95</v>
      </c>
      <c r="S1896" s="3">
        <v>6.9244197673835606E-2</v>
      </c>
      <c r="T1896" s="3">
        <v>8.1085272292728439E-2</v>
      </c>
    </row>
    <row r="1897" spans="1:20" x14ac:dyDescent="0.25">
      <c r="A1897" t="s">
        <v>78</v>
      </c>
      <c r="B1897" t="s">
        <v>79</v>
      </c>
      <c r="C1897" t="s">
        <v>5302</v>
      </c>
      <c r="D1897" t="s">
        <v>5301</v>
      </c>
      <c r="E1897">
        <v>48.45</v>
      </c>
      <c r="F1897">
        <v>49</v>
      </c>
      <c r="G1897">
        <v>49.25</v>
      </c>
      <c r="H1897">
        <v>47.75</v>
      </c>
      <c r="I1897" s="1">
        <v>47.98</v>
      </c>
      <c r="J1897">
        <v>31817914.879999999</v>
      </c>
      <c r="K1897">
        <v>656429</v>
      </c>
      <c r="L1897" t="s">
        <v>78</v>
      </c>
      <c r="M1897" t="s">
        <v>17</v>
      </c>
      <c r="N1897">
        <v>6213</v>
      </c>
      <c r="O1897">
        <v>60.5</v>
      </c>
      <c r="P1897">
        <v>32.799999999999997</v>
      </c>
      <c r="Q1897" s="1" t="str">
        <v/>
      </c>
      <c r="R1897" s="1" t="str">
        <v/>
      </c>
      <c r="S1897" s="3">
        <v>0</v>
      </c>
      <c r="T1897" s="3">
        <v>0</v>
      </c>
    </row>
    <row r="1898" spans="1:20" x14ac:dyDescent="0.25">
      <c r="A1898" t="s">
        <v>78</v>
      </c>
      <c r="B1898" t="s">
        <v>79</v>
      </c>
      <c r="C1898" t="s">
        <v>2725</v>
      </c>
      <c r="D1898" t="s">
        <v>2726</v>
      </c>
      <c r="E1898">
        <v>37.979999999999997</v>
      </c>
      <c r="F1898">
        <v>38.049999999999997</v>
      </c>
      <c r="G1898">
        <v>38.159999999999997</v>
      </c>
      <c r="H1898">
        <v>37.25</v>
      </c>
      <c r="I1898" s="1">
        <v>37.56</v>
      </c>
      <c r="J1898">
        <v>259803173.12</v>
      </c>
      <c r="K1898">
        <v>6910802</v>
      </c>
      <c r="L1898" t="s">
        <v>78</v>
      </c>
      <c r="M1898" t="s">
        <v>17</v>
      </c>
      <c r="N1898">
        <v>32273</v>
      </c>
      <c r="O1898">
        <v>52.9</v>
      </c>
      <c r="P1898">
        <v>31.6</v>
      </c>
      <c r="Q1898" s="1">
        <v>17.5</v>
      </c>
      <c r="R1898" s="1">
        <v>52.55</v>
      </c>
      <c r="S1898" s="3">
        <v>6.571389419635687E-2</v>
      </c>
      <c r="T1898" s="3">
        <v>-1.6642041896515636E-2</v>
      </c>
    </row>
    <row r="1899" spans="1:20" x14ac:dyDescent="0.25">
      <c r="A1899" t="s">
        <v>78</v>
      </c>
      <c r="B1899" t="s">
        <v>287</v>
      </c>
      <c r="C1899" t="s">
        <v>5300</v>
      </c>
      <c r="D1899" t="s">
        <v>5299</v>
      </c>
      <c r="E1899">
        <v>30.6</v>
      </c>
      <c r="F1899">
        <v>30</v>
      </c>
      <c r="G1899">
        <v>30</v>
      </c>
      <c r="H1899">
        <v>29.5</v>
      </c>
      <c r="I1899" s="1">
        <v>29.65</v>
      </c>
      <c r="J1899">
        <v>1156650</v>
      </c>
      <c r="K1899">
        <v>39000</v>
      </c>
      <c r="L1899" t="s">
        <v>78</v>
      </c>
      <c r="M1899" t="s">
        <v>17</v>
      </c>
      <c r="N1899">
        <v>11</v>
      </c>
      <c r="O1899">
        <v>55</v>
      </c>
      <c r="P1899">
        <v>25.55</v>
      </c>
      <c r="Q1899" s="1" t="str">
        <v/>
      </c>
      <c r="R1899" s="1" t="str">
        <v/>
      </c>
      <c r="S1899" s="3">
        <v>0</v>
      </c>
      <c r="T1899" s="3">
        <v>0</v>
      </c>
    </row>
    <row r="1900" spans="1:20" x14ac:dyDescent="0.25">
      <c r="A1900" t="s">
        <v>78</v>
      </c>
      <c r="B1900" t="s">
        <v>79</v>
      </c>
      <c r="C1900" t="s">
        <v>2731</v>
      </c>
      <c r="D1900" t="s">
        <v>2732</v>
      </c>
      <c r="E1900">
        <v>641.9</v>
      </c>
      <c r="F1900">
        <v>641.9</v>
      </c>
      <c r="G1900">
        <v>660</v>
      </c>
      <c r="H1900">
        <v>616.20000000000005</v>
      </c>
      <c r="I1900" s="1">
        <v>621.65</v>
      </c>
      <c r="J1900">
        <v>433061714.10000002</v>
      </c>
      <c r="K1900">
        <v>681763</v>
      </c>
      <c r="L1900" t="s">
        <v>78</v>
      </c>
      <c r="M1900" t="s">
        <v>17</v>
      </c>
      <c r="N1900">
        <v>35628</v>
      </c>
      <c r="O1900">
        <v>676.1</v>
      </c>
      <c r="P1900">
        <v>312</v>
      </c>
      <c r="Q1900" s="1">
        <v>131.25</v>
      </c>
      <c r="R1900" s="1">
        <v>96.55</v>
      </c>
      <c r="S1900" s="3">
        <v>0.1383798996768224</v>
      </c>
      <c r="T1900" s="3">
        <v>9.753287153791601E-2</v>
      </c>
    </row>
    <row r="1901" spans="1:20" x14ac:dyDescent="0.25">
      <c r="A1901" t="s">
        <v>78</v>
      </c>
      <c r="B1901" t="s">
        <v>79</v>
      </c>
      <c r="C1901" t="s">
        <v>2733</v>
      </c>
      <c r="D1901" t="s">
        <v>2734</v>
      </c>
      <c r="E1901">
        <v>420.5</v>
      </c>
      <c r="F1901">
        <v>423.85</v>
      </c>
      <c r="G1901">
        <v>424.35</v>
      </c>
      <c r="H1901">
        <v>405</v>
      </c>
      <c r="I1901" s="1">
        <v>407.8</v>
      </c>
      <c r="J1901">
        <v>347269752.5</v>
      </c>
      <c r="K1901">
        <v>846658</v>
      </c>
      <c r="L1901" t="s">
        <v>78</v>
      </c>
      <c r="M1901" t="s">
        <v>17</v>
      </c>
      <c r="N1901">
        <v>24251</v>
      </c>
      <c r="O1901">
        <v>434.85</v>
      </c>
      <c r="P1901">
        <v>267.5</v>
      </c>
      <c r="Q1901" s="1">
        <v>188.9</v>
      </c>
      <c r="R1901" s="1">
        <v>63</v>
      </c>
      <c r="S1901" s="3">
        <v>6.6230918360633551E-2</v>
      </c>
      <c r="T1901" s="3">
        <v>9.7825018266927355E-2</v>
      </c>
    </row>
    <row r="1902" spans="1:20" x14ac:dyDescent="0.25">
      <c r="A1902" t="s">
        <v>78</v>
      </c>
      <c r="B1902" t="s">
        <v>79</v>
      </c>
      <c r="C1902" t="s">
        <v>5298</v>
      </c>
      <c r="D1902" t="s">
        <v>5297</v>
      </c>
      <c r="E1902">
        <v>49.82</v>
      </c>
      <c r="F1902">
        <v>48.98</v>
      </c>
      <c r="G1902">
        <v>49.94</v>
      </c>
      <c r="H1902">
        <v>47.35</v>
      </c>
      <c r="I1902" s="1">
        <v>47.61</v>
      </c>
      <c r="J1902">
        <v>335105561.74000001</v>
      </c>
      <c r="K1902">
        <v>6859192</v>
      </c>
      <c r="L1902" t="s">
        <v>78</v>
      </c>
      <c r="M1902" t="s">
        <v>17</v>
      </c>
      <c r="N1902">
        <v>8367</v>
      </c>
      <c r="O1902">
        <v>87.1</v>
      </c>
      <c r="P1902">
        <v>46.06</v>
      </c>
      <c r="Q1902" s="1" t="str">
        <v/>
      </c>
      <c r="R1902" s="1" t="str">
        <v/>
      </c>
      <c r="S1902" s="3">
        <v>0</v>
      </c>
      <c r="T1902" s="3">
        <v>0</v>
      </c>
    </row>
    <row r="1903" spans="1:20" x14ac:dyDescent="0.25">
      <c r="A1903" t="s">
        <v>78</v>
      </c>
      <c r="B1903" t="s">
        <v>79</v>
      </c>
      <c r="C1903" t="s">
        <v>2735</v>
      </c>
      <c r="D1903" t="s">
        <v>2736</v>
      </c>
      <c r="E1903">
        <v>1430.95</v>
      </c>
      <c r="F1903">
        <v>1449</v>
      </c>
      <c r="G1903">
        <v>1449</v>
      </c>
      <c r="H1903">
        <v>1425.55</v>
      </c>
      <c r="I1903" s="1">
        <v>1434.3</v>
      </c>
      <c r="J1903">
        <v>6106757.4000000004</v>
      </c>
      <c r="K1903">
        <v>4268</v>
      </c>
      <c r="L1903" t="s">
        <v>78</v>
      </c>
      <c r="M1903" t="s">
        <v>17</v>
      </c>
      <c r="N1903">
        <v>651</v>
      </c>
      <c r="O1903">
        <v>1744</v>
      </c>
      <c r="P1903">
        <v>1101.2</v>
      </c>
      <c r="Q1903" s="1">
        <v>774.75</v>
      </c>
      <c r="R1903" s="1">
        <v>525</v>
      </c>
      <c r="S1903" s="3">
        <v>5.266423515406049E-2</v>
      </c>
      <c r="T1903" s="3">
        <v>5.1506793582409172E-2</v>
      </c>
    </row>
    <row r="1904" spans="1:20" x14ac:dyDescent="0.25">
      <c r="A1904" t="s">
        <v>78</v>
      </c>
      <c r="B1904" t="s">
        <v>79</v>
      </c>
      <c r="C1904" t="s">
        <v>2737</v>
      </c>
      <c r="D1904" t="s">
        <v>2738</v>
      </c>
      <c r="E1904">
        <v>888</v>
      </c>
      <c r="F1904">
        <v>890.5</v>
      </c>
      <c r="G1904">
        <v>892.8</v>
      </c>
      <c r="H1904">
        <v>874.7</v>
      </c>
      <c r="I1904" s="1">
        <v>890</v>
      </c>
      <c r="J1904">
        <v>69418306.099999994</v>
      </c>
      <c r="K1904">
        <v>78486</v>
      </c>
      <c r="L1904" t="s">
        <v>78</v>
      </c>
      <c r="M1904" t="s">
        <v>17</v>
      </c>
      <c r="N1904">
        <v>11659</v>
      </c>
      <c r="O1904">
        <v>907.7</v>
      </c>
      <c r="P1904">
        <v>647.15</v>
      </c>
      <c r="Q1904" s="1">
        <v>9110</v>
      </c>
      <c r="R1904" s="1">
        <v>5965.95</v>
      </c>
      <c r="S1904" s="3">
        <v>-0.17619839110096058</v>
      </c>
      <c r="T1904" s="3">
        <v>-9.0698001615774904E-2</v>
      </c>
    </row>
    <row r="1905" spans="1:20" x14ac:dyDescent="0.25">
      <c r="A1905" t="s">
        <v>78</v>
      </c>
      <c r="B1905" t="s">
        <v>79</v>
      </c>
      <c r="C1905" t="s">
        <v>3535</v>
      </c>
      <c r="D1905" t="s">
        <v>3536</v>
      </c>
      <c r="E1905">
        <v>118.31</v>
      </c>
      <c r="F1905">
        <v>119</v>
      </c>
      <c r="G1905">
        <v>121.5</v>
      </c>
      <c r="H1905">
        <v>117.05</v>
      </c>
      <c r="I1905" s="1">
        <v>117.48</v>
      </c>
      <c r="J1905">
        <v>3727413.65</v>
      </c>
      <c r="K1905">
        <v>31263</v>
      </c>
      <c r="L1905" t="s">
        <v>78</v>
      </c>
      <c r="M1905" t="s">
        <v>17</v>
      </c>
      <c r="N1905">
        <v>822</v>
      </c>
      <c r="O1905">
        <v>132.5</v>
      </c>
      <c r="P1905">
        <v>73.2</v>
      </c>
      <c r="Q1905" s="1">
        <v>63.05</v>
      </c>
      <c r="R1905" s="1">
        <v>39.25</v>
      </c>
      <c r="S1905" s="3">
        <v>5.3230039468720625E-2</v>
      </c>
      <c r="T1905" s="3">
        <v>5.6314342152472108E-2</v>
      </c>
    </row>
    <row r="1906" spans="1:20" x14ac:dyDescent="0.25">
      <c r="A1906" t="s">
        <v>78</v>
      </c>
      <c r="B1906" t="s">
        <v>79</v>
      </c>
      <c r="C1906" t="s">
        <v>3537</v>
      </c>
      <c r="D1906" t="s">
        <v>3538</v>
      </c>
      <c r="E1906">
        <v>81.319999999999993</v>
      </c>
      <c r="F1906">
        <v>81.599999999999994</v>
      </c>
      <c r="G1906">
        <v>97.58</v>
      </c>
      <c r="H1906">
        <v>81.599999999999994</v>
      </c>
      <c r="I1906" s="1">
        <v>97.31</v>
      </c>
      <c r="J1906">
        <v>19587172770.580002</v>
      </c>
      <c r="K1906">
        <v>212750544</v>
      </c>
      <c r="L1906" t="s">
        <v>78</v>
      </c>
      <c r="M1906" t="s">
        <v>17</v>
      </c>
      <c r="N1906">
        <v>598676</v>
      </c>
      <c r="O1906">
        <v>109.1</v>
      </c>
      <c r="P1906">
        <v>65.05</v>
      </c>
      <c r="Q1906" s="1">
        <v>41.75</v>
      </c>
      <c r="R1906" s="1">
        <v>3.25</v>
      </c>
      <c r="S1906" s="3">
        <v>7.3062660000204005E-2</v>
      </c>
      <c r="T1906" s="3">
        <v>0.1851498936017737</v>
      </c>
    </row>
    <row r="1907" spans="1:20" x14ac:dyDescent="0.25">
      <c r="A1907" t="s">
        <v>78</v>
      </c>
      <c r="B1907" t="s">
        <v>79</v>
      </c>
      <c r="C1907" t="s">
        <v>2739</v>
      </c>
      <c r="D1907" t="s">
        <v>2740</v>
      </c>
      <c r="E1907">
        <v>43.55</v>
      </c>
      <c r="F1907">
        <v>43</v>
      </c>
      <c r="G1907">
        <v>43.32</v>
      </c>
      <c r="H1907">
        <v>40.6</v>
      </c>
      <c r="I1907" s="1">
        <v>41.99</v>
      </c>
      <c r="J1907">
        <v>390557513.22000003</v>
      </c>
      <c r="K1907">
        <v>9192485</v>
      </c>
      <c r="L1907" t="s">
        <v>78</v>
      </c>
      <c r="M1907" t="s">
        <v>17</v>
      </c>
      <c r="N1907">
        <v>21598</v>
      </c>
      <c r="O1907">
        <v>68.7</v>
      </c>
      <c r="P1907">
        <v>38.65</v>
      </c>
      <c r="Q1907" s="1">
        <v>41.05</v>
      </c>
      <c r="R1907" s="1">
        <v>21.55</v>
      </c>
      <c r="S1907" s="3">
        <v>1.8885025455011029E-3</v>
      </c>
      <c r="T1907" s="3">
        <v>3.3896338767311684E-2</v>
      </c>
    </row>
    <row r="1908" spans="1:20" x14ac:dyDescent="0.25">
      <c r="A1908" t="s">
        <v>78</v>
      </c>
      <c r="B1908" t="s">
        <v>79</v>
      </c>
      <c r="C1908" t="s">
        <v>2741</v>
      </c>
      <c r="D1908" t="s">
        <v>2742</v>
      </c>
      <c r="E1908">
        <v>361.1</v>
      </c>
      <c r="F1908">
        <v>362</v>
      </c>
      <c r="G1908">
        <v>363.55</v>
      </c>
      <c r="H1908">
        <v>350.4</v>
      </c>
      <c r="I1908" s="1">
        <v>351.75</v>
      </c>
      <c r="J1908">
        <v>14944184.85</v>
      </c>
      <c r="K1908">
        <v>42209</v>
      </c>
      <c r="L1908" t="s">
        <v>78</v>
      </c>
      <c r="M1908" t="s">
        <v>17</v>
      </c>
      <c r="N1908">
        <v>3716</v>
      </c>
      <c r="O1908">
        <v>416.75</v>
      </c>
      <c r="P1908">
        <v>238</v>
      </c>
      <c r="Q1908" s="1">
        <v>193</v>
      </c>
      <c r="R1908" s="1">
        <v>145.05000000000001</v>
      </c>
      <c r="S1908" s="3">
        <v>5.129129035671065E-2</v>
      </c>
      <c r="T1908" s="3">
        <v>4.526229394642689E-2</v>
      </c>
    </row>
    <row r="1909" spans="1:20" x14ac:dyDescent="0.25">
      <c r="A1909" t="s">
        <v>78</v>
      </c>
      <c r="B1909" t="s">
        <v>79</v>
      </c>
      <c r="C1909" t="s">
        <v>5296</v>
      </c>
      <c r="D1909" t="s">
        <v>5295</v>
      </c>
      <c r="E1909">
        <v>12964.6</v>
      </c>
      <c r="F1909">
        <v>12964.6</v>
      </c>
      <c r="G1909">
        <v>13344</v>
      </c>
      <c r="H1909">
        <v>12631.4</v>
      </c>
      <c r="I1909" s="1">
        <v>13055.45</v>
      </c>
      <c r="J1909">
        <v>45129629.649999999</v>
      </c>
      <c r="K1909">
        <v>3499</v>
      </c>
      <c r="L1909" t="s">
        <v>78</v>
      </c>
      <c r="M1909" t="s">
        <v>17</v>
      </c>
      <c r="N1909">
        <v>1491</v>
      </c>
      <c r="O1909">
        <v>14605.8</v>
      </c>
      <c r="P1909">
        <v>4755.05</v>
      </c>
      <c r="Q1909" s="1" t="str">
        <v/>
      </c>
      <c r="R1909" s="1" t="str">
        <v/>
      </c>
      <c r="S1909" s="3">
        <v>0</v>
      </c>
      <c r="T1909" s="3">
        <v>0</v>
      </c>
    </row>
    <row r="1910" spans="1:20" x14ac:dyDescent="0.25">
      <c r="A1910" t="s">
        <v>78</v>
      </c>
      <c r="B1910" t="s">
        <v>79</v>
      </c>
      <c r="C1910" t="s">
        <v>5294</v>
      </c>
      <c r="D1910" t="s">
        <v>5293</v>
      </c>
      <c r="E1910">
        <v>194.88</v>
      </c>
      <c r="F1910">
        <v>195.4</v>
      </c>
      <c r="G1910">
        <v>196.88</v>
      </c>
      <c r="H1910">
        <v>190.42</v>
      </c>
      <c r="I1910" s="1">
        <v>190.98</v>
      </c>
      <c r="J1910">
        <v>308903904.22000003</v>
      </c>
      <c r="K1910">
        <v>1594371</v>
      </c>
      <c r="L1910" t="s">
        <v>78</v>
      </c>
      <c r="M1910" t="s">
        <v>17</v>
      </c>
      <c r="N1910">
        <v>22754</v>
      </c>
      <c r="O1910">
        <v>258</v>
      </c>
      <c r="P1910">
        <v>145</v>
      </c>
      <c r="Q1910" s="1" t="str">
        <v/>
      </c>
      <c r="R1910" s="1" t="str">
        <v/>
      </c>
      <c r="S1910" s="3">
        <v>0</v>
      </c>
      <c r="T1910" s="3">
        <v>0</v>
      </c>
    </row>
    <row r="1911" spans="1:20" x14ac:dyDescent="0.25">
      <c r="A1911" t="s">
        <v>78</v>
      </c>
      <c r="B1911" t="s">
        <v>79</v>
      </c>
      <c r="C1911" t="s">
        <v>2745</v>
      </c>
      <c r="D1911" t="s">
        <v>2746</v>
      </c>
      <c r="E1911">
        <v>4482.3500000000004</v>
      </c>
      <c r="F1911">
        <v>4505.8</v>
      </c>
      <c r="G1911">
        <v>4534.95</v>
      </c>
      <c r="H1911">
        <v>4368.6499999999996</v>
      </c>
      <c r="I1911" s="1">
        <v>4418.8999999999996</v>
      </c>
      <c r="J1911">
        <v>40455629.049999997</v>
      </c>
      <c r="K1911">
        <v>9094</v>
      </c>
      <c r="L1911" t="s">
        <v>78</v>
      </c>
      <c r="M1911" t="s">
        <v>17</v>
      </c>
      <c r="N1911">
        <v>2961</v>
      </c>
      <c r="O1911">
        <v>5097</v>
      </c>
      <c r="P1911">
        <v>2755</v>
      </c>
      <c r="Q1911" s="1">
        <v>2201.25</v>
      </c>
      <c r="R1911" s="1">
        <v>1821.65</v>
      </c>
      <c r="S1911" s="3">
        <v>5.9791422948938022E-2</v>
      </c>
      <c r="T1911" s="3">
        <v>4.5278274016789632E-2</v>
      </c>
    </row>
    <row r="1912" spans="1:20" x14ac:dyDescent="0.25">
      <c r="A1912" t="s">
        <v>78</v>
      </c>
      <c r="B1912" t="s">
        <v>79</v>
      </c>
      <c r="C1912" t="s">
        <v>2747</v>
      </c>
      <c r="D1912" t="s">
        <v>2748</v>
      </c>
      <c r="E1912">
        <v>243.01</v>
      </c>
      <c r="F1912">
        <v>244.25</v>
      </c>
      <c r="G1912">
        <v>245.51</v>
      </c>
      <c r="H1912">
        <v>236</v>
      </c>
      <c r="I1912" s="1">
        <v>239.3</v>
      </c>
      <c r="J1912">
        <v>32873051.32</v>
      </c>
      <c r="K1912">
        <v>137028</v>
      </c>
      <c r="L1912" t="s">
        <v>78</v>
      </c>
      <c r="M1912" t="s">
        <v>17</v>
      </c>
      <c r="N1912">
        <v>5412</v>
      </c>
      <c r="O1912">
        <v>273.85000000000002</v>
      </c>
      <c r="P1912">
        <v>192</v>
      </c>
      <c r="Q1912" s="1">
        <v>301.2</v>
      </c>
      <c r="R1912" s="1">
        <v>277.89999999999998</v>
      </c>
      <c r="S1912" s="3">
        <v>-1.8988773045585217E-2</v>
      </c>
      <c r="T1912" s="3">
        <v>-7.4452182812235757E-3</v>
      </c>
    </row>
    <row r="1913" spans="1:20" x14ac:dyDescent="0.25">
      <c r="A1913" t="s">
        <v>78</v>
      </c>
      <c r="B1913" t="s">
        <v>79</v>
      </c>
      <c r="C1913" t="s">
        <v>274</v>
      </c>
      <c r="D1913" t="s">
        <v>275</v>
      </c>
      <c r="E1913">
        <v>2082.9</v>
      </c>
      <c r="F1913">
        <v>2085</v>
      </c>
      <c r="G1913">
        <v>2100</v>
      </c>
      <c r="H1913">
        <v>2073.0500000000002</v>
      </c>
      <c r="I1913" s="1">
        <v>2091.9</v>
      </c>
      <c r="J1913">
        <v>801451683.29999995</v>
      </c>
      <c r="K1913">
        <v>383907</v>
      </c>
      <c r="L1913" t="s">
        <v>78</v>
      </c>
      <c r="M1913" t="s">
        <v>17</v>
      </c>
      <c r="N1913">
        <v>28608</v>
      </c>
      <c r="O1913">
        <v>2182.4499999999998</v>
      </c>
      <c r="P1913">
        <v>1470.15</v>
      </c>
      <c r="Q1913" s="1">
        <v>1412.6</v>
      </c>
      <c r="R1913" s="1">
        <v>1368</v>
      </c>
      <c r="S1913" s="3">
        <v>3.3261251551359061E-2</v>
      </c>
      <c r="T1913" s="3">
        <v>2.1451358439641854E-2</v>
      </c>
    </row>
    <row r="1914" spans="1:20" x14ac:dyDescent="0.25">
      <c r="A1914" t="s">
        <v>78</v>
      </c>
      <c r="B1914" t="s">
        <v>79</v>
      </c>
      <c r="C1914" t="s">
        <v>5292</v>
      </c>
      <c r="D1914" t="s">
        <v>5291</v>
      </c>
      <c r="E1914">
        <v>171.09</v>
      </c>
      <c r="F1914">
        <v>171.2</v>
      </c>
      <c r="G1914">
        <v>172.5</v>
      </c>
      <c r="H1914">
        <v>167.25</v>
      </c>
      <c r="I1914" s="1">
        <v>168.03</v>
      </c>
      <c r="J1914">
        <v>2897815.62</v>
      </c>
      <c r="K1914">
        <v>17117</v>
      </c>
      <c r="L1914" t="s">
        <v>78</v>
      </c>
      <c r="M1914" t="s">
        <v>17</v>
      </c>
      <c r="N1914">
        <v>926</v>
      </c>
      <c r="O1914">
        <v>190.5</v>
      </c>
      <c r="P1914">
        <v>141.1</v>
      </c>
      <c r="Q1914" s="1" t="str">
        <v/>
      </c>
      <c r="R1914" s="1" t="str">
        <v/>
      </c>
      <c r="S1914" s="3">
        <v>0</v>
      </c>
      <c r="T1914" s="3">
        <v>0</v>
      </c>
    </row>
    <row r="1915" spans="1:20" x14ac:dyDescent="0.25">
      <c r="A1915" t="s">
        <v>78</v>
      </c>
      <c r="B1915" t="s">
        <v>287</v>
      </c>
      <c r="C1915" t="s">
        <v>2753</v>
      </c>
      <c r="D1915" t="s">
        <v>2754</v>
      </c>
      <c r="E1915">
        <v>63.45</v>
      </c>
      <c r="F1915">
        <v>63.7</v>
      </c>
      <c r="G1915">
        <v>64.849999999999994</v>
      </c>
      <c r="H1915">
        <v>57.1</v>
      </c>
      <c r="I1915" s="1">
        <v>63.9</v>
      </c>
      <c r="J1915">
        <v>8915100</v>
      </c>
      <c r="K1915">
        <v>140000</v>
      </c>
      <c r="L1915" t="s">
        <v>78</v>
      </c>
      <c r="M1915" t="s">
        <v>17</v>
      </c>
      <c r="N1915">
        <v>27</v>
      </c>
      <c r="O1915">
        <v>75.95</v>
      </c>
      <c r="P1915">
        <v>51</v>
      </c>
      <c r="Q1915" s="1">
        <v>52</v>
      </c>
      <c r="R1915" s="1" t="str">
        <v/>
      </c>
      <c r="S1915" s="3">
        <v>1.732127340586298E-2</v>
      </c>
      <c r="T1915" s="3">
        <v>0</v>
      </c>
    </row>
    <row r="1916" spans="1:20" x14ac:dyDescent="0.25">
      <c r="A1916" t="s">
        <v>78</v>
      </c>
      <c r="B1916" t="s">
        <v>79</v>
      </c>
      <c r="C1916" t="s">
        <v>2755</v>
      </c>
      <c r="D1916" t="s">
        <v>2756</v>
      </c>
      <c r="E1916">
        <v>56.09</v>
      </c>
      <c r="F1916">
        <v>56.04</v>
      </c>
      <c r="G1916">
        <v>58.45</v>
      </c>
      <c r="H1916">
        <v>55.02</v>
      </c>
      <c r="I1916" s="1">
        <v>56.8</v>
      </c>
      <c r="J1916">
        <v>1639120602.03</v>
      </c>
      <c r="K1916">
        <v>28686740</v>
      </c>
      <c r="L1916" t="s">
        <v>78</v>
      </c>
      <c r="M1916" t="s">
        <v>17</v>
      </c>
      <c r="N1916">
        <v>86776</v>
      </c>
      <c r="O1916">
        <v>70.650000000000006</v>
      </c>
      <c r="P1916">
        <v>27</v>
      </c>
      <c r="Q1916" s="1">
        <v>13.8</v>
      </c>
      <c r="R1916" s="1">
        <v>17.8</v>
      </c>
      <c r="S1916" s="3">
        <v>0.12513794336455142</v>
      </c>
      <c r="T1916" s="3">
        <v>5.9699228065943188E-2</v>
      </c>
    </row>
    <row r="1917" spans="1:20" x14ac:dyDescent="0.25">
      <c r="A1917" t="s">
        <v>78</v>
      </c>
      <c r="B1917" t="s">
        <v>79</v>
      </c>
      <c r="C1917" t="s">
        <v>5290</v>
      </c>
      <c r="D1917" t="s">
        <v>5289</v>
      </c>
      <c r="E1917">
        <v>42.22</v>
      </c>
      <c r="F1917">
        <v>42.01</v>
      </c>
      <c r="G1917">
        <v>42.84</v>
      </c>
      <c r="H1917">
        <v>41.6</v>
      </c>
      <c r="I1917" s="1">
        <v>41.93</v>
      </c>
      <c r="J1917">
        <v>49068824.560000002</v>
      </c>
      <c r="K1917">
        <v>1164349</v>
      </c>
      <c r="L1917" t="s">
        <v>78</v>
      </c>
      <c r="M1917" t="s">
        <v>17</v>
      </c>
      <c r="N1917">
        <v>9119</v>
      </c>
      <c r="O1917">
        <v>48.6</v>
      </c>
      <c r="P1917">
        <v>24.6</v>
      </c>
      <c r="Q1917" s="1" t="str">
        <v/>
      </c>
      <c r="R1917" s="1" t="str">
        <v/>
      </c>
      <c r="S1917" s="3">
        <v>0</v>
      </c>
      <c r="T1917" s="3">
        <v>0</v>
      </c>
    </row>
    <row r="1918" spans="1:20" x14ac:dyDescent="0.25">
      <c r="A1918" t="s">
        <v>78</v>
      </c>
      <c r="B1918" t="s">
        <v>79</v>
      </c>
      <c r="C1918" t="s">
        <v>5288</v>
      </c>
      <c r="D1918" t="s">
        <v>5287</v>
      </c>
      <c r="E1918">
        <v>324.25</v>
      </c>
      <c r="F1918">
        <v>325.5</v>
      </c>
      <c r="G1918">
        <v>325.5</v>
      </c>
      <c r="H1918">
        <v>311.60000000000002</v>
      </c>
      <c r="I1918" s="1">
        <v>314.10000000000002</v>
      </c>
      <c r="J1918">
        <v>61312152.299999997</v>
      </c>
      <c r="K1918">
        <v>193363</v>
      </c>
      <c r="L1918" t="s">
        <v>78</v>
      </c>
      <c r="M1918" t="s">
        <v>17</v>
      </c>
      <c r="N1918">
        <v>10463</v>
      </c>
      <c r="O1918">
        <v>384.9</v>
      </c>
      <c r="P1918">
        <v>235.3</v>
      </c>
      <c r="Q1918" s="1" t="str">
        <v/>
      </c>
      <c r="R1918" s="1" t="str">
        <v/>
      </c>
      <c r="S1918" s="3">
        <v>0</v>
      </c>
      <c r="T1918" s="3">
        <v>0</v>
      </c>
    </row>
    <row r="1919" spans="1:20" x14ac:dyDescent="0.25">
      <c r="A1919" t="s">
        <v>78</v>
      </c>
      <c r="B1919" t="s">
        <v>79</v>
      </c>
      <c r="C1919" t="s">
        <v>2757</v>
      </c>
      <c r="D1919" t="s">
        <v>2758</v>
      </c>
      <c r="E1919">
        <v>558.75</v>
      </c>
      <c r="F1919">
        <v>559.65</v>
      </c>
      <c r="G1919">
        <v>561</v>
      </c>
      <c r="H1919">
        <v>546</v>
      </c>
      <c r="I1919" s="1">
        <v>550.4</v>
      </c>
      <c r="J1919">
        <v>35641432.149999999</v>
      </c>
      <c r="K1919">
        <v>64471</v>
      </c>
      <c r="L1919" t="s">
        <v>78</v>
      </c>
      <c r="M1919" t="s">
        <v>17</v>
      </c>
      <c r="N1919">
        <v>3897</v>
      </c>
      <c r="O1919">
        <v>582.6</v>
      </c>
      <c r="P1919">
        <v>370.95</v>
      </c>
      <c r="Q1919" s="1">
        <v>526</v>
      </c>
      <c r="R1919" s="1">
        <v>218</v>
      </c>
      <c r="S1919" s="3">
        <v>3.7858210083201449E-3</v>
      </c>
      <c r="T1919" s="3">
        <v>4.7369885845206516E-2</v>
      </c>
    </row>
    <row r="1920" spans="1:20" x14ac:dyDescent="0.25">
      <c r="A1920" t="s">
        <v>78</v>
      </c>
      <c r="B1920" t="s">
        <v>79</v>
      </c>
      <c r="C1920" t="s">
        <v>2759</v>
      </c>
      <c r="D1920" t="s">
        <v>2760</v>
      </c>
      <c r="E1920">
        <v>131.93</v>
      </c>
      <c r="F1920">
        <v>132.94999999999999</v>
      </c>
      <c r="G1920">
        <v>132.94999999999999</v>
      </c>
      <c r="H1920">
        <v>127.85</v>
      </c>
      <c r="I1920" s="1">
        <v>129.77000000000001</v>
      </c>
      <c r="J1920">
        <v>26112521.370000001</v>
      </c>
      <c r="K1920">
        <v>201123</v>
      </c>
      <c r="L1920" t="s">
        <v>78</v>
      </c>
      <c r="M1920" t="s">
        <v>17</v>
      </c>
      <c r="N1920">
        <v>5439</v>
      </c>
      <c r="O1920">
        <v>142</v>
      </c>
      <c r="P1920">
        <v>106</v>
      </c>
      <c r="Q1920" s="1">
        <v>103.6</v>
      </c>
      <c r="R1920" s="1">
        <v>171</v>
      </c>
      <c r="S1920" s="3">
        <v>1.8946102442557899E-2</v>
      </c>
      <c r="T1920" s="3">
        <v>-1.3692828984711469E-2</v>
      </c>
    </row>
    <row r="1921" spans="1:20" x14ac:dyDescent="0.25">
      <c r="A1921" t="s">
        <v>78</v>
      </c>
      <c r="B1921" t="s">
        <v>79</v>
      </c>
      <c r="C1921" t="s">
        <v>2761</v>
      </c>
      <c r="D1921" t="s">
        <v>2762</v>
      </c>
      <c r="E1921">
        <v>82.66</v>
      </c>
      <c r="F1921">
        <v>82.4</v>
      </c>
      <c r="G1921">
        <v>82.55</v>
      </c>
      <c r="H1921">
        <v>80.900000000000006</v>
      </c>
      <c r="I1921" s="1">
        <v>81.98</v>
      </c>
      <c r="J1921">
        <v>19044419.07</v>
      </c>
      <c r="K1921">
        <v>233132</v>
      </c>
      <c r="L1921" t="s">
        <v>78</v>
      </c>
      <c r="M1921" t="s">
        <v>17</v>
      </c>
      <c r="N1921">
        <v>3829</v>
      </c>
      <c r="O1921">
        <v>135.9</v>
      </c>
      <c r="P1921">
        <v>64.05</v>
      </c>
      <c r="Q1921" s="1">
        <v>33.1</v>
      </c>
      <c r="R1921" s="1">
        <v>13.6</v>
      </c>
      <c r="S1921" s="3">
        <v>7.8507890202591524E-2</v>
      </c>
      <c r="T1921" s="3">
        <v>9.3923841084686766E-2</v>
      </c>
    </row>
    <row r="1922" spans="1:20" x14ac:dyDescent="0.25">
      <c r="A1922" t="s">
        <v>78</v>
      </c>
      <c r="B1922" t="s">
        <v>79</v>
      </c>
      <c r="C1922" t="s">
        <v>5286</v>
      </c>
      <c r="D1922" t="s">
        <v>5285</v>
      </c>
      <c r="E1922">
        <v>264.5</v>
      </c>
      <c r="F1922">
        <v>265</v>
      </c>
      <c r="G1922">
        <v>265.39999999999998</v>
      </c>
      <c r="H1922">
        <v>258.05</v>
      </c>
      <c r="I1922" s="1">
        <v>260.5</v>
      </c>
      <c r="J1922">
        <v>72400344.299999997</v>
      </c>
      <c r="K1922">
        <v>275705</v>
      </c>
      <c r="L1922" t="s">
        <v>78</v>
      </c>
      <c r="M1922" t="s">
        <v>17</v>
      </c>
      <c r="N1922">
        <v>7704</v>
      </c>
      <c r="O1922">
        <v>319.14999999999998</v>
      </c>
      <c r="P1922">
        <v>213</v>
      </c>
      <c r="Q1922" s="1" t="str">
        <v/>
      </c>
      <c r="R1922" s="1" t="str">
        <v/>
      </c>
      <c r="S1922" s="3">
        <v>0</v>
      </c>
      <c r="T1922" s="3">
        <v>0</v>
      </c>
    </row>
    <row r="1923" spans="1:20" x14ac:dyDescent="0.25">
      <c r="A1923" t="s">
        <v>78</v>
      </c>
      <c r="B1923" t="s">
        <v>79</v>
      </c>
      <c r="C1923" t="s">
        <v>2765</v>
      </c>
      <c r="D1923" t="s">
        <v>2766</v>
      </c>
      <c r="E1923">
        <v>44.6</v>
      </c>
      <c r="F1923">
        <v>44.69</v>
      </c>
      <c r="G1923">
        <v>44.85</v>
      </c>
      <c r="H1923">
        <v>43.81</v>
      </c>
      <c r="I1923" s="1">
        <v>43.92</v>
      </c>
      <c r="J1923">
        <v>620434034.90999997</v>
      </c>
      <c r="K1923">
        <v>14089899</v>
      </c>
      <c r="L1923" t="s">
        <v>78</v>
      </c>
      <c r="M1923" t="s">
        <v>17</v>
      </c>
      <c r="N1923">
        <v>55722</v>
      </c>
      <c r="O1923">
        <v>63</v>
      </c>
      <c r="P1923">
        <v>40</v>
      </c>
      <c r="Q1923" s="1">
        <v>29.9</v>
      </c>
      <c r="R1923" s="1" t="str">
        <v/>
      </c>
      <c r="S1923" s="3">
        <v>3.2561501538407533E-2</v>
      </c>
      <c r="T1923" s="3">
        <v>0</v>
      </c>
    </row>
    <row r="1924" spans="1:20" x14ac:dyDescent="0.25">
      <c r="A1924" t="s">
        <v>78</v>
      </c>
      <c r="B1924" t="s">
        <v>287</v>
      </c>
      <c r="C1924" t="s">
        <v>5284</v>
      </c>
      <c r="D1924" t="s">
        <v>5283</v>
      </c>
      <c r="E1924">
        <v>34.9</v>
      </c>
      <c r="F1924">
        <v>35</v>
      </c>
      <c r="G1924">
        <v>35.200000000000003</v>
      </c>
      <c r="H1924">
        <v>33</v>
      </c>
      <c r="I1924" s="1">
        <v>33.549999999999997</v>
      </c>
      <c r="J1924">
        <v>2581600</v>
      </c>
      <c r="K1924">
        <v>76000</v>
      </c>
      <c r="L1924" t="s">
        <v>78</v>
      </c>
      <c r="M1924" t="s">
        <v>17</v>
      </c>
      <c r="N1924">
        <v>19</v>
      </c>
      <c r="O1924">
        <v>46.9</v>
      </c>
      <c r="P1924">
        <v>24.05</v>
      </c>
      <c r="Q1924" s="1" t="str">
        <v/>
      </c>
      <c r="R1924" s="1" t="str">
        <v/>
      </c>
      <c r="S1924" s="3">
        <v>0</v>
      </c>
      <c r="T1924" s="3">
        <v>0</v>
      </c>
    </row>
    <row r="1925" spans="1:20" x14ac:dyDescent="0.25">
      <c r="A1925" t="s">
        <v>78</v>
      </c>
      <c r="B1925" t="s">
        <v>79</v>
      </c>
      <c r="C1925" t="s">
        <v>5282</v>
      </c>
      <c r="D1925" t="s">
        <v>5281</v>
      </c>
      <c r="E1925">
        <v>87.34</v>
      </c>
      <c r="F1925">
        <v>86</v>
      </c>
      <c r="G1925">
        <v>88.34</v>
      </c>
      <c r="H1925">
        <v>84.02</v>
      </c>
      <c r="I1925" s="1">
        <v>85.02</v>
      </c>
      <c r="J1925">
        <v>42465544.700000003</v>
      </c>
      <c r="K1925">
        <v>496142</v>
      </c>
      <c r="L1925" t="s">
        <v>78</v>
      </c>
      <c r="M1925" t="s">
        <v>17</v>
      </c>
      <c r="N1925">
        <v>1500</v>
      </c>
      <c r="O1925">
        <v>118.7</v>
      </c>
      <c r="P1925">
        <v>45.5</v>
      </c>
      <c r="Q1925" s="1" t="str">
        <v/>
      </c>
      <c r="R1925" s="1" t="str">
        <v/>
      </c>
      <c r="S1925" s="3">
        <v>0</v>
      </c>
      <c r="T1925" s="3">
        <v>0</v>
      </c>
    </row>
    <row r="1926" spans="1:20" x14ac:dyDescent="0.25">
      <c r="A1926" t="s">
        <v>78</v>
      </c>
      <c r="B1926" t="s">
        <v>79</v>
      </c>
      <c r="C1926" t="s">
        <v>2767</v>
      </c>
      <c r="D1926" t="s">
        <v>2768</v>
      </c>
      <c r="E1926">
        <v>139.94999999999999</v>
      </c>
      <c r="F1926">
        <v>150</v>
      </c>
      <c r="G1926">
        <v>165.4</v>
      </c>
      <c r="H1926">
        <v>141</v>
      </c>
      <c r="I1926" s="1">
        <v>160.44</v>
      </c>
      <c r="J1926">
        <v>602177465.19000006</v>
      </c>
      <c r="K1926">
        <v>3857894</v>
      </c>
      <c r="L1926" t="s">
        <v>78</v>
      </c>
      <c r="M1926" t="s">
        <v>17</v>
      </c>
      <c r="N1926">
        <v>59769</v>
      </c>
      <c r="O1926">
        <v>165.4</v>
      </c>
      <c r="P1926">
        <v>59.5</v>
      </c>
      <c r="Q1926" s="1">
        <v>81.8</v>
      </c>
      <c r="R1926" s="1">
        <v>47.05</v>
      </c>
      <c r="S1926" s="3">
        <v>5.7742478531912944E-2</v>
      </c>
      <c r="T1926" s="3">
        <v>6.3219818510838799E-2</v>
      </c>
    </row>
    <row r="1927" spans="1:20" x14ac:dyDescent="0.25">
      <c r="A1927" t="s">
        <v>78</v>
      </c>
      <c r="B1927" t="s">
        <v>79</v>
      </c>
      <c r="C1927" t="s">
        <v>2769</v>
      </c>
      <c r="D1927" t="s">
        <v>2770</v>
      </c>
      <c r="E1927">
        <v>529.20000000000005</v>
      </c>
      <c r="F1927">
        <v>531.29999999999995</v>
      </c>
      <c r="G1927">
        <v>533.35</v>
      </c>
      <c r="H1927">
        <v>520.1</v>
      </c>
      <c r="I1927" s="1">
        <v>523</v>
      </c>
      <c r="J1927">
        <v>6707024.5999999996</v>
      </c>
      <c r="K1927">
        <v>12760</v>
      </c>
      <c r="L1927" t="s">
        <v>78</v>
      </c>
      <c r="M1927" t="s">
        <v>17</v>
      </c>
      <c r="N1927">
        <v>1052</v>
      </c>
      <c r="O1927">
        <v>615.65</v>
      </c>
      <c r="P1927">
        <v>375.65</v>
      </c>
      <c r="Q1927" s="1">
        <v>331.95</v>
      </c>
      <c r="R1927" s="1">
        <v>177.5</v>
      </c>
      <c r="S1927" s="3">
        <v>3.860980440974493E-2</v>
      </c>
      <c r="T1927" s="3">
        <v>5.5485608237232364E-2</v>
      </c>
    </row>
    <row r="1928" spans="1:20" x14ac:dyDescent="0.25">
      <c r="A1928" t="s">
        <v>78</v>
      </c>
      <c r="B1928" t="s">
        <v>79</v>
      </c>
      <c r="C1928" t="s">
        <v>2771</v>
      </c>
      <c r="D1928" t="s">
        <v>2772</v>
      </c>
      <c r="E1928">
        <v>258.45</v>
      </c>
      <c r="F1928">
        <v>261.64999999999998</v>
      </c>
      <c r="G1928">
        <v>261.64999999999998</v>
      </c>
      <c r="H1928">
        <v>245.01</v>
      </c>
      <c r="I1928" s="1">
        <v>245.72</v>
      </c>
      <c r="J1928">
        <v>11387222</v>
      </c>
      <c r="K1928">
        <v>45414</v>
      </c>
      <c r="L1928" t="s">
        <v>78</v>
      </c>
      <c r="M1928" t="s">
        <v>17</v>
      </c>
      <c r="N1928">
        <v>3659</v>
      </c>
      <c r="O1928">
        <v>319</v>
      </c>
      <c r="P1928">
        <v>195</v>
      </c>
      <c r="Q1928" s="1">
        <v>328</v>
      </c>
      <c r="R1928" s="1" t="str">
        <v/>
      </c>
      <c r="S1928" s="3">
        <v>-2.3781076646485655E-2</v>
      </c>
      <c r="T1928" s="3">
        <v>0</v>
      </c>
    </row>
    <row r="1929" spans="1:20" x14ac:dyDescent="0.25">
      <c r="A1929" t="s">
        <v>78</v>
      </c>
      <c r="B1929" t="s">
        <v>79</v>
      </c>
      <c r="C1929" t="s">
        <v>2773</v>
      </c>
      <c r="D1929" t="s">
        <v>2774</v>
      </c>
      <c r="E1929">
        <v>171.56</v>
      </c>
      <c r="F1929">
        <v>171.03</v>
      </c>
      <c r="G1929">
        <v>171.03</v>
      </c>
      <c r="H1929">
        <v>163.38</v>
      </c>
      <c r="I1929" s="1">
        <v>165.74</v>
      </c>
      <c r="J1929">
        <v>3929014.46</v>
      </c>
      <c r="K1929">
        <v>23562</v>
      </c>
      <c r="L1929" t="s">
        <v>78</v>
      </c>
      <c r="M1929" t="s">
        <v>17</v>
      </c>
      <c r="N1929">
        <v>1340</v>
      </c>
      <c r="O1929">
        <v>182</v>
      </c>
      <c r="P1929">
        <v>131.55000000000001</v>
      </c>
      <c r="Q1929" s="1">
        <v>132.35</v>
      </c>
      <c r="R1929" s="1">
        <v>78.099999999999994</v>
      </c>
      <c r="S1929" s="3">
        <v>1.8924368878685316E-2</v>
      </c>
      <c r="T1929" s="3">
        <v>3.8316766981567385E-2</v>
      </c>
    </row>
    <row r="1930" spans="1:20" x14ac:dyDescent="0.25">
      <c r="A1930" t="s">
        <v>78</v>
      </c>
      <c r="B1930" t="s">
        <v>287</v>
      </c>
      <c r="C1930" t="s">
        <v>5280</v>
      </c>
      <c r="D1930" t="s">
        <v>5279</v>
      </c>
      <c r="E1930">
        <v>126</v>
      </c>
      <c r="F1930">
        <v>123.15</v>
      </c>
      <c r="G1930">
        <v>123.15</v>
      </c>
      <c r="H1930">
        <v>121.8</v>
      </c>
      <c r="I1930" s="1">
        <v>123</v>
      </c>
      <c r="J1930">
        <v>736550</v>
      </c>
      <c r="K1930">
        <v>6000</v>
      </c>
      <c r="L1930" t="s">
        <v>78</v>
      </c>
      <c r="M1930" t="s">
        <v>17</v>
      </c>
      <c r="N1930">
        <v>6</v>
      </c>
      <c r="O1930">
        <v>165.9</v>
      </c>
      <c r="P1930">
        <v>111</v>
      </c>
      <c r="Q1930" s="1" t="str">
        <v/>
      </c>
      <c r="R1930" s="1" t="str">
        <v/>
      </c>
      <c r="S1930" s="3">
        <v>0</v>
      </c>
      <c r="T1930" s="3">
        <v>0</v>
      </c>
    </row>
    <row r="1931" spans="1:20" x14ac:dyDescent="0.25">
      <c r="A1931" t="s">
        <v>78</v>
      </c>
      <c r="B1931" t="s">
        <v>79</v>
      </c>
      <c r="C1931" t="s">
        <v>5278</v>
      </c>
      <c r="D1931" t="s">
        <v>5277</v>
      </c>
      <c r="E1931">
        <v>36.28</v>
      </c>
      <c r="F1931">
        <v>36.69</v>
      </c>
      <c r="G1931">
        <v>37.68</v>
      </c>
      <c r="H1931">
        <v>36.06</v>
      </c>
      <c r="I1931" s="1">
        <v>36.409999999999997</v>
      </c>
      <c r="J1931">
        <v>668627.28</v>
      </c>
      <c r="K1931">
        <v>18194</v>
      </c>
      <c r="L1931" t="s">
        <v>78</v>
      </c>
      <c r="M1931" t="s">
        <v>17</v>
      </c>
      <c r="N1931">
        <v>328</v>
      </c>
      <c r="O1931">
        <v>56.95</v>
      </c>
      <c r="P1931">
        <v>20.399999999999999</v>
      </c>
      <c r="Q1931" s="1" t="str">
        <v/>
      </c>
      <c r="R1931" s="1">
        <v>27.95</v>
      </c>
      <c r="S1931" s="3">
        <v>0</v>
      </c>
      <c r="T1931" s="3">
        <v>1.3301764227242829E-2</v>
      </c>
    </row>
    <row r="1932" spans="1:20" x14ac:dyDescent="0.25">
      <c r="A1932" t="s">
        <v>78</v>
      </c>
      <c r="B1932" t="s">
        <v>79</v>
      </c>
      <c r="C1932" t="s">
        <v>2775</v>
      </c>
      <c r="D1932" t="s">
        <v>2776</v>
      </c>
      <c r="E1932">
        <v>139.65</v>
      </c>
      <c r="F1932">
        <v>140</v>
      </c>
      <c r="G1932">
        <v>141.80000000000001</v>
      </c>
      <c r="H1932">
        <v>139.04</v>
      </c>
      <c r="I1932" s="1">
        <v>139.80000000000001</v>
      </c>
      <c r="J1932">
        <v>1964216666.79</v>
      </c>
      <c r="K1932">
        <v>14015928</v>
      </c>
      <c r="L1932" t="s">
        <v>78</v>
      </c>
      <c r="M1932" t="s">
        <v>17</v>
      </c>
      <c r="N1932">
        <v>60101</v>
      </c>
      <c r="O1932">
        <v>172.5</v>
      </c>
      <c r="P1932">
        <v>80.900000000000006</v>
      </c>
      <c r="Q1932" s="1">
        <v>36.1</v>
      </c>
      <c r="R1932" s="1">
        <v>73.2</v>
      </c>
      <c r="S1932" s="3">
        <v>0.11943787691660934</v>
      </c>
      <c r="T1932" s="3">
        <v>3.2861549582265281E-2</v>
      </c>
    </row>
    <row r="1933" spans="1:20" x14ac:dyDescent="0.25">
      <c r="A1933" t="s">
        <v>78</v>
      </c>
      <c r="B1933" t="s">
        <v>79</v>
      </c>
      <c r="C1933" t="s">
        <v>5276</v>
      </c>
      <c r="D1933" t="s">
        <v>5275</v>
      </c>
      <c r="E1933">
        <v>506.9</v>
      </c>
      <c r="F1933">
        <v>509.25</v>
      </c>
      <c r="G1933">
        <v>511.2</v>
      </c>
      <c r="H1933">
        <v>499.95</v>
      </c>
      <c r="I1933" s="1">
        <v>503.65</v>
      </c>
      <c r="J1933">
        <v>34510421.100000001</v>
      </c>
      <c r="K1933">
        <v>68495</v>
      </c>
      <c r="L1933" t="s">
        <v>78</v>
      </c>
      <c r="M1933" t="s">
        <v>17</v>
      </c>
      <c r="N1933">
        <v>4855</v>
      </c>
      <c r="O1933">
        <v>722.65</v>
      </c>
      <c r="P1933">
        <v>454</v>
      </c>
      <c r="Q1933" s="1" t="str">
        <v/>
      </c>
      <c r="R1933" s="1" t="str">
        <v/>
      </c>
      <c r="S1933" s="3">
        <v>0</v>
      </c>
      <c r="T1933" s="3">
        <v>0</v>
      </c>
    </row>
    <row r="1934" spans="1:20" x14ac:dyDescent="0.25">
      <c r="A1934" t="s">
        <v>78</v>
      </c>
      <c r="B1934" t="s">
        <v>79</v>
      </c>
      <c r="C1934" t="s">
        <v>5274</v>
      </c>
      <c r="D1934" t="s">
        <v>243</v>
      </c>
      <c r="E1934">
        <v>1298.5999999999999</v>
      </c>
      <c r="F1934">
        <v>1298</v>
      </c>
      <c r="G1934">
        <v>1302</v>
      </c>
      <c r="H1934">
        <v>1282.8499999999999</v>
      </c>
      <c r="I1934" s="1">
        <v>1299.45</v>
      </c>
      <c r="J1934">
        <v>723183188.04999995</v>
      </c>
      <c r="K1934">
        <v>558296</v>
      </c>
      <c r="L1934" t="s">
        <v>78</v>
      </c>
      <c r="M1934" t="s">
        <v>17</v>
      </c>
      <c r="N1934">
        <v>35184</v>
      </c>
      <c r="O1934">
        <v>1334.85</v>
      </c>
      <c r="P1934">
        <v>946.35</v>
      </c>
      <c r="Q1934" s="1" t="str">
        <v/>
      </c>
      <c r="R1934" s="1" t="str">
        <v/>
      </c>
      <c r="S1934" s="3">
        <v>0</v>
      </c>
      <c r="T1934" s="3">
        <v>0</v>
      </c>
    </row>
    <row r="1935" spans="1:20" x14ac:dyDescent="0.25">
      <c r="A1935" t="s">
        <v>78</v>
      </c>
      <c r="B1935" t="s">
        <v>79</v>
      </c>
      <c r="C1935" t="s">
        <v>5273</v>
      </c>
      <c r="D1935" t="s">
        <v>5272</v>
      </c>
      <c r="E1935">
        <v>86.65</v>
      </c>
      <c r="F1935">
        <v>88.18</v>
      </c>
      <c r="G1935">
        <v>88.79</v>
      </c>
      <c r="H1935">
        <v>85.22</v>
      </c>
      <c r="I1935" s="1">
        <v>86.15</v>
      </c>
      <c r="J1935">
        <v>840670.25</v>
      </c>
      <c r="K1935">
        <v>9669</v>
      </c>
      <c r="L1935" t="s">
        <v>78</v>
      </c>
      <c r="M1935" t="s">
        <v>17</v>
      </c>
      <c r="N1935">
        <v>487</v>
      </c>
      <c r="O1935">
        <v>122.5</v>
      </c>
      <c r="P1935">
        <v>78.55</v>
      </c>
      <c r="Q1935" s="1" t="str">
        <v/>
      </c>
      <c r="R1935" s="1">
        <v>15.3</v>
      </c>
      <c r="S1935" s="3">
        <v>0</v>
      </c>
      <c r="T1935" s="3">
        <v>9.0203671852736145E-2</v>
      </c>
    </row>
    <row r="1936" spans="1:20" x14ac:dyDescent="0.25">
      <c r="A1936" t="s">
        <v>78</v>
      </c>
      <c r="B1936" t="s">
        <v>79</v>
      </c>
      <c r="C1936" t="s">
        <v>2777</v>
      </c>
      <c r="D1936" t="s">
        <v>2778</v>
      </c>
      <c r="E1936">
        <v>413.9</v>
      </c>
      <c r="F1936">
        <v>408</v>
      </c>
      <c r="G1936">
        <v>424.95</v>
      </c>
      <c r="H1936">
        <v>408</v>
      </c>
      <c r="I1936" s="1">
        <v>420.35</v>
      </c>
      <c r="J1936">
        <v>2803365.25</v>
      </c>
      <c r="K1936">
        <v>6690</v>
      </c>
      <c r="L1936" t="s">
        <v>78</v>
      </c>
      <c r="M1936" t="s">
        <v>17</v>
      </c>
      <c r="N1936">
        <v>316</v>
      </c>
      <c r="O1936">
        <v>464.7</v>
      </c>
      <c r="P1936">
        <v>281</v>
      </c>
      <c r="Q1936" s="1">
        <v>339</v>
      </c>
      <c r="R1936" s="1">
        <v>281.14999999999998</v>
      </c>
      <c r="S1936" s="3">
        <v>1.8085564176418378E-2</v>
      </c>
      <c r="T1936" s="3">
        <v>2.0302299061921492E-2</v>
      </c>
    </row>
    <row r="1937" spans="1:20" x14ac:dyDescent="0.25">
      <c r="A1937" t="s">
        <v>78</v>
      </c>
      <c r="B1937" t="s">
        <v>79</v>
      </c>
      <c r="C1937" t="s">
        <v>2781</v>
      </c>
      <c r="D1937" t="s">
        <v>2782</v>
      </c>
      <c r="E1937">
        <v>889.35</v>
      </c>
      <c r="F1937">
        <v>889.35</v>
      </c>
      <c r="G1937">
        <v>904</v>
      </c>
      <c r="H1937">
        <v>840.05</v>
      </c>
      <c r="I1937" s="1">
        <v>886</v>
      </c>
      <c r="J1937">
        <v>93947721.599999994</v>
      </c>
      <c r="K1937">
        <v>107857</v>
      </c>
      <c r="L1937" t="s">
        <v>78</v>
      </c>
      <c r="M1937" t="s">
        <v>17</v>
      </c>
      <c r="N1937">
        <v>8801</v>
      </c>
      <c r="O1937">
        <v>909.9</v>
      </c>
      <c r="P1937">
        <v>371.5</v>
      </c>
      <c r="Q1937" s="1">
        <v>191.55</v>
      </c>
      <c r="R1937" s="1">
        <v>170.5</v>
      </c>
      <c r="S1937" s="3">
        <v>0.13613332081842455</v>
      </c>
      <c r="T1937" s="3">
        <v>8.5840082774109705E-2</v>
      </c>
    </row>
    <row r="1938" spans="1:20" x14ac:dyDescent="0.25">
      <c r="A1938" t="s">
        <v>78</v>
      </c>
      <c r="B1938" t="s">
        <v>79</v>
      </c>
      <c r="C1938" t="s">
        <v>2783</v>
      </c>
      <c r="D1938" t="s">
        <v>2784</v>
      </c>
      <c r="E1938">
        <v>373.45</v>
      </c>
      <c r="F1938">
        <v>375.35</v>
      </c>
      <c r="G1938">
        <v>383</v>
      </c>
      <c r="H1938">
        <v>372.3</v>
      </c>
      <c r="I1938" s="1">
        <v>378.55</v>
      </c>
      <c r="J1938">
        <v>86805.65</v>
      </c>
      <c r="K1938">
        <v>230</v>
      </c>
      <c r="L1938" t="s">
        <v>78</v>
      </c>
      <c r="M1938" t="s">
        <v>17</v>
      </c>
      <c r="N1938">
        <v>50</v>
      </c>
      <c r="O1938">
        <v>483.7</v>
      </c>
      <c r="P1938">
        <v>310.2</v>
      </c>
      <c r="Q1938" s="1">
        <v>296</v>
      </c>
      <c r="R1938" s="1" t="str">
        <v/>
      </c>
      <c r="S1938" s="3">
        <v>2.0710607943338122E-2</v>
      </c>
      <c r="T1938" s="3">
        <v>0</v>
      </c>
    </row>
    <row r="1939" spans="1:20" x14ac:dyDescent="0.25">
      <c r="A1939" t="s">
        <v>78</v>
      </c>
      <c r="B1939" t="s">
        <v>79</v>
      </c>
      <c r="C1939" t="s">
        <v>5271</v>
      </c>
      <c r="D1939" t="s">
        <v>5270</v>
      </c>
      <c r="E1939">
        <v>1021.15</v>
      </c>
      <c r="F1939">
        <v>1018</v>
      </c>
      <c r="G1939">
        <v>1034.55</v>
      </c>
      <c r="H1939">
        <v>990.1</v>
      </c>
      <c r="I1939" s="1">
        <v>993.75</v>
      </c>
      <c r="J1939">
        <v>1938997978.25</v>
      </c>
      <c r="K1939">
        <v>1935761</v>
      </c>
      <c r="L1939" t="s">
        <v>78</v>
      </c>
      <c r="M1939" t="s">
        <v>17</v>
      </c>
      <c r="N1939">
        <v>94857</v>
      </c>
      <c r="O1939">
        <v>1207.3</v>
      </c>
      <c r="P1939">
        <v>548.6</v>
      </c>
      <c r="Q1939" s="1" t="str">
        <v/>
      </c>
      <c r="R1939" s="1" t="str">
        <v/>
      </c>
      <c r="S1939" s="3">
        <v>0</v>
      </c>
      <c r="T1939" s="3">
        <v>0</v>
      </c>
    </row>
    <row r="1940" spans="1:20" x14ac:dyDescent="0.25">
      <c r="A1940" t="s">
        <v>78</v>
      </c>
      <c r="B1940" t="s">
        <v>79</v>
      </c>
      <c r="C1940" t="s">
        <v>176</v>
      </c>
      <c r="D1940" t="s">
        <v>177</v>
      </c>
      <c r="E1940">
        <v>557.29999999999995</v>
      </c>
      <c r="F1940">
        <v>557.29999999999995</v>
      </c>
      <c r="G1940">
        <v>561</v>
      </c>
      <c r="H1940">
        <v>554.95000000000005</v>
      </c>
      <c r="I1940" s="1">
        <v>558.65</v>
      </c>
      <c r="J1940">
        <v>702427003</v>
      </c>
      <c r="K1940">
        <v>1258371</v>
      </c>
      <c r="L1940" t="s">
        <v>78</v>
      </c>
      <c r="M1940" t="s">
        <v>17</v>
      </c>
      <c r="N1940">
        <v>35328</v>
      </c>
      <c r="O1940">
        <v>647</v>
      </c>
      <c r="P1940">
        <v>447.8</v>
      </c>
      <c r="Q1940" s="1">
        <v>822.3</v>
      </c>
      <c r="R1940" s="1">
        <v>630.5</v>
      </c>
      <c r="S1940" s="3">
        <v>-3.1701796566634965E-2</v>
      </c>
      <c r="T1940" s="3">
        <v>-6.0279454359934981E-3</v>
      </c>
    </row>
    <row r="1941" spans="1:20" x14ac:dyDescent="0.25">
      <c r="A1941" t="s">
        <v>78</v>
      </c>
      <c r="B1941" t="s">
        <v>79</v>
      </c>
      <c r="C1941" t="s">
        <v>5269</v>
      </c>
      <c r="D1941" t="s">
        <v>5268</v>
      </c>
      <c r="E1941">
        <v>643.54999999999995</v>
      </c>
      <c r="F1941">
        <v>665.55</v>
      </c>
      <c r="G1941">
        <v>666</v>
      </c>
      <c r="H1941">
        <v>615.29999999999995</v>
      </c>
      <c r="I1941" s="1">
        <v>629.20000000000005</v>
      </c>
      <c r="J1941">
        <v>11180460.199999999</v>
      </c>
      <c r="K1941">
        <v>17380</v>
      </c>
      <c r="L1941" t="s">
        <v>78</v>
      </c>
      <c r="M1941" t="s">
        <v>17</v>
      </c>
      <c r="N1941">
        <v>675</v>
      </c>
      <c r="O1941">
        <v>666</v>
      </c>
      <c r="P1941">
        <v>227.25</v>
      </c>
      <c r="Q1941" s="1" t="str">
        <v/>
      </c>
      <c r="R1941" s="1">
        <v>110.5</v>
      </c>
      <c r="S1941" s="3">
        <v>0</v>
      </c>
      <c r="T1941" s="3">
        <v>9.081383241778207E-2</v>
      </c>
    </row>
    <row r="1942" spans="1:20" x14ac:dyDescent="0.25">
      <c r="A1942" t="s">
        <v>78</v>
      </c>
      <c r="B1942" t="s">
        <v>287</v>
      </c>
      <c r="C1942" t="s">
        <v>5267</v>
      </c>
      <c r="D1942" t="s">
        <v>5266</v>
      </c>
      <c r="E1942">
        <v>380.9</v>
      </c>
      <c r="F1942">
        <v>380</v>
      </c>
      <c r="G1942">
        <v>380</v>
      </c>
      <c r="H1942">
        <v>366.3</v>
      </c>
      <c r="I1942" s="1">
        <v>368.95</v>
      </c>
      <c r="J1942">
        <v>6526300</v>
      </c>
      <c r="K1942">
        <v>17600</v>
      </c>
      <c r="L1942" t="s">
        <v>78</v>
      </c>
      <c r="M1942" t="s">
        <v>17</v>
      </c>
      <c r="N1942">
        <v>42</v>
      </c>
      <c r="O1942">
        <v>541.29999999999995</v>
      </c>
      <c r="P1942">
        <v>72.2</v>
      </c>
      <c r="Q1942" s="1" t="str">
        <v/>
      </c>
      <c r="R1942" s="1" t="str">
        <v/>
      </c>
      <c r="S1942" s="3">
        <v>0</v>
      </c>
      <c r="T1942" s="3">
        <v>0</v>
      </c>
    </row>
    <row r="1943" spans="1:20" x14ac:dyDescent="0.25">
      <c r="A1943" t="s">
        <v>78</v>
      </c>
      <c r="B1943" t="s">
        <v>79</v>
      </c>
      <c r="C1943" t="s">
        <v>2785</v>
      </c>
      <c r="D1943" t="s">
        <v>2786</v>
      </c>
      <c r="E1943">
        <v>21.1</v>
      </c>
      <c r="F1943">
        <v>21.48</v>
      </c>
      <c r="G1943">
        <v>21.48</v>
      </c>
      <c r="H1943">
        <v>20.5</v>
      </c>
      <c r="I1943" s="1">
        <v>20.85</v>
      </c>
      <c r="J1943">
        <v>68238064.150000006</v>
      </c>
      <c r="K1943">
        <v>3280668</v>
      </c>
      <c r="L1943" t="s">
        <v>78</v>
      </c>
      <c r="M1943" t="s">
        <v>17</v>
      </c>
      <c r="N1943">
        <v>16149</v>
      </c>
      <c r="O1943">
        <v>41.65</v>
      </c>
      <c r="P1943">
        <v>8.8000000000000007</v>
      </c>
      <c r="Q1943" s="1">
        <v>7.45</v>
      </c>
      <c r="R1943" s="1">
        <v>2.6</v>
      </c>
      <c r="S1943" s="3">
        <v>8.9546614439628192E-2</v>
      </c>
      <c r="T1943" s="3">
        <v>0.1096394243416241</v>
      </c>
    </row>
    <row r="1944" spans="1:20" x14ac:dyDescent="0.25">
      <c r="A1944" t="s">
        <v>78</v>
      </c>
      <c r="B1944" t="s">
        <v>287</v>
      </c>
      <c r="C1944" t="s">
        <v>5265</v>
      </c>
      <c r="D1944" t="s">
        <v>5264</v>
      </c>
      <c r="E1944">
        <v>287.7</v>
      </c>
      <c r="F1944">
        <v>287</v>
      </c>
      <c r="G1944">
        <v>295</v>
      </c>
      <c r="H1944">
        <v>287</v>
      </c>
      <c r="I1944" s="1">
        <v>287</v>
      </c>
      <c r="J1944">
        <v>695610</v>
      </c>
      <c r="K1944">
        <v>2400</v>
      </c>
      <c r="L1944" t="s">
        <v>78</v>
      </c>
      <c r="M1944" t="s">
        <v>17</v>
      </c>
      <c r="N1944">
        <v>8</v>
      </c>
      <c r="O1944">
        <v>517</v>
      </c>
      <c r="P1944">
        <v>256.10000000000002</v>
      </c>
      <c r="Q1944" s="1" t="str">
        <v/>
      </c>
      <c r="R1944" s="1" t="str">
        <v/>
      </c>
      <c r="S1944" s="3">
        <v>0</v>
      </c>
      <c r="T1944" s="3">
        <v>0</v>
      </c>
    </row>
    <row r="1945" spans="1:20" x14ac:dyDescent="0.25">
      <c r="A1945" t="s">
        <v>78</v>
      </c>
      <c r="B1945" t="s">
        <v>79</v>
      </c>
      <c r="C1945" t="s">
        <v>2787</v>
      </c>
      <c r="D1945" t="s">
        <v>2788</v>
      </c>
      <c r="E1945">
        <v>391.9</v>
      </c>
      <c r="F1945">
        <v>392.5</v>
      </c>
      <c r="G1945">
        <v>392.5</v>
      </c>
      <c r="H1945">
        <v>381.05</v>
      </c>
      <c r="I1945" s="1">
        <v>383.65</v>
      </c>
      <c r="J1945">
        <v>152145363.65000001</v>
      </c>
      <c r="K1945">
        <v>395033</v>
      </c>
      <c r="L1945" t="s">
        <v>78</v>
      </c>
      <c r="M1945" t="s">
        <v>17</v>
      </c>
      <c r="N1945">
        <v>13405</v>
      </c>
      <c r="O1945">
        <v>427.8</v>
      </c>
      <c r="P1945">
        <v>252.8</v>
      </c>
      <c r="Q1945" s="1">
        <v>55.35</v>
      </c>
      <c r="R1945" s="1">
        <v>26.5</v>
      </c>
      <c r="S1945" s="3">
        <v>0.17508188550072434</v>
      </c>
      <c r="T1945" s="3">
        <v>0.14288539831923686</v>
      </c>
    </row>
    <row r="1946" spans="1:20" x14ac:dyDescent="0.25">
      <c r="A1946" t="s">
        <v>78</v>
      </c>
      <c r="B1946" t="s">
        <v>79</v>
      </c>
      <c r="C1946" t="s">
        <v>2789</v>
      </c>
      <c r="D1946" t="s">
        <v>2790</v>
      </c>
      <c r="E1946">
        <v>1107.8</v>
      </c>
      <c r="F1946">
        <v>1054.75</v>
      </c>
      <c r="G1946">
        <v>1061.0999999999999</v>
      </c>
      <c r="H1946">
        <v>1037</v>
      </c>
      <c r="I1946" s="1">
        <v>1042.1500000000001</v>
      </c>
      <c r="J1946">
        <v>560995203.25</v>
      </c>
      <c r="K1946">
        <v>535877</v>
      </c>
      <c r="L1946" t="s">
        <v>78</v>
      </c>
      <c r="M1946" t="s">
        <v>1555</v>
      </c>
      <c r="N1946">
        <v>23285</v>
      </c>
      <c r="O1946">
        <v>1112</v>
      </c>
      <c r="P1946">
        <v>731.2</v>
      </c>
      <c r="Q1946" s="1">
        <v>855.95</v>
      </c>
      <c r="R1946" s="1" t="str">
        <v/>
      </c>
      <c r="S1946" s="3">
        <v>1.6537691979348734E-2</v>
      </c>
      <c r="T1946" s="3">
        <v>0</v>
      </c>
    </row>
    <row r="1947" spans="1:20" x14ac:dyDescent="0.25">
      <c r="A1947" t="s">
        <v>78</v>
      </c>
      <c r="B1947" t="s">
        <v>79</v>
      </c>
      <c r="C1947" t="s">
        <v>5263</v>
      </c>
      <c r="D1947" t="s">
        <v>5262</v>
      </c>
      <c r="E1947">
        <v>51.08</v>
      </c>
      <c r="F1947">
        <v>51.24</v>
      </c>
      <c r="G1947">
        <v>51.24</v>
      </c>
      <c r="H1947">
        <v>50.28</v>
      </c>
      <c r="I1947" s="1">
        <v>50.66</v>
      </c>
      <c r="J1947">
        <v>90081589.340000004</v>
      </c>
      <c r="K1947">
        <v>1777317</v>
      </c>
      <c r="L1947" t="s">
        <v>78</v>
      </c>
      <c r="M1947" t="s">
        <v>17</v>
      </c>
      <c r="N1947">
        <v>9564</v>
      </c>
      <c r="O1947">
        <v>68.3</v>
      </c>
      <c r="P1947">
        <v>37.200000000000003</v>
      </c>
      <c r="Q1947" s="1" t="str">
        <v/>
      </c>
      <c r="R1947" s="1" t="str">
        <v/>
      </c>
      <c r="S1947" s="3">
        <v>0</v>
      </c>
      <c r="T1947" s="3">
        <v>0</v>
      </c>
    </row>
    <row r="1948" spans="1:20" x14ac:dyDescent="0.25">
      <c r="A1948" t="s">
        <v>78</v>
      </c>
      <c r="B1948" t="s">
        <v>79</v>
      </c>
      <c r="C1948" t="s">
        <v>3545</v>
      </c>
      <c r="D1948" t="s">
        <v>3546</v>
      </c>
      <c r="E1948">
        <v>343.15</v>
      </c>
      <c r="F1948">
        <v>343.15</v>
      </c>
      <c r="G1948">
        <v>344.6</v>
      </c>
      <c r="H1948">
        <v>335</v>
      </c>
      <c r="I1948" s="1">
        <v>336.8</v>
      </c>
      <c r="J1948">
        <v>43189222.850000001</v>
      </c>
      <c r="K1948">
        <v>127534</v>
      </c>
      <c r="L1948" t="s">
        <v>78</v>
      </c>
      <c r="M1948" t="s">
        <v>17</v>
      </c>
      <c r="N1948">
        <v>6465</v>
      </c>
      <c r="O1948">
        <v>535.79999999999995</v>
      </c>
      <c r="P1948">
        <v>275</v>
      </c>
      <c r="Q1948" s="1">
        <v>204.05</v>
      </c>
      <c r="R1948" s="1">
        <v>115.2</v>
      </c>
      <c r="S1948" s="3">
        <v>4.264458081696576E-2</v>
      </c>
      <c r="T1948" s="3">
        <v>5.5074732050263586E-2</v>
      </c>
    </row>
    <row r="1949" spans="1:20" x14ac:dyDescent="0.25">
      <c r="A1949" t="s">
        <v>78</v>
      </c>
      <c r="B1949" t="s">
        <v>287</v>
      </c>
      <c r="C1949" t="s">
        <v>5261</v>
      </c>
      <c r="D1949" t="s">
        <v>5260</v>
      </c>
      <c r="E1949">
        <v>97.9</v>
      </c>
      <c r="F1949">
        <v>102.35</v>
      </c>
      <c r="G1949">
        <v>102.35</v>
      </c>
      <c r="H1949">
        <v>102.3</v>
      </c>
      <c r="I1949" s="1">
        <v>102.3</v>
      </c>
      <c r="J1949">
        <v>409300</v>
      </c>
      <c r="K1949">
        <v>4000</v>
      </c>
      <c r="L1949" t="s">
        <v>78</v>
      </c>
      <c r="M1949" t="s">
        <v>17</v>
      </c>
      <c r="N1949">
        <v>2</v>
      </c>
      <c r="O1949">
        <v>141.19999999999999</v>
      </c>
      <c r="P1949">
        <v>83.1</v>
      </c>
      <c r="Q1949" s="1" t="str">
        <v/>
      </c>
      <c r="R1949" s="1" t="str">
        <v/>
      </c>
      <c r="S1949" s="3">
        <v>0</v>
      </c>
      <c r="T1949" s="3">
        <v>0</v>
      </c>
    </row>
    <row r="1950" spans="1:20" x14ac:dyDescent="0.25">
      <c r="A1950" t="s">
        <v>78</v>
      </c>
      <c r="B1950" t="s">
        <v>79</v>
      </c>
      <c r="C1950" t="s">
        <v>2795</v>
      </c>
      <c r="D1950" t="s">
        <v>2796</v>
      </c>
      <c r="E1950">
        <v>4401.25</v>
      </c>
      <c r="F1950">
        <v>4413.6000000000004</v>
      </c>
      <c r="G1950">
        <v>4413.6000000000004</v>
      </c>
      <c r="H1950">
        <v>4319.1000000000004</v>
      </c>
      <c r="I1950" s="1">
        <v>4355.25</v>
      </c>
      <c r="J1950">
        <v>28637403.449999999</v>
      </c>
      <c r="K1950">
        <v>6561</v>
      </c>
      <c r="L1950" t="s">
        <v>78</v>
      </c>
      <c r="M1950" t="s">
        <v>17</v>
      </c>
      <c r="N1950">
        <v>1836</v>
      </c>
      <c r="O1950">
        <v>5143</v>
      </c>
      <c r="P1950">
        <v>2133.1999999999998</v>
      </c>
      <c r="Q1950" s="1">
        <v>1006.7</v>
      </c>
      <c r="R1950" s="1">
        <v>515.70000000000005</v>
      </c>
      <c r="S1950" s="3">
        <v>0.12982041644971054</v>
      </c>
      <c r="T1950" s="3">
        <v>0.11251384673038989</v>
      </c>
    </row>
    <row r="1951" spans="1:20" x14ac:dyDescent="0.25">
      <c r="A1951" t="s">
        <v>78</v>
      </c>
      <c r="B1951" t="s">
        <v>79</v>
      </c>
      <c r="C1951" t="s">
        <v>2797</v>
      </c>
      <c r="D1951" t="s">
        <v>2798</v>
      </c>
      <c r="E1951">
        <v>325.95</v>
      </c>
      <c r="F1951">
        <v>326</v>
      </c>
      <c r="G1951">
        <v>327.35000000000002</v>
      </c>
      <c r="H1951">
        <v>320.25</v>
      </c>
      <c r="I1951" s="1">
        <v>321.95</v>
      </c>
      <c r="J1951">
        <v>99703282.450000003</v>
      </c>
      <c r="K1951">
        <v>308906</v>
      </c>
      <c r="L1951" t="s">
        <v>78</v>
      </c>
      <c r="M1951" t="s">
        <v>17</v>
      </c>
      <c r="N1951">
        <v>12364</v>
      </c>
      <c r="O1951">
        <v>542.4</v>
      </c>
      <c r="P1951">
        <v>262.64999999999998</v>
      </c>
      <c r="Q1951" s="1">
        <v>775.1</v>
      </c>
      <c r="R1951" s="1">
        <v>830</v>
      </c>
      <c r="S1951" s="3">
        <v>-7.0600236325336296E-2</v>
      </c>
      <c r="T1951" s="3">
        <v>-4.6223145983657066E-2</v>
      </c>
    </row>
    <row r="1952" spans="1:20" x14ac:dyDescent="0.25">
      <c r="A1952" t="s">
        <v>78</v>
      </c>
      <c r="B1952" t="s">
        <v>79</v>
      </c>
      <c r="C1952" t="s">
        <v>2799</v>
      </c>
      <c r="D1952" t="s">
        <v>2800</v>
      </c>
      <c r="E1952">
        <v>156.88</v>
      </c>
      <c r="F1952">
        <v>157.6</v>
      </c>
      <c r="G1952">
        <v>159.99</v>
      </c>
      <c r="H1952">
        <v>154</v>
      </c>
      <c r="I1952" s="1">
        <v>157.21</v>
      </c>
      <c r="J1952">
        <v>8439972.7400000002</v>
      </c>
      <c r="K1952">
        <v>53886</v>
      </c>
      <c r="L1952" t="s">
        <v>78</v>
      </c>
      <c r="M1952" t="s">
        <v>17</v>
      </c>
      <c r="N1952">
        <v>685</v>
      </c>
      <c r="O1952">
        <v>203.6</v>
      </c>
      <c r="P1952">
        <v>114.85</v>
      </c>
      <c r="Q1952" s="1">
        <v>41.55</v>
      </c>
      <c r="R1952" s="1" t="str">
        <v/>
      </c>
      <c r="S1952" s="3">
        <v>0.11727246290248394</v>
      </c>
      <c r="T1952" s="3">
        <v>0</v>
      </c>
    </row>
    <row r="1953" spans="1:20" x14ac:dyDescent="0.25">
      <c r="A1953" t="s">
        <v>78</v>
      </c>
      <c r="B1953" t="s">
        <v>79</v>
      </c>
      <c r="C1953" t="s">
        <v>2801</v>
      </c>
      <c r="D1953" t="s">
        <v>2802</v>
      </c>
      <c r="E1953">
        <v>21.5</v>
      </c>
      <c r="F1953">
        <v>21.61</v>
      </c>
      <c r="G1953">
        <v>21.61</v>
      </c>
      <c r="H1953">
        <v>20.79</v>
      </c>
      <c r="I1953" s="1">
        <v>21.02</v>
      </c>
      <c r="J1953">
        <v>149565179.97999999</v>
      </c>
      <c r="K1953">
        <v>7099777</v>
      </c>
      <c r="L1953" t="s">
        <v>78</v>
      </c>
      <c r="M1953" t="s">
        <v>17</v>
      </c>
      <c r="N1953">
        <v>14490</v>
      </c>
      <c r="O1953">
        <v>32.200000000000003</v>
      </c>
      <c r="P1953">
        <v>14.55</v>
      </c>
      <c r="Q1953" s="1">
        <v>36.950000000000003</v>
      </c>
      <c r="R1953" s="1">
        <v>32.799999999999997</v>
      </c>
      <c r="S1953" s="3">
        <v>-4.5919859961503606E-2</v>
      </c>
      <c r="T1953" s="3">
        <v>-2.1990136528006743E-2</v>
      </c>
    </row>
    <row r="1954" spans="1:20" x14ac:dyDescent="0.25">
      <c r="A1954" t="s">
        <v>78</v>
      </c>
      <c r="B1954" t="s">
        <v>79</v>
      </c>
      <c r="C1954" t="s">
        <v>5259</v>
      </c>
      <c r="D1954" t="s">
        <v>5258</v>
      </c>
      <c r="E1954">
        <v>142.58000000000001</v>
      </c>
      <c r="F1954">
        <v>142.58000000000001</v>
      </c>
      <c r="G1954">
        <v>143.58000000000001</v>
      </c>
      <c r="H1954">
        <v>131</v>
      </c>
      <c r="I1954" s="1">
        <v>137.66</v>
      </c>
      <c r="J1954">
        <v>20540987.199999999</v>
      </c>
      <c r="K1954">
        <v>147531</v>
      </c>
      <c r="L1954" t="s">
        <v>78</v>
      </c>
      <c r="M1954" t="s">
        <v>17</v>
      </c>
      <c r="N1954">
        <v>3876</v>
      </c>
      <c r="O1954">
        <v>214.95</v>
      </c>
      <c r="P1954">
        <v>129.30000000000001</v>
      </c>
      <c r="Q1954" s="1" t="str">
        <v/>
      </c>
      <c r="R1954" s="1" t="str">
        <v/>
      </c>
      <c r="S1954" s="3">
        <v>0</v>
      </c>
      <c r="T1954" s="3">
        <v>0</v>
      </c>
    </row>
    <row r="1955" spans="1:20" x14ac:dyDescent="0.25">
      <c r="A1955" t="s">
        <v>78</v>
      </c>
      <c r="B1955" t="s">
        <v>79</v>
      </c>
      <c r="C1955" t="s">
        <v>2803</v>
      </c>
      <c r="D1955" t="s">
        <v>2804</v>
      </c>
      <c r="E1955">
        <v>387.5</v>
      </c>
      <c r="F1955">
        <v>387</v>
      </c>
      <c r="G1955">
        <v>396</v>
      </c>
      <c r="H1955">
        <v>384.05</v>
      </c>
      <c r="I1955" s="1">
        <v>389.45</v>
      </c>
      <c r="J1955">
        <v>30201169.899999999</v>
      </c>
      <c r="K1955">
        <v>77737</v>
      </c>
      <c r="L1955" t="s">
        <v>78</v>
      </c>
      <c r="M1955" t="s">
        <v>17</v>
      </c>
      <c r="N1955">
        <v>6840</v>
      </c>
      <c r="O1955">
        <v>557.79999999999995</v>
      </c>
      <c r="P1955">
        <v>368.1</v>
      </c>
      <c r="Q1955" s="1">
        <v>1435</v>
      </c>
      <c r="R1955" s="1" t="str">
        <v/>
      </c>
      <c r="S1955" s="3">
        <v>-0.10298442478641867</v>
      </c>
      <c r="T1955" s="3">
        <v>0</v>
      </c>
    </row>
    <row r="1956" spans="1:20" x14ac:dyDescent="0.25">
      <c r="A1956" t="s">
        <v>78</v>
      </c>
      <c r="B1956" t="s">
        <v>79</v>
      </c>
      <c r="C1956" t="s">
        <v>2805</v>
      </c>
      <c r="D1956" t="s">
        <v>2806</v>
      </c>
      <c r="E1956">
        <v>66.83</v>
      </c>
      <c r="F1956">
        <v>66.23</v>
      </c>
      <c r="G1956">
        <v>66.98</v>
      </c>
      <c r="H1956">
        <v>63.15</v>
      </c>
      <c r="I1956" s="1">
        <v>63.72</v>
      </c>
      <c r="J1956">
        <v>11138871.439999999</v>
      </c>
      <c r="K1956">
        <v>171953</v>
      </c>
      <c r="L1956" t="s">
        <v>78</v>
      </c>
      <c r="M1956" t="s">
        <v>17</v>
      </c>
      <c r="N1956">
        <v>2803</v>
      </c>
      <c r="O1956">
        <v>74.900000000000006</v>
      </c>
      <c r="P1956">
        <v>49.9</v>
      </c>
      <c r="Q1956" s="1">
        <v>61.1</v>
      </c>
      <c r="R1956" s="1">
        <v>39</v>
      </c>
      <c r="S1956" s="3">
        <v>3.5050131484031244E-3</v>
      </c>
      <c r="T1956" s="3">
        <v>2.4836819047469927E-2</v>
      </c>
    </row>
    <row r="1957" spans="1:20" x14ac:dyDescent="0.25">
      <c r="A1957" t="s">
        <v>78</v>
      </c>
      <c r="B1957" t="s">
        <v>79</v>
      </c>
      <c r="C1957" t="s">
        <v>2807</v>
      </c>
      <c r="D1957" t="s">
        <v>2808</v>
      </c>
      <c r="E1957">
        <v>8.9700000000000006</v>
      </c>
      <c r="F1957">
        <v>9.15</v>
      </c>
      <c r="G1957">
        <v>9.19</v>
      </c>
      <c r="H1957">
        <v>8.7799999999999994</v>
      </c>
      <c r="I1957" s="1">
        <v>8.8699999999999992</v>
      </c>
      <c r="J1957">
        <v>1606173</v>
      </c>
      <c r="K1957">
        <v>179272</v>
      </c>
      <c r="L1957" t="s">
        <v>78</v>
      </c>
      <c r="M1957" t="s">
        <v>17</v>
      </c>
      <c r="N1957">
        <v>854</v>
      </c>
      <c r="O1957">
        <v>110.45</v>
      </c>
      <c r="P1957">
        <v>8.56</v>
      </c>
      <c r="Q1957" s="1">
        <v>23.9</v>
      </c>
      <c r="R1957" s="1">
        <v>3.35</v>
      </c>
      <c r="S1957" s="3">
        <v>-7.9280919703154762E-2</v>
      </c>
      <c r="T1957" s="3">
        <v>4.9862349672418205E-2</v>
      </c>
    </row>
    <row r="1958" spans="1:20" x14ac:dyDescent="0.25">
      <c r="A1958" t="s">
        <v>78</v>
      </c>
      <c r="B1958" t="s">
        <v>79</v>
      </c>
      <c r="C1958" t="s">
        <v>2809</v>
      </c>
      <c r="D1958" t="s">
        <v>2810</v>
      </c>
      <c r="E1958">
        <v>666.7</v>
      </c>
      <c r="F1958">
        <v>669.95</v>
      </c>
      <c r="G1958">
        <v>669.95</v>
      </c>
      <c r="H1958">
        <v>636.20000000000005</v>
      </c>
      <c r="I1958" s="1">
        <v>643.6</v>
      </c>
      <c r="J1958">
        <v>182864158.80000001</v>
      </c>
      <c r="K1958">
        <v>281736</v>
      </c>
      <c r="L1958" t="s">
        <v>78</v>
      </c>
      <c r="M1958" t="s">
        <v>17</v>
      </c>
      <c r="N1958">
        <v>12946</v>
      </c>
      <c r="O1958">
        <v>716.9</v>
      </c>
      <c r="P1958">
        <v>320</v>
      </c>
      <c r="Q1958" s="1">
        <v>347.2</v>
      </c>
      <c r="R1958" s="1">
        <v>436</v>
      </c>
      <c r="S1958" s="3">
        <v>5.2776931059200116E-2</v>
      </c>
      <c r="T1958" s="3">
        <v>1.9651696514001671E-2</v>
      </c>
    </row>
    <row r="1959" spans="1:20" x14ac:dyDescent="0.25">
      <c r="A1959" t="s">
        <v>78</v>
      </c>
      <c r="B1959" t="s">
        <v>79</v>
      </c>
      <c r="C1959" t="s">
        <v>2811</v>
      </c>
      <c r="D1959" t="s">
        <v>2812</v>
      </c>
      <c r="E1959">
        <v>81.38</v>
      </c>
      <c r="F1959">
        <v>80.75</v>
      </c>
      <c r="G1959">
        <v>80.75</v>
      </c>
      <c r="H1959">
        <v>76</v>
      </c>
      <c r="I1959" s="1">
        <v>76.25</v>
      </c>
      <c r="J1959">
        <v>457456731.38999999</v>
      </c>
      <c r="K1959">
        <v>5864363</v>
      </c>
      <c r="L1959" t="s">
        <v>78</v>
      </c>
      <c r="M1959" t="s">
        <v>17</v>
      </c>
      <c r="N1959">
        <v>37121</v>
      </c>
      <c r="O1959">
        <v>93.15</v>
      </c>
      <c r="P1959">
        <v>41.95</v>
      </c>
      <c r="Q1959" s="1">
        <v>22.05</v>
      </c>
      <c r="R1959" s="1">
        <v>12.9</v>
      </c>
      <c r="S1959" s="3">
        <v>0.10892609807180054</v>
      </c>
      <c r="T1959" s="3">
        <v>9.2852065346290091E-2</v>
      </c>
    </row>
    <row r="1960" spans="1:20" x14ac:dyDescent="0.25">
      <c r="A1960" t="s">
        <v>78</v>
      </c>
      <c r="B1960" t="s">
        <v>79</v>
      </c>
      <c r="C1960" t="s">
        <v>2813</v>
      </c>
      <c r="D1960" t="s">
        <v>2814</v>
      </c>
      <c r="E1960">
        <v>47.69</v>
      </c>
      <c r="F1960">
        <v>47.69</v>
      </c>
      <c r="G1960">
        <v>48.07</v>
      </c>
      <c r="H1960">
        <v>44.05</v>
      </c>
      <c r="I1960" s="1">
        <v>45.97</v>
      </c>
      <c r="J1960">
        <v>21605738.300000001</v>
      </c>
      <c r="K1960">
        <v>470172</v>
      </c>
      <c r="L1960" t="s">
        <v>78</v>
      </c>
      <c r="M1960" t="s">
        <v>17</v>
      </c>
      <c r="N1960">
        <v>3246</v>
      </c>
      <c r="O1960">
        <v>51.84</v>
      </c>
      <c r="P1960">
        <v>30.4</v>
      </c>
      <c r="Q1960" s="1">
        <v>14.25</v>
      </c>
      <c r="R1960" s="1">
        <v>7.15</v>
      </c>
      <c r="S1960" s="3">
        <v>0.1025246377543223</v>
      </c>
      <c r="T1960" s="3">
        <v>9.7453918793889427E-2</v>
      </c>
    </row>
    <row r="1961" spans="1:20" x14ac:dyDescent="0.25">
      <c r="A1961" t="s">
        <v>78</v>
      </c>
      <c r="B1961" t="s">
        <v>287</v>
      </c>
      <c r="C1961" t="s">
        <v>5257</v>
      </c>
      <c r="D1961" t="s">
        <v>5256</v>
      </c>
      <c r="E1961">
        <v>198.9</v>
      </c>
      <c r="F1961">
        <v>202.1</v>
      </c>
      <c r="G1961">
        <v>202.1</v>
      </c>
      <c r="H1961">
        <v>202.1</v>
      </c>
      <c r="I1961" s="1">
        <v>202.1</v>
      </c>
      <c r="J1961">
        <v>101050</v>
      </c>
      <c r="K1961">
        <v>500</v>
      </c>
      <c r="L1961" t="s">
        <v>78</v>
      </c>
      <c r="M1961" t="s">
        <v>17</v>
      </c>
      <c r="N1961">
        <v>1</v>
      </c>
      <c r="O1961">
        <v>281</v>
      </c>
      <c r="P1961">
        <v>65</v>
      </c>
      <c r="Q1961" s="1" t="str">
        <v/>
      </c>
      <c r="R1961" s="1" t="str">
        <v/>
      </c>
      <c r="S1961" s="3">
        <v>0</v>
      </c>
      <c r="T1961" s="3">
        <v>0</v>
      </c>
    </row>
    <row r="1962" spans="1:20" x14ac:dyDescent="0.25">
      <c r="A1962" t="s">
        <v>78</v>
      </c>
      <c r="B1962" t="s">
        <v>287</v>
      </c>
      <c r="C1962" t="s">
        <v>5255</v>
      </c>
      <c r="D1962" t="s">
        <v>5254</v>
      </c>
      <c r="E1962">
        <v>63.2</v>
      </c>
      <c r="F1962">
        <v>65.849999999999994</v>
      </c>
      <c r="G1962">
        <v>65.849999999999994</v>
      </c>
      <c r="H1962">
        <v>63.5</v>
      </c>
      <c r="I1962" s="1">
        <v>63.5</v>
      </c>
      <c r="J1962">
        <v>231420</v>
      </c>
      <c r="K1962">
        <v>3600</v>
      </c>
      <c r="L1962" t="s">
        <v>78</v>
      </c>
      <c r="M1962" t="s">
        <v>17</v>
      </c>
      <c r="N1962">
        <v>3</v>
      </c>
      <c r="O1962">
        <v>163.95</v>
      </c>
      <c r="P1962">
        <v>48.15</v>
      </c>
      <c r="Q1962" s="1" t="str">
        <v/>
      </c>
      <c r="R1962" s="1" t="str">
        <v/>
      </c>
      <c r="S1962" s="3">
        <v>0</v>
      </c>
      <c r="T1962" s="3">
        <v>0</v>
      </c>
    </row>
    <row r="1963" spans="1:20" x14ac:dyDescent="0.25">
      <c r="A1963" t="s">
        <v>78</v>
      </c>
      <c r="B1963" t="s">
        <v>79</v>
      </c>
      <c r="C1963" t="s">
        <v>2821</v>
      </c>
      <c r="D1963" t="s">
        <v>5253</v>
      </c>
      <c r="E1963">
        <v>1893.15</v>
      </c>
      <c r="F1963">
        <v>1893</v>
      </c>
      <c r="G1963">
        <v>1901.3</v>
      </c>
      <c r="H1963">
        <v>1822</v>
      </c>
      <c r="I1963" s="1">
        <v>1832.7</v>
      </c>
      <c r="J1963">
        <v>135629931.55000001</v>
      </c>
      <c r="K1963">
        <v>73299</v>
      </c>
      <c r="L1963" t="s">
        <v>78</v>
      </c>
      <c r="M1963" t="s">
        <v>17</v>
      </c>
      <c r="N1963">
        <v>8947</v>
      </c>
      <c r="O1963">
        <v>2314.9</v>
      </c>
      <c r="P1963">
        <v>1531</v>
      </c>
      <c r="Q1963" s="1">
        <v>3390</v>
      </c>
      <c r="R1963" s="1">
        <v>1425</v>
      </c>
      <c r="S1963" s="3">
        <v>-4.9962007109475959E-2</v>
      </c>
      <c r="T1963" s="3">
        <v>1.2653419446965408E-2</v>
      </c>
    </row>
    <row r="1964" spans="1:20" x14ac:dyDescent="0.25">
      <c r="A1964" t="s">
        <v>78</v>
      </c>
      <c r="B1964" t="s">
        <v>79</v>
      </c>
      <c r="C1964" t="s">
        <v>5252</v>
      </c>
      <c r="D1964" t="s">
        <v>5251</v>
      </c>
      <c r="E1964">
        <v>2182.35</v>
      </c>
      <c r="F1964">
        <v>2186.9499999999998</v>
      </c>
      <c r="G1964">
        <v>2186.9499999999998</v>
      </c>
      <c r="H1964">
        <v>2120.8000000000002</v>
      </c>
      <c r="I1964" s="1">
        <v>2156.3000000000002</v>
      </c>
      <c r="J1964">
        <v>77990896.450000003</v>
      </c>
      <c r="K1964">
        <v>36316</v>
      </c>
      <c r="L1964" t="s">
        <v>78</v>
      </c>
      <c r="M1964" t="s">
        <v>17</v>
      </c>
      <c r="N1964">
        <v>9054</v>
      </c>
      <c r="O1964">
        <v>2275</v>
      </c>
      <c r="P1964">
        <v>1185.05</v>
      </c>
      <c r="Q1964" s="1" t="str">
        <v/>
      </c>
      <c r="R1964" s="1" t="str">
        <v/>
      </c>
      <c r="S1964" s="3">
        <v>0</v>
      </c>
      <c r="T1964" s="3">
        <v>0</v>
      </c>
    </row>
    <row r="1965" spans="1:20" x14ac:dyDescent="0.25">
      <c r="A1965" t="s">
        <v>78</v>
      </c>
      <c r="B1965" t="s">
        <v>79</v>
      </c>
      <c r="C1965" t="s">
        <v>2823</v>
      </c>
      <c r="D1965" t="s">
        <v>2824</v>
      </c>
      <c r="E1965">
        <v>388.8</v>
      </c>
      <c r="F1965">
        <v>392.7</v>
      </c>
      <c r="G1965">
        <v>393.15</v>
      </c>
      <c r="H1965">
        <v>383.05</v>
      </c>
      <c r="I1965" s="1">
        <v>384.2</v>
      </c>
      <c r="J1965">
        <v>13823495.699999999</v>
      </c>
      <c r="K1965">
        <v>35647</v>
      </c>
      <c r="L1965" t="s">
        <v>78</v>
      </c>
      <c r="M1965" t="s">
        <v>17</v>
      </c>
      <c r="N1965">
        <v>3097</v>
      </c>
      <c r="O1965">
        <v>430</v>
      </c>
      <c r="P1965">
        <v>225</v>
      </c>
      <c r="Q1965" s="1">
        <v>443.05</v>
      </c>
      <c r="R1965" s="1">
        <v>18.8</v>
      </c>
      <c r="S1965" s="3">
        <v>-1.1806366401418411E-2</v>
      </c>
      <c r="T1965" s="3">
        <v>0.16274396446670458</v>
      </c>
    </row>
    <row r="1966" spans="1:20" x14ac:dyDescent="0.25">
      <c r="A1966" t="s">
        <v>78</v>
      </c>
      <c r="B1966" t="s">
        <v>287</v>
      </c>
      <c r="C1966" t="s">
        <v>5250</v>
      </c>
      <c r="D1966" t="s">
        <v>5249</v>
      </c>
      <c r="E1966">
        <v>51.7</v>
      </c>
      <c r="F1966">
        <v>46.8</v>
      </c>
      <c r="G1966">
        <v>56.85</v>
      </c>
      <c r="H1966">
        <v>46.8</v>
      </c>
      <c r="I1966" s="1">
        <v>56.85</v>
      </c>
      <c r="J1966">
        <v>1178775</v>
      </c>
      <c r="K1966">
        <v>21000</v>
      </c>
      <c r="L1966" t="s">
        <v>78</v>
      </c>
      <c r="M1966" t="s">
        <v>17</v>
      </c>
      <c r="N1966">
        <v>3</v>
      </c>
      <c r="O1966">
        <v>57.2</v>
      </c>
      <c r="P1966">
        <v>46.8</v>
      </c>
      <c r="Q1966" s="1" t="str">
        <v/>
      </c>
      <c r="R1966" s="1" t="str">
        <v/>
      </c>
      <c r="S1966" s="3">
        <v>0</v>
      </c>
      <c r="T1966" s="3">
        <v>0</v>
      </c>
    </row>
    <row r="1967" spans="1:20" x14ac:dyDescent="0.25">
      <c r="A1967" t="s">
        <v>78</v>
      </c>
      <c r="B1967" t="s">
        <v>287</v>
      </c>
      <c r="C1967" t="s">
        <v>5248</v>
      </c>
      <c r="D1967" t="s">
        <v>5247</v>
      </c>
      <c r="E1967">
        <v>142</v>
      </c>
      <c r="F1967">
        <v>142</v>
      </c>
      <c r="G1967">
        <v>143</v>
      </c>
      <c r="H1967">
        <v>139</v>
      </c>
      <c r="I1967" s="1">
        <v>141</v>
      </c>
      <c r="J1967">
        <v>1851600</v>
      </c>
      <c r="K1967">
        <v>13200</v>
      </c>
      <c r="L1967" t="s">
        <v>78</v>
      </c>
      <c r="M1967" t="s">
        <v>17</v>
      </c>
      <c r="N1967">
        <v>11</v>
      </c>
      <c r="O1967">
        <v>288.75</v>
      </c>
      <c r="P1967">
        <v>125</v>
      </c>
      <c r="Q1967" s="1" t="str">
        <v/>
      </c>
      <c r="R1967" s="1" t="str">
        <v/>
      </c>
      <c r="S1967" s="3">
        <v>0</v>
      </c>
      <c r="T1967" s="3">
        <v>0</v>
      </c>
    </row>
    <row r="1968" spans="1:20" x14ac:dyDescent="0.25">
      <c r="A1968" t="s">
        <v>78</v>
      </c>
      <c r="B1968" t="s">
        <v>79</v>
      </c>
      <c r="C1968" t="s">
        <v>2827</v>
      </c>
      <c r="D1968" t="s">
        <v>2828</v>
      </c>
      <c r="E1968">
        <v>5273</v>
      </c>
      <c r="F1968">
        <v>5319.85</v>
      </c>
      <c r="G1968">
        <v>5437</v>
      </c>
      <c r="H1968">
        <v>5169.1499999999996</v>
      </c>
      <c r="I1968" s="1">
        <v>5286.65</v>
      </c>
      <c r="J1968">
        <v>185657985.75</v>
      </c>
      <c r="K1968">
        <v>34871</v>
      </c>
      <c r="L1968" t="s">
        <v>78</v>
      </c>
      <c r="M1968" t="s">
        <v>17</v>
      </c>
      <c r="N1968">
        <v>8992</v>
      </c>
      <c r="O1968">
        <v>5743.35</v>
      </c>
      <c r="P1968">
        <v>2564</v>
      </c>
      <c r="Q1968" s="1">
        <v>1160.95</v>
      </c>
      <c r="R1968" s="1">
        <v>1070</v>
      </c>
      <c r="S1968" s="3">
        <v>0.13465523259051193</v>
      </c>
      <c r="T1968" s="3">
        <v>8.310569993093031E-2</v>
      </c>
    </row>
    <row r="1969" spans="1:20" x14ac:dyDescent="0.25">
      <c r="A1969" t="s">
        <v>78</v>
      </c>
      <c r="B1969" t="s">
        <v>79</v>
      </c>
      <c r="C1969" t="s">
        <v>2829</v>
      </c>
      <c r="D1969" t="s">
        <v>2830</v>
      </c>
      <c r="E1969">
        <v>146.83000000000001</v>
      </c>
      <c r="F1969">
        <v>146.9</v>
      </c>
      <c r="G1969">
        <v>148</v>
      </c>
      <c r="H1969">
        <v>141</v>
      </c>
      <c r="I1969" s="1">
        <v>143.57</v>
      </c>
      <c r="J1969">
        <v>43151748.369999997</v>
      </c>
      <c r="K1969">
        <v>300641</v>
      </c>
      <c r="L1969" t="s">
        <v>78</v>
      </c>
      <c r="M1969" t="s">
        <v>17</v>
      </c>
      <c r="N1969">
        <v>4032</v>
      </c>
      <c r="O1969">
        <v>157</v>
      </c>
      <c r="P1969">
        <v>105</v>
      </c>
      <c r="Q1969" s="1">
        <v>129.55000000000001</v>
      </c>
      <c r="R1969" s="1">
        <v>67.650000000000006</v>
      </c>
      <c r="S1969" s="3">
        <v>8.5997517336136031E-3</v>
      </c>
      <c r="T1969" s="3">
        <v>3.831910855638454E-2</v>
      </c>
    </row>
    <row r="1970" spans="1:20" x14ac:dyDescent="0.25">
      <c r="A1970" t="s">
        <v>78</v>
      </c>
      <c r="B1970" t="s">
        <v>79</v>
      </c>
      <c r="C1970" t="s">
        <v>2831</v>
      </c>
      <c r="D1970" t="s">
        <v>2832</v>
      </c>
      <c r="E1970">
        <v>458.65</v>
      </c>
      <c r="F1970">
        <v>456</v>
      </c>
      <c r="G1970">
        <v>465.2</v>
      </c>
      <c r="H1970">
        <v>452</v>
      </c>
      <c r="I1970" s="1">
        <v>459.05</v>
      </c>
      <c r="J1970">
        <v>143197917.40000001</v>
      </c>
      <c r="K1970">
        <v>311106</v>
      </c>
      <c r="L1970" t="s">
        <v>78</v>
      </c>
      <c r="M1970" t="s">
        <v>17</v>
      </c>
      <c r="N1970">
        <v>24444</v>
      </c>
      <c r="O1970">
        <v>527.54999999999995</v>
      </c>
      <c r="P1970">
        <v>276.25</v>
      </c>
      <c r="Q1970" s="1">
        <v>255.2</v>
      </c>
      <c r="R1970" s="1">
        <v>228.55</v>
      </c>
      <c r="S1970" s="3">
        <v>5.0142601002493903E-2</v>
      </c>
      <c r="T1970" s="3">
        <v>3.5465526954716609E-2</v>
      </c>
    </row>
    <row r="1971" spans="1:20" x14ac:dyDescent="0.25">
      <c r="A1971" t="s">
        <v>78</v>
      </c>
      <c r="B1971" t="s">
        <v>79</v>
      </c>
      <c r="C1971" t="s">
        <v>2833</v>
      </c>
      <c r="D1971" t="s">
        <v>2834</v>
      </c>
      <c r="E1971">
        <v>4332.1499999999996</v>
      </c>
      <c r="F1971">
        <v>4400</v>
      </c>
      <c r="G1971">
        <v>4400</v>
      </c>
      <c r="H1971">
        <v>4225</v>
      </c>
      <c r="I1971" s="1">
        <v>4279.3</v>
      </c>
      <c r="J1971">
        <v>9441965.6500000004</v>
      </c>
      <c r="K1971">
        <v>2200</v>
      </c>
      <c r="L1971" t="s">
        <v>78</v>
      </c>
      <c r="M1971" t="s">
        <v>17</v>
      </c>
      <c r="N1971">
        <v>889</v>
      </c>
      <c r="O1971">
        <v>4553.7</v>
      </c>
      <c r="P1971">
        <v>2425</v>
      </c>
      <c r="Q1971" s="1">
        <v>3105</v>
      </c>
      <c r="R1971" s="1">
        <v>1751.15</v>
      </c>
      <c r="S1971" s="3">
        <v>2.7091797197459133E-2</v>
      </c>
      <c r="T1971" s="3">
        <v>4.5663246764863441E-2</v>
      </c>
    </row>
    <row r="1972" spans="1:20" x14ac:dyDescent="0.25">
      <c r="A1972" t="s">
        <v>78</v>
      </c>
      <c r="B1972" t="s">
        <v>287</v>
      </c>
      <c r="C1972" t="s">
        <v>5246</v>
      </c>
      <c r="D1972" t="s">
        <v>5245</v>
      </c>
      <c r="E1972">
        <v>59.3</v>
      </c>
      <c r="F1972">
        <v>60</v>
      </c>
      <c r="G1972">
        <v>61</v>
      </c>
      <c r="H1972">
        <v>59</v>
      </c>
      <c r="I1972" s="1">
        <v>59.9</v>
      </c>
      <c r="J1972">
        <v>4564800</v>
      </c>
      <c r="K1972">
        <v>76000</v>
      </c>
      <c r="L1972" t="s">
        <v>78</v>
      </c>
      <c r="M1972" t="s">
        <v>17</v>
      </c>
      <c r="N1972">
        <v>32</v>
      </c>
      <c r="O1972">
        <v>72.900000000000006</v>
      </c>
      <c r="P1972">
        <v>37.200000000000003</v>
      </c>
      <c r="Q1972" s="1" t="str">
        <v/>
      </c>
      <c r="R1972" s="1" t="str">
        <v/>
      </c>
      <c r="S1972" s="3">
        <v>0</v>
      </c>
      <c r="T1972" s="3">
        <v>0</v>
      </c>
    </row>
    <row r="1973" spans="1:20" x14ac:dyDescent="0.25">
      <c r="A1973" t="s">
        <v>78</v>
      </c>
      <c r="B1973" t="s">
        <v>79</v>
      </c>
      <c r="C1973" t="s">
        <v>2835</v>
      </c>
      <c r="D1973" t="s">
        <v>2836</v>
      </c>
      <c r="E1973">
        <v>437.65</v>
      </c>
      <c r="F1973">
        <v>438</v>
      </c>
      <c r="G1973">
        <v>446.3</v>
      </c>
      <c r="H1973">
        <v>432.6</v>
      </c>
      <c r="I1973" s="1">
        <v>441</v>
      </c>
      <c r="J1973">
        <v>12780540</v>
      </c>
      <c r="K1973">
        <v>29063</v>
      </c>
      <c r="L1973" t="s">
        <v>78</v>
      </c>
      <c r="M1973" t="s">
        <v>17</v>
      </c>
      <c r="N1973">
        <v>1787</v>
      </c>
      <c r="O1973">
        <v>496.9</v>
      </c>
      <c r="P1973">
        <v>381.55</v>
      </c>
      <c r="Q1973" s="1">
        <v>251.05</v>
      </c>
      <c r="R1973" s="1">
        <v>59</v>
      </c>
      <c r="S1973" s="3">
        <v>4.8068971339863653E-2</v>
      </c>
      <c r="T1973" s="3">
        <v>0.1057460792371876</v>
      </c>
    </row>
    <row r="1974" spans="1:20" x14ac:dyDescent="0.25">
      <c r="A1974" t="s">
        <v>78</v>
      </c>
      <c r="B1974" t="s">
        <v>79</v>
      </c>
      <c r="C1974" t="s">
        <v>5244</v>
      </c>
      <c r="D1974" t="s">
        <v>5243</v>
      </c>
      <c r="E1974">
        <v>775.6</v>
      </c>
      <c r="F1974">
        <v>780.7</v>
      </c>
      <c r="G1974">
        <v>782.8</v>
      </c>
      <c r="H1974">
        <v>753.05</v>
      </c>
      <c r="I1974" s="1">
        <v>765.7</v>
      </c>
      <c r="J1974">
        <v>124955277</v>
      </c>
      <c r="K1974">
        <v>163969</v>
      </c>
      <c r="L1974" t="s">
        <v>78</v>
      </c>
      <c r="M1974" t="s">
        <v>17</v>
      </c>
      <c r="N1974">
        <v>17855</v>
      </c>
      <c r="O1974">
        <v>880</v>
      </c>
      <c r="P1974">
        <v>437.25</v>
      </c>
      <c r="Q1974" s="1" t="str">
        <v/>
      </c>
      <c r="R1974" s="1" t="str">
        <v/>
      </c>
      <c r="S1974" s="3">
        <v>0</v>
      </c>
      <c r="T1974" s="3">
        <v>0</v>
      </c>
    </row>
    <row r="1975" spans="1:20" x14ac:dyDescent="0.25">
      <c r="A1975" t="s">
        <v>78</v>
      </c>
      <c r="B1975" t="s">
        <v>79</v>
      </c>
      <c r="C1975" t="s">
        <v>3549</v>
      </c>
      <c r="D1975" t="s">
        <v>3550</v>
      </c>
      <c r="E1975">
        <v>3.82</v>
      </c>
      <c r="F1975">
        <v>3.86</v>
      </c>
      <c r="G1975">
        <v>3.89</v>
      </c>
      <c r="H1975">
        <v>3.78</v>
      </c>
      <c r="I1975" s="1">
        <v>3.79</v>
      </c>
      <c r="J1975">
        <v>27036752.690000001</v>
      </c>
      <c r="K1975">
        <v>7063063</v>
      </c>
      <c r="L1975" t="s">
        <v>78</v>
      </c>
      <c r="M1975" t="s">
        <v>17</v>
      </c>
      <c r="N1975">
        <v>7296</v>
      </c>
      <c r="O1975">
        <v>5.65</v>
      </c>
      <c r="P1975">
        <v>3</v>
      </c>
      <c r="Q1975" s="1">
        <v>1.8</v>
      </c>
      <c r="R1975" s="1">
        <v>4.1500000000000004</v>
      </c>
      <c r="S1975" s="3">
        <v>6.4013713555119534E-2</v>
      </c>
      <c r="T1975" s="3">
        <v>-4.5243651120452366E-3</v>
      </c>
    </row>
    <row r="1976" spans="1:20" x14ac:dyDescent="0.25">
      <c r="A1976" t="s">
        <v>78</v>
      </c>
      <c r="B1976" t="s">
        <v>79</v>
      </c>
      <c r="C1976" t="s">
        <v>2837</v>
      </c>
      <c r="D1976" t="s">
        <v>2838</v>
      </c>
      <c r="E1976">
        <v>5.17</v>
      </c>
      <c r="F1976">
        <v>5.27</v>
      </c>
      <c r="G1976">
        <v>5.53</v>
      </c>
      <c r="H1976">
        <v>5.26</v>
      </c>
      <c r="I1976" s="1">
        <v>5.29</v>
      </c>
      <c r="J1976">
        <v>105671758.15000001</v>
      </c>
      <c r="K1976">
        <v>19638846</v>
      </c>
      <c r="L1976" t="s">
        <v>78</v>
      </c>
      <c r="M1976" t="s">
        <v>17</v>
      </c>
      <c r="N1976">
        <v>16738</v>
      </c>
      <c r="O1976">
        <v>8</v>
      </c>
      <c r="P1976">
        <v>3</v>
      </c>
      <c r="Q1976" s="1">
        <v>3.85</v>
      </c>
      <c r="R1976" s="1" t="str">
        <v/>
      </c>
      <c r="S1976" s="3">
        <v>2.6832435189818149E-2</v>
      </c>
      <c r="T1976" s="3">
        <v>0</v>
      </c>
    </row>
    <row r="1977" spans="1:20" x14ac:dyDescent="0.25">
      <c r="A1977" t="s">
        <v>78</v>
      </c>
      <c r="B1977" t="s">
        <v>287</v>
      </c>
      <c r="C1977" t="s">
        <v>5242</v>
      </c>
      <c r="D1977" t="s">
        <v>5241</v>
      </c>
      <c r="E1977">
        <v>18.25</v>
      </c>
      <c r="F1977">
        <v>18.05</v>
      </c>
      <c r="G1977">
        <v>18.05</v>
      </c>
      <c r="H1977">
        <v>18</v>
      </c>
      <c r="I1977" s="1">
        <v>18</v>
      </c>
      <c r="J1977">
        <v>144200</v>
      </c>
      <c r="K1977">
        <v>8000</v>
      </c>
      <c r="L1977" t="s">
        <v>78</v>
      </c>
      <c r="M1977" t="s">
        <v>17</v>
      </c>
      <c r="N1977">
        <v>2</v>
      </c>
      <c r="O1977">
        <v>30.45</v>
      </c>
      <c r="P1977">
        <v>15.75</v>
      </c>
      <c r="Q1977" s="1" t="str">
        <v/>
      </c>
      <c r="R1977" s="1" t="str">
        <v/>
      </c>
      <c r="S1977" s="3">
        <v>0</v>
      </c>
      <c r="T1977" s="3">
        <v>0</v>
      </c>
    </row>
    <row r="1978" spans="1:20" x14ac:dyDescent="0.25">
      <c r="A1978" t="s">
        <v>78</v>
      </c>
      <c r="B1978" t="s">
        <v>79</v>
      </c>
      <c r="C1978" t="s">
        <v>2843</v>
      </c>
      <c r="D1978" t="s">
        <v>2844</v>
      </c>
      <c r="E1978">
        <v>562.65</v>
      </c>
      <c r="F1978">
        <v>553.04999999999995</v>
      </c>
      <c r="G1978">
        <v>558.65</v>
      </c>
      <c r="H1978">
        <v>524.54999999999995</v>
      </c>
      <c r="I1978" s="1">
        <v>533.85</v>
      </c>
      <c r="J1978">
        <v>66361854.299999997</v>
      </c>
      <c r="K1978">
        <v>123283</v>
      </c>
      <c r="L1978" t="s">
        <v>78</v>
      </c>
      <c r="M1978" t="s">
        <v>17</v>
      </c>
      <c r="N1978">
        <v>8271</v>
      </c>
      <c r="O1978">
        <v>623.15</v>
      </c>
      <c r="P1978">
        <v>390.3</v>
      </c>
      <c r="Q1978" s="1">
        <v>299.25</v>
      </c>
      <c r="R1978" s="1">
        <v>142.94999999999999</v>
      </c>
      <c r="S1978" s="3">
        <v>4.9418599812681707E-2</v>
      </c>
      <c r="T1978" s="3">
        <v>6.8061069074651259E-2</v>
      </c>
    </row>
    <row r="1979" spans="1:20" x14ac:dyDescent="0.25">
      <c r="A1979" t="s">
        <v>78</v>
      </c>
      <c r="B1979" t="s">
        <v>79</v>
      </c>
      <c r="C1979" t="s">
        <v>2845</v>
      </c>
      <c r="D1979" t="s">
        <v>2846</v>
      </c>
      <c r="E1979">
        <v>1920.85</v>
      </c>
      <c r="F1979">
        <v>1900.35</v>
      </c>
      <c r="G1979">
        <v>1945</v>
      </c>
      <c r="H1979">
        <v>1896</v>
      </c>
      <c r="I1979" s="1">
        <v>1935.45</v>
      </c>
      <c r="J1979">
        <v>131456092.75</v>
      </c>
      <c r="K1979">
        <v>68442</v>
      </c>
      <c r="L1979" t="s">
        <v>78</v>
      </c>
      <c r="M1979" t="s">
        <v>17</v>
      </c>
      <c r="N1979">
        <v>9516</v>
      </c>
      <c r="O1979">
        <v>1985</v>
      </c>
      <c r="P1979">
        <v>1462.2</v>
      </c>
      <c r="Q1979" s="1">
        <v>1905</v>
      </c>
      <c r="R1979" s="1">
        <v>2060.1</v>
      </c>
      <c r="S1979" s="3">
        <v>1.3223609663461922E-3</v>
      </c>
      <c r="T1979" s="3">
        <v>-3.1141652288182442E-3</v>
      </c>
    </row>
    <row r="1980" spans="1:20" x14ac:dyDescent="0.25">
      <c r="A1980" t="s">
        <v>78</v>
      </c>
      <c r="B1980" t="s">
        <v>79</v>
      </c>
      <c r="C1980" t="s">
        <v>2847</v>
      </c>
      <c r="D1980" t="s">
        <v>2848</v>
      </c>
      <c r="E1980">
        <v>2653.1</v>
      </c>
      <c r="F1980">
        <v>2655.7</v>
      </c>
      <c r="G1980">
        <v>2732</v>
      </c>
      <c r="H1980">
        <v>2621.6</v>
      </c>
      <c r="I1980" s="1">
        <v>2715.4</v>
      </c>
      <c r="J1980">
        <v>281215811.30000001</v>
      </c>
      <c r="K1980">
        <v>104768</v>
      </c>
      <c r="L1980" t="s">
        <v>78</v>
      </c>
      <c r="M1980" t="s">
        <v>17</v>
      </c>
      <c r="N1980">
        <v>12514</v>
      </c>
      <c r="O1980">
        <v>2898.7</v>
      </c>
      <c r="P1980">
        <v>1861.55</v>
      </c>
      <c r="Q1980" s="1">
        <v>1332.9</v>
      </c>
      <c r="R1980" s="1">
        <v>989.65</v>
      </c>
      <c r="S1980" s="3">
        <v>6.1091951745065876E-2</v>
      </c>
      <c r="T1980" s="3">
        <v>5.1733254918776339E-2</v>
      </c>
    </row>
    <row r="1981" spans="1:20" x14ac:dyDescent="0.25">
      <c r="A1981" t="s">
        <v>78</v>
      </c>
      <c r="B1981" t="s">
        <v>79</v>
      </c>
      <c r="C1981" t="s">
        <v>2849</v>
      </c>
      <c r="D1981" t="s">
        <v>2850</v>
      </c>
      <c r="E1981">
        <v>61.67</v>
      </c>
      <c r="F1981">
        <v>62</v>
      </c>
      <c r="G1981">
        <v>63.02</v>
      </c>
      <c r="H1981">
        <v>58.2</v>
      </c>
      <c r="I1981" s="1">
        <v>58.8</v>
      </c>
      <c r="J1981">
        <v>3376566.54</v>
      </c>
      <c r="K1981">
        <v>56138</v>
      </c>
      <c r="L1981" t="s">
        <v>78</v>
      </c>
      <c r="M1981" t="s">
        <v>17</v>
      </c>
      <c r="N1981">
        <v>1511</v>
      </c>
      <c r="O1981">
        <v>88.9</v>
      </c>
      <c r="P1981">
        <v>46.6</v>
      </c>
      <c r="Q1981" s="1">
        <v>100.3</v>
      </c>
      <c r="R1981" s="1" t="str">
        <v/>
      </c>
      <c r="S1981" s="3">
        <v>-4.3526300107729954E-2</v>
      </c>
      <c r="T1981" s="3">
        <v>0</v>
      </c>
    </row>
    <row r="1982" spans="1:20" x14ac:dyDescent="0.25">
      <c r="A1982" t="s">
        <v>78</v>
      </c>
      <c r="B1982" t="s">
        <v>79</v>
      </c>
      <c r="C1982" t="s">
        <v>5240</v>
      </c>
      <c r="D1982" t="s">
        <v>5239</v>
      </c>
      <c r="E1982">
        <v>4.25</v>
      </c>
      <c r="F1982">
        <v>4.25</v>
      </c>
      <c r="G1982">
        <v>4.3</v>
      </c>
      <c r="H1982">
        <v>4.16</v>
      </c>
      <c r="I1982" s="1">
        <v>4.1900000000000004</v>
      </c>
      <c r="J1982">
        <v>2081874.96</v>
      </c>
      <c r="K1982">
        <v>494554</v>
      </c>
      <c r="L1982" t="s">
        <v>78</v>
      </c>
      <c r="M1982" t="s">
        <v>17</v>
      </c>
      <c r="N1982">
        <v>1085</v>
      </c>
      <c r="O1982">
        <v>5.6</v>
      </c>
      <c r="P1982">
        <v>2.4500000000000002</v>
      </c>
      <c r="Q1982" s="1" t="str">
        <v/>
      </c>
      <c r="R1982" s="1" t="str">
        <v/>
      </c>
      <c r="S1982" s="3">
        <v>0</v>
      </c>
      <c r="T1982" s="3">
        <v>0</v>
      </c>
    </row>
    <row r="1983" spans="1:20" x14ac:dyDescent="0.25">
      <c r="A1983" t="s">
        <v>78</v>
      </c>
      <c r="B1983" t="s">
        <v>287</v>
      </c>
      <c r="C1983" t="s">
        <v>5238</v>
      </c>
      <c r="D1983" t="s">
        <v>5237</v>
      </c>
      <c r="E1983">
        <v>417.05</v>
      </c>
      <c r="F1983">
        <v>406</v>
      </c>
      <c r="G1983">
        <v>449.7</v>
      </c>
      <c r="H1983">
        <v>406</v>
      </c>
      <c r="I1983" s="1">
        <v>416</v>
      </c>
      <c r="J1983">
        <v>18921125</v>
      </c>
      <c r="K1983">
        <v>44000</v>
      </c>
      <c r="L1983" t="s">
        <v>78</v>
      </c>
      <c r="M1983" t="s">
        <v>17</v>
      </c>
      <c r="N1983">
        <v>77</v>
      </c>
      <c r="O1983">
        <v>449.7</v>
      </c>
      <c r="P1983">
        <v>238</v>
      </c>
      <c r="Q1983" s="1" t="str">
        <v/>
      </c>
      <c r="R1983" s="1" t="str">
        <v/>
      </c>
      <c r="S1983" s="3">
        <v>0</v>
      </c>
      <c r="T1983" s="3">
        <v>0</v>
      </c>
    </row>
    <row r="1984" spans="1:20" x14ac:dyDescent="0.25">
      <c r="A1984" t="s">
        <v>78</v>
      </c>
      <c r="B1984" t="s">
        <v>79</v>
      </c>
      <c r="C1984" t="s">
        <v>2851</v>
      </c>
      <c r="D1984" t="s">
        <v>2852</v>
      </c>
      <c r="E1984">
        <v>412.4</v>
      </c>
      <c r="F1984">
        <v>417.75</v>
      </c>
      <c r="G1984">
        <v>417.75</v>
      </c>
      <c r="H1984">
        <v>402.4</v>
      </c>
      <c r="I1984" s="1">
        <v>404.45</v>
      </c>
      <c r="J1984">
        <v>18265516.649999999</v>
      </c>
      <c r="K1984">
        <v>44787</v>
      </c>
      <c r="L1984" t="s">
        <v>78</v>
      </c>
      <c r="M1984" t="s">
        <v>17</v>
      </c>
      <c r="N1984">
        <v>3581</v>
      </c>
      <c r="O1984">
        <v>520</v>
      </c>
      <c r="P1984">
        <v>311.39999999999998</v>
      </c>
      <c r="Q1984" s="1">
        <v>158</v>
      </c>
      <c r="R1984" s="1">
        <v>67.150000000000006</v>
      </c>
      <c r="S1984" s="3">
        <v>8.147706248490727E-2</v>
      </c>
      <c r="T1984" s="3">
        <v>9.387976317252833E-2</v>
      </c>
    </row>
    <row r="1985" spans="1:20" x14ac:dyDescent="0.25">
      <c r="A1985" t="s">
        <v>78</v>
      </c>
      <c r="B1985" t="s">
        <v>79</v>
      </c>
      <c r="C1985" t="s">
        <v>2853</v>
      </c>
      <c r="D1985" t="s">
        <v>2854</v>
      </c>
      <c r="E1985">
        <v>51.32</v>
      </c>
      <c r="F1985">
        <v>51</v>
      </c>
      <c r="G1985">
        <v>51.58</v>
      </c>
      <c r="H1985">
        <v>47.15</v>
      </c>
      <c r="I1985" s="1">
        <v>47.72</v>
      </c>
      <c r="J1985">
        <v>71422312.670000002</v>
      </c>
      <c r="K1985">
        <v>1468597</v>
      </c>
      <c r="L1985" t="s">
        <v>78</v>
      </c>
      <c r="M1985" t="s">
        <v>17</v>
      </c>
      <c r="N1985">
        <v>6966</v>
      </c>
      <c r="O1985">
        <v>59.7</v>
      </c>
      <c r="P1985">
        <v>28.6</v>
      </c>
      <c r="Q1985" s="1">
        <v>20.6</v>
      </c>
      <c r="R1985" s="1">
        <v>14.05</v>
      </c>
      <c r="S1985" s="3">
        <v>7.2513501036169714E-2</v>
      </c>
      <c r="T1985" s="3">
        <v>6.3008322956583873E-2</v>
      </c>
    </row>
    <row r="1986" spans="1:20" x14ac:dyDescent="0.25">
      <c r="A1986" t="s">
        <v>78</v>
      </c>
      <c r="B1986" t="s">
        <v>79</v>
      </c>
      <c r="C1986" t="s">
        <v>2855</v>
      </c>
      <c r="D1986" t="s">
        <v>2856</v>
      </c>
      <c r="E1986">
        <v>479.05</v>
      </c>
      <c r="F1986">
        <v>480</v>
      </c>
      <c r="G1986">
        <v>480</v>
      </c>
      <c r="H1986">
        <v>470.4</v>
      </c>
      <c r="I1986" s="1">
        <v>472.55</v>
      </c>
      <c r="J1986">
        <v>77517694.75</v>
      </c>
      <c r="K1986">
        <v>163652</v>
      </c>
      <c r="L1986" t="s">
        <v>78</v>
      </c>
      <c r="M1986" t="s">
        <v>17</v>
      </c>
      <c r="N1986">
        <v>8207</v>
      </c>
      <c r="O1986">
        <v>722.85</v>
      </c>
      <c r="P1986">
        <v>428.5</v>
      </c>
      <c r="Q1986" s="1">
        <v>400</v>
      </c>
      <c r="R1986" s="1">
        <v>400</v>
      </c>
      <c r="S1986" s="3">
        <v>1.3986830955303731E-2</v>
      </c>
      <c r="T1986" s="3">
        <v>8.3641725248446708E-3</v>
      </c>
    </row>
    <row r="1987" spans="1:20" x14ac:dyDescent="0.25">
      <c r="A1987" t="s">
        <v>78</v>
      </c>
      <c r="B1987" t="s">
        <v>79</v>
      </c>
      <c r="C1987" t="s">
        <v>3551</v>
      </c>
      <c r="D1987" t="s">
        <v>3552</v>
      </c>
      <c r="E1987">
        <v>47.82</v>
      </c>
      <c r="F1987">
        <v>46</v>
      </c>
      <c r="G1987">
        <v>47.64</v>
      </c>
      <c r="H1987">
        <v>45.42</v>
      </c>
      <c r="I1987" s="1">
        <v>45.78</v>
      </c>
      <c r="J1987">
        <v>39567122.130000003</v>
      </c>
      <c r="K1987">
        <v>866466</v>
      </c>
      <c r="L1987" t="s">
        <v>78</v>
      </c>
      <c r="M1987" t="s">
        <v>17</v>
      </c>
      <c r="N1987">
        <v>2231</v>
      </c>
      <c r="O1987">
        <v>53.01</v>
      </c>
      <c r="P1987">
        <v>12.85</v>
      </c>
      <c r="Q1987" s="1">
        <v>33.15</v>
      </c>
      <c r="R1987" s="1">
        <v>40.85</v>
      </c>
      <c r="S1987" s="3">
        <v>2.7265464724490984E-2</v>
      </c>
      <c r="T1987" s="3">
        <v>5.7101457990069715E-3</v>
      </c>
    </row>
    <row r="1988" spans="1:20" x14ac:dyDescent="0.25">
      <c r="A1988" t="s">
        <v>78</v>
      </c>
      <c r="B1988" t="s">
        <v>79</v>
      </c>
      <c r="C1988" t="s">
        <v>5236</v>
      </c>
      <c r="D1988" t="s">
        <v>5235</v>
      </c>
      <c r="E1988">
        <v>33.9</v>
      </c>
      <c r="F1988">
        <v>34.4</v>
      </c>
      <c r="G1988">
        <v>34.4</v>
      </c>
      <c r="H1988">
        <v>33.21</v>
      </c>
      <c r="I1988" s="1">
        <v>33.46</v>
      </c>
      <c r="J1988">
        <v>9628255.1199999992</v>
      </c>
      <c r="K1988">
        <v>287206</v>
      </c>
      <c r="L1988" t="s">
        <v>78</v>
      </c>
      <c r="M1988" t="s">
        <v>17</v>
      </c>
      <c r="N1988">
        <v>1893</v>
      </c>
      <c r="O1988">
        <v>44</v>
      </c>
      <c r="P1988">
        <v>28.25</v>
      </c>
      <c r="Q1988" s="1" t="str">
        <v/>
      </c>
      <c r="R1988" s="1" t="str">
        <v/>
      </c>
      <c r="S1988" s="3">
        <v>0</v>
      </c>
      <c r="T1988" s="3">
        <v>0</v>
      </c>
    </row>
    <row r="1989" spans="1:20" x14ac:dyDescent="0.25">
      <c r="A1989" t="s">
        <v>78</v>
      </c>
      <c r="B1989" t="s">
        <v>79</v>
      </c>
      <c r="C1989" t="s">
        <v>2857</v>
      </c>
      <c r="D1989" t="s">
        <v>2858</v>
      </c>
      <c r="E1989">
        <v>111.38</v>
      </c>
      <c r="F1989">
        <v>111.86</v>
      </c>
      <c r="G1989">
        <v>112</v>
      </c>
      <c r="H1989">
        <v>109.5</v>
      </c>
      <c r="I1989" s="1">
        <v>111.06</v>
      </c>
      <c r="J1989">
        <v>19098323.530000001</v>
      </c>
      <c r="K1989">
        <v>172634</v>
      </c>
      <c r="L1989" t="s">
        <v>78</v>
      </c>
      <c r="M1989" t="s">
        <v>17</v>
      </c>
      <c r="N1989">
        <v>2662</v>
      </c>
      <c r="O1989">
        <v>177.95</v>
      </c>
      <c r="P1989">
        <v>80</v>
      </c>
      <c r="Q1989" s="1">
        <v>747.25</v>
      </c>
      <c r="R1989" s="1">
        <v>275.39999999999998</v>
      </c>
      <c r="S1989" s="3">
        <v>-0.14688486761643305</v>
      </c>
      <c r="T1989" s="3">
        <v>-4.4368434757170783E-2</v>
      </c>
    </row>
    <row r="1990" spans="1:20" x14ac:dyDescent="0.25">
      <c r="A1990" t="s">
        <v>78</v>
      </c>
      <c r="B1990" t="s">
        <v>287</v>
      </c>
      <c r="C1990" t="s">
        <v>5234</v>
      </c>
      <c r="D1990" t="s">
        <v>5233</v>
      </c>
      <c r="E1990">
        <v>39.700000000000003</v>
      </c>
      <c r="F1990">
        <v>39</v>
      </c>
      <c r="G1990">
        <v>40</v>
      </c>
      <c r="H1990">
        <v>39</v>
      </c>
      <c r="I1990" s="1">
        <v>39.049999999999997</v>
      </c>
      <c r="J1990">
        <v>1885800</v>
      </c>
      <c r="K1990">
        <v>48000</v>
      </c>
      <c r="L1990" t="s">
        <v>78</v>
      </c>
      <c r="M1990" t="s">
        <v>17</v>
      </c>
      <c r="N1990">
        <v>16</v>
      </c>
      <c r="O1990">
        <v>48.75</v>
      </c>
      <c r="P1990">
        <v>38</v>
      </c>
      <c r="Q1990" s="1" t="str">
        <v/>
      </c>
      <c r="R1990" s="1" t="str">
        <v/>
      </c>
      <c r="S1990" s="3">
        <v>0</v>
      </c>
      <c r="T1990" s="3">
        <v>0</v>
      </c>
    </row>
    <row r="1991" spans="1:20" x14ac:dyDescent="0.25">
      <c r="A1991" t="s">
        <v>78</v>
      </c>
      <c r="B1991" t="s">
        <v>79</v>
      </c>
      <c r="C1991" t="s">
        <v>2861</v>
      </c>
      <c r="D1991" t="s">
        <v>2862</v>
      </c>
      <c r="E1991">
        <v>450.75</v>
      </c>
      <c r="F1991">
        <v>445.25</v>
      </c>
      <c r="G1991">
        <v>450</v>
      </c>
      <c r="H1991">
        <v>423.05</v>
      </c>
      <c r="I1991" s="1">
        <v>431.55</v>
      </c>
      <c r="J1991">
        <v>40324315.850000001</v>
      </c>
      <c r="K1991">
        <v>92409</v>
      </c>
      <c r="L1991" t="s">
        <v>78</v>
      </c>
      <c r="M1991" t="s">
        <v>17</v>
      </c>
      <c r="N1991">
        <v>3352</v>
      </c>
      <c r="O1991">
        <v>484</v>
      </c>
      <c r="P1991">
        <v>247</v>
      </c>
      <c r="Q1991" s="1">
        <v>575.95000000000005</v>
      </c>
      <c r="R1991" s="1">
        <v>111.3</v>
      </c>
      <c r="S1991" s="3">
        <v>-2.3766151822402382E-2</v>
      </c>
      <c r="T1991" s="3">
        <v>7.0066288946993405E-2</v>
      </c>
    </row>
    <row r="1992" spans="1:20" x14ac:dyDescent="0.25">
      <c r="A1992" t="s">
        <v>78</v>
      </c>
      <c r="B1992" t="s">
        <v>287</v>
      </c>
      <c r="C1992" t="s">
        <v>5232</v>
      </c>
      <c r="D1992" t="s">
        <v>5231</v>
      </c>
      <c r="E1992">
        <v>246</v>
      </c>
      <c r="F1992">
        <v>241</v>
      </c>
      <c r="G1992">
        <v>244</v>
      </c>
      <c r="H1992">
        <v>237.2</v>
      </c>
      <c r="I1992" s="1">
        <v>241.1</v>
      </c>
      <c r="J1992">
        <v>5304300</v>
      </c>
      <c r="K1992">
        <v>22000</v>
      </c>
      <c r="L1992" t="s">
        <v>78</v>
      </c>
      <c r="M1992" t="s">
        <v>17</v>
      </c>
      <c r="N1992">
        <v>41</v>
      </c>
      <c r="O1992">
        <v>465.45</v>
      </c>
      <c r="P1992">
        <v>73</v>
      </c>
      <c r="Q1992" s="1" t="str">
        <v/>
      </c>
      <c r="R1992" s="1" t="str">
        <v/>
      </c>
      <c r="S1992" s="3">
        <v>0</v>
      </c>
      <c r="T1992" s="3">
        <v>0</v>
      </c>
    </row>
    <row r="1993" spans="1:20" x14ac:dyDescent="0.25">
      <c r="A1993" t="s">
        <v>78</v>
      </c>
      <c r="B1993" t="s">
        <v>79</v>
      </c>
      <c r="C1993" t="s">
        <v>2863</v>
      </c>
      <c r="D1993" t="s">
        <v>2864</v>
      </c>
      <c r="E1993">
        <v>16.940000000000001</v>
      </c>
      <c r="F1993">
        <v>16.940000000000001</v>
      </c>
      <c r="G1993">
        <v>16.989999999999998</v>
      </c>
      <c r="H1993">
        <v>16.29</v>
      </c>
      <c r="I1993" s="1">
        <v>16.32</v>
      </c>
      <c r="J1993">
        <v>25859595.52</v>
      </c>
      <c r="K1993">
        <v>1562172</v>
      </c>
      <c r="L1993" t="s">
        <v>78</v>
      </c>
      <c r="M1993" t="s">
        <v>17</v>
      </c>
      <c r="N1993">
        <v>5089</v>
      </c>
      <c r="O1993">
        <v>20.05</v>
      </c>
      <c r="P1993">
        <v>14.1</v>
      </c>
      <c r="Q1993" s="1">
        <v>141.80000000000001</v>
      </c>
      <c r="R1993" s="1" t="str">
        <v/>
      </c>
      <c r="S1993" s="3">
        <v>-0.16487081655082214</v>
      </c>
      <c r="T1993" s="3">
        <v>0</v>
      </c>
    </row>
    <row r="1994" spans="1:20" x14ac:dyDescent="0.25">
      <c r="A1994" t="s">
        <v>78</v>
      </c>
      <c r="B1994" t="s">
        <v>287</v>
      </c>
      <c r="C1994" t="s">
        <v>5230</v>
      </c>
      <c r="D1994" t="s">
        <v>5229</v>
      </c>
      <c r="E1994">
        <v>75.400000000000006</v>
      </c>
      <c r="F1994">
        <v>75.400000000000006</v>
      </c>
      <c r="G1994">
        <v>76</v>
      </c>
      <c r="H1994">
        <v>73</v>
      </c>
      <c r="I1994" s="1">
        <v>74.8</v>
      </c>
      <c r="J1994">
        <v>1305440</v>
      </c>
      <c r="K1994">
        <v>17600</v>
      </c>
      <c r="L1994" t="s">
        <v>78</v>
      </c>
      <c r="M1994" t="s">
        <v>17</v>
      </c>
      <c r="N1994">
        <v>11</v>
      </c>
      <c r="O1994">
        <v>96.7</v>
      </c>
      <c r="P1994">
        <v>70</v>
      </c>
      <c r="Q1994" s="1" t="str">
        <v/>
      </c>
      <c r="R1994" s="1" t="str">
        <v/>
      </c>
      <c r="S1994" s="3">
        <v>0</v>
      </c>
      <c r="T1994" s="3">
        <v>0</v>
      </c>
    </row>
    <row r="1995" spans="1:20" x14ac:dyDescent="0.25">
      <c r="A1995" t="s">
        <v>78</v>
      </c>
      <c r="B1995" t="s">
        <v>287</v>
      </c>
      <c r="C1995" t="s">
        <v>5228</v>
      </c>
      <c r="D1995" t="s">
        <v>5227</v>
      </c>
      <c r="E1995">
        <v>78</v>
      </c>
      <c r="F1995">
        <v>81</v>
      </c>
      <c r="G1995">
        <v>81.900000000000006</v>
      </c>
      <c r="H1995">
        <v>80.900000000000006</v>
      </c>
      <c r="I1995" s="1">
        <v>81</v>
      </c>
      <c r="J1995">
        <v>912000</v>
      </c>
      <c r="K1995">
        <v>11200</v>
      </c>
      <c r="L1995" t="s">
        <v>78</v>
      </c>
      <c r="M1995" t="s">
        <v>17</v>
      </c>
      <c r="N1995">
        <v>7</v>
      </c>
      <c r="O1995">
        <v>127</v>
      </c>
      <c r="P1995">
        <v>69.599999999999994</v>
      </c>
      <c r="Q1995" s="1" t="str">
        <v/>
      </c>
      <c r="R1995" s="1" t="str">
        <v/>
      </c>
      <c r="S1995" s="3">
        <v>0</v>
      </c>
      <c r="T1995" s="3">
        <v>0</v>
      </c>
    </row>
    <row r="1996" spans="1:20" x14ac:dyDescent="0.25">
      <c r="A1996" t="s">
        <v>78</v>
      </c>
      <c r="B1996" t="s">
        <v>79</v>
      </c>
      <c r="C1996" t="s">
        <v>5226</v>
      </c>
      <c r="D1996" t="s">
        <v>5225</v>
      </c>
      <c r="E1996">
        <v>82.43</v>
      </c>
      <c r="F1996">
        <v>83</v>
      </c>
      <c r="G1996">
        <v>86.55</v>
      </c>
      <c r="H1996">
        <v>79.11</v>
      </c>
      <c r="I1996" s="1">
        <v>86.55</v>
      </c>
      <c r="J1996">
        <v>122177215.94</v>
      </c>
      <c r="K1996">
        <v>1458775</v>
      </c>
      <c r="L1996" t="s">
        <v>78</v>
      </c>
      <c r="M1996" t="s">
        <v>17</v>
      </c>
      <c r="N1996">
        <v>4381</v>
      </c>
      <c r="O1996">
        <v>87</v>
      </c>
      <c r="P1996">
        <v>28.75</v>
      </c>
      <c r="Q1996" s="1" t="str">
        <v/>
      </c>
      <c r="R1996" s="1" t="str">
        <v/>
      </c>
      <c r="S1996" s="3">
        <v>0</v>
      </c>
      <c r="T1996" s="3">
        <v>0</v>
      </c>
    </row>
    <row r="1997" spans="1:20" x14ac:dyDescent="0.25">
      <c r="A1997" t="s">
        <v>78</v>
      </c>
      <c r="B1997" t="s">
        <v>79</v>
      </c>
      <c r="C1997" t="s">
        <v>2865</v>
      </c>
      <c r="D1997" t="s">
        <v>2866</v>
      </c>
      <c r="E1997">
        <v>313.55</v>
      </c>
      <c r="F1997">
        <v>313.55</v>
      </c>
      <c r="G1997">
        <v>318</v>
      </c>
      <c r="H1997">
        <v>307</v>
      </c>
      <c r="I1997" s="1">
        <v>312.3</v>
      </c>
      <c r="J1997">
        <v>52709801.899999999</v>
      </c>
      <c r="K1997">
        <v>168605</v>
      </c>
      <c r="L1997" t="s">
        <v>78</v>
      </c>
      <c r="M1997" t="s">
        <v>17</v>
      </c>
      <c r="N1997">
        <v>10300</v>
      </c>
      <c r="O1997">
        <v>337.15</v>
      </c>
      <c r="P1997">
        <v>165</v>
      </c>
      <c r="Q1997" s="1">
        <v>223</v>
      </c>
      <c r="R1997" s="1">
        <v>48.05</v>
      </c>
      <c r="S1997" s="3">
        <v>2.8463603014541095E-2</v>
      </c>
      <c r="T1997" s="3">
        <v>9.8048874584338197E-2</v>
      </c>
    </row>
    <row r="1998" spans="1:20" x14ac:dyDescent="0.25">
      <c r="A1998" t="s">
        <v>78</v>
      </c>
      <c r="B1998" t="s">
        <v>287</v>
      </c>
      <c r="C1998" t="s">
        <v>2867</v>
      </c>
      <c r="D1998" t="s">
        <v>2868</v>
      </c>
      <c r="E1998">
        <v>197.1</v>
      </c>
      <c r="F1998">
        <v>200</v>
      </c>
      <c r="G1998">
        <v>200</v>
      </c>
      <c r="H1998">
        <v>188.1</v>
      </c>
      <c r="I1998" s="1">
        <v>190.65</v>
      </c>
      <c r="J1998">
        <v>10245150</v>
      </c>
      <c r="K1998">
        <v>53000</v>
      </c>
      <c r="L1998" t="s">
        <v>78</v>
      </c>
      <c r="M1998" t="s">
        <v>17</v>
      </c>
      <c r="N1998">
        <v>50</v>
      </c>
      <c r="O1998">
        <v>219.7</v>
      </c>
      <c r="P1998">
        <v>69.650000000000006</v>
      </c>
      <c r="Q1998" s="1">
        <v>33</v>
      </c>
      <c r="R1998" s="1" t="str">
        <v/>
      </c>
      <c r="S1998" s="3">
        <v>0.15738248509665742</v>
      </c>
      <c r="T1998" s="3">
        <v>0</v>
      </c>
    </row>
    <row r="1999" spans="1:20" x14ac:dyDescent="0.25">
      <c r="A1999" t="s">
        <v>78</v>
      </c>
      <c r="B1999" t="s">
        <v>79</v>
      </c>
      <c r="C1999" t="s">
        <v>2869</v>
      </c>
      <c r="D1999" t="s">
        <v>2870</v>
      </c>
      <c r="E1999">
        <v>3260.25</v>
      </c>
      <c r="F1999">
        <v>3260.25</v>
      </c>
      <c r="G1999">
        <v>3300</v>
      </c>
      <c r="H1999">
        <v>3123.4</v>
      </c>
      <c r="I1999" s="1">
        <v>3282.55</v>
      </c>
      <c r="J1999">
        <v>204800874</v>
      </c>
      <c r="K1999">
        <v>63377</v>
      </c>
      <c r="L1999" t="s">
        <v>78</v>
      </c>
      <c r="M1999" t="s">
        <v>17</v>
      </c>
      <c r="N1999">
        <v>4657</v>
      </c>
      <c r="O1999">
        <v>3388</v>
      </c>
      <c r="P1999">
        <v>1595</v>
      </c>
      <c r="Q1999" s="1">
        <v>3233</v>
      </c>
      <c r="R1999" s="1">
        <v>2000</v>
      </c>
      <c r="S1999" s="3">
        <v>1.268308676356078E-3</v>
      </c>
      <c r="T1999" s="3">
        <v>2.5069178734807185E-2</v>
      </c>
    </row>
    <row r="2000" spans="1:20" x14ac:dyDescent="0.25">
      <c r="A2000" t="s">
        <v>78</v>
      </c>
      <c r="B2000" t="s">
        <v>79</v>
      </c>
      <c r="C2000" t="s">
        <v>2871</v>
      </c>
      <c r="D2000" t="s">
        <v>2872</v>
      </c>
      <c r="E2000">
        <v>12240.35</v>
      </c>
      <c r="F2000">
        <v>12155</v>
      </c>
      <c r="G2000">
        <v>12271.15</v>
      </c>
      <c r="H2000">
        <v>11660</v>
      </c>
      <c r="I2000" s="1">
        <v>11724.7</v>
      </c>
      <c r="J2000">
        <v>369432819.55000001</v>
      </c>
      <c r="K2000">
        <v>31041</v>
      </c>
      <c r="L2000" t="s">
        <v>78</v>
      </c>
      <c r="M2000" t="s">
        <v>17</v>
      </c>
      <c r="N2000">
        <v>8507</v>
      </c>
      <c r="O2000">
        <v>13468.9</v>
      </c>
      <c r="P2000">
        <v>4061</v>
      </c>
      <c r="Q2000" s="1">
        <v>1550</v>
      </c>
      <c r="R2000" s="1">
        <v>1079.55</v>
      </c>
      <c r="S2000" s="3">
        <v>0.18367053462003757</v>
      </c>
      <c r="T2000" s="3">
        <v>0.12658660890560203</v>
      </c>
    </row>
    <row r="2001" spans="1:20" x14ac:dyDescent="0.25">
      <c r="A2001" t="s">
        <v>78</v>
      </c>
      <c r="B2001" t="s">
        <v>79</v>
      </c>
      <c r="C2001" t="s">
        <v>2873</v>
      </c>
      <c r="D2001" t="s">
        <v>2874</v>
      </c>
      <c r="E2001">
        <v>1521.7</v>
      </c>
      <c r="F2001">
        <v>1521.65</v>
      </c>
      <c r="G2001">
        <v>1525</v>
      </c>
      <c r="H2001">
        <v>1486.55</v>
      </c>
      <c r="I2001" s="1">
        <v>1493.25</v>
      </c>
      <c r="J2001">
        <v>1422102128.25</v>
      </c>
      <c r="K2001">
        <v>949789</v>
      </c>
      <c r="L2001" t="s">
        <v>78</v>
      </c>
      <c r="M2001" t="s">
        <v>17</v>
      </c>
      <c r="N2001">
        <v>45122</v>
      </c>
      <c r="O2001">
        <v>1560</v>
      </c>
      <c r="P2001">
        <v>752.4</v>
      </c>
      <c r="Q2001" s="1">
        <v>1032</v>
      </c>
      <c r="R2001" s="1">
        <v>571</v>
      </c>
      <c r="S2001" s="3">
        <v>3.1266876679254318E-2</v>
      </c>
      <c r="T2001" s="3">
        <v>4.9212337561441721E-2</v>
      </c>
    </row>
    <row r="2002" spans="1:20" x14ac:dyDescent="0.25">
      <c r="A2002" t="s">
        <v>78</v>
      </c>
      <c r="B2002" t="s">
        <v>79</v>
      </c>
      <c r="C2002" t="s">
        <v>5224</v>
      </c>
      <c r="D2002" t="s">
        <v>5223</v>
      </c>
      <c r="E2002">
        <v>206.57</v>
      </c>
      <c r="F2002">
        <v>208.5</v>
      </c>
      <c r="G2002">
        <v>212</v>
      </c>
      <c r="H2002">
        <v>204</v>
      </c>
      <c r="I2002" s="1">
        <v>207.42</v>
      </c>
      <c r="J2002">
        <v>272491305.19999999</v>
      </c>
      <c r="K2002">
        <v>1314126</v>
      </c>
      <c r="L2002" t="s">
        <v>78</v>
      </c>
      <c r="M2002" t="s">
        <v>17</v>
      </c>
      <c r="N2002">
        <v>22008</v>
      </c>
      <c r="O2002">
        <v>242</v>
      </c>
      <c r="P2002">
        <v>141</v>
      </c>
      <c r="Q2002" s="1" t="str">
        <v/>
      </c>
      <c r="R2002" s="1" t="str">
        <v/>
      </c>
      <c r="S2002" s="3">
        <v>0</v>
      </c>
      <c r="T2002" s="3">
        <v>0</v>
      </c>
    </row>
    <row r="2003" spans="1:20" x14ac:dyDescent="0.25">
      <c r="A2003" t="s">
        <v>78</v>
      </c>
      <c r="B2003" t="s">
        <v>287</v>
      </c>
      <c r="C2003" t="s">
        <v>5222</v>
      </c>
      <c r="D2003" t="s">
        <v>5221</v>
      </c>
      <c r="E2003">
        <v>182</v>
      </c>
      <c r="F2003">
        <v>181.15</v>
      </c>
      <c r="G2003">
        <v>184</v>
      </c>
      <c r="H2003">
        <v>181</v>
      </c>
      <c r="I2003" s="1">
        <v>183.2</v>
      </c>
      <c r="J2003">
        <v>1462480</v>
      </c>
      <c r="K2003">
        <v>8000</v>
      </c>
      <c r="L2003" t="s">
        <v>78</v>
      </c>
      <c r="M2003" t="s">
        <v>17</v>
      </c>
      <c r="N2003">
        <v>5</v>
      </c>
      <c r="O2003">
        <v>195</v>
      </c>
      <c r="P2003">
        <v>84.7</v>
      </c>
      <c r="Q2003" s="1" t="str">
        <v/>
      </c>
      <c r="R2003" s="1" t="str">
        <v/>
      </c>
      <c r="S2003" s="3">
        <v>0</v>
      </c>
      <c r="T2003" s="3">
        <v>0</v>
      </c>
    </row>
    <row r="2004" spans="1:20" x14ac:dyDescent="0.25">
      <c r="A2004" t="s">
        <v>78</v>
      </c>
      <c r="B2004" t="s">
        <v>79</v>
      </c>
      <c r="C2004" t="s">
        <v>5220</v>
      </c>
      <c r="D2004" t="s">
        <v>5219</v>
      </c>
      <c r="E2004">
        <v>246.23</v>
      </c>
      <c r="F2004">
        <v>247</v>
      </c>
      <c r="G2004">
        <v>256.64999999999998</v>
      </c>
      <c r="H2004">
        <v>240.06</v>
      </c>
      <c r="I2004" s="1">
        <v>246.97</v>
      </c>
      <c r="J2004">
        <v>343925206.19</v>
      </c>
      <c r="K2004">
        <v>1380041</v>
      </c>
      <c r="L2004" t="s">
        <v>78</v>
      </c>
      <c r="M2004" t="s">
        <v>17</v>
      </c>
      <c r="N2004">
        <v>13304</v>
      </c>
      <c r="O2004">
        <v>273</v>
      </c>
      <c r="P2004">
        <v>226.05</v>
      </c>
      <c r="Q2004" s="1" t="str">
        <v/>
      </c>
      <c r="R2004" s="1" t="str">
        <v/>
      </c>
      <c r="S2004" s="3">
        <v>0</v>
      </c>
      <c r="T2004" s="3">
        <v>0</v>
      </c>
    </row>
    <row r="2005" spans="1:20" x14ac:dyDescent="0.25">
      <c r="A2005" t="s">
        <v>78</v>
      </c>
      <c r="B2005" t="s">
        <v>79</v>
      </c>
      <c r="C2005" t="s">
        <v>2875</v>
      </c>
      <c r="D2005" t="s">
        <v>2876</v>
      </c>
      <c r="E2005">
        <v>583.20000000000005</v>
      </c>
      <c r="F2005">
        <v>586.15</v>
      </c>
      <c r="G2005">
        <v>586.15</v>
      </c>
      <c r="H2005">
        <v>575</v>
      </c>
      <c r="I2005" s="1">
        <v>575.6</v>
      </c>
      <c r="J2005">
        <v>16412733.35</v>
      </c>
      <c r="K2005">
        <v>28346</v>
      </c>
      <c r="L2005" t="s">
        <v>78</v>
      </c>
      <c r="M2005" t="s">
        <v>17</v>
      </c>
      <c r="N2005">
        <v>2991</v>
      </c>
      <c r="O2005">
        <v>799</v>
      </c>
      <c r="P2005">
        <v>511.25</v>
      </c>
      <c r="Q2005" s="1">
        <v>303</v>
      </c>
      <c r="R2005" s="1">
        <v>260.5</v>
      </c>
      <c r="S2005" s="3">
        <v>5.4928874857444798E-2</v>
      </c>
      <c r="T2005" s="3">
        <v>4.0414089367921457E-2</v>
      </c>
    </row>
    <row r="2006" spans="1:20" x14ac:dyDescent="0.25">
      <c r="A2006" t="s">
        <v>78</v>
      </c>
      <c r="B2006" t="s">
        <v>287</v>
      </c>
      <c r="C2006" t="s">
        <v>2877</v>
      </c>
      <c r="D2006" t="s">
        <v>2878</v>
      </c>
      <c r="E2006">
        <v>48.7</v>
      </c>
      <c r="F2006">
        <v>51.1</v>
      </c>
      <c r="G2006">
        <v>51.1</v>
      </c>
      <c r="H2006">
        <v>46.4</v>
      </c>
      <c r="I2006" s="1">
        <v>50</v>
      </c>
      <c r="J2006">
        <v>742800</v>
      </c>
      <c r="K2006">
        <v>15000</v>
      </c>
      <c r="L2006" t="s">
        <v>78</v>
      </c>
      <c r="M2006" t="s">
        <v>17</v>
      </c>
      <c r="N2006">
        <v>5</v>
      </c>
      <c r="O2006">
        <v>62.85</v>
      </c>
      <c r="P2006">
        <v>27.4</v>
      </c>
      <c r="Q2006" s="1">
        <v>17.05</v>
      </c>
      <c r="R2006" s="1">
        <v>19</v>
      </c>
      <c r="S2006" s="3">
        <v>9.379802555899186E-2</v>
      </c>
      <c r="T2006" s="3">
        <v>4.9540770089454789E-2</v>
      </c>
    </row>
    <row r="2007" spans="1:20" x14ac:dyDescent="0.25">
      <c r="A2007" t="s">
        <v>78</v>
      </c>
      <c r="B2007" t="s">
        <v>79</v>
      </c>
      <c r="C2007" t="s">
        <v>2879</v>
      </c>
      <c r="D2007" t="s">
        <v>2880</v>
      </c>
      <c r="E2007">
        <v>302.39999999999998</v>
      </c>
      <c r="F2007">
        <v>304</v>
      </c>
      <c r="G2007">
        <v>305.14999999999998</v>
      </c>
      <c r="H2007">
        <v>294</v>
      </c>
      <c r="I2007" s="1">
        <v>296.7</v>
      </c>
      <c r="J2007">
        <v>16830790.649999999</v>
      </c>
      <c r="K2007">
        <v>56435</v>
      </c>
      <c r="L2007" t="s">
        <v>78</v>
      </c>
      <c r="M2007" t="s">
        <v>17</v>
      </c>
      <c r="N2007">
        <v>3854</v>
      </c>
      <c r="O2007">
        <v>342.8</v>
      </c>
      <c r="P2007">
        <v>174.8</v>
      </c>
      <c r="Q2007" s="1">
        <v>232.65</v>
      </c>
      <c r="R2007" s="1">
        <v>75</v>
      </c>
      <c r="S2007" s="3">
        <v>2.0472269122094211E-2</v>
      </c>
      <c r="T2007" s="3">
        <v>7.1140548228161737E-2</v>
      </c>
    </row>
    <row r="2008" spans="1:20" x14ac:dyDescent="0.25">
      <c r="A2008" t="s">
        <v>78</v>
      </c>
      <c r="B2008" t="s">
        <v>79</v>
      </c>
      <c r="C2008" t="s">
        <v>2881</v>
      </c>
      <c r="D2008" t="s">
        <v>2882</v>
      </c>
      <c r="E2008">
        <v>4170</v>
      </c>
      <c r="F2008">
        <v>4175</v>
      </c>
      <c r="G2008">
        <v>4261</v>
      </c>
      <c r="H2008">
        <v>4111</v>
      </c>
      <c r="I2008" s="1">
        <v>4130.05</v>
      </c>
      <c r="J2008">
        <v>48012384.649999999</v>
      </c>
      <c r="K2008">
        <v>11456</v>
      </c>
      <c r="L2008" t="s">
        <v>78</v>
      </c>
      <c r="M2008" t="s">
        <v>17</v>
      </c>
      <c r="N2008">
        <v>3707</v>
      </c>
      <c r="O2008">
        <v>4522.5</v>
      </c>
      <c r="P2008">
        <v>3159</v>
      </c>
      <c r="Q2008" s="1">
        <v>3500</v>
      </c>
      <c r="R2008" s="1">
        <v>3155.15</v>
      </c>
      <c r="S2008" s="3">
        <v>1.3889453232595272E-2</v>
      </c>
      <c r="T2008" s="3">
        <v>1.3546230916403612E-2</v>
      </c>
    </row>
    <row r="2009" spans="1:20" x14ac:dyDescent="0.25">
      <c r="A2009" t="s">
        <v>78</v>
      </c>
      <c r="B2009" t="s">
        <v>79</v>
      </c>
      <c r="C2009" t="s">
        <v>2883</v>
      </c>
      <c r="D2009" t="s">
        <v>2884</v>
      </c>
      <c r="E2009">
        <v>4055.35</v>
      </c>
      <c r="F2009">
        <v>4055.35</v>
      </c>
      <c r="G2009">
        <v>4099</v>
      </c>
      <c r="H2009">
        <v>3970.85</v>
      </c>
      <c r="I2009" s="1">
        <v>4054.85</v>
      </c>
      <c r="J2009">
        <v>23163673.949999999</v>
      </c>
      <c r="K2009">
        <v>5751</v>
      </c>
      <c r="L2009" t="s">
        <v>78</v>
      </c>
      <c r="M2009" t="s">
        <v>17</v>
      </c>
      <c r="N2009">
        <v>2395</v>
      </c>
      <c r="O2009">
        <v>4392</v>
      </c>
      <c r="P2009">
        <v>2950</v>
      </c>
      <c r="Q2009" s="1">
        <v>1977.05</v>
      </c>
      <c r="R2009" s="1">
        <v>1075.8</v>
      </c>
      <c r="S2009" s="3">
        <v>6.1686825831517966E-2</v>
      </c>
      <c r="T2009" s="3">
        <v>6.855377717706701E-2</v>
      </c>
    </row>
    <row r="2010" spans="1:20" x14ac:dyDescent="0.25">
      <c r="A2010" t="s">
        <v>78</v>
      </c>
      <c r="B2010" t="s">
        <v>79</v>
      </c>
      <c r="C2010" t="s">
        <v>2885</v>
      </c>
      <c r="D2010" t="s">
        <v>2886</v>
      </c>
      <c r="E2010">
        <v>558.29999999999995</v>
      </c>
      <c r="F2010">
        <v>558</v>
      </c>
      <c r="G2010">
        <v>561.85</v>
      </c>
      <c r="H2010">
        <v>537.15</v>
      </c>
      <c r="I2010" s="1">
        <v>543.6</v>
      </c>
      <c r="J2010">
        <v>219861151.75</v>
      </c>
      <c r="K2010">
        <v>402168</v>
      </c>
      <c r="L2010" t="s">
        <v>78</v>
      </c>
      <c r="M2010" t="s">
        <v>17</v>
      </c>
      <c r="N2010">
        <v>11091</v>
      </c>
      <c r="O2010">
        <v>585</v>
      </c>
      <c r="P2010">
        <v>334.4</v>
      </c>
      <c r="Q2010" s="1">
        <v>1674</v>
      </c>
      <c r="R2010" s="1">
        <v>961.65</v>
      </c>
      <c r="S2010" s="3">
        <v>-8.9471243755435803E-2</v>
      </c>
      <c r="T2010" s="3">
        <v>-2.8103754947585768E-2</v>
      </c>
    </row>
    <row r="2011" spans="1:20" x14ac:dyDescent="0.25">
      <c r="A2011" t="s">
        <v>78</v>
      </c>
      <c r="B2011" t="s">
        <v>79</v>
      </c>
      <c r="C2011" t="s">
        <v>2887</v>
      </c>
      <c r="D2011" t="s">
        <v>2888</v>
      </c>
      <c r="E2011">
        <v>1240.75</v>
      </c>
      <c r="F2011">
        <v>1248.3</v>
      </c>
      <c r="G2011">
        <v>1268.45</v>
      </c>
      <c r="H2011">
        <v>1210.55</v>
      </c>
      <c r="I2011" s="1">
        <v>1246.1500000000001</v>
      </c>
      <c r="J2011">
        <v>659111809.39999998</v>
      </c>
      <c r="K2011">
        <v>529538</v>
      </c>
      <c r="L2011" t="s">
        <v>78</v>
      </c>
      <c r="M2011" t="s">
        <v>17</v>
      </c>
      <c r="N2011">
        <v>38734</v>
      </c>
      <c r="O2011">
        <v>1379</v>
      </c>
      <c r="P2011">
        <v>435.45</v>
      </c>
      <c r="Q2011" s="1">
        <v>354.95</v>
      </c>
      <c r="R2011" s="1">
        <v>288.10000000000002</v>
      </c>
      <c r="S2011" s="3">
        <v>0.11032536638047197</v>
      </c>
      <c r="T2011" s="3">
        <v>7.5929802470399821E-2</v>
      </c>
    </row>
    <row r="2012" spans="1:20" x14ac:dyDescent="0.25">
      <c r="A2012" t="s">
        <v>78</v>
      </c>
      <c r="B2012" t="s">
        <v>79</v>
      </c>
      <c r="C2012" t="s">
        <v>2891</v>
      </c>
      <c r="D2012" t="s">
        <v>2892</v>
      </c>
      <c r="E2012">
        <v>323.58</v>
      </c>
      <c r="F2012">
        <v>325</v>
      </c>
      <c r="G2012">
        <v>333.3</v>
      </c>
      <c r="H2012">
        <v>307.81</v>
      </c>
      <c r="I2012" s="1">
        <v>322.68</v>
      </c>
      <c r="J2012">
        <v>240965855.44</v>
      </c>
      <c r="K2012">
        <v>752632</v>
      </c>
      <c r="L2012" t="s">
        <v>78</v>
      </c>
      <c r="M2012" t="s">
        <v>17</v>
      </c>
      <c r="N2012">
        <v>13124</v>
      </c>
      <c r="O2012">
        <v>382.03</v>
      </c>
      <c r="P2012">
        <v>168.45</v>
      </c>
      <c r="Q2012" s="1">
        <v>68.75</v>
      </c>
      <c r="R2012" s="1">
        <v>77.2</v>
      </c>
      <c r="S2012" s="3">
        <v>0.13751800310912032</v>
      </c>
      <c r="T2012" s="3">
        <v>7.4090137378318932E-2</v>
      </c>
    </row>
    <row r="2013" spans="1:20" x14ac:dyDescent="0.25">
      <c r="A2013" t="s">
        <v>78</v>
      </c>
      <c r="B2013" t="s">
        <v>287</v>
      </c>
      <c r="C2013" t="s">
        <v>3675</v>
      </c>
      <c r="D2013" t="s">
        <v>3676</v>
      </c>
      <c r="E2013">
        <v>110</v>
      </c>
      <c r="F2013">
        <v>110</v>
      </c>
      <c r="G2013">
        <v>110</v>
      </c>
      <c r="H2013">
        <v>107.35</v>
      </c>
      <c r="I2013" s="1">
        <v>107.35</v>
      </c>
      <c r="J2013">
        <v>327350</v>
      </c>
      <c r="K2013">
        <v>3000</v>
      </c>
      <c r="L2013" t="s">
        <v>78</v>
      </c>
      <c r="M2013" t="s">
        <v>17</v>
      </c>
      <c r="N2013">
        <v>3</v>
      </c>
      <c r="O2013">
        <v>153.94999999999999</v>
      </c>
      <c r="P2013">
        <v>75.05</v>
      </c>
      <c r="Q2013" s="1">
        <v>46.5</v>
      </c>
      <c r="R2013" s="1" t="str">
        <v/>
      </c>
      <c r="S2013" s="3">
        <v>7.220811862154819E-2</v>
      </c>
      <c r="T2013" s="3">
        <v>0</v>
      </c>
    </row>
    <row r="2014" spans="1:20" x14ac:dyDescent="0.25">
      <c r="A2014" t="s">
        <v>78</v>
      </c>
      <c r="B2014" t="s">
        <v>79</v>
      </c>
      <c r="C2014" t="s">
        <v>3561</v>
      </c>
      <c r="D2014" t="s">
        <v>3562</v>
      </c>
      <c r="E2014">
        <v>192.31</v>
      </c>
      <c r="F2014">
        <v>190</v>
      </c>
      <c r="G2014">
        <v>201</v>
      </c>
      <c r="H2014">
        <v>187</v>
      </c>
      <c r="I2014" s="1">
        <v>188.88</v>
      </c>
      <c r="J2014">
        <v>57545466.149999999</v>
      </c>
      <c r="K2014">
        <v>295121</v>
      </c>
      <c r="L2014" t="s">
        <v>78</v>
      </c>
      <c r="M2014" t="s">
        <v>17</v>
      </c>
      <c r="N2014">
        <v>5061</v>
      </c>
      <c r="O2014">
        <v>202.29</v>
      </c>
      <c r="P2014">
        <v>46.6</v>
      </c>
      <c r="Q2014" s="1">
        <v>82.7</v>
      </c>
      <c r="R2014" s="1">
        <v>15.15</v>
      </c>
      <c r="S2014" s="3">
        <v>7.1248036006810844E-2</v>
      </c>
      <c r="T2014" s="3">
        <v>0.13438026474649112</v>
      </c>
    </row>
    <row r="2015" spans="1:20" x14ac:dyDescent="0.25">
      <c r="A2015" t="s">
        <v>78</v>
      </c>
      <c r="B2015" t="s">
        <v>79</v>
      </c>
      <c r="C2015" t="s">
        <v>3563</v>
      </c>
      <c r="D2015" t="s">
        <v>3564</v>
      </c>
      <c r="E2015">
        <v>809.55</v>
      </c>
      <c r="F2015">
        <v>813.8</v>
      </c>
      <c r="G2015">
        <v>850</v>
      </c>
      <c r="H2015">
        <v>813.8</v>
      </c>
      <c r="I2015" s="1">
        <v>840.4</v>
      </c>
      <c r="J2015">
        <v>15100009.6</v>
      </c>
      <c r="K2015">
        <v>18069</v>
      </c>
      <c r="L2015" t="s">
        <v>78</v>
      </c>
      <c r="M2015" t="s">
        <v>17</v>
      </c>
      <c r="N2015">
        <v>2707</v>
      </c>
      <c r="O2015">
        <v>981.35</v>
      </c>
      <c r="P2015">
        <v>295.05</v>
      </c>
      <c r="Q2015" s="1">
        <v>198.55</v>
      </c>
      <c r="R2015" s="1" t="str">
        <v/>
      </c>
      <c r="S2015" s="3">
        <v>0.12776344320945965</v>
      </c>
      <c r="T2015" s="3">
        <v>0</v>
      </c>
    </row>
    <row r="2016" spans="1:20" x14ac:dyDescent="0.25">
      <c r="A2016" t="s">
        <v>78</v>
      </c>
      <c r="B2016" t="s">
        <v>79</v>
      </c>
      <c r="C2016" t="s">
        <v>5218</v>
      </c>
      <c r="D2016" t="s">
        <v>5217</v>
      </c>
      <c r="E2016">
        <v>1224.95</v>
      </c>
      <c r="F2016">
        <v>1220.05</v>
      </c>
      <c r="G2016">
        <v>1259.7</v>
      </c>
      <c r="H2016">
        <v>1163.7</v>
      </c>
      <c r="I2016" s="1">
        <v>1194.5</v>
      </c>
      <c r="J2016">
        <v>27984621.75</v>
      </c>
      <c r="K2016">
        <v>23634</v>
      </c>
      <c r="L2016" t="s">
        <v>78</v>
      </c>
      <c r="M2016" t="s">
        <v>17</v>
      </c>
      <c r="N2016">
        <v>1005</v>
      </c>
      <c r="O2016">
        <v>1279.9000000000001</v>
      </c>
      <c r="P2016">
        <v>263.39999999999998</v>
      </c>
      <c r="Q2016" s="1" t="str">
        <v/>
      </c>
      <c r="R2016" s="1" t="str">
        <v/>
      </c>
      <c r="S2016" s="3">
        <v>0</v>
      </c>
      <c r="T2016" s="3">
        <v>0</v>
      </c>
    </row>
    <row r="2017" spans="1:20" x14ac:dyDescent="0.25">
      <c r="A2017" t="s">
        <v>78</v>
      </c>
      <c r="B2017" t="s">
        <v>79</v>
      </c>
      <c r="C2017" t="s">
        <v>2899</v>
      </c>
      <c r="D2017" t="s">
        <v>2900</v>
      </c>
      <c r="E2017">
        <v>645.85</v>
      </c>
      <c r="F2017">
        <v>645</v>
      </c>
      <c r="G2017">
        <v>662</v>
      </c>
      <c r="H2017">
        <v>634.70000000000005</v>
      </c>
      <c r="I2017" s="1">
        <v>652.4</v>
      </c>
      <c r="J2017">
        <v>970110052.79999995</v>
      </c>
      <c r="K2017">
        <v>1494548</v>
      </c>
      <c r="L2017" t="s">
        <v>78</v>
      </c>
      <c r="M2017" t="s">
        <v>17</v>
      </c>
      <c r="N2017">
        <v>20912</v>
      </c>
      <c r="O2017">
        <v>670.95</v>
      </c>
      <c r="P2017">
        <v>304.45</v>
      </c>
      <c r="Q2017" s="1">
        <v>146.65</v>
      </c>
      <c r="R2017" s="1">
        <v>129.75</v>
      </c>
      <c r="S2017" s="3">
        <v>0.13245075004481688</v>
      </c>
      <c r="T2017" s="3">
        <v>8.4054516543579094E-2</v>
      </c>
    </row>
    <row r="2018" spans="1:20" x14ac:dyDescent="0.25">
      <c r="A2018" t="s">
        <v>78</v>
      </c>
      <c r="B2018" t="s">
        <v>79</v>
      </c>
      <c r="C2018" t="s">
        <v>2901</v>
      </c>
      <c r="D2018" t="s">
        <v>2902</v>
      </c>
      <c r="E2018">
        <v>499.25</v>
      </c>
      <c r="F2018">
        <v>497.25</v>
      </c>
      <c r="G2018">
        <v>500.4</v>
      </c>
      <c r="H2018">
        <v>482</v>
      </c>
      <c r="I2018" s="1">
        <v>485.3</v>
      </c>
      <c r="J2018">
        <v>82503221.650000006</v>
      </c>
      <c r="K2018">
        <v>168086</v>
      </c>
      <c r="L2018" t="s">
        <v>78</v>
      </c>
      <c r="M2018" t="s">
        <v>17</v>
      </c>
      <c r="N2018">
        <v>12425</v>
      </c>
      <c r="O2018">
        <v>540.79999999999995</v>
      </c>
      <c r="P2018">
        <v>224.7</v>
      </c>
      <c r="Q2018" s="1">
        <v>111</v>
      </c>
      <c r="R2018" s="1">
        <v>104.1</v>
      </c>
      <c r="S2018" s="3">
        <v>0.13081252302453938</v>
      </c>
      <c r="T2018" s="3">
        <v>7.9964976426691869E-2</v>
      </c>
    </row>
    <row r="2019" spans="1:20" x14ac:dyDescent="0.25">
      <c r="A2019" t="s">
        <v>78</v>
      </c>
      <c r="B2019" t="s">
        <v>79</v>
      </c>
      <c r="C2019" t="s">
        <v>2903</v>
      </c>
      <c r="D2019" t="s">
        <v>2904</v>
      </c>
      <c r="E2019">
        <v>796.65</v>
      </c>
      <c r="F2019">
        <v>805.75</v>
      </c>
      <c r="G2019">
        <v>818.95</v>
      </c>
      <c r="H2019">
        <v>766.65</v>
      </c>
      <c r="I2019" s="1">
        <v>777.7</v>
      </c>
      <c r="J2019">
        <v>150286.1</v>
      </c>
      <c r="K2019">
        <v>189</v>
      </c>
      <c r="L2019" t="s">
        <v>78</v>
      </c>
      <c r="M2019" t="s">
        <v>17</v>
      </c>
      <c r="N2019">
        <v>70</v>
      </c>
      <c r="O2019">
        <v>930.15</v>
      </c>
      <c r="P2019">
        <v>570</v>
      </c>
      <c r="Q2019" s="1">
        <v>458.05</v>
      </c>
      <c r="R2019" s="1">
        <v>152.69999999999999</v>
      </c>
      <c r="S2019" s="3">
        <v>4.5101010422313736E-2</v>
      </c>
      <c r="T2019" s="3">
        <v>8.4749090267741023E-2</v>
      </c>
    </row>
    <row r="2020" spans="1:20" x14ac:dyDescent="0.25">
      <c r="A2020" t="s">
        <v>78</v>
      </c>
      <c r="B2020" t="s">
        <v>79</v>
      </c>
      <c r="C2020" t="s">
        <v>5216</v>
      </c>
      <c r="D2020" t="s">
        <v>5215</v>
      </c>
      <c r="E2020">
        <v>174.27</v>
      </c>
      <c r="F2020">
        <v>174</v>
      </c>
      <c r="G2020">
        <v>177.25</v>
      </c>
      <c r="H2020">
        <v>167.03</v>
      </c>
      <c r="I2020" s="1">
        <v>175.87</v>
      </c>
      <c r="J2020">
        <v>1803496777.0999999</v>
      </c>
      <c r="K2020">
        <v>10349033</v>
      </c>
      <c r="L2020" t="s">
        <v>78</v>
      </c>
      <c r="M2020" t="s">
        <v>17</v>
      </c>
      <c r="N2020">
        <v>54281</v>
      </c>
      <c r="O2020">
        <v>178.79</v>
      </c>
      <c r="P2020">
        <v>97.75</v>
      </c>
      <c r="Q2020" s="1" t="str">
        <v/>
      </c>
      <c r="R2020" s="1" t="str">
        <v/>
      </c>
      <c r="S2020" s="3">
        <v>0</v>
      </c>
      <c r="T2020" s="3">
        <v>0</v>
      </c>
    </row>
    <row r="2021" spans="1:20" x14ac:dyDescent="0.25">
      <c r="A2021" t="s">
        <v>78</v>
      </c>
      <c r="B2021" t="s">
        <v>79</v>
      </c>
      <c r="C2021" t="s">
        <v>2907</v>
      </c>
      <c r="D2021" t="s">
        <v>2908</v>
      </c>
      <c r="E2021">
        <v>15817.3</v>
      </c>
      <c r="F2021">
        <v>15829.6</v>
      </c>
      <c r="G2021">
        <v>15834.7</v>
      </c>
      <c r="H2021">
        <v>15454.05</v>
      </c>
      <c r="I2021" s="1">
        <v>15564.95</v>
      </c>
      <c r="J2021">
        <v>11293328.199999999</v>
      </c>
      <c r="K2021">
        <v>724</v>
      </c>
      <c r="L2021" t="s">
        <v>78</v>
      </c>
      <c r="M2021" t="s">
        <v>17</v>
      </c>
      <c r="N2021">
        <v>531</v>
      </c>
      <c r="O2021">
        <v>17000.05</v>
      </c>
      <c r="P2021">
        <v>9905</v>
      </c>
      <c r="Q2021" s="1">
        <v>4305</v>
      </c>
      <c r="R2021" s="1">
        <v>2222</v>
      </c>
      <c r="S2021" s="3">
        <v>0.11304967672422239</v>
      </c>
      <c r="T2021" s="3">
        <v>0.10216606364012248</v>
      </c>
    </row>
    <row r="2022" spans="1:20" x14ac:dyDescent="0.25">
      <c r="A2022" t="s">
        <v>78</v>
      </c>
      <c r="B2022" t="s">
        <v>79</v>
      </c>
      <c r="C2022" t="s">
        <v>2909</v>
      </c>
      <c r="D2022" t="s">
        <v>5214</v>
      </c>
      <c r="E2022">
        <v>851.25</v>
      </c>
      <c r="F2022">
        <v>852</v>
      </c>
      <c r="G2022">
        <v>858.8</v>
      </c>
      <c r="H2022">
        <v>849.85</v>
      </c>
      <c r="I2022" s="1">
        <v>851.25</v>
      </c>
      <c r="J2022">
        <v>23590136.5</v>
      </c>
      <c r="K2022">
        <v>27691</v>
      </c>
      <c r="L2022" t="s">
        <v>78</v>
      </c>
      <c r="M2022" t="s">
        <v>17</v>
      </c>
      <c r="N2022">
        <v>4718</v>
      </c>
      <c r="O2022">
        <v>1024.95</v>
      </c>
      <c r="P2022">
        <v>708.95</v>
      </c>
      <c r="Q2022" s="1">
        <v>516.75</v>
      </c>
      <c r="R2022" s="1" t="str">
        <v/>
      </c>
      <c r="S2022" s="3">
        <v>4.2472770482534505E-2</v>
      </c>
      <c r="T2022" s="3">
        <v>0</v>
      </c>
    </row>
    <row r="2023" spans="1:20" x14ac:dyDescent="0.25">
      <c r="A2023" t="s">
        <v>78</v>
      </c>
      <c r="B2023" t="s">
        <v>79</v>
      </c>
      <c r="C2023" t="s">
        <v>2915</v>
      </c>
      <c r="D2023" t="s">
        <v>2916</v>
      </c>
      <c r="E2023">
        <v>852.95</v>
      </c>
      <c r="F2023">
        <v>860.05</v>
      </c>
      <c r="G2023">
        <v>871</v>
      </c>
      <c r="H2023">
        <v>835</v>
      </c>
      <c r="I2023" s="1">
        <v>845.65</v>
      </c>
      <c r="J2023">
        <v>58661250.950000003</v>
      </c>
      <c r="K2023">
        <v>69188</v>
      </c>
      <c r="L2023" t="s">
        <v>78</v>
      </c>
      <c r="M2023" t="s">
        <v>17</v>
      </c>
      <c r="N2023">
        <v>7638</v>
      </c>
      <c r="O2023">
        <v>914.95</v>
      </c>
      <c r="P2023">
        <v>548</v>
      </c>
      <c r="Q2023" s="1">
        <v>754.95</v>
      </c>
      <c r="R2023" s="1">
        <v>705</v>
      </c>
      <c r="S2023" s="3">
        <v>9.4993383806898368E-3</v>
      </c>
      <c r="T2023" s="3">
        <v>9.1318501680479613E-3</v>
      </c>
    </row>
    <row r="2024" spans="1:20" x14ac:dyDescent="0.25">
      <c r="A2024" t="s">
        <v>78</v>
      </c>
      <c r="B2024" t="s">
        <v>79</v>
      </c>
      <c r="C2024" t="s">
        <v>2917</v>
      </c>
      <c r="D2024" t="s">
        <v>2918</v>
      </c>
      <c r="E2024">
        <v>2054.35</v>
      </c>
      <c r="F2024">
        <v>2018.05</v>
      </c>
      <c r="G2024">
        <v>2070</v>
      </c>
      <c r="H2024">
        <v>2003.6</v>
      </c>
      <c r="I2024" s="1">
        <v>2045.25</v>
      </c>
      <c r="J2024">
        <v>250427332.25</v>
      </c>
      <c r="K2024">
        <v>122664</v>
      </c>
      <c r="L2024" t="s">
        <v>78</v>
      </c>
      <c r="M2024" t="s">
        <v>17</v>
      </c>
      <c r="N2024">
        <v>22383</v>
      </c>
      <c r="O2024">
        <v>2199</v>
      </c>
      <c r="P2024">
        <v>1186.0999999999999</v>
      </c>
      <c r="Q2024" s="1">
        <v>2164</v>
      </c>
      <c r="R2024" s="1">
        <v>1526.55</v>
      </c>
      <c r="S2024" s="3">
        <v>-4.692151432298175E-3</v>
      </c>
      <c r="T2024" s="3">
        <v>1.4724835415904858E-2</v>
      </c>
    </row>
    <row r="2025" spans="1:20" x14ac:dyDescent="0.25">
      <c r="A2025" t="s">
        <v>78</v>
      </c>
      <c r="B2025" t="s">
        <v>79</v>
      </c>
      <c r="C2025" t="s">
        <v>2919</v>
      </c>
      <c r="D2025" t="s">
        <v>2920</v>
      </c>
      <c r="E2025">
        <v>38.020000000000003</v>
      </c>
      <c r="F2025">
        <v>38.020000000000003</v>
      </c>
      <c r="G2025">
        <v>38.89</v>
      </c>
      <c r="H2025">
        <v>37.26</v>
      </c>
      <c r="I2025" s="1">
        <v>37.619999999999997</v>
      </c>
      <c r="J2025">
        <v>258155.93</v>
      </c>
      <c r="K2025">
        <v>6826</v>
      </c>
      <c r="L2025" t="s">
        <v>78</v>
      </c>
      <c r="M2025" t="s">
        <v>17</v>
      </c>
      <c r="N2025">
        <v>205</v>
      </c>
      <c r="O2025">
        <v>49.4</v>
      </c>
      <c r="P2025">
        <v>23.1</v>
      </c>
      <c r="Q2025" s="1">
        <v>22.35</v>
      </c>
      <c r="R2025" s="1">
        <v>17.149999999999999</v>
      </c>
      <c r="S2025" s="3">
        <v>4.4347677627793569E-2</v>
      </c>
      <c r="T2025" s="3">
        <v>4.0036046573829864E-2</v>
      </c>
    </row>
    <row r="2026" spans="1:20" x14ac:dyDescent="0.25">
      <c r="A2026" t="s">
        <v>78</v>
      </c>
      <c r="B2026" t="s">
        <v>79</v>
      </c>
      <c r="C2026" t="s">
        <v>5213</v>
      </c>
      <c r="D2026" t="s">
        <v>5212</v>
      </c>
      <c r="E2026">
        <v>717.4</v>
      </c>
      <c r="F2026">
        <v>717.4</v>
      </c>
      <c r="G2026">
        <v>723.95</v>
      </c>
      <c r="H2026">
        <v>701.35</v>
      </c>
      <c r="I2026" s="1">
        <v>703.3</v>
      </c>
      <c r="J2026">
        <v>36465332.450000003</v>
      </c>
      <c r="K2026">
        <v>51408</v>
      </c>
      <c r="L2026" t="s">
        <v>78</v>
      </c>
      <c r="M2026" t="s">
        <v>17</v>
      </c>
      <c r="N2026">
        <v>3610</v>
      </c>
      <c r="O2026">
        <v>794.5</v>
      </c>
      <c r="P2026">
        <v>306.2</v>
      </c>
      <c r="Q2026" s="1" t="str">
        <v/>
      </c>
      <c r="R2026" s="1" t="str">
        <v/>
      </c>
      <c r="S2026" s="3">
        <v>0</v>
      </c>
      <c r="T2026" s="3">
        <v>0</v>
      </c>
    </row>
    <row r="2027" spans="1:20" x14ac:dyDescent="0.25">
      <c r="A2027" t="s">
        <v>78</v>
      </c>
      <c r="B2027" t="s">
        <v>79</v>
      </c>
      <c r="C2027" t="s">
        <v>2921</v>
      </c>
      <c r="D2027" t="s">
        <v>2922</v>
      </c>
      <c r="E2027">
        <v>165.61</v>
      </c>
      <c r="F2027">
        <v>164.85</v>
      </c>
      <c r="G2027">
        <v>170.64</v>
      </c>
      <c r="H2027">
        <v>162.61000000000001</v>
      </c>
      <c r="I2027" s="1">
        <v>165.47</v>
      </c>
      <c r="J2027">
        <v>30660302.100000001</v>
      </c>
      <c r="K2027">
        <v>184431</v>
      </c>
      <c r="L2027" t="s">
        <v>78</v>
      </c>
      <c r="M2027" t="s">
        <v>17</v>
      </c>
      <c r="N2027">
        <v>3184</v>
      </c>
      <c r="O2027">
        <v>184.65</v>
      </c>
      <c r="P2027">
        <v>63.8</v>
      </c>
      <c r="Q2027" s="1">
        <v>36.549999999999997</v>
      </c>
      <c r="R2027" s="1">
        <v>23.75</v>
      </c>
      <c r="S2027" s="3">
        <v>0.1341034122510194</v>
      </c>
      <c r="T2027" s="3">
        <v>0.10186832281549529</v>
      </c>
    </row>
    <row r="2028" spans="1:20" x14ac:dyDescent="0.25">
      <c r="A2028" t="s">
        <v>78</v>
      </c>
      <c r="B2028" t="s">
        <v>287</v>
      </c>
      <c r="C2028" t="s">
        <v>5211</v>
      </c>
      <c r="D2028" t="s">
        <v>5210</v>
      </c>
      <c r="E2028">
        <v>299.95</v>
      </c>
      <c r="F2028">
        <v>312.5</v>
      </c>
      <c r="G2028">
        <v>312.5</v>
      </c>
      <c r="H2028">
        <v>300</v>
      </c>
      <c r="I2028" s="1">
        <v>303</v>
      </c>
      <c r="J2028">
        <v>7953400</v>
      </c>
      <c r="K2028">
        <v>26000</v>
      </c>
      <c r="L2028" t="s">
        <v>78</v>
      </c>
      <c r="M2028" t="s">
        <v>17</v>
      </c>
      <c r="N2028">
        <v>25</v>
      </c>
      <c r="O2028">
        <v>363</v>
      </c>
      <c r="P2028">
        <v>216.25</v>
      </c>
      <c r="Q2028" s="1" t="str">
        <v/>
      </c>
      <c r="R2028" s="1" t="str">
        <v/>
      </c>
      <c r="S2028" s="3">
        <v>0</v>
      </c>
      <c r="T2028" s="3">
        <v>0</v>
      </c>
    </row>
    <row r="2029" spans="1:20" x14ac:dyDescent="0.25">
      <c r="A2029" t="s">
        <v>78</v>
      </c>
      <c r="B2029" t="s">
        <v>287</v>
      </c>
      <c r="C2029" t="s">
        <v>5209</v>
      </c>
      <c r="D2029" t="s">
        <v>5208</v>
      </c>
      <c r="E2029">
        <v>404</v>
      </c>
      <c r="F2029">
        <v>400</v>
      </c>
      <c r="G2029">
        <v>408</v>
      </c>
      <c r="H2029">
        <v>390</v>
      </c>
      <c r="I2029" s="1">
        <v>398.05</v>
      </c>
      <c r="J2029">
        <v>30764560</v>
      </c>
      <c r="K2029">
        <v>76800</v>
      </c>
      <c r="L2029" t="s">
        <v>78</v>
      </c>
      <c r="M2029" t="s">
        <v>17</v>
      </c>
      <c r="N2029">
        <v>48</v>
      </c>
      <c r="O2029">
        <v>592</v>
      </c>
      <c r="P2029">
        <v>305</v>
      </c>
      <c r="Q2029" s="1" t="str">
        <v/>
      </c>
      <c r="R2029" s="1" t="str">
        <v/>
      </c>
      <c r="S2029" s="3">
        <v>0</v>
      </c>
      <c r="T2029" s="3">
        <v>0</v>
      </c>
    </row>
    <row r="2030" spans="1:20" x14ac:dyDescent="0.25">
      <c r="A2030" t="s">
        <v>78</v>
      </c>
      <c r="B2030" t="s">
        <v>79</v>
      </c>
      <c r="C2030" t="s">
        <v>3565</v>
      </c>
      <c r="D2030" t="s">
        <v>3566</v>
      </c>
      <c r="E2030">
        <v>156.63</v>
      </c>
      <c r="F2030">
        <v>154.01</v>
      </c>
      <c r="G2030">
        <v>163</v>
      </c>
      <c r="H2030">
        <v>154.01</v>
      </c>
      <c r="I2030" s="1">
        <v>160.66</v>
      </c>
      <c r="J2030">
        <v>553890.56000000006</v>
      </c>
      <c r="K2030">
        <v>3496</v>
      </c>
      <c r="L2030" t="s">
        <v>78</v>
      </c>
      <c r="M2030" t="s">
        <v>17</v>
      </c>
      <c r="N2030">
        <v>148</v>
      </c>
      <c r="O2030">
        <v>194.9</v>
      </c>
      <c r="P2030">
        <v>100.2</v>
      </c>
      <c r="Q2030" s="1">
        <v>64.900000000000006</v>
      </c>
      <c r="R2030" s="1" t="str">
        <v/>
      </c>
      <c r="S2030" s="3">
        <v>7.8463013914472191E-2</v>
      </c>
      <c r="T2030" s="3">
        <v>0</v>
      </c>
    </row>
    <row r="2031" spans="1:20" x14ac:dyDescent="0.25">
      <c r="A2031" t="s">
        <v>78</v>
      </c>
      <c r="B2031" t="s">
        <v>79</v>
      </c>
      <c r="C2031" t="s">
        <v>2925</v>
      </c>
      <c r="D2031" t="s">
        <v>2926</v>
      </c>
      <c r="E2031">
        <v>903.05</v>
      </c>
      <c r="F2031">
        <v>909</v>
      </c>
      <c r="G2031">
        <v>909.35</v>
      </c>
      <c r="H2031">
        <v>885.75</v>
      </c>
      <c r="I2031" s="1">
        <v>894.25</v>
      </c>
      <c r="J2031">
        <v>33537178.550000001</v>
      </c>
      <c r="K2031">
        <v>37542</v>
      </c>
      <c r="L2031" t="s">
        <v>78</v>
      </c>
      <c r="M2031" t="s">
        <v>17</v>
      </c>
      <c r="N2031">
        <v>5527</v>
      </c>
      <c r="O2031">
        <v>1105.9000000000001</v>
      </c>
      <c r="P2031">
        <v>549</v>
      </c>
      <c r="Q2031" s="1">
        <v>239.85</v>
      </c>
      <c r="R2031" s="1">
        <v>243.8</v>
      </c>
      <c r="S2031" s="3">
        <v>0.11590340347013828</v>
      </c>
      <c r="T2031" s="3">
        <v>6.7101688597851261E-2</v>
      </c>
    </row>
    <row r="2032" spans="1:20" x14ac:dyDescent="0.25">
      <c r="A2032" t="s">
        <v>78</v>
      </c>
      <c r="B2032" t="s">
        <v>79</v>
      </c>
      <c r="C2032" t="s">
        <v>2927</v>
      </c>
      <c r="D2032" t="s">
        <v>2928</v>
      </c>
      <c r="E2032">
        <v>122.44</v>
      </c>
      <c r="F2032">
        <v>123.1</v>
      </c>
      <c r="G2032">
        <v>125.09</v>
      </c>
      <c r="H2032">
        <v>118.48</v>
      </c>
      <c r="I2032" s="1">
        <v>119.5</v>
      </c>
      <c r="J2032">
        <v>7052123.8499999996</v>
      </c>
      <c r="K2032">
        <v>58613</v>
      </c>
      <c r="L2032" t="s">
        <v>78</v>
      </c>
      <c r="M2032" t="s">
        <v>17</v>
      </c>
      <c r="N2032">
        <v>934</v>
      </c>
      <c r="O2032">
        <v>136.94999999999999</v>
      </c>
      <c r="P2032">
        <v>93.25</v>
      </c>
      <c r="Q2032" s="1">
        <v>108.5</v>
      </c>
      <c r="R2032" s="1">
        <v>49</v>
      </c>
      <c r="S2032" s="3">
        <v>8.0796488051040338E-3</v>
      </c>
      <c r="T2032" s="3">
        <v>4.5557663636079271E-2</v>
      </c>
    </row>
    <row r="2033" spans="1:20" x14ac:dyDescent="0.25">
      <c r="A2033" t="s">
        <v>78</v>
      </c>
      <c r="B2033" t="s">
        <v>79</v>
      </c>
      <c r="C2033" t="s">
        <v>3567</v>
      </c>
      <c r="D2033" t="s">
        <v>3568</v>
      </c>
      <c r="E2033">
        <v>174.32</v>
      </c>
      <c r="F2033">
        <v>175.9</v>
      </c>
      <c r="G2033">
        <v>176.44</v>
      </c>
      <c r="H2033">
        <v>165.59</v>
      </c>
      <c r="I2033" s="1">
        <v>166.6</v>
      </c>
      <c r="J2033">
        <v>51953068.659999996</v>
      </c>
      <c r="K2033">
        <v>306564</v>
      </c>
      <c r="L2033" t="s">
        <v>78</v>
      </c>
      <c r="M2033" t="s">
        <v>17</v>
      </c>
      <c r="N2033">
        <v>10901</v>
      </c>
      <c r="O2033">
        <v>194</v>
      </c>
      <c r="P2033">
        <v>93.4</v>
      </c>
      <c r="Q2033" s="1">
        <v>5.7</v>
      </c>
      <c r="R2033" s="1">
        <v>0.65</v>
      </c>
      <c r="S2033" s="3">
        <v>0.32479906150162807</v>
      </c>
      <c r="T2033" s="3">
        <v>0.31938676928545218</v>
      </c>
    </row>
    <row r="2034" spans="1:20" x14ac:dyDescent="0.25">
      <c r="A2034" t="s">
        <v>78</v>
      </c>
      <c r="B2034" t="s">
        <v>79</v>
      </c>
      <c r="C2034" t="s">
        <v>2929</v>
      </c>
      <c r="D2034" t="s">
        <v>2930</v>
      </c>
      <c r="E2034">
        <v>685.2</v>
      </c>
      <c r="F2034">
        <v>686.1</v>
      </c>
      <c r="G2034">
        <v>690.6</v>
      </c>
      <c r="H2034">
        <v>667.55</v>
      </c>
      <c r="I2034" s="1">
        <v>673.65</v>
      </c>
      <c r="J2034">
        <v>249719048.55000001</v>
      </c>
      <c r="K2034">
        <v>370126</v>
      </c>
      <c r="L2034" t="s">
        <v>78</v>
      </c>
      <c r="M2034" t="s">
        <v>17</v>
      </c>
      <c r="N2034">
        <v>8896</v>
      </c>
      <c r="O2034">
        <v>815</v>
      </c>
      <c r="P2034">
        <v>465.3</v>
      </c>
      <c r="Q2034" s="1">
        <v>254.65</v>
      </c>
      <c r="R2034" s="1">
        <v>227.15</v>
      </c>
      <c r="S2034" s="3">
        <v>8.4445055150035087E-2</v>
      </c>
      <c r="T2034" s="3">
        <v>5.5827941207667431E-2</v>
      </c>
    </row>
    <row r="2035" spans="1:20" x14ac:dyDescent="0.25">
      <c r="A2035" t="s">
        <v>78</v>
      </c>
      <c r="B2035" t="s">
        <v>287</v>
      </c>
      <c r="C2035" t="s">
        <v>5207</v>
      </c>
      <c r="D2035" t="s">
        <v>5206</v>
      </c>
      <c r="E2035">
        <v>293.64999999999998</v>
      </c>
      <c r="F2035">
        <v>297</v>
      </c>
      <c r="G2035">
        <v>297</v>
      </c>
      <c r="H2035">
        <v>288</v>
      </c>
      <c r="I2035" s="1">
        <v>289.5</v>
      </c>
      <c r="J2035">
        <v>10450300</v>
      </c>
      <c r="K2035">
        <v>36000</v>
      </c>
      <c r="L2035" t="s">
        <v>78</v>
      </c>
      <c r="M2035" t="s">
        <v>17</v>
      </c>
      <c r="N2035">
        <v>35</v>
      </c>
      <c r="O2035">
        <v>319.60000000000002</v>
      </c>
      <c r="P2035">
        <v>155.35</v>
      </c>
      <c r="Q2035" s="1" t="str">
        <v/>
      </c>
      <c r="R2035" s="1" t="str">
        <v/>
      </c>
      <c r="S2035" s="3">
        <v>0</v>
      </c>
      <c r="T2035" s="3">
        <v>0</v>
      </c>
    </row>
    <row r="2036" spans="1:20" x14ac:dyDescent="0.25">
      <c r="A2036" t="s">
        <v>78</v>
      </c>
      <c r="B2036" t="s">
        <v>79</v>
      </c>
      <c r="C2036" t="s">
        <v>2931</v>
      </c>
      <c r="D2036" t="s">
        <v>2932</v>
      </c>
      <c r="E2036">
        <v>134.37</v>
      </c>
      <c r="F2036">
        <v>134.37</v>
      </c>
      <c r="G2036">
        <v>141.80000000000001</v>
      </c>
      <c r="H2036">
        <v>130.25</v>
      </c>
      <c r="I2036" s="1">
        <v>136.97999999999999</v>
      </c>
      <c r="J2036">
        <v>264633310.97999999</v>
      </c>
      <c r="K2036">
        <v>1941310</v>
      </c>
      <c r="L2036" t="s">
        <v>78</v>
      </c>
      <c r="M2036" t="s">
        <v>17</v>
      </c>
      <c r="N2036">
        <v>22485</v>
      </c>
      <c r="O2036">
        <v>176.5</v>
      </c>
      <c r="P2036">
        <v>81</v>
      </c>
      <c r="Q2036" s="1">
        <v>96.45</v>
      </c>
      <c r="R2036" s="1">
        <v>51.65</v>
      </c>
      <c r="S2036" s="3">
        <v>2.9665695965863881E-2</v>
      </c>
      <c r="T2036" s="3">
        <v>4.9947884964712141E-2</v>
      </c>
    </row>
    <row r="2037" spans="1:20" x14ac:dyDescent="0.25">
      <c r="A2037" t="s">
        <v>78</v>
      </c>
      <c r="B2037" t="s">
        <v>79</v>
      </c>
      <c r="C2037" t="s">
        <v>2933</v>
      </c>
      <c r="D2037" t="s">
        <v>2934</v>
      </c>
      <c r="E2037">
        <v>116.92</v>
      </c>
      <c r="F2037">
        <v>115</v>
      </c>
      <c r="G2037">
        <v>119.9</v>
      </c>
      <c r="H2037">
        <v>113</v>
      </c>
      <c r="I2037" s="1">
        <v>114.86</v>
      </c>
      <c r="J2037">
        <v>2114191.1800000002</v>
      </c>
      <c r="K2037">
        <v>18279</v>
      </c>
      <c r="L2037" t="s">
        <v>78</v>
      </c>
      <c r="M2037" t="s">
        <v>17</v>
      </c>
      <c r="N2037">
        <v>373</v>
      </c>
      <c r="O2037">
        <v>155.80000000000001</v>
      </c>
      <c r="P2037">
        <v>73.3</v>
      </c>
      <c r="Q2037" s="1">
        <v>441.15</v>
      </c>
      <c r="R2037" s="1">
        <v>60</v>
      </c>
      <c r="S2037" s="3">
        <v>-0.10608022638345194</v>
      </c>
      <c r="T2037" s="3">
        <v>3.2982955974216743E-2</v>
      </c>
    </row>
    <row r="2038" spans="1:20" x14ac:dyDescent="0.25">
      <c r="A2038" t="s">
        <v>78</v>
      </c>
      <c r="B2038" t="s">
        <v>79</v>
      </c>
      <c r="C2038" t="s">
        <v>3569</v>
      </c>
      <c r="D2038" t="s">
        <v>3570</v>
      </c>
      <c r="E2038">
        <v>1057.05</v>
      </c>
      <c r="F2038">
        <v>1068</v>
      </c>
      <c r="G2038">
        <v>1068.8499999999999</v>
      </c>
      <c r="H2038">
        <v>1020.95</v>
      </c>
      <c r="I2038" s="1">
        <v>1047.8499999999999</v>
      </c>
      <c r="J2038">
        <v>35392265.899999999</v>
      </c>
      <c r="K2038">
        <v>33857</v>
      </c>
      <c r="L2038" t="s">
        <v>78</v>
      </c>
      <c r="M2038" t="s">
        <v>17</v>
      </c>
      <c r="N2038">
        <v>6518</v>
      </c>
      <c r="O2038">
        <v>1297.8</v>
      </c>
      <c r="P2038">
        <v>827.05</v>
      </c>
      <c r="Q2038" s="1">
        <v>266.2</v>
      </c>
      <c r="R2038" s="1">
        <v>28.35</v>
      </c>
      <c r="S2038" s="3">
        <v>0.1209620818657644</v>
      </c>
      <c r="T2038" s="3">
        <v>0.1976898644030185</v>
      </c>
    </row>
    <row r="2039" spans="1:20" x14ac:dyDescent="0.25">
      <c r="A2039" t="s">
        <v>78</v>
      </c>
      <c r="B2039" t="s">
        <v>79</v>
      </c>
      <c r="C2039" t="s">
        <v>5205</v>
      </c>
      <c r="D2039" t="s">
        <v>5204</v>
      </c>
      <c r="E2039">
        <v>9.98</v>
      </c>
      <c r="F2039">
        <v>10.01</v>
      </c>
      <c r="G2039">
        <v>10.43</v>
      </c>
      <c r="H2039">
        <v>9.9</v>
      </c>
      <c r="I2039" s="1">
        <v>9.99</v>
      </c>
      <c r="J2039">
        <v>934921.67</v>
      </c>
      <c r="K2039">
        <v>93597</v>
      </c>
      <c r="L2039" t="s">
        <v>78</v>
      </c>
      <c r="M2039" t="s">
        <v>17</v>
      </c>
      <c r="N2039">
        <v>364</v>
      </c>
      <c r="O2039">
        <v>15.65</v>
      </c>
      <c r="P2039">
        <v>6.7</v>
      </c>
      <c r="Q2039" s="1" t="str">
        <v/>
      </c>
      <c r="R2039" s="1" t="str">
        <v/>
      </c>
      <c r="S2039" s="3">
        <v>0</v>
      </c>
      <c r="T2039" s="3">
        <v>0</v>
      </c>
    </row>
    <row r="2040" spans="1:20" x14ac:dyDescent="0.25">
      <c r="A2040" t="s">
        <v>78</v>
      </c>
      <c r="B2040" t="s">
        <v>79</v>
      </c>
      <c r="C2040" t="s">
        <v>5203</v>
      </c>
      <c r="D2040" t="s">
        <v>5202</v>
      </c>
      <c r="E2040">
        <v>1832.35</v>
      </c>
      <c r="F2040">
        <v>1832.35</v>
      </c>
      <c r="G2040">
        <v>1898</v>
      </c>
      <c r="H2040">
        <v>1830.65</v>
      </c>
      <c r="I2040" s="1">
        <v>1878.4</v>
      </c>
      <c r="J2040">
        <v>22958235.600000001</v>
      </c>
      <c r="K2040">
        <v>12311</v>
      </c>
      <c r="L2040" t="s">
        <v>78</v>
      </c>
      <c r="M2040" t="s">
        <v>17</v>
      </c>
      <c r="N2040">
        <v>3220</v>
      </c>
      <c r="O2040">
        <v>2426.65</v>
      </c>
      <c r="P2040">
        <v>1515</v>
      </c>
      <c r="Q2040" s="1" t="str">
        <v/>
      </c>
      <c r="R2040" s="1" t="str">
        <v/>
      </c>
      <c r="S2040" s="3">
        <v>0</v>
      </c>
      <c r="T2040" s="3">
        <v>0</v>
      </c>
    </row>
    <row r="2041" spans="1:20" x14ac:dyDescent="0.25">
      <c r="A2041" t="s">
        <v>78</v>
      </c>
      <c r="B2041" t="s">
        <v>287</v>
      </c>
      <c r="C2041" t="s">
        <v>5201</v>
      </c>
      <c r="D2041" t="s">
        <v>5200</v>
      </c>
      <c r="E2041">
        <v>103.8</v>
      </c>
      <c r="F2041">
        <v>102</v>
      </c>
      <c r="G2041">
        <v>102.8</v>
      </c>
      <c r="H2041">
        <v>100.6</v>
      </c>
      <c r="I2041" s="1">
        <v>101.95</v>
      </c>
      <c r="J2041">
        <v>4556000</v>
      </c>
      <c r="K2041">
        <v>44800</v>
      </c>
      <c r="L2041" t="s">
        <v>78</v>
      </c>
      <c r="M2041" t="s">
        <v>17</v>
      </c>
      <c r="N2041">
        <v>28</v>
      </c>
      <c r="O2041">
        <v>121.85</v>
      </c>
      <c r="P2041">
        <v>81.95</v>
      </c>
      <c r="Q2041" s="1" t="str">
        <v/>
      </c>
      <c r="R2041" s="1" t="str">
        <v/>
      </c>
      <c r="S2041" s="3">
        <v>0</v>
      </c>
      <c r="T2041" s="3">
        <v>0</v>
      </c>
    </row>
    <row r="2042" spans="1:20" x14ac:dyDescent="0.25">
      <c r="A2042" t="s">
        <v>78</v>
      </c>
      <c r="B2042" t="s">
        <v>79</v>
      </c>
      <c r="C2042" t="s">
        <v>5199</v>
      </c>
      <c r="D2042" t="s">
        <v>5198</v>
      </c>
      <c r="E2042">
        <v>437.9</v>
      </c>
      <c r="F2042">
        <v>445</v>
      </c>
      <c r="G2042">
        <v>447.95</v>
      </c>
      <c r="H2042">
        <v>435</v>
      </c>
      <c r="I2042" s="1">
        <v>440</v>
      </c>
      <c r="J2042">
        <v>77701125.549999997</v>
      </c>
      <c r="K2042">
        <v>176355</v>
      </c>
      <c r="L2042" t="s">
        <v>78</v>
      </c>
      <c r="M2042" t="s">
        <v>17</v>
      </c>
      <c r="N2042">
        <v>11198</v>
      </c>
      <c r="O2042">
        <v>504.9</v>
      </c>
      <c r="P2042">
        <v>306.10000000000002</v>
      </c>
      <c r="Q2042" s="1" t="str">
        <v/>
      </c>
      <c r="R2042" s="1" t="str">
        <v/>
      </c>
      <c r="S2042" s="3">
        <v>0</v>
      </c>
      <c r="T2042" s="3">
        <v>0</v>
      </c>
    </row>
    <row r="2043" spans="1:20" x14ac:dyDescent="0.25">
      <c r="A2043" t="s">
        <v>78</v>
      </c>
      <c r="B2043" t="s">
        <v>79</v>
      </c>
      <c r="C2043" t="s">
        <v>5197</v>
      </c>
      <c r="D2043" t="s">
        <v>5196</v>
      </c>
      <c r="E2043">
        <v>125.36</v>
      </c>
      <c r="F2043">
        <v>127.49</v>
      </c>
      <c r="G2043">
        <v>127.49</v>
      </c>
      <c r="H2043">
        <v>124.4</v>
      </c>
      <c r="I2043" s="1">
        <v>125.19</v>
      </c>
      <c r="J2043">
        <v>47413761.359999999</v>
      </c>
      <c r="K2043">
        <v>377942</v>
      </c>
      <c r="L2043" t="s">
        <v>78</v>
      </c>
      <c r="M2043" t="s">
        <v>17</v>
      </c>
      <c r="N2043">
        <v>3849</v>
      </c>
      <c r="O2043">
        <v>194</v>
      </c>
      <c r="P2043">
        <v>120</v>
      </c>
      <c r="Q2043" s="1" t="str">
        <v/>
      </c>
      <c r="R2043" s="1" t="str">
        <v/>
      </c>
      <c r="S2043" s="3">
        <v>0</v>
      </c>
      <c r="T2043" s="3">
        <v>0</v>
      </c>
    </row>
    <row r="2044" spans="1:20" x14ac:dyDescent="0.25">
      <c r="A2044" t="s">
        <v>78</v>
      </c>
      <c r="B2044" t="s">
        <v>287</v>
      </c>
      <c r="C2044" t="s">
        <v>5195</v>
      </c>
      <c r="D2044" t="s">
        <v>5194</v>
      </c>
      <c r="E2044">
        <v>24.35</v>
      </c>
      <c r="F2044">
        <v>24.2</v>
      </c>
      <c r="G2044">
        <v>25.4</v>
      </c>
      <c r="H2044">
        <v>24.1</v>
      </c>
      <c r="I2044" s="1">
        <v>25</v>
      </c>
      <c r="J2044">
        <v>887100</v>
      </c>
      <c r="K2044">
        <v>36000</v>
      </c>
      <c r="L2044" t="s">
        <v>78</v>
      </c>
      <c r="M2044" t="s">
        <v>17</v>
      </c>
      <c r="N2044">
        <v>12</v>
      </c>
      <c r="O2044">
        <v>43</v>
      </c>
      <c r="P2044">
        <v>24.05</v>
      </c>
      <c r="Q2044" s="1" t="str">
        <v/>
      </c>
      <c r="R2044" s="1" t="str">
        <v/>
      </c>
      <c r="S2044" s="3">
        <v>0</v>
      </c>
      <c r="T2044" s="3">
        <v>0</v>
      </c>
    </row>
    <row r="2045" spans="1:20" x14ac:dyDescent="0.25">
      <c r="A2045" t="s">
        <v>78</v>
      </c>
      <c r="B2045" t="s">
        <v>79</v>
      </c>
      <c r="C2045" t="s">
        <v>2935</v>
      </c>
      <c r="D2045" t="s">
        <v>2936</v>
      </c>
      <c r="E2045">
        <v>26.19</v>
      </c>
      <c r="F2045">
        <v>26</v>
      </c>
      <c r="G2045">
        <v>26.3</v>
      </c>
      <c r="H2045">
        <v>25.67</v>
      </c>
      <c r="I2045" s="1">
        <v>25.75</v>
      </c>
      <c r="J2045">
        <v>4865118184.1800003</v>
      </c>
      <c r="K2045">
        <v>187983764</v>
      </c>
      <c r="L2045" t="s">
        <v>78</v>
      </c>
      <c r="M2045" t="s">
        <v>17</v>
      </c>
      <c r="N2045">
        <v>189174</v>
      </c>
      <c r="O2045">
        <v>32.85</v>
      </c>
      <c r="P2045">
        <v>15.7</v>
      </c>
      <c r="Q2045" s="1">
        <v>13.15</v>
      </c>
      <c r="R2045" s="1">
        <v>82.6</v>
      </c>
      <c r="S2045" s="3">
        <v>5.7598817877299036E-2</v>
      </c>
      <c r="T2045" s="3">
        <v>-5.6582951158923089E-2</v>
      </c>
    </row>
    <row r="2046" spans="1:20" x14ac:dyDescent="0.25">
      <c r="A2046" t="s">
        <v>78</v>
      </c>
      <c r="B2046" t="s">
        <v>79</v>
      </c>
      <c r="C2046" t="s">
        <v>5193</v>
      </c>
      <c r="D2046" t="s">
        <v>5192</v>
      </c>
      <c r="E2046">
        <v>1479.6</v>
      </c>
      <c r="F2046">
        <v>1489.95</v>
      </c>
      <c r="G2046">
        <v>1489.95</v>
      </c>
      <c r="H2046">
        <v>1405.65</v>
      </c>
      <c r="I2046" s="1">
        <v>1405.65</v>
      </c>
      <c r="J2046">
        <v>35425366.649999999</v>
      </c>
      <c r="K2046">
        <v>24822</v>
      </c>
      <c r="L2046" t="s">
        <v>78</v>
      </c>
      <c r="M2046" t="s">
        <v>17</v>
      </c>
      <c r="N2046">
        <v>2636</v>
      </c>
      <c r="O2046">
        <v>1569.9</v>
      </c>
      <c r="P2046">
        <v>603</v>
      </c>
      <c r="Q2046" s="1" t="str">
        <v/>
      </c>
      <c r="R2046" s="1" t="str">
        <v/>
      </c>
      <c r="S2046" s="3">
        <v>0</v>
      </c>
      <c r="T2046" s="3">
        <v>0</v>
      </c>
    </row>
    <row r="2047" spans="1:20" x14ac:dyDescent="0.25">
      <c r="A2047" t="s">
        <v>78</v>
      </c>
      <c r="B2047" t="s">
        <v>79</v>
      </c>
      <c r="C2047" t="s">
        <v>5191</v>
      </c>
      <c r="D2047" t="s">
        <v>5190</v>
      </c>
      <c r="E2047">
        <v>326.45</v>
      </c>
      <c r="F2047">
        <v>327</v>
      </c>
      <c r="G2047">
        <v>327.8</v>
      </c>
      <c r="H2047">
        <v>309</v>
      </c>
      <c r="I2047" s="1">
        <v>315.39999999999998</v>
      </c>
      <c r="J2047">
        <v>898228442.95000005</v>
      </c>
      <c r="K2047">
        <v>2839040</v>
      </c>
      <c r="L2047" t="s">
        <v>78</v>
      </c>
      <c r="M2047" t="s">
        <v>17</v>
      </c>
      <c r="N2047">
        <v>56898</v>
      </c>
      <c r="O2047">
        <v>389.45</v>
      </c>
      <c r="P2047">
        <v>155.30000000000001</v>
      </c>
      <c r="Q2047" s="1" t="str">
        <v/>
      </c>
      <c r="R2047" s="1" t="str">
        <v/>
      </c>
      <c r="S2047" s="3">
        <v>0</v>
      </c>
      <c r="T2047" s="3">
        <v>0</v>
      </c>
    </row>
    <row r="2048" spans="1:20" x14ac:dyDescent="0.25">
      <c r="A2048" t="s">
        <v>78</v>
      </c>
      <c r="B2048" t="s">
        <v>287</v>
      </c>
      <c r="C2048" t="s">
        <v>5189</v>
      </c>
      <c r="D2048" t="s">
        <v>5188</v>
      </c>
      <c r="E2048">
        <v>193.25</v>
      </c>
      <c r="F2048">
        <v>195</v>
      </c>
      <c r="G2048">
        <v>198.4</v>
      </c>
      <c r="H2048">
        <v>190</v>
      </c>
      <c r="I2048" s="1">
        <v>191.6</v>
      </c>
      <c r="J2048">
        <v>1861500</v>
      </c>
      <c r="K2048">
        <v>9600</v>
      </c>
      <c r="L2048" t="s">
        <v>78</v>
      </c>
      <c r="M2048" t="s">
        <v>17</v>
      </c>
      <c r="N2048">
        <v>15</v>
      </c>
      <c r="O2048">
        <v>294.39999999999998</v>
      </c>
      <c r="P2048">
        <v>148.85</v>
      </c>
      <c r="Q2048" s="1" t="str">
        <v/>
      </c>
      <c r="R2048" s="1" t="str">
        <v/>
      </c>
      <c r="S2048" s="3">
        <v>0</v>
      </c>
      <c r="T2048" s="3">
        <v>0</v>
      </c>
    </row>
    <row r="2049" spans="1:20" x14ac:dyDescent="0.25">
      <c r="A2049" t="s">
        <v>78</v>
      </c>
      <c r="B2049" t="s">
        <v>79</v>
      </c>
      <c r="C2049" t="s">
        <v>2937</v>
      </c>
      <c r="D2049" t="s">
        <v>2938</v>
      </c>
      <c r="E2049">
        <v>155.53</v>
      </c>
      <c r="F2049">
        <v>149</v>
      </c>
      <c r="G2049">
        <v>149</v>
      </c>
      <c r="H2049">
        <v>142</v>
      </c>
      <c r="I2049" s="1">
        <v>142.41999999999999</v>
      </c>
      <c r="J2049">
        <v>7089295475.8500004</v>
      </c>
      <c r="K2049">
        <v>49068184</v>
      </c>
      <c r="L2049" t="s">
        <v>78</v>
      </c>
      <c r="M2049" t="s">
        <v>17</v>
      </c>
      <c r="N2049">
        <v>206556</v>
      </c>
      <c r="O2049">
        <v>299.7</v>
      </c>
      <c r="P2049">
        <v>125.5</v>
      </c>
      <c r="Q2049" s="1">
        <v>205.6</v>
      </c>
      <c r="R2049" s="1">
        <v>343.8</v>
      </c>
      <c r="S2049" s="3">
        <v>-3.0132687345134301E-2</v>
      </c>
      <c r="T2049" s="3">
        <v>-4.30841776209413E-2</v>
      </c>
    </row>
    <row r="2050" spans="1:20" x14ac:dyDescent="0.25">
      <c r="A2050" t="s">
        <v>78</v>
      </c>
      <c r="B2050" t="s">
        <v>79</v>
      </c>
      <c r="C2050" t="s">
        <v>2941</v>
      </c>
      <c r="D2050" t="s">
        <v>2942</v>
      </c>
      <c r="E2050">
        <v>14.57</v>
      </c>
      <c r="F2050">
        <v>14.59</v>
      </c>
      <c r="G2050">
        <v>14.62</v>
      </c>
      <c r="H2050">
        <v>13.81</v>
      </c>
      <c r="I2050" s="1">
        <v>13.93</v>
      </c>
      <c r="J2050">
        <v>132378772.81</v>
      </c>
      <c r="K2050">
        <v>9375855</v>
      </c>
      <c r="L2050" t="s">
        <v>78</v>
      </c>
      <c r="M2050" t="s">
        <v>17</v>
      </c>
      <c r="N2050">
        <v>9500</v>
      </c>
      <c r="O2050">
        <v>18.3</v>
      </c>
      <c r="P2050">
        <v>9.6</v>
      </c>
      <c r="Q2050" s="1">
        <v>12.5</v>
      </c>
      <c r="R2050" s="1">
        <v>11.55</v>
      </c>
      <c r="S2050" s="3">
        <v>9.0672055921388051E-3</v>
      </c>
      <c r="T2050" s="3">
        <v>9.4068056959264457E-3</v>
      </c>
    </row>
    <row r="2051" spans="1:20" x14ac:dyDescent="0.25">
      <c r="A2051" t="s">
        <v>78</v>
      </c>
      <c r="B2051" t="s">
        <v>287</v>
      </c>
      <c r="C2051" t="s">
        <v>5187</v>
      </c>
      <c r="D2051" t="s">
        <v>5186</v>
      </c>
      <c r="E2051">
        <v>82.45</v>
      </c>
      <c r="F2051">
        <v>83.8</v>
      </c>
      <c r="G2051">
        <v>83.8</v>
      </c>
      <c r="H2051">
        <v>79</v>
      </c>
      <c r="I2051" s="1">
        <v>81.099999999999994</v>
      </c>
      <c r="J2051">
        <v>18631600</v>
      </c>
      <c r="K2051">
        <v>230400</v>
      </c>
      <c r="L2051" t="s">
        <v>78</v>
      </c>
      <c r="M2051" t="s">
        <v>17</v>
      </c>
      <c r="N2051">
        <v>132</v>
      </c>
      <c r="O2051">
        <v>114.5</v>
      </c>
      <c r="P2051">
        <v>52.8</v>
      </c>
      <c r="Q2051" s="1" t="str">
        <v/>
      </c>
      <c r="R2051" s="1" t="str">
        <v/>
      </c>
      <c r="S2051" s="3">
        <v>0</v>
      </c>
      <c r="T2051" s="3">
        <v>0</v>
      </c>
    </row>
    <row r="2052" spans="1:20" x14ac:dyDescent="0.25">
      <c r="A2052" t="s">
        <v>78</v>
      </c>
      <c r="B2052" t="s">
        <v>79</v>
      </c>
      <c r="C2052" t="s">
        <v>2943</v>
      </c>
      <c r="D2052" t="s">
        <v>2944</v>
      </c>
      <c r="E2052">
        <v>779.2</v>
      </c>
      <c r="F2052">
        <v>790</v>
      </c>
      <c r="G2052">
        <v>801.85</v>
      </c>
      <c r="H2052">
        <v>772</v>
      </c>
      <c r="I2052" s="1">
        <v>790.3</v>
      </c>
      <c r="J2052">
        <v>2110587765.25</v>
      </c>
      <c r="K2052">
        <v>2679955</v>
      </c>
      <c r="L2052" t="s">
        <v>78</v>
      </c>
      <c r="M2052" t="s">
        <v>17</v>
      </c>
      <c r="N2052">
        <v>71947</v>
      </c>
      <c r="O2052">
        <v>839.5</v>
      </c>
      <c r="P2052">
        <v>428.6</v>
      </c>
      <c r="Q2052" s="1">
        <v>365.2</v>
      </c>
      <c r="R2052" s="1">
        <v>234.3</v>
      </c>
      <c r="S2052" s="3">
        <v>6.6444931302403809E-2</v>
      </c>
      <c r="T2052" s="3">
        <v>6.2640897149284669E-2</v>
      </c>
    </row>
    <row r="2053" spans="1:20" x14ac:dyDescent="0.25">
      <c r="A2053" t="s">
        <v>78</v>
      </c>
      <c r="B2053" t="s">
        <v>79</v>
      </c>
      <c r="C2053" t="s">
        <v>2945</v>
      </c>
      <c r="D2053" t="s">
        <v>2946</v>
      </c>
      <c r="E2053">
        <v>1353.2</v>
      </c>
      <c r="F2053">
        <v>1379</v>
      </c>
      <c r="G2053">
        <v>1400</v>
      </c>
      <c r="H2053">
        <v>1341.6</v>
      </c>
      <c r="I2053" s="1">
        <v>1392.6</v>
      </c>
      <c r="J2053">
        <v>1078765698.75</v>
      </c>
      <c r="K2053">
        <v>783928</v>
      </c>
      <c r="L2053" t="s">
        <v>78</v>
      </c>
      <c r="M2053" t="s">
        <v>17</v>
      </c>
      <c r="N2053">
        <v>35860</v>
      </c>
      <c r="O2053">
        <v>1486.35</v>
      </c>
      <c r="P2053">
        <v>886.45</v>
      </c>
      <c r="Q2053" s="1">
        <v>93.75</v>
      </c>
      <c r="R2053" s="1">
        <v>54.35</v>
      </c>
      <c r="S2053" s="3">
        <v>0.25214491126854943</v>
      </c>
      <c r="T2053" s="3">
        <v>0.17596059887790827</v>
      </c>
    </row>
    <row r="2054" spans="1:20" x14ac:dyDescent="0.25">
      <c r="A2054" t="s">
        <v>78</v>
      </c>
      <c r="B2054" t="s">
        <v>79</v>
      </c>
      <c r="C2054" t="s">
        <v>5185</v>
      </c>
      <c r="D2054" t="s">
        <v>5184</v>
      </c>
      <c r="E2054">
        <v>15801.25</v>
      </c>
      <c r="F2054">
        <v>15801.25</v>
      </c>
      <c r="G2054">
        <v>15849</v>
      </c>
      <c r="H2054">
        <v>15503.1</v>
      </c>
      <c r="I2054" s="1">
        <v>15793.8</v>
      </c>
      <c r="J2054">
        <v>134653661.75</v>
      </c>
      <c r="K2054">
        <v>8580</v>
      </c>
      <c r="L2054" t="s">
        <v>78</v>
      </c>
      <c r="M2054" t="s">
        <v>17</v>
      </c>
      <c r="N2054">
        <v>4040</v>
      </c>
      <c r="O2054">
        <v>18250</v>
      </c>
      <c r="P2054">
        <v>11684.05</v>
      </c>
      <c r="Q2054" s="1" t="str">
        <v/>
      </c>
      <c r="R2054" s="1" t="str">
        <v/>
      </c>
      <c r="S2054" s="3">
        <v>0</v>
      </c>
      <c r="T2054" s="3">
        <v>0</v>
      </c>
    </row>
    <row r="2055" spans="1:20" x14ac:dyDescent="0.25">
      <c r="A2055" t="s">
        <v>78</v>
      </c>
      <c r="B2055" t="s">
        <v>79</v>
      </c>
      <c r="C2055" t="s">
        <v>5183</v>
      </c>
      <c r="D2055" t="s">
        <v>5182</v>
      </c>
      <c r="E2055">
        <v>108.04</v>
      </c>
      <c r="F2055">
        <v>108.59</v>
      </c>
      <c r="G2055">
        <v>115.15</v>
      </c>
      <c r="H2055">
        <v>107.15</v>
      </c>
      <c r="I2055" s="1">
        <v>110.25</v>
      </c>
      <c r="J2055">
        <v>44643116.810000002</v>
      </c>
      <c r="K2055">
        <v>398487</v>
      </c>
      <c r="L2055" t="s">
        <v>78</v>
      </c>
      <c r="M2055" t="s">
        <v>17</v>
      </c>
      <c r="N2055">
        <v>7172</v>
      </c>
      <c r="O2055">
        <v>152.69999999999999</v>
      </c>
      <c r="P2055">
        <v>89.5</v>
      </c>
      <c r="Q2055" s="1" t="str">
        <v/>
      </c>
      <c r="R2055" s="1" t="str">
        <v/>
      </c>
      <c r="S2055" s="3">
        <v>0</v>
      </c>
      <c r="T2055" s="3">
        <v>0</v>
      </c>
    </row>
    <row r="2056" spans="1:20" x14ac:dyDescent="0.25">
      <c r="A2056" t="s">
        <v>78</v>
      </c>
      <c r="B2056" t="s">
        <v>79</v>
      </c>
      <c r="C2056" t="s">
        <v>2951</v>
      </c>
      <c r="D2056" t="s">
        <v>2952</v>
      </c>
      <c r="E2056">
        <v>579.5</v>
      </c>
      <c r="F2056">
        <v>582.35</v>
      </c>
      <c r="G2056">
        <v>582.35</v>
      </c>
      <c r="H2056">
        <v>565.04999999999995</v>
      </c>
      <c r="I2056" s="1">
        <v>570.54999999999995</v>
      </c>
      <c r="J2056">
        <v>7978519.7999999998</v>
      </c>
      <c r="K2056">
        <v>13926</v>
      </c>
      <c r="L2056" t="s">
        <v>78</v>
      </c>
      <c r="M2056" t="s">
        <v>17</v>
      </c>
      <c r="N2056">
        <v>1217</v>
      </c>
      <c r="O2056">
        <v>645</v>
      </c>
      <c r="P2056">
        <v>372</v>
      </c>
      <c r="Q2056" s="1">
        <v>240.05</v>
      </c>
      <c r="R2056" s="1">
        <v>291</v>
      </c>
      <c r="S2056" s="3">
        <v>7.4812396079641408E-2</v>
      </c>
      <c r="T2056" s="3">
        <v>3.4217850650096304E-2</v>
      </c>
    </row>
    <row r="2057" spans="1:20" x14ac:dyDescent="0.25">
      <c r="A2057" t="s">
        <v>78</v>
      </c>
      <c r="B2057" t="s">
        <v>287</v>
      </c>
      <c r="C2057" t="s">
        <v>5181</v>
      </c>
      <c r="D2057" t="s">
        <v>5180</v>
      </c>
      <c r="E2057">
        <v>246.65</v>
      </c>
      <c r="F2057">
        <v>246.1</v>
      </c>
      <c r="G2057">
        <v>250</v>
      </c>
      <c r="H2057">
        <v>234.35</v>
      </c>
      <c r="I2057" s="1">
        <v>238</v>
      </c>
      <c r="J2057">
        <v>63514140</v>
      </c>
      <c r="K2057">
        <v>266400</v>
      </c>
      <c r="L2057" t="s">
        <v>78</v>
      </c>
      <c r="M2057" t="s">
        <v>17</v>
      </c>
      <c r="N2057">
        <v>204</v>
      </c>
      <c r="O2057">
        <v>304.55</v>
      </c>
      <c r="P2057">
        <v>99.2</v>
      </c>
      <c r="Q2057" s="1" t="str">
        <v/>
      </c>
      <c r="R2057" s="1" t="str">
        <v/>
      </c>
      <c r="S2057" s="3">
        <v>0</v>
      </c>
      <c r="T2057" s="3">
        <v>0</v>
      </c>
    </row>
    <row r="2058" spans="1:20" x14ac:dyDescent="0.25">
      <c r="A2058" t="s">
        <v>78</v>
      </c>
      <c r="B2058" t="s">
        <v>79</v>
      </c>
      <c r="C2058" t="s">
        <v>2953</v>
      </c>
      <c r="D2058" t="s">
        <v>2954</v>
      </c>
      <c r="E2058">
        <v>221.18</v>
      </c>
      <c r="F2058">
        <v>220.5</v>
      </c>
      <c r="G2058">
        <v>220.7</v>
      </c>
      <c r="H2058">
        <v>215.1</v>
      </c>
      <c r="I2058" s="1">
        <v>216.14</v>
      </c>
      <c r="J2058">
        <v>37987547.439999998</v>
      </c>
      <c r="K2058">
        <v>174862</v>
      </c>
      <c r="L2058" t="s">
        <v>78</v>
      </c>
      <c r="M2058" t="s">
        <v>17</v>
      </c>
      <c r="N2058">
        <v>7124</v>
      </c>
      <c r="O2058">
        <v>258</v>
      </c>
      <c r="P2058">
        <v>135.30000000000001</v>
      </c>
      <c r="Q2058" s="1">
        <v>147.15</v>
      </c>
      <c r="R2058" s="1">
        <v>122.4</v>
      </c>
      <c r="S2058" s="3">
        <v>3.2558279468904994E-2</v>
      </c>
      <c r="T2058" s="3">
        <v>2.8823615204379482E-2</v>
      </c>
    </row>
    <row r="2059" spans="1:20" x14ac:dyDescent="0.25">
      <c r="A2059" t="s">
        <v>78</v>
      </c>
      <c r="B2059" t="s">
        <v>79</v>
      </c>
      <c r="C2059" t="s">
        <v>5179</v>
      </c>
      <c r="D2059" t="s">
        <v>5178</v>
      </c>
      <c r="E2059">
        <v>385.2</v>
      </c>
      <c r="F2059">
        <v>385</v>
      </c>
      <c r="G2059">
        <v>389.05</v>
      </c>
      <c r="H2059">
        <v>378.1</v>
      </c>
      <c r="I2059" s="1">
        <v>381.5</v>
      </c>
      <c r="J2059">
        <v>49375088.299999997</v>
      </c>
      <c r="K2059">
        <v>128939</v>
      </c>
      <c r="L2059" t="s">
        <v>78</v>
      </c>
      <c r="M2059" t="s">
        <v>17</v>
      </c>
      <c r="N2059">
        <v>7404</v>
      </c>
      <c r="O2059">
        <v>423.4</v>
      </c>
      <c r="P2059">
        <v>136.1</v>
      </c>
      <c r="Q2059" s="1" t="str">
        <v/>
      </c>
      <c r="R2059" s="1" t="str">
        <v/>
      </c>
      <c r="S2059" s="3">
        <v>0</v>
      </c>
      <c r="T2059" s="3">
        <v>0</v>
      </c>
    </row>
    <row r="2060" spans="1:20" x14ac:dyDescent="0.25">
      <c r="A2060" t="s">
        <v>78</v>
      </c>
      <c r="B2060" t="s">
        <v>79</v>
      </c>
      <c r="C2060" t="s">
        <v>2957</v>
      </c>
      <c r="D2060" t="s">
        <v>2958</v>
      </c>
      <c r="E2060">
        <v>2139.35</v>
      </c>
      <c r="F2060">
        <v>2136.0500000000002</v>
      </c>
      <c r="G2060">
        <v>2213.1</v>
      </c>
      <c r="H2060">
        <v>2130</v>
      </c>
      <c r="I2060" s="1">
        <v>2138.5</v>
      </c>
      <c r="J2060">
        <v>211977343.55000001</v>
      </c>
      <c r="K2060">
        <v>97363</v>
      </c>
      <c r="L2060" t="s">
        <v>78</v>
      </c>
      <c r="M2060" t="s">
        <v>17</v>
      </c>
      <c r="N2060">
        <v>11619</v>
      </c>
      <c r="O2060">
        <v>2217.5500000000002</v>
      </c>
      <c r="P2060">
        <v>1425.05</v>
      </c>
      <c r="Q2060" s="1">
        <v>2219.9499999999998</v>
      </c>
      <c r="R2060" s="1">
        <v>1350</v>
      </c>
      <c r="S2060" s="3">
        <v>-3.1101554501073991E-3</v>
      </c>
      <c r="T2060" s="3">
        <v>2.3253653604464297E-2</v>
      </c>
    </row>
    <row r="2061" spans="1:20" x14ac:dyDescent="0.25">
      <c r="A2061" t="s">
        <v>17</v>
      </c>
      <c r="B2061" t="s">
        <v>2959</v>
      </c>
      <c r="D2061" t="s">
        <v>17</v>
      </c>
      <c r="E2061" t="s">
        <v>17</v>
      </c>
      <c r="F2061" t="s">
        <v>17</v>
      </c>
      <c r="G2061" t="s">
        <v>17</v>
      </c>
      <c r="H2061" t="s">
        <v>17</v>
      </c>
      <c r="I2061" s="1" t="s">
        <v>17</v>
      </c>
      <c r="J2061" t="s">
        <v>17</v>
      </c>
      <c r="K2061" t="s">
        <v>17</v>
      </c>
      <c r="L2061" t="s">
        <v>78</v>
      </c>
      <c r="M2061" t="s">
        <v>17</v>
      </c>
      <c r="N2061" t="s">
        <v>17</v>
      </c>
      <c r="O2061" t="s">
        <v>17</v>
      </c>
      <c r="P2061" t="s">
        <v>17</v>
      </c>
      <c r="Q2061" s="1" t="str">
        <v/>
      </c>
      <c r="R2061" s="1" t="str">
        <v/>
      </c>
      <c r="S2061" s="3">
        <v>0</v>
      </c>
      <c r="T2061" s="3">
        <v>0</v>
      </c>
    </row>
    <row r="2062" spans="1:20" x14ac:dyDescent="0.25">
      <c r="A2062" t="s">
        <v>17</v>
      </c>
      <c r="B2062" t="s">
        <v>2959</v>
      </c>
      <c r="D2062" t="s">
        <v>2960</v>
      </c>
      <c r="E2062" t="s">
        <v>17</v>
      </c>
      <c r="F2062" t="s">
        <v>17</v>
      </c>
      <c r="G2062" t="s">
        <v>17</v>
      </c>
      <c r="H2062" t="s">
        <v>17</v>
      </c>
      <c r="I2062" s="1" t="s">
        <v>17</v>
      </c>
      <c r="J2062" t="s">
        <v>17</v>
      </c>
      <c r="K2062" t="s">
        <v>17</v>
      </c>
      <c r="L2062" t="s">
        <v>78</v>
      </c>
      <c r="M2062" t="s">
        <v>17</v>
      </c>
      <c r="N2062" t="s">
        <v>17</v>
      </c>
      <c r="O2062" t="s">
        <v>17</v>
      </c>
      <c r="P2062" t="s">
        <v>17</v>
      </c>
      <c r="Q2062" s="1" t="str">
        <v/>
      </c>
      <c r="R2062" s="1" t="str">
        <v/>
      </c>
      <c r="S2062" s="3">
        <v>0</v>
      </c>
      <c r="T2062" s="3">
        <v>0</v>
      </c>
    </row>
    <row r="2063" spans="1:20" x14ac:dyDescent="0.25">
      <c r="A2063" t="s">
        <v>783</v>
      </c>
      <c r="B2063" t="s">
        <v>2961</v>
      </c>
      <c r="C2063" t="s">
        <v>279</v>
      </c>
      <c r="D2063" t="s">
        <v>280</v>
      </c>
      <c r="E2063">
        <v>79</v>
      </c>
      <c r="F2063">
        <v>77.42</v>
      </c>
      <c r="G2063">
        <v>77.42</v>
      </c>
      <c r="H2063">
        <v>77.42</v>
      </c>
      <c r="I2063" s="1">
        <v>77.42</v>
      </c>
      <c r="J2063">
        <v>1813950.6</v>
      </c>
      <c r="K2063">
        <v>23430</v>
      </c>
      <c r="L2063" t="s">
        <v>78</v>
      </c>
      <c r="M2063" t="s">
        <v>17</v>
      </c>
      <c r="N2063">
        <v>49</v>
      </c>
      <c r="O2063">
        <v>81.099999999999994</v>
      </c>
      <c r="P2063">
        <v>17.7</v>
      </c>
      <c r="Q2063" s="1">
        <v>22.8</v>
      </c>
      <c r="R2063" s="1">
        <v>16.25</v>
      </c>
      <c r="S2063" s="3">
        <v>0.10724363732934328</v>
      </c>
      <c r="T2063" s="3">
        <v>8.1138728540527616E-2</v>
      </c>
    </row>
    <row r="2064" spans="1:20" x14ac:dyDescent="0.25">
      <c r="A2064" t="s">
        <v>783</v>
      </c>
      <c r="B2064" t="s">
        <v>2961</v>
      </c>
      <c r="C2064" t="s">
        <v>2966</v>
      </c>
      <c r="D2064" t="s">
        <v>2967</v>
      </c>
      <c r="E2064">
        <v>19.39</v>
      </c>
      <c r="F2064">
        <v>19.2</v>
      </c>
      <c r="G2064">
        <v>19.39</v>
      </c>
      <c r="H2064">
        <v>19</v>
      </c>
      <c r="I2064" s="1">
        <v>19</v>
      </c>
      <c r="J2064">
        <v>3339299.39</v>
      </c>
      <c r="K2064">
        <v>174537</v>
      </c>
      <c r="L2064" t="s">
        <v>78</v>
      </c>
      <c r="M2064" t="s">
        <v>17</v>
      </c>
      <c r="N2064">
        <v>180</v>
      </c>
      <c r="O2064">
        <v>24.57</v>
      </c>
      <c r="P2064">
        <v>12.3</v>
      </c>
      <c r="Q2064" s="1">
        <v>5.65</v>
      </c>
      <c r="R2064" s="1">
        <v>9.75</v>
      </c>
      <c r="S2064" s="3">
        <v>0.1063488686830667</v>
      </c>
      <c r="T2064" s="3">
        <v>3.3902332926642575E-2</v>
      </c>
    </row>
    <row r="2065" spans="1:20" x14ac:dyDescent="0.25">
      <c r="A2065" t="s">
        <v>78</v>
      </c>
      <c r="B2065" t="s">
        <v>2961</v>
      </c>
      <c r="C2065" t="s">
        <v>290</v>
      </c>
      <c r="D2065" t="s">
        <v>291</v>
      </c>
      <c r="E2065">
        <v>13.94</v>
      </c>
      <c r="F2065">
        <v>14.13</v>
      </c>
      <c r="G2065">
        <v>14.25</v>
      </c>
      <c r="H2065">
        <v>13.9</v>
      </c>
      <c r="I2065" s="1">
        <v>14.09</v>
      </c>
      <c r="J2065">
        <v>5772590.4500000002</v>
      </c>
      <c r="K2065">
        <v>410589</v>
      </c>
      <c r="L2065" t="s">
        <v>78</v>
      </c>
      <c r="M2065" t="s">
        <v>17</v>
      </c>
      <c r="N2065">
        <v>1675</v>
      </c>
      <c r="O2065">
        <v>17.149999999999999</v>
      </c>
      <c r="P2065">
        <v>5.75</v>
      </c>
      <c r="Q2065" s="1">
        <v>217.5</v>
      </c>
      <c r="R2065" s="1" t="str">
        <v/>
      </c>
      <c r="S2065" s="3">
        <v>-0.20392440340585216</v>
      </c>
      <c r="T2065" s="3">
        <v>0</v>
      </c>
    </row>
    <row r="2066" spans="1:20" x14ac:dyDescent="0.25">
      <c r="A2066" t="s">
        <v>783</v>
      </c>
      <c r="B2066" t="s">
        <v>2961</v>
      </c>
      <c r="C2066" t="s">
        <v>5177</v>
      </c>
      <c r="D2066" t="s">
        <v>5176</v>
      </c>
      <c r="E2066">
        <v>196.46</v>
      </c>
      <c r="F2066">
        <v>192.53</v>
      </c>
      <c r="G2066">
        <v>192.53</v>
      </c>
      <c r="H2066">
        <v>192.53</v>
      </c>
      <c r="I2066" s="1">
        <v>192.53</v>
      </c>
      <c r="J2066">
        <v>106854.15</v>
      </c>
      <c r="K2066">
        <v>555</v>
      </c>
      <c r="L2066" t="s">
        <v>78</v>
      </c>
      <c r="M2066" t="s">
        <v>17</v>
      </c>
      <c r="N2066">
        <v>35</v>
      </c>
      <c r="O2066">
        <v>262</v>
      </c>
      <c r="P2066">
        <v>127.25</v>
      </c>
      <c r="Q2066" s="1" t="str">
        <v/>
      </c>
      <c r="R2066" s="1" t="str">
        <v/>
      </c>
      <c r="S2066" s="3">
        <v>0</v>
      </c>
      <c r="T2066" s="3">
        <v>0</v>
      </c>
    </row>
    <row r="2067" spans="1:20" x14ac:dyDescent="0.25">
      <c r="A2067" t="s">
        <v>783</v>
      </c>
      <c r="B2067" t="s">
        <v>2961</v>
      </c>
      <c r="C2067" t="s">
        <v>2972</v>
      </c>
      <c r="D2067" t="s">
        <v>2973</v>
      </c>
      <c r="E2067">
        <v>65.66</v>
      </c>
      <c r="F2067">
        <v>64.34</v>
      </c>
      <c r="G2067">
        <v>64.34</v>
      </c>
      <c r="H2067">
        <v>64.34</v>
      </c>
      <c r="I2067" s="1">
        <v>64.34</v>
      </c>
      <c r="J2067">
        <v>1691112.56</v>
      </c>
      <c r="K2067">
        <v>26284</v>
      </c>
      <c r="L2067" t="s">
        <v>78</v>
      </c>
      <c r="M2067" t="s">
        <v>17</v>
      </c>
      <c r="N2067">
        <v>139</v>
      </c>
      <c r="O2067">
        <v>93.35</v>
      </c>
      <c r="P2067">
        <v>38.950000000000003</v>
      </c>
      <c r="Q2067" s="1">
        <v>42.25</v>
      </c>
      <c r="R2067" s="1">
        <v>33.799999999999997</v>
      </c>
      <c r="S2067" s="3">
        <v>3.5669520544524769E-2</v>
      </c>
      <c r="T2067" s="3">
        <v>3.2691405643182181E-2</v>
      </c>
    </row>
    <row r="2068" spans="1:20" x14ac:dyDescent="0.25">
      <c r="A2068" t="s">
        <v>78</v>
      </c>
      <c r="B2068" t="s">
        <v>2961</v>
      </c>
      <c r="C2068" t="s">
        <v>5175</v>
      </c>
      <c r="D2068" t="s">
        <v>311</v>
      </c>
      <c r="E2068">
        <v>61.89</v>
      </c>
      <c r="F2068">
        <v>64.98</v>
      </c>
      <c r="G2068">
        <v>64.98</v>
      </c>
      <c r="H2068">
        <v>63.13</v>
      </c>
      <c r="I2068" s="1">
        <v>63.61</v>
      </c>
      <c r="J2068">
        <v>81647.240000000005</v>
      </c>
      <c r="K2068">
        <v>1276</v>
      </c>
      <c r="L2068" t="s">
        <v>78</v>
      </c>
      <c r="M2068" t="s">
        <v>17</v>
      </c>
      <c r="N2068">
        <v>30</v>
      </c>
      <c r="O2068">
        <v>80.75</v>
      </c>
      <c r="P2068">
        <v>31.35</v>
      </c>
      <c r="Q2068" s="1" t="str">
        <v/>
      </c>
      <c r="R2068" s="1" t="str">
        <v/>
      </c>
      <c r="S2068" s="3">
        <v>0</v>
      </c>
      <c r="T2068" s="3">
        <v>0</v>
      </c>
    </row>
    <row r="2069" spans="1:20" x14ac:dyDescent="0.25">
      <c r="A2069" t="s">
        <v>78</v>
      </c>
      <c r="B2069" t="s">
        <v>2961</v>
      </c>
      <c r="C2069" t="s">
        <v>314</v>
      </c>
      <c r="D2069" t="s">
        <v>315</v>
      </c>
      <c r="E2069">
        <v>13.04</v>
      </c>
      <c r="F2069">
        <v>12.8</v>
      </c>
      <c r="G2069">
        <v>13.5</v>
      </c>
      <c r="H2069">
        <v>12.38</v>
      </c>
      <c r="I2069" s="1">
        <v>12.78</v>
      </c>
      <c r="J2069">
        <v>7726750.1600000001</v>
      </c>
      <c r="K2069">
        <v>609211</v>
      </c>
      <c r="L2069" t="s">
        <v>78</v>
      </c>
      <c r="M2069" t="s">
        <v>17</v>
      </c>
      <c r="N2069">
        <v>1931</v>
      </c>
      <c r="O2069">
        <v>18.25</v>
      </c>
      <c r="P2069">
        <v>7.05</v>
      </c>
      <c r="Q2069" s="1">
        <v>83.55</v>
      </c>
      <c r="R2069" s="1">
        <v>38</v>
      </c>
      <c r="S2069" s="3">
        <v>-0.14483739813560115</v>
      </c>
      <c r="T2069" s="3">
        <v>-5.2999252976853928E-2</v>
      </c>
    </row>
    <row r="2070" spans="1:20" x14ac:dyDescent="0.25">
      <c r="A2070" t="s">
        <v>78</v>
      </c>
      <c r="B2070" t="s">
        <v>2961</v>
      </c>
      <c r="C2070" t="s">
        <v>340</v>
      </c>
      <c r="D2070" t="s">
        <v>341</v>
      </c>
      <c r="E2070">
        <v>119.52</v>
      </c>
      <c r="F2070">
        <v>120.4</v>
      </c>
      <c r="G2070">
        <v>120.4</v>
      </c>
      <c r="H2070">
        <v>115</v>
      </c>
      <c r="I2070" s="1">
        <v>115.44</v>
      </c>
      <c r="J2070">
        <v>6687195.0099999998</v>
      </c>
      <c r="K2070">
        <v>57498</v>
      </c>
      <c r="L2070" t="s">
        <v>78</v>
      </c>
      <c r="M2070" t="s">
        <v>17</v>
      </c>
      <c r="N2070">
        <v>592</v>
      </c>
      <c r="O2070">
        <v>167.35</v>
      </c>
      <c r="P2070">
        <v>90.65</v>
      </c>
      <c r="Q2070" s="1">
        <v>203</v>
      </c>
      <c r="R2070" s="1">
        <v>60.1</v>
      </c>
      <c r="S2070" s="3">
        <v>-4.5948782671710986E-2</v>
      </c>
      <c r="T2070" s="3">
        <v>3.315701758713141E-2</v>
      </c>
    </row>
    <row r="2071" spans="1:20" x14ac:dyDescent="0.25">
      <c r="A2071" t="s">
        <v>783</v>
      </c>
      <c r="B2071" t="s">
        <v>2961</v>
      </c>
      <c r="C2071" t="s">
        <v>2996</v>
      </c>
      <c r="D2071" t="s">
        <v>2997</v>
      </c>
      <c r="E2071">
        <v>3.64</v>
      </c>
      <c r="F2071">
        <v>3.64</v>
      </c>
      <c r="G2071">
        <v>3.64</v>
      </c>
      <c r="H2071">
        <v>3.64</v>
      </c>
      <c r="I2071" s="1">
        <v>3.64</v>
      </c>
      <c r="J2071">
        <v>63507.08</v>
      </c>
      <c r="K2071">
        <v>17447</v>
      </c>
      <c r="L2071" t="s">
        <v>78</v>
      </c>
      <c r="M2071" t="s">
        <v>17</v>
      </c>
      <c r="N2071">
        <v>85</v>
      </c>
      <c r="O2071">
        <v>4.3499999999999996</v>
      </c>
      <c r="P2071">
        <v>1.7</v>
      </c>
      <c r="Q2071" s="1">
        <v>3.15</v>
      </c>
      <c r="R2071" s="1">
        <v>0.8</v>
      </c>
      <c r="S2071" s="3">
        <v>1.2121310517702488E-2</v>
      </c>
      <c r="T2071" s="3">
        <v>7.8654977777856683E-2</v>
      </c>
    </row>
    <row r="2072" spans="1:20" x14ac:dyDescent="0.25">
      <c r="A2072" t="s">
        <v>78</v>
      </c>
      <c r="B2072" t="s">
        <v>2961</v>
      </c>
      <c r="C2072" t="s">
        <v>400</v>
      </c>
      <c r="D2072" t="s">
        <v>401</v>
      </c>
      <c r="E2072">
        <v>61.64</v>
      </c>
      <c r="F2072">
        <v>62.9</v>
      </c>
      <c r="G2072">
        <v>62.9</v>
      </c>
      <c r="H2072">
        <v>58.55</v>
      </c>
      <c r="I2072" s="1">
        <v>58.6</v>
      </c>
      <c r="J2072">
        <v>8851982.4499999993</v>
      </c>
      <c r="K2072">
        <v>148567</v>
      </c>
      <c r="L2072" t="s">
        <v>78</v>
      </c>
      <c r="M2072" t="s">
        <v>17</v>
      </c>
      <c r="N2072">
        <v>595</v>
      </c>
      <c r="O2072">
        <v>65.31</v>
      </c>
      <c r="P2072">
        <v>28.85</v>
      </c>
      <c r="Q2072" s="1">
        <v>33.4</v>
      </c>
      <c r="R2072" s="1">
        <v>17.05</v>
      </c>
      <c r="S2072" s="3">
        <v>4.7962950869331999E-2</v>
      </c>
      <c r="T2072" s="3">
        <v>6.3638331289222805E-2</v>
      </c>
    </row>
    <row r="2073" spans="1:20" x14ac:dyDescent="0.25">
      <c r="A2073" t="s">
        <v>78</v>
      </c>
      <c r="B2073" t="s">
        <v>2961</v>
      </c>
      <c r="C2073" t="s">
        <v>3002</v>
      </c>
      <c r="D2073" t="s">
        <v>3003</v>
      </c>
      <c r="E2073">
        <v>3.98</v>
      </c>
      <c r="F2073">
        <v>4.08</v>
      </c>
      <c r="G2073">
        <v>4.17</v>
      </c>
      <c r="H2073">
        <v>3.98</v>
      </c>
      <c r="I2073" s="1">
        <v>4.07</v>
      </c>
      <c r="J2073">
        <v>276237.64</v>
      </c>
      <c r="K2073">
        <v>67284</v>
      </c>
      <c r="L2073" t="s">
        <v>78</v>
      </c>
      <c r="M2073" t="s">
        <v>17</v>
      </c>
      <c r="N2073">
        <v>176</v>
      </c>
      <c r="O2073">
        <v>5.6</v>
      </c>
      <c r="P2073">
        <v>3.45</v>
      </c>
      <c r="Q2073" s="1">
        <v>1.75</v>
      </c>
      <c r="R2073" s="1">
        <v>0.5</v>
      </c>
      <c r="S2073" s="3">
        <v>7.286817643335608E-2</v>
      </c>
      <c r="T2073" s="3">
        <v>0.11046860638916955</v>
      </c>
    </row>
    <row r="2074" spans="1:20" x14ac:dyDescent="0.25">
      <c r="A2074" t="s">
        <v>78</v>
      </c>
      <c r="B2074" t="s">
        <v>2961</v>
      </c>
      <c r="C2074" t="s">
        <v>412</v>
      </c>
      <c r="D2074" t="s">
        <v>413</v>
      </c>
      <c r="E2074">
        <v>34.229999999999997</v>
      </c>
      <c r="F2074">
        <v>34.630000000000003</v>
      </c>
      <c r="G2074">
        <v>34.630000000000003</v>
      </c>
      <c r="H2074">
        <v>34</v>
      </c>
      <c r="I2074" s="1">
        <v>34.06</v>
      </c>
      <c r="J2074">
        <v>1575228.37</v>
      </c>
      <c r="K2074">
        <v>46136</v>
      </c>
      <c r="L2074" t="s">
        <v>78</v>
      </c>
      <c r="M2074" t="s">
        <v>17</v>
      </c>
      <c r="N2074">
        <v>484</v>
      </c>
      <c r="O2074">
        <v>68</v>
      </c>
      <c r="P2074">
        <v>30</v>
      </c>
      <c r="Q2074" s="1">
        <v>165</v>
      </c>
      <c r="R2074" s="1" t="str">
        <v/>
      </c>
      <c r="S2074" s="3">
        <v>-0.12320770449582497</v>
      </c>
      <c r="T2074" s="3">
        <v>0</v>
      </c>
    </row>
    <row r="2075" spans="1:20" x14ac:dyDescent="0.25">
      <c r="A2075" t="s">
        <v>783</v>
      </c>
      <c r="B2075" t="s">
        <v>2961</v>
      </c>
      <c r="C2075" t="s">
        <v>3008</v>
      </c>
      <c r="D2075" t="s">
        <v>3009</v>
      </c>
      <c r="E2075">
        <v>98.99</v>
      </c>
      <c r="F2075">
        <v>98.99</v>
      </c>
      <c r="G2075">
        <v>98.99</v>
      </c>
      <c r="H2075">
        <v>98.05</v>
      </c>
      <c r="I2075" s="1">
        <v>98.5</v>
      </c>
      <c r="J2075">
        <v>941520.36</v>
      </c>
      <c r="K2075">
        <v>9565</v>
      </c>
      <c r="L2075" t="s">
        <v>78</v>
      </c>
      <c r="M2075" t="s">
        <v>17</v>
      </c>
      <c r="N2075">
        <v>44</v>
      </c>
      <c r="O2075">
        <v>148.4</v>
      </c>
      <c r="P2075">
        <v>71.900000000000006</v>
      </c>
      <c r="Q2075" s="1">
        <v>33.049999999999997</v>
      </c>
      <c r="R2075" s="1">
        <v>29</v>
      </c>
      <c r="S2075" s="3">
        <v>9.5272198143893538E-2</v>
      </c>
      <c r="T2075" s="3">
        <v>6.3010050289852293E-2</v>
      </c>
    </row>
    <row r="2076" spans="1:20" x14ac:dyDescent="0.25">
      <c r="A2076" t="s">
        <v>78</v>
      </c>
      <c r="B2076" t="s">
        <v>2961</v>
      </c>
      <c r="C2076" t="s">
        <v>456</v>
      </c>
      <c r="D2076" t="s">
        <v>457</v>
      </c>
      <c r="E2076">
        <v>4.74</v>
      </c>
      <c r="F2076">
        <v>4.8899999999999997</v>
      </c>
      <c r="G2076">
        <v>4.97</v>
      </c>
      <c r="H2076">
        <v>4.8</v>
      </c>
      <c r="I2076" s="1">
        <v>4.8899999999999997</v>
      </c>
      <c r="J2076">
        <v>3234714.03</v>
      </c>
      <c r="K2076">
        <v>657295</v>
      </c>
      <c r="L2076" t="s">
        <v>78</v>
      </c>
      <c r="M2076" t="s">
        <v>17</v>
      </c>
      <c r="N2076">
        <v>413</v>
      </c>
      <c r="O2076">
        <v>9.75</v>
      </c>
      <c r="P2076">
        <v>3.45</v>
      </c>
      <c r="Q2076" s="1">
        <v>29.1</v>
      </c>
      <c r="R2076" s="1">
        <v>17.45</v>
      </c>
      <c r="S2076" s="3">
        <v>-0.13811103072279163</v>
      </c>
      <c r="T2076" s="3">
        <v>-6.1593948567851386E-2</v>
      </c>
    </row>
    <row r="2077" spans="1:20" x14ac:dyDescent="0.25">
      <c r="A2077" t="s">
        <v>78</v>
      </c>
      <c r="B2077" t="s">
        <v>2961</v>
      </c>
      <c r="C2077" t="s">
        <v>3016</v>
      </c>
      <c r="D2077" t="s">
        <v>3017</v>
      </c>
      <c r="E2077">
        <v>21.57</v>
      </c>
      <c r="F2077">
        <v>21.74</v>
      </c>
      <c r="G2077">
        <v>21.74</v>
      </c>
      <c r="H2077">
        <v>20.61</v>
      </c>
      <c r="I2077" s="1">
        <v>20.86</v>
      </c>
      <c r="J2077">
        <v>185909.98</v>
      </c>
      <c r="K2077">
        <v>8882</v>
      </c>
      <c r="L2077" t="s">
        <v>78</v>
      </c>
      <c r="M2077" t="s">
        <v>17</v>
      </c>
      <c r="N2077">
        <v>72</v>
      </c>
      <c r="O2077">
        <v>26.75</v>
      </c>
      <c r="P2077">
        <v>17.399999999999999</v>
      </c>
      <c r="Q2077" s="1">
        <v>32.75</v>
      </c>
      <c r="R2077" s="1">
        <v>32.549999999999997</v>
      </c>
      <c r="S2077" s="3">
        <v>-3.6891424160247821E-2</v>
      </c>
      <c r="T2077" s="3">
        <v>-2.1989636507795174E-2</v>
      </c>
    </row>
    <row r="2078" spans="1:20" x14ac:dyDescent="0.25">
      <c r="A2078" t="s">
        <v>78</v>
      </c>
      <c r="B2078" t="s">
        <v>2961</v>
      </c>
      <c r="C2078" t="s">
        <v>3020</v>
      </c>
      <c r="D2078" t="s">
        <v>3021</v>
      </c>
      <c r="E2078">
        <v>186</v>
      </c>
      <c r="F2078">
        <v>185.99</v>
      </c>
      <c r="G2078">
        <v>186</v>
      </c>
      <c r="H2078">
        <v>178.2</v>
      </c>
      <c r="I2078" s="1">
        <v>178.25</v>
      </c>
      <c r="J2078">
        <v>103892.55</v>
      </c>
      <c r="K2078">
        <v>565</v>
      </c>
      <c r="L2078" t="s">
        <v>78</v>
      </c>
      <c r="M2078" t="s">
        <v>17</v>
      </c>
      <c r="N2078">
        <v>33</v>
      </c>
      <c r="O2078">
        <v>315</v>
      </c>
      <c r="P2078">
        <v>105.25</v>
      </c>
      <c r="Q2078" s="1">
        <v>102.6</v>
      </c>
      <c r="R2078" s="1">
        <v>55</v>
      </c>
      <c r="S2078" s="3">
        <v>4.7104874857157419E-2</v>
      </c>
      <c r="T2078" s="3">
        <v>6.0521211429948929E-2</v>
      </c>
    </row>
    <row r="2079" spans="1:20" x14ac:dyDescent="0.25">
      <c r="A2079" t="s">
        <v>783</v>
      </c>
      <c r="B2079" t="s">
        <v>2961</v>
      </c>
      <c r="C2079" t="s">
        <v>494</v>
      </c>
      <c r="D2079" t="s">
        <v>495</v>
      </c>
      <c r="E2079">
        <v>26.88</v>
      </c>
      <c r="F2079">
        <v>26.5</v>
      </c>
      <c r="G2079">
        <v>26.5</v>
      </c>
      <c r="H2079">
        <v>26.34</v>
      </c>
      <c r="I2079" s="1">
        <v>26.34</v>
      </c>
      <c r="J2079">
        <v>534526.84</v>
      </c>
      <c r="K2079">
        <v>20244</v>
      </c>
      <c r="L2079" t="s">
        <v>78</v>
      </c>
      <c r="M2079" t="s">
        <v>17</v>
      </c>
      <c r="N2079">
        <v>65</v>
      </c>
      <c r="O2079">
        <v>29.79</v>
      </c>
      <c r="P2079">
        <v>19.25</v>
      </c>
      <c r="Q2079" s="1">
        <v>69.349999999999994</v>
      </c>
      <c r="R2079" s="1">
        <v>98</v>
      </c>
      <c r="S2079" s="3">
        <v>-7.750481341072879E-2</v>
      </c>
      <c r="T2079" s="3">
        <v>-6.3548888757141264E-2</v>
      </c>
    </row>
    <row r="2080" spans="1:20" x14ac:dyDescent="0.25">
      <c r="A2080" t="s">
        <v>783</v>
      </c>
      <c r="B2080" t="s">
        <v>2961</v>
      </c>
      <c r="C2080" t="s">
        <v>496</v>
      </c>
      <c r="D2080" t="s">
        <v>497</v>
      </c>
      <c r="E2080">
        <v>7.14</v>
      </c>
      <c r="F2080">
        <v>7.03</v>
      </c>
      <c r="G2080">
        <v>7.03</v>
      </c>
      <c r="H2080">
        <v>6.99</v>
      </c>
      <c r="I2080" s="1">
        <v>6.99</v>
      </c>
      <c r="J2080">
        <v>2841223.11</v>
      </c>
      <c r="K2080">
        <v>405887</v>
      </c>
      <c r="L2080" t="s">
        <v>78</v>
      </c>
      <c r="M2080" t="s">
        <v>17</v>
      </c>
      <c r="N2080">
        <v>239</v>
      </c>
      <c r="O2080">
        <v>88.8</v>
      </c>
      <c r="P2080">
        <v>6.86</v>
      </c>
      <c r="Q2080" s="1">
        <v>53</v>
      </c>
      <c r="R2080" s="1" t="str">
        <v/>
      </c>
      <c r="S2080" s="3">
        <v>-0.1553370552134038</v>
      </c>
      <c r="T2080" s="3">
        <v>0</v>
      </c>
    </row>
    <row r="2081" spans="1:20" x14ac:dyDescent="0.25">
      <c r="A2081" t="s">
        <v>78</v>
      </c>
      <c r="B2081" t="s">
        <v>2961</v>
      </c>
      <c r="C2081" t="s">
        <v>5174</v>
      </c>
      <c r="D2081" t="s">
        <v>5173</v>
      </c>
      <c r="E2081">
        <v>42.67</v>
      </c>
      <c r="F2081">
        <v>41.3</v>
      </c>
      <c r="G2081">
        <v>43.3</v>
      </c>
      <c r="H2081">
        <v>41</v>
      </c>
      <c r="I2081" s="1">
        <v>41.33</v>
      </c>
      <c r="J2081">
        <v>4137357.21</v>
      </c>
      <c r="K2081">
        <v>98912</v>
      </c>
      <c r="L2081" t="s">
        <v>78</v>
      </c>
      <c r="M2081" t="s">
        <v>17</v>
      </c>
      <c r="N2081">
        <v>455</v>
      </c>
      <c r="O2081">
        <v>47.34</v>
      </c>
      <c r="P2081">
        <v>13.1</v>
      </c>
      <c r="Q2081" s="1" t="str">
        <v/>
      </c>
      <c r="R2081" s="1" t="str">
        <v/>
      </c>
      <c r="S2081" s="3">
        <v>0</v>
      </c>
      <c r="T2081" s="3">
        <v>0</v>
      </c>
    </row>
    <row r="2082" spans="1:20" x14ac:dyDescent="0.25">
      <c r="A2082" t="s">
        <v>78</v>
      </c>
      <c r="B2082" t="s">
        <v>2961</v>
      </c>
      <c r="C2082" t="s">
        <v>502</v>
      </c>
      <c r="D2082" t="s">
        <v>503</v>
      </c>
      <c r="E2082">
        <v>732.85</v>
      </c>
      <c r="F2082">
        <v>732.8</v>
      </c>
      <c r="G2082">
        <v>732.8</v>
      </c>
      <c r="H2082">
        <v>703</v>
      </c>
      <c r="I2082" s="1">
        <v>710.4</v>
      </c>
      <c r="J2082">
        <v>60992480.700000003</v>
      </c>
      <c r="K2082">
        <v>85523</v>
      </c>
      <c r="L2082" t="s">
        <v>78</v>
      </c>
      <c r="M2082" t="s">
        <v>17</v>
      </c>
      <c r="N2082">
        <v>3274</v>
      </c>
      <c r="O2082">
        <v>844.4</v>
      </c>
      <c r="P2082">
        <v>327.55</v>
      </c>
      <c r="Q2082" s="1">
        <v>214.05</v>
      </c>
      <c r="R2082" s="1">
        <v>259.10000000000002</v>
      </c>
      <c r="S2082" s="3">
        <v>0.10513578885030528</v>
      </c>
      <c r="T2082" s="3">
        <v>5.1694935584229551E-2</v>
      </c>
    </row>
    <row r="2083" spans="1:20" x14ac:dyDescent="0.25">
      <c r="A2083" t="s">
        <v>78</v>
      </c>
      <c r="B2083" t="s">
        <v>2961</v>
      </c>
      <c r="C2083" t="s">
        <v>508</v>
      </c>
      <c r="D2083" t="s">
        <v>509</v>
      </c>
      <c r="E2083">
        <v>94.75</v>
      </c>
      <c r="F2083">
        <v>93.05</v>
      </c>
      <c r="G2083">
        <v>94.75</v>
      </c>
      <c r="H2083">
        <v>90.65</v>
      </c>
      <c r="I2083" s="1">
        <v>91.6</v>
      </c>
      <c r="J2083">
        <v>196621.81</v>
      </c>
      <c r="K2083">
        <v>2129</v>
      </c>
      <c r="L2083" t="s">
        <v>78</v>
      </c>
      <c r="M2083" t="s">
        <v>17</v>
      </c>
      <c r="N2083">
        <v>38</v>
      </c>
      <c r="O2083">
        <v>133.9</v>
      </c>
      <c r="P2083">
        <v>59.25</v>
      </c>
      <c r="Q2083" s="1">
        <v>103.65</v>
      </c>
      <c r="R2083" s="1">
        <v>33.85</v>
      </c>
      <c r="S2083" s="3">
        <v>-1.0246193682315718E-2</v>
      </c>
      <c r="T2083" s="3">
        <v>5.1005531319021413E-2</v>
      </c>
    </row>
    <row r="2084" spans="1:20" x14ac:dyDescent="0.25">
      <c r="A2084" t="s">
        <v>78</v>
      </c>
      <c r="B2084" t="s">
        <v>2961</v>
      </c>
      <c r="C2084" t="s">
        <v>5172</v>
      </c>
      <c r="D2084" t="s">
        <v>5171</v>
      </c>
      <c r="E2084">
        <v>14.48</v>
      </c>
      <c r="F2084">
        <v>14.59</v>
      </c>
      <c r="G2084">
        <v>14.93</v>
      </c>
      <c r="H2084">
        <v>14</v>
      </c>
      <c r="I2084" s="1">
        <v>14.12</v>
      </c>
      <c r="J2084">
        <v>4634963.5</v>
      </c>
      <c r="K2084">
        <v>319250</v>
      </c>
      <c r="L2084" t="s">
        <v>78</v>
      </c>
      <c r="M2084" t="s">
        <v>17</v>
      </c>
      <c r="N2084">
        <v>752</v>
      </c>
      <c r="O2084">
        <v>140.94999999999999</v>
      </c>
      <c r="P2084">
        <v>11.81</v>
      </c>
      <c r="Q2084" s="1" t="str">
        <v/>
      </c>
      <c r="R2084" s="1" t="str">
        <v/>
      </c>
      <c r="S2084" s="3">
        <v>0</v>
      </c>
      <c r="T2084" s="3">
        <v>0</v>
      </c>
    </row>
    <row r="2085" spans="1:20" x14ac:dyDescent="0.25">
      <c r="A2085" t="s">
        <v>78</v>
      </c>
      <c r="B2085" t="s">
        <v>2961</v>
      </c>
      <c r="C2085" t="s">
        <v>524</v>
      </c>
      <c r="D2085" t="s">
        <v>525</v>
      </c>
      <c r="E2085">
        <v>85.58</v>
      </c>
      <c r="F2085">
        <v>85.58</v>
      </c>
      <c r="G2085">
        <v>85.58</v>
      </c>
      <c r="H2085">
        <v>83.52</v>
      </c>
      <c r="I2085" s="1">
        <v>84.17</v>
      </c>
      <c r="J2085">
        <v>84476.95</v>
      </c>
      <c r="K2085">
        <v>997</v>
      </c>
      <c r="L2085" t="s">
        <v>78</v>
      </c>
      <c r="M2085" t="s">
        <v>17</v>
      </c>
      <c r="N2085">
        <v>23</v>
      </c>
      <c r="O2085">
        <v>119</v>
      </c>
      <c r="P2085">
        <v>73.25</v>
      </c>
      <c r="Q2085" s="1">
        <v>160.19999999999999</v>
      </c>
      <c r="R2085" s="1" t="str">
        <v/>
      </c>
      <c r="S2085" s="3">
        <v>-5.2219211555456502E-2</v>
      </c>
      <c r="T2085" s="3">
        <v>0</v>
      </c>
    </row>
    <row r="2086" spans="1:20" x14ac:dyDescent="0.25">
      <c r="A2086" t="s">
        <v>78</v>
      </c>
      <c r="B2086" t="s">
        <v>2961</v>
      </c>
      <c r="C2086" t="s">
        <v>3036</v>
      </c>
      <c r="D2086" t="s">
        <v>3037</v>
      </c>
      <c r="E2086">
        <v>8.82</v>
      </c>
      <c r="F2086">
        <v>8.89</v>
      </c>
      <c r="G2086">
        <v>8.99</v>
      </c>
      <c r="H2086">
        <v>8.5</v>
      </c>
      <c r="I2086" s="1">
        <v>8.8699999999999992</v>
      </c>
      <c r="J2086">
        <v>1206766.55</v>
      </c>
      <c r="K2086">
        <v>137445</v>
      </c>
      <c r="L2086" t="s">
        <v>78</v>
      </c>
      <c r="M2086" t="s">
        <v>17</v>
      </c>
      <c r="N2086">
        <v>424</v>
      </c>
      <c r="O2086">
        <v>15.4</v>
      </c>
      <c r="P2086">
        <v>5.15</v>
      </c>
      <c r="Q2086" s="1">
        <v>3.55</v>
      </c>
      <c r="R2086" s="1">
        <v>3.05</v>
      </c>
      <c r="S2086" s="3">
        <v>7.9297751338732958E-2</v>
      </c>
      <c r="T2086" s="3">
        <v>5.4796048009622789E-2</v>
      </c>
    </row>
    <row r="2087" spans="1:20" x14ac:dyDescent="0.25">
      <c r="A2087" t="s">
        <v>783</v>
      </c>
      <c r="B2087" t="s">
        <v>2961</v>
      </c>
      <c r="C2087" t="s">
        <v>553</v>
      </c>
      <c r="D2087" t="s">
        <v>554</v>
      </c>
      <c r="E2087">
        <v>120</v>
      </c>
      <c r="F2087">
        <v>120</v>
      </c>
      <c r="G2087">
        <v>120</v>
      </c>
      <c r="H2087">
        <v>118</v>
      </c>
      <c r="I2087" s="1">
        <v>118</v>
      </c>
      <c r="J2087">
        <v>1783479.73</v>
      </c>
      <c r="K2087">
        <v>15016</v>
      </c>
      <c r="L2087" t="s">
        <v>78</v>
      </c>
      <c r="M2087" t="s">
        <v>17</v>
      </c>
      <c r="N2087">
        <v>106</v>
      </c>
      <c r="O2087">
        <v>166.8</v>
      </c>
      <c r="P2087">
        <v>66.150000000000006</v>
      </c>
      <c r="Q2087" s="1">
        <v>64</v>
      </c>
      <c r="R2087" s="1">
        <v>95.65</v>
      </c>
      <c r="S2087" s="3">
        <v>5.2305489857320309E-2</v>
      </c>
      <c r="T2087" s="3">
        <v>1.0548948387521406E-2</v>
      </c>
    </row>
    <row r="2088" spans="1:20" x14ac:dyDescent="0.25">
      <c r="A2088" t="s">
        <v>78</v>
      </c>
      <c r="B2088" t="s">
        <v>2961</v>
      </c>
      <c r="C2088" t="s">
        <v>5170</v>
      </c>
      <c r="D2088" t="s">
        <v>5169</v>
      </c>
      <c r="E2088">
        <v>402.75</v>
      </c>
      <c r="F2088">
        <v>402</v>
      </c>
      <c r="G2088">
        <v>404</v>
      </c>
      <c r="H2088">
        <v>388</v>
      </c>
      <c r="I2088" s="1">
        <v>399.35</v>
      </c>
      <c r="J2088">
        <v>78849172.400000006</v>
      </c>
      <c r="K2088">
        <v>198743</v>
      </c>
      <c r="L2088" t="s">
        <v>78</v>
      </c>
      <c r="M2088" t="s">
        <v>17</v>
      </c>
      <c r="N2088">
        <v>3585</v>
      </c>
      <c r="O2088">
        <v>430</v>
      </c>
      <c r="P2088">
        <v>176.65</v>
      </c>
      <c r="Q2088" s="1" t="str">
        <v/>
      </c>
      <c r="R2088" s="1" t="str">
        <v/>
      </c>
      <c r="S2088" s="3">
        <v>0</v>
      </c>
      <c r="T2088" s="3">
        <v>0</v>
      </c>
    </row>
    <row r="2089" spans="1:20" x14ac:dyDescent="0.25">
      <c r="A2089" t="s">
        <v>783</v>
      </c>
      <c r="B2089" t="s">
        <v>2961</v>
      </c>
      <c r="C2089" t="s">
        <v>593</v>
      </c>
      <c r="D2089" t="s">
        <v>594</v>
      </c>
      <c r="E2089">
        <v>47.5</v>
      </c>
      <c r="F2089">
        <v>47</v>
      </c>
      <c r="G2089">
        <v>47</v>
      </c>
      <c r="H2089">
        <v>46.55</v>
      </c>
      <c r="I2089" s="1">
        <v>46.55</v>
      </c>
      <c r="J2089">
        <v>1336888.3</v>
      </c>
      <c r="K2089">
        <v>28595</v>
      </c>
      <c r="L2089" t="s">
        <v>78</v>
      </c>
      <c r="M2089" t="s">
        <v>17</v>
      </c>
      <c r="N2089">
        <v>159</v>
      </c>
      <c r="O2089">
        <v>119.5</v>
      </c>
      <c r="P2089">
        <v>33.1</v>
      </c>
      <c r="Q2089" s="1">
        <v>65.5</v>
      </c>
      <c r="R2089" s="1">
        <v>45.4</v>
      </c>
      <c r="S2089" s="3">
        <v>-2.8059083221512404E-2</v>
      </c>
      <c r="T2089" s="3">
        <v>1.2508416200549544E-3</v>
      </c>
    </row>
    <row r="2090" spans="1:20" x14ac:dyDescent="0.25">
      <c r="A2090" t="s">
        <v>78</v>
      </c>
      <c r="B2090" t="s">
        <v>2961</v>
      </c>
      <c r="C2090" t="s">
        <v>3054</v>
      </c>
      <c r="D2090" t="s">
        <v>3055</v>
      </c>
      <c r="E2090">
        <v>477.75</v>
      </c>
      <c r="F2090">
        <v>477</v>
      </c>
      <c r="G2090">
        <v>477</v>
      </c>
      <c r="H2090">
        <v>455</v>
      </c>
      <c r="I2090" s="1">
        <v>456.4</v>
      </c>
      <c r="J2090">
        <v>862575.05</v>
      </c>
      <c r="K2090">
        <v>1848</v>
      </c>
      <c r="L2090" t="s">
        <v>78</v>
      </c>
      <c r="M2090" t="s">
        <v>17</v>
      </c>
      <c r="N2090">
        <v>72</v>
      </c>
      <c r="O2090">
        <v>510.65</v>
      </c>
      <c r="P2090">
        <v>221.5</v>
      </c>
      <c r="Q2090" s="1">
        <v>240</v>
      </c>
      <c r="R2090" s="1">
        <v>284</v>
      </c>
      <c r="S2090" s="3">
        <v>5.5021231342182064E-2</v>
      </c>
      <c r="T2090" s="3">
        <v>2.3990018463386553E-2</v>
      </c>
    </row>
    <row r="2091" spans="1:20" x14ac:dyDescent="0.25">
      <c r="A2091" t="s">
        <v>78</v>
      </c>
      <c r="B2091" t="s">
        <v>2961</v>
      </c>
      <c r="C2091" t="s">
        <v>627</v>
      </c>
      <c r="D2091" t="s">
        <v>628</v>
      </c>
      <c r="E2091">
        <v>18.559999999999999</v>
      </c>
      <c r="F2091">
        <v>18.559999999999999</v>
      </c>
      <c r="G2091">
        <v>19</v>
      </c>
      <c r="H2091">
        <v>18.12</v>
      </c>
      <c r="I2091" s="1">
        <v>18.600000000000001</v>
      </c>
      <c r="J2091">
        <v>575800.26</v>
      </c>
      <c r="K2091">
        <v>31451</v>
      </c>
      <c r="L2091" t="s">
        <v>78</v>
      </c>
      <c r="M2091" t="s">
        <v>17</v>
      </c>
      <c r="N2091">
        <v>148</v>
      </c>
      <c r="O2091">
        <v>52.55</v>
      </c>
      <c r="P2091">
        <v>16.45</v>
      </c>
      <c r="Q2091" s="1">
        <v>9.1999999999999993</v>
      </c>
      <c r="R2091" s="1">
        <v>3.65</v>
      </c>
      <c r="S2091" s="3">
        <v>6.0418004991207974E-2</v>
      </c>
      <c r="T2091" s="3">
        <v>8.4779922971842669E-2</v>
      </c>
    </row>
    <row r="2092" spans="1:20" x14ac:dyDescent="0.25">
      <c r="A2092" t="s">
        <v>783</v>
      </c>
      <c r="B2092" t="s">
        <v>2961</v>
      </c>
      <c r="C2092" t="s">
        <v>3060</v>
      </c>
      <c r="D2092" t="s">
        <v>3061</v>
      </c>
      <c r="E2092">
        <v>5.18</v>
      </c>
      <c r="F2092">
        <v>5.28</v>
      </c>
      <c r="G2092">
        <v>5.28</v>
      </c>
      <c r="H2092">
        <v>5.28</v>
      </c>
      <c r="I2092" s="1">
        <v>5.28</v>
      </c>
      <c r="J2092">
        <v>279111.36</v>
      </c>
      <c r="K2092">
        <v>52862</v>
      </c>
      <c r="L2092" t="s">
        <v>78</v>
      </c>
      <c r="M2092" t="s">
        <v>17</v>
      </c>
      <c r="N2092">
        <v>61</v>
      </c>
      <c r="O2092">
        <v>5.28</v>
      </c>
      <c r="P2092">
        <v>1</v>
      </c>
      <c r="Q2092" s="1">
        <v>0.3</v>
      </c>
      <c r="R2092" s="1" t="str">
        <v/>
      </c>
      <c r="S2092" s="3">
        <v>0.26996783727606677</v>
      </c>
      <c r="T2092" s="3">
        <v>0</v>
      </c>
    </row>
    <row r="2093" spans="1:20" x14ac:dyDescent="0.25">
      <c r="A2093" t="s">
        <v>78</v>
      </c>
      <c r="B2093" t="s">
        <v>2961</v>
      </c>
      <c r="C2093" t="s">
        <v>649</v>
      </c>
      <c r="D2093" t="s">
        <v>650</v>
      </c>
      <c r="E2093">
        <v>136.13999999999999</v>
      </c>
      <c r="F2093">
        <v>136.5</v>
      </c>
      <c r="G2093">
        <v>137.79</v>
      </c>
      <c r="H2093">
        <v>131.4</v>
      </c>
      <c r="I2093" s="1">
        <v>132.84</v>
      </c>
      <c r="J2093">
        <v>16292467.289999999</v>
      </c>
      <c r="K2093">
        <v>121809</v>
      </c>
      <c r="L2093" t="s">
        <v>78</v>
      </c>
      <c r="M2093" t="s">
        <v>17</v>
      </c>
      <c r="N2093">
        <v>1113</v>
      </c>
      <c r="O2093">
        <v>147.85</v>
      </c>
      <c r="P2093">
        <v>59</v>
      </c>
      <c r="Q2093" s="1">
        <v>40.549999999999997</v>
      </c>
      <c r="R2093" s="1">
        <v>19.25</v>
      </c>
      <c r="S2093" s="3">
        <v>0.10393838395483201</v>
      </c>
      <c r="T2093" s="3">
        <v>0.1013413260595506</v>
      </c>
    </row>
    <row r="2094" spans="1:20" x14ac:dyDescent="0.25">
      <c r="A2094" t="s">
        <v>783</v>
      </c>
      <c r="B2094" t="s">
        <v>2961</v>
      </c>
      <c r="C2094" t="s">
        <v>655</v>
      </c>
      <c r="D2094" t="s">
        <v>656</v>
      </c>
      <c r="E2094">
        <v>57</v>
      </c>
      <c r="F2094">
        <v>55.86</v>
      </c>
      <c r="G2094">
        <v>55.86</v>
      </c>
      <c r="H2094">
        <v>55.86</v>
      </c>
      <c r="I2094" s="1">
        <v>55.86</v>
      </c>
      <c r="J2094">
        <v>398002.5</v>
      </c>
      <c r="K2094">
        <v>7125</v>
      </c>
      <c r="L2094" t="s">
        <v>78</v>
      </c>
      <c r="M2094" t="s">
        <v>17</v>
      </c>
      <c r="N2094">
        <v>177</v>
      </c>
      <c r="O2094">
        <v>98.5</v>
      </c>
      <c r="P2094">
        <v>29.7</v>
      </c>
      <c r="Q2094" s="1">
        <v>36.1</v>
      </c>
      <c r="R2094" s="1">
        <v>75.2</v>
      </c>
      <c r="S2094" s="3">
        <v>3.7049478542456438E-2</v>
      </c>
      <c r="T2094" s="3">
        <v>-1.4747172128430242E-2</v>
      </c>
    </row>
    <row r="2095" spans="1:20" x14ac:dyDescent="0.25">
      <c r="A2095" t="s">
        <v>78</v>
      </c>
      <c r="B2095" t="s">
        <v>2961</v>
      </c>
      <c r="C2095" t="s">
        <v>657</v>
      </c>
      <c r="D2095" t="s">
        <v>658</v>
      </c>
      <c r="E2095">
        <v>83.53</v>
      </c>
      <c r="F2095">
        <v>83</v>
      </c>
      <c r="G2095">
        <v>84.98</v>
      </c>
      <c r="H2095">
        <v>82.75</v>
      </c>
      <c r="I2095" s="1">
        <v>84.53</v>
      </c>
      <c r="J2095">
        <v>2346006.35</v>
      </c>
      <c r="K2095">
        <v>28033</v>
      </c>
      <c r="L2095" t="s">
        <v>78</v>
      </c>
      <c r="M2095" t="s">
        <v>17</v>
      </c>
      <c r="N2095">
        <v>146</v>
      </c>
      <c r="O2095">
        <v>185.7</v>
      </c>
      <c r="P2095">
        <v>73.25</v>
      </c>
      <c r="Q2095" s="1">
        <v>87.3</v>
      </c>
      <c r="R2095" s="1">
        <v>39</v>
      </c>
      <c r="S2095" s="3">
        <v>-2.6833900805840472E-3</v>
      </c>
      <c r="T2095" s="3">
        <v>3.9412927872427783E-2</v>
      </c>
    </row>
    <row r="2096" spans="1:20" x14ac:dyDescent="0.25">
      <c r="A2096" t="s">
        <v>783</v>
      </c>
      <c r="B2096" t="s">
        <v>2961</v>
      </c>
      <c r="C2096" t="s">
        <v>5168</v>
      </c>
      <c r="D2096" t="s">
        <v>5167</v>
      </c>
      <c r="E2096">
        <v>13.74</v>
      </c>
      <c r="F2096">
        <v>13.79</v>
      </c>
      <c r="G2096">
        <v>13.79</v>
      </c>
      <c r="H2096">
        <v>13.46</v>
      </c>
      <c r="I2096" s="1">
        <v>13.72</v>
      </c>
      <c r="J2096">
        <v>585378.06000000006</v>
      </c>
      <c r="K2096">
        <v>42912</v>
      </c>
      <c r="L2096" t="s">
        <v>78</v>
      </c>
      <c r="M2096" t="s">
        <v>17</v>
      </c>
      <c r="N2096">
        <v>181</v>
      </c>
      <c r="O2096">
        <v>221.9</v>
      </c>
      <c r="P2096">
        <v>10.3</v>
      </c>
      <c r="Q2096" s="1" t="str">
        <v/>
      </c>
      <c r="R2096" s="1" t="str">
        <v/>
      </c>
      <c r="S2096" s="3">
        <v>0</v>
      </c>
      <c r="T2096" s="3">
        <v>0</v>
      </c>
    </row>
    <row r="2097" spans="1:20" x14ac:dyDescent="0.25">
      <c r="A2097" t="s">
        <v>783</v>
      </c>
      <c r="B2097" t="s">
        <v>2961</v>
      </c>
      <c r="C2097" t="s">
        <v>3066</v>
      </c>
      <c r="D2097" t="s">
        <v>3067</v>
      </c>
      <c r="E2097">
        <v>10.27</v>
      </c>
      <c r="F2097">
        <v>10.06</v>
      </c>
      <c r="G2097">
        <v>10.06</v>
      </c>
      <c r="H2097">
        <v>10.06</v>
      </c>
      <c r="I2097" s="1">
        <v>10.06</v>
      </c>
      <c r="J2097">
        <v>298470.14</v>
      </c>
      <c r="K2097">
        <v>29669</v>
      </c>
      <c r="L2097" t="s">
        <v>78</v>
      </c>
      <c r="M2097" t="s">
        <v>17</v>
      </c>
      <c r="N2097">
        <v>184</v>
      </c>
      <c r="O2097">
        <v>12.97</v>
      </c>
      <c r="P2097">
        <v>4.1500000000000004</v>
      </c>
      <c r="Q2097" s="1">
        <v>2.2999999999999998</v>
      </c>
      <c r="R2097" s="1">
        <v>1.45</v>
      </c>
      <c r="S2097" s="3">
        <v>0.13085219513391833</v>
      </c>
      <c r="T2097" s="3">
        <v>0.10163687386848297</v>
      </c>
    </row>
    <row r="2098" spans="1:20" x14ac:dyDescent="0.25">
      <c r="A2098" t="s">
        <v>78</v>
      </c>
      <c r="B2098" t="s">
        <v>2961</v>
      </c>
      <c r="C2098" t="s">
        <v>3072</v>
      </c>
      <c r="D2098" t="s">
        <v>3073</v>
      </c>
      <c r="E2098">
        <v>78.959999999999994</v>
      </c>
      <c r="F2098">
        <v>80.7</v>
      </c>
      <c r="G2098">
        <v>81</v>
      </c>
      <c r="H2098">
        <v>75.209999999999994</v>
      </c>
      <c r="I2098" s="1">
        <v>77.38</v>
      </c>
      <c r="J2098">
        <v>4411491.37</v>
      </c>
      <c r="K2098">
        <v>56982</v>
      </c>
      <c r="L2098" t="s">
        <v>78</v>
      </c>
      <c r="M2098" t="s">
        <v>17</v>
      </c>
      <c r="N2098">
        <v>270</v>
      </c>
      <c r="O2098">
        <v>90.5</v>
      </c>
      <c r="P2098">
        <v>34.9</v>
      </c>
      <c r="Q2098" s="1">
        <v>29.15</v>
      </c>
      <c r="R2098" s="1">
        <v>22</v>
      </c>
      <c r="S2098" s="3">
        <v>8.4757131180786649E-2</v>
      </c>
      <c r="T2098" s="3">
        <v>6.4866944397292459E-2</v>
      </c>
    </row>
    <row r="2099" spans="1:20" x14ac:dyDescent="0.25">
      <c r="A2099" t="s">
        <v>78</v>
      </c>
      <c r="B2099" t="s">
        <v>2961</v>
      </c>
      <c r="C2099" t="s">
        <v>3080</v>
      </c>
      <c r="D2099" t="s">
        <v>3081</v>
      </c>
      <c r="E2099">
        <v>24.6</v>
      </c>
      <c r="F2099">
        <v>24.6</v>
      </c>
      <c r="G2099">
        <v>24.6</v>
      </c>
      <c r="H2099">
        <v>23.37</v>
      </c>
      <c r="I2099" s="1">
        <v>23.37</v>
      </c>
      <c r="J2099">
        <v>5088913.0599999996</v>
      </c>
      <c r="K2099">
        <v>216221</v>
      </c>
      <c r="L2099" t="s">
        <v>78</v>
      </c>
      <c r="M2099" t="s">
        <v>17</v>
      </c>
      <c r="N2099">
        <v>713</v>
      </c>
      <c r="O2099">
        <v>30.65</v>
      </c>
      <c r="P2099">
        <v>7.95</v>
      </c>
      <c r="Q2099" s="1">
        <v>6.85</v>
      </c>
      <c r="R2099" s="1">
        <v>4.3</v>
      </c>
      <c r="S2099" s="3">
        <v>0.10767922840013688</v>
      </c>
      <c r="T2099" s="3">
        <v>8.8276826906401373E-2</v>
      </c>
    </row>
    <row r="2100" spans="1:20" x14ac:dyDescent="0.25">
      <c r="A2100" t="s">
        <v>78</v>
      </c>
      <c r="B2100" t="s">
        <v>2961</v>
      </c>
      <c r="C2100" t="s">
        <v>773</v>
      </c>
      <c r="D2100" t="s">
        <v>774</v>
      </c>
      <c r="E2100">
        <v>246.64</v>
      </c>
      <c r="F2100">
        <v>250</v>
      </c>
      <c r="G2100">
        <v>250</v>
      </c>
      <c r="H2100">
        <v>236.65</v>
      </c>
      <c r="I2100" s="1">
        <v>245.2</v>
      </c>
      <c r="J2100">
        <v>13989652.43</v>
      </c>
      <c r="K2100">
        <v>57763</v>
      </c>
      <c r="L2100" t="s">
        <v>78</v>
      </c>
      <c r="M2100" t="s">
        <v>17</v>
      </c>
      <c r="N2100">
        <v>662</v>
      </c>
      <c r="O2100">
        <v>278</v>
      </c>
      <c r="P2100">
        <v>98</v>
      </c>
      <c r="Q2100" s="1">
        <v>66.75</v>
      </c>
      <c r="R2100" s="1">
        <v>47.5</v>
      </c>
      <c r="S2100" s="3">
        <v>0.11452316518419403</v>
      </c>
      <c r="T2100" s="3">
        <v>8.5479995069861037E-2</v>
      </c>
    </row>
    <row r="2101" spans="1:20" x14ac:dyDescent="0.25">
      <c r="A2101" t="s">
        <v>783</v>
      </c>
      <c r="B2101" t="s">
        <v>2961</v>
      </c>
      <c r="C2101" t="s">
        <v>784</v>
      </c>
      <c r="D2101" t="s">
        <v>785</v>
      </c>
      <c r="E2101">
        <v>5.88</v>
      </c>
      <c r="F2101">
        <v>5.88</v>
      </c>
      <c r="G2101">
        <v>5.88</v>
      </c>
      <c r="H2101">
        <v>5.76</v>
      </c>
      <c r="I2101" s="1">
        <v>5.76</v>
      </c>
      <c r="J2101">
        <v>74584.639999999999</v>
      </c>
      <c r="K2101">
        <v>12831</v>
      </c>
      <c r="L2101" t="s">
        <v>78</v>
      </c>
      <c r="M2101" t="s">
        <v>17</v>
      </c>
      <c r="N2101">
        <v>30</v>
      </c>
      <c r="O2101">
        <v>8.1</v>
      </c>
      <c r="P2101">
        <v>3.1</v>
      </c>
      <c r="Q2101" s="1">
        <v>2.9</v>
      </c>
      <c r="R2101" s="1">
        <v>1.75</v>
      </c>
      <c r="S2101" s="3">
        <v>5.8852274358058176E-2</v>
      </c>
      <c r="T2101" s="3">
        <v>6.1341276327415706E-2</v>
      </c>
    </row>
    <row r="2102" spans="1:20" x14ac:dyDescent="0.25">
      <c r="A2102" t="s">
        <v>78</v>
      </c>
      <c r="B2102" t="s">
        <v>2961</v>
      </c>
      <c r="C2102" t="s">
        <v>5166</v>
      </c>
      <c r="D2102" t="s">
        <v>5165</v>
      </c>
      <c r="E2102">
        <v>282.85000000000002</v>
      </c>
      <c r="F2102">
        <v>282.85000000000002</v>
      </c>
      <c r="G2102">
        <v>282.85000000000002</v>
      </c>
      <c r="H2102">
        <v>268.7</v>
      </c>
      <c r="I2102" s="1">
        <v>275.3</v>
      </c>
      <c r="J2102">
        <v>5711693.4500000002</v>
      </c>
      <c r="K2102">
        <v>20753</v>
      </c>
      <c r="L2102" t="s">
        <v>78</v>
      </c>
      <c r="M2102" t="s">
        <v>17</v>
      </c>
      <c r="N2102">
        <v>316</v>
      </c>
      <c r="O2102">
        <v>325.05</v>
      </c>
      <c r="P2102">
        <v>52.55</v>
      </c>
      <c r="Q2102" s="1" t="str">
        <v/>
      </c>
      <c r="R2102" s="1" t="str">
        <v/>
      </c>
      <c r="S2102" s="3">
        <v>0</v>
      </c>
      <c r="T2102" s="3">
        <v>0</v>
      </c>
    </row>
    <row r="2103" spans="1:20" x14ac:dyDescent="0.25">
      <c r="A2103" t="s">
        <v>78</v>
      </c>
      <c r="B2103" t="s">
        <v>2961</v>
      </c>
      <c r="C2103" t="s">
        <v>796</v>
      </c>
      <c r="D2103" t="s">
        <v>797</v>
      </c>
      <c r="E2103">
        <v>137.19999999999999</v>
      </c>
      <c r="F2103">
        <v>130.34</v>
      </c>
      <c r="G2103">
        <v>130.34</v>
      </c>
      <c r="H2103">
        <v>130.34</v>
      </c>
      <c r="I2103" s="1">
        <v>130.34</v>
      </c>
      <c r="J2103">
        <v>2818341.82</v>
      </c>
      <c r="K2103">
        <v>21623</v>
      </c>
      <c r="L2103" t="s">
        <v>78</v>
      </c>
      <c r="M2103" t="s">
        <v>17</v>
      </c>
      <c r="N2103">
        <v>140</v>
      </c>
      <c r="O2103">
        <v>147.6</v>
      </c>
      <c r="P2103">
        <v>57.25</v>
      </c>
      <c r="Q2103" s="1">
        <v>63.9</v>
      </c>
      <c r="R2103" s="1">
        <v>31.1</v>
      </c>
      <c r="S2103" s="3">
        <v>6.1202028675284792E-2</v>
      </c>
      <c r="T2103" s="3">
        <v>7.4233831929683136E-2</v>
      </c>
    </row>
    <row r="2104" spans="1:20" x14ac:dyDescent="0.25">
      <c r="A2104" t="s">
        <v>783</v>
      </c>
      <c r="B2104" t="s">
        <v>2961</v>
      </c>
      <c r="C2104" t="s">
        <v>3090</v>
      </c>
      <c r="D2104" t="s">
        <v>3091</v>
      </c>
      <c r="E2104">
        <v>107.68</v>
      </c>
      <c r="F2104">
        <v>109.83</v>
      </c>
      <c r="G2104">
        <v>109.83</v>
      </c>
      <c r="H2104">
        <v>108.8</v>
      </c>
      <c r="I2104" s="1">
        <v>109.83</v>
      </c>
      <c r="J2104">
        <v>2729649.71</v>
      </c>
      <c r="K2104">
        <v>24858</v>
      </c>
      <c r="L2104" t="s">
        <v>78</v>
      </c>
      <c r="M2104" t="s">
        <v>17</v>
      </c>
      <c r="N2104">
        <v>64</v>
      </c>
      <c r="O2104">
        <v>127.55</v>
      </c>
      <c r="P2104">
        <v>43.95</v>
      </c>
      <c r="Q2104" s="1">
        <v>28.6</v>
      </c>
      <c r="R2104" s="1">
        <v>11.65</v>
      </c>
      <c r="S2104" s="3">
        <v>0.11865520027391652</v>
      </c>
      <c r="T2104" s="3">
        <v>0.11864702447131314</v>
      </c>
    </row>
    <row r="2105" spans="1:20" x14ac:dyDescent="0.25">
      <c r="A2105" t="s">
        <v>78</v>
      </c>
      <c r="B2105" t="s">
        <v>2961</v>
      </c>
      <c r="C2105" t="s">
        <v>802</v>
      </c>
      <c r="D2105" t="s">
        <v>803</v>
      </c>
      <c r="E2105">
        <v>87</v>
      </c>
      <c r="F2105">
        <v>88.8</v>
      </c>
      <c r="G2105">
        <v>88.8</v>
      </c>
      <c r="H2105">
        <v>84</v>
      </c>
      <c r="I2105" s="1">
        <v>84.44</v>
      </c>
      <c r="J2105">
        <v>45692996.579999998</v>
      </c>
      <c r="K2105">
        <v>535717</v>
      </c>
      <c r="L2105" t="s">
        <v>78</v>
      </c>
      <c r="M2105" t="s">
        <v>17</v>
      </c>
      <c r="N2105">
        <v>4077</v>
      </c>
      <c r="O2105">
        <v>2800</v>
      </c>
      <c r="P2105">
        <v>84</v>
      </c>
      <c r="Q2105" s="1">
        <v>257.55</v>
      </c>
      <c r="R2105" s="1">
        <v>104</v>
      </c>
      <c r="S2105" s="3">
        <v>-8.8743674773116177E-2</v>
      </c>
      <c r="T2105" s="3">
        <v>-1.035776378214659E-2</v>
      </c>
    </row>
    <row r="2106" spans="1:20" x14ac:dyDescent="0.25">
      <c r="A2106" t="s">
        <v>78</v>
      </c>
      <c r="B2106" t="s">
        <v>2961</v>
      </c>
      <c r="C2106" t="s">
        <v>834</v>
      </c>
      <c r="D2106" t="s">
        <v>835</v>
      </c>
      <c r="E2106">
        <v>241.04</v>
      </c>
      <c r="F2106">
        <v>242.9</v>
      </c>
      <c r="G2106">
        <v>247</v>
      </c>
      <c r="H2106">
        <v>236.18</v>
      </c>
      <c r="I2106" s="1">
        <v>242.39</v>
      </c>
      <c r="J2106">
        <v>4028695.48</v>
      </c>
      <c r="K2106">
        <v>16620</v>
      </c>
      <c r="L2106" t="s">
        <v>78</v>
      </c>
      <c r="M2106" t="s">
        <v>17</v>
      </c>
      <c r="N2106">
        <v>184</v>
      </c>
      <c r="O2106">
        <v>297.8</v>
      </c>
      <c r="P2106">
        <v>139.05000000000001</v>
      </c>
      <c r="Q2106" s="1">
        <v>156.94999999999999</v>
      </c>
      <c r="R2106" s="1">
        <v>44.8</v>
      </c>
      <c r="S2106" s="3">
        <v>3.6882269588938366E-2</v>
      </c>
      <c r="T2106" s="3">
        <v>8.803222051059012E-2</v>
      </c>
    </row>
    <row r="2107" spans="1:20" x14ac:dyDescent="0.25">
      <c r="A2107" t="s">
        <v>78</v>
      </c>
      <c r="B2107" t="s">
        <v>2961</v>
      </c>
      <c r="C2107" t="s">
        <v>5164</v>
      </c>
      <c r="D2107" t="s">
        <v>5163</v>
      </c>
      <c r="E2107">
        <v>405.65</v>
      </c>
      <c r="F2107">
        <v>404.95</v>
      </c>
      <c r="G2107">
        <v>404.95</v>
      </c>
      <c r="H2107">
        <v>390</v>
      </c>
      <c r="I2107" s="1">
        <v>394.5</v>
      </c>
      <c r="J2107">
        <v>206360451.55000001</v>
      </c>
      <c r="K2107">
        <v>522848</v>
      </c>
      <c r="L2107" t="s">
        <v>78</v>
      </c>
      <c r="M2107" t="s">
        <v>17</v>
      </c>
      <c r="N2107">
        <v>13937</v>
      </c>
      <c r="O2107">
        <v>451.9</v>
      </c>
      <c r="P2107">
        <v>235.3</v>
      </c>
      <c r="Q2107" s="1" t="str">
        <v/>
      </c>
      <c r="R2107" s="1" t="str">
        <v/>
      </c>
      <c r="S2107" s="3">
        <v>0</v>
      </c>
      <c r="T2107" s="3">
        <v>0</v>
      </c>
    </row>
    <row r="2108" spans="1:20" x14ac:dyDescent="0.25">
      <c r="A2108" t="s">
        <v>783</v>
      </c>
      <c r="B2108" t="s">
        <v>2961</v>
      </c>
      <c r="C2108" t="s">
        <v>5162</v>
      </c>
      <c r="D2108" t="s">
        <v>5161</v>
      </c>
      <c r="E2108">
        <v>205</v>
      </c>
      <c r="F2108">
        <v>205</v>
      </c>
      <c r="G2108">
        <v>205</v>
      </c>
      <c r="H2108">
        <v>201</v>
      </c>
      <c r="I2108" s="1">
        <v>203.5</v>
      </c>
      <c r="J2108">
        <v>162257.5</v>
      </c>
      <c r="K2108">
        <v>800</v>
      </c>
      <c r="L2108" t="s">
        <v>78</v>
      </c>
      <c r="M2108" t="s">
        <v>17</v>
      </c>
      <c r="N2108">
        <v>19</v>
      </c>
      <c r="O2108">
        <v>473.15</v>
      </c>
      <c r="P2108">
        <v>173.2</v>
      </c>
      <c r="Q2108" s="1" t="str">
        <v/>
      </c>
      <c r="R2108" s="1" t="str">
        <v/>
      </c>
      <c r="S2108" s="3">
        <v>0</v>
      </c>
      <c r="T2108" s="3">
        <v>0</v>
      </c>
    </row>
    <row r="2109" spans="1:20" x14ac:dyDescent="0.25">
      <c r="A2109" t="s">
        <v>78</v>
      </c>
      <c r="B2109" t="s">
        <v>2961</v>
      </c>
      <c r="C2109" t="s">
        <v>3104</v>
      </c>
      <c r="D2109" t="s">
        <v>3105</v>
      </c>
      <c r="E2109">
        <v>36.15</v>
      </c>
      <c r="F2109">
        <v>35.99</v>
      </c>
      <c r="G2109">
        <v>37.950000000000003</v>
      </c>
      <c r="H2109">
        <v>34.56</v>
      </c>
      <c r="I2109" s="1">
        <v>34.92</v>
      </c>
      <c r="J2109">
        <v>400933.94</v>
      </c>
      <c r="K2109">
        <v>11278</v>
      </c>
      <c r="L2109" t="s">
        <v>78</v>
      </c>
      <c r="M2109" t="s">
        <v>17</v>
      </c>
      <c r="N2109">
        <v>88</v>
      </c>
      <c r="O2109">
        <v>41.02</v>
      </c>
      <c r="P2109">
        <v>18</v>
      </c>
      <c r="Q2109" s="1">
        <v>13.85</v>
      </c>
      <c r="R2109" s="1">
        <v>10.85</v>
      </c>
      <c r="S2109" s="3">
        <v>8.0111786208264757E-2</v>
      </c>
      <c r="T2109" s="3">
        <v>6.0152457462252507E-2</v>
      </c>
    </row>
    <row r="2110" spans="1:20" x14ac:dyDescent="0.25">
      <c r="A2110" t="s">
        <v>783</v>
      </c>
      <c r="B2110" t="s">
        <v>2961</v>
      </c>
      <c r="C2110" t="s">
        <v>5160</v>
      </c>
      <c r="D2110" t="s">
        <v>5159</v>
      </c>
      <c r="E2110">
        <v>132</v>
      </c>
      <c r="F2110">
        <v>130</v>
      </c>
      <c r="G2110">
        <v>130</v>
      </c>
      <c r="H2110">
        <v>129.36000000000001</v>
      </c>
      <c r="I2110" s="1">
        <v>130</v>
      </c>
      <c r="J2110">
        <v>3900256.78</v>
      </c>
      <c r="K2110">
        <v>30111</v>
      </c>
      <c r="L2110" t="s">
        <v>78</v>
      </c>
      <c r="M2110" t="s">
        <v>17</v>
      </c>
      <c r="N2110">
        <v>39</v>
      </c>
      <c r="O2110">
        <v>147.5</v>
      </c>
      <c r="P2110">
        <v>49.05</v>
      </c>
      <c r="Q2110" s="1" t="str">
        <v/>
      </c>
      <c r="R2110" s="1" t="str">
        <v/>
      </c>
      <c r="S2110" s="3">
        <v>0</v>
      </c>
      <c r="T2110" s="3">
        <v>0</v>
      </c>
    </row>
    <row r="2111" spans="1:20" x14ac:dyDescent="0.25">
      <c r="A2111" t="s">
        <v>783</v>
      </c>
      <c r="B2111" t="s">
        <v>2961</v>
      </c>
      <c r="C2111" t="s">
        <v>5158</v>
      </c>
      <c r="D2111" t="s">
        <v>3601</v>
      </c>
      <c r="E2111">
        <v>1288.7</v>
      </c>
      <c r="F2111">
        <v>1288.7</v>
      </c>
      <c r="G2111">
        <v>1288.7</v>
      </c>
      <c r="H2111">
        <v>1262.95</v>
      </c>
      <c r="I2111" s="1">
        <v>1262.95</v>
      </c>
      <c r="J2111">
        <v>2183040.4</v>
      </c>
      <c r="K2111">
        <v>1709</v>
      </c>
      <c r="L2111" t="s">
        <v>78</v>
      </c>
      <c r="M2111" t="s">
        <v>17</v>
      </c>
      <c r="N2111">
        <v>158</v>
      </c>
      <c r="O2111">
        <v>1346.85</v>
      </c>
      <c r="P2111">
        <v>22.2</v>
      </c>
      <c r="Q2111" s="1" t="str">
        <v/>
      </c>
      <c r="R2111" s="1" t="str">
        <v/>
      </c>
      <c r="S2111" s="3">
        <v>0</v>
      </c>
      <c r="T2111" s="3">
        <v>0</v>
      </c>
    </row>
    <row r="2112" spans="1:20" x14ac:dyDescent="0.25">
      <c r="A2112" t="s">
        <v>783</v>
      </c>
      <c r="B2112" t="s">
        <v>2961</v>
      </c>
      <c r="C2112" t="s">
        <v>5157</v>
      </c>
      <c r="D2112" t="s">
        <v>5156</v>
      </c>
      <c r="E2112">
        <v>33.61</v>
      </c>
      <c r="F2112">
        <v>33.15</v>
      </c>
      <c r="G2112">
        <v>34</v>
      </c>
      <c r="H2112">
        <v>33.15</v>
      </c>
      <c r="I2112" s="1">
        <v>33.65</v>
      </c>
      <c r="J2112">
        <v>591643.44999999995</v>
      </c>
      <c r="K2112">
        <v>17604</v>
      </c>
      <c r="L2112" t="s">
        <v>78</v>
      </c>
      <c r="M2112" t="s">
        <v>17</v>
      </c>
      <c r="N2112">
        <v>85</v>
      </c>
      <c r="O2112">
        <v>108.7</v>
      </c>
      <c r="P2112">
        <v>30.85</v>
      </c>
      <c r="Q2112" s="1" t="str">
        <v/>
      </c>
      <c r="R2112" s="1" t="str">
        <v/>
      </c>
      <c r="S2112" s="3">
        <v>0</v>
      </c>
      <c r="T2112" s="3">
        <v>0</v>
      </c>
    </row>
    <row r="2113" spans="1:20" x14ac:dyDescent="0.25">
      <c r="A2113" t="s">
        <v>78</v>
      </c>
      <c r="B2113" t="s">
        <v>2961</v>
      </c>
      <c r="C2113" t="s">
        <v>3106</v>
      </c>
      <c r="D2113" t="s">
        <v>3107</v>
      </c>
      <c r="E2113">
        <v>40.4</v>
      </c>
      <c r="F2113">
        <v>40.39</v>
      </c>
      <c r="G2113">
        <v>40.39</v>
      </c>
      <c r="H2113">
        <v>38.51</v>
      </c>
      <c r="I2113" s="1">
        <v>39.18</v>
      </c>
      <c r="J2113">
        <v>9686859.1999999993</v>
      </c>
      <c r="K2113">
        <v>244371</v>
      </c>
      <c r="L2113" t="s">
        <v>78</v>
      </c>
      <c r="M2113" t="s">
        <v>17</v>
      </c>
      <c r="N2113">
        <v>1195</v>
      </c>
      <c r="O2113">
        <v>52.7</v>
      </c>
      <c r="P2113">
        <v>23.25</v>
      </c>
      <c r="Q2113" s="1">
        <v>52.5</v>
      </c>
      <c r="R2113" s="1" t="str">
        <v/>
      </c>
      <c r="S2113" s="3">
        <v>-2.4092263933960245E-2</v>
      </c>
      <c r="T2113" s="3">
        <v>0</v>
      </c>
    </row>
    <row r="2114" spans="1:20" x14ac:dyDescent="0.25">
      <c r="A2114" t="s">
        <v>78</v>
      </c>
      <c r="B2114" t="s">
        <v>2961</v>
      </c>
      <c r="C2114" t="s">
        <v>5155</v>
      </c>
      <c r="D2114" t="s">
        <v>5154</v>
      </c>
      <c r="E2114">
        <v>82.47</v>
      </c>
      <c r="F2114">
        <v>82</v>
      </c>
      <c r="G2114">
        <v>82.99</v>
      </c>
      <c r="H2114">
        <v>81.52</v>
      </c>
      <c r="I2114" s="1">
        <v>81.739999999999995</v>
      </c>
      <c r="J2114">
        <v>169040.56</v>
      </c>
      <c r="K2114">
        <v>2065</v>
      </c>
      <c r="L2114" t="s">
        <v>78</v>
      </c>
      <c r="M2114" t="s">
        <v>17</v>
      </c>
      <c r="N2114">
        <v>39</v>
      </c>
      <c r="O2114">
        <v>109.8</v>
      </c>
      <c r="P2114">
        <v>72.099999999999994</v>
      </c>
      <c r="Q2114" s="1" t="str">
        <v/>
      </c>
      <c r="R2114" s="1" t="str">
        <v/>
      </c>
      <c r="S2114" s="3">
        <v>0</v>
      </c>
      <c r="T2114" s="3">
        <v>0</v>
      </c>
    </row>
    <row r="2115" spans="1:20" x14ac:dyDescent="0.25">
      <c r="A2115" t="s">
        <v>783</v>
      </c>
      <c r="B2115" t="s">
        <v>2961</v>
      </c>
      <c r="C2115" t="s">
        <v>5153</v>
      </c>
      <c r="D2115" t="s">
        <v>5152</v>
      </c>
      <c r="E2115">
        <v>337.5</v>
      </c>
      <c r="F2115">
        <v>340</v>
      </c>
      <c r="G2115">
        <v>340</v>
      </c>
      <c r="H2115">
        <v>332.25</v>
      </c>
      <c r="I2115" s="1">
        <v>338.9</v>
      </c>
      <c r="J2115">
        <v>1684821</v>
      </c>
      <c r="K2115">
        <v>4984</v>
      </c>
      <c r="L2115" t="s">
        <v>78</v>
      </c>
      <c r="M2115" t="s">
        <v>17</v>
      </c>
      <c r="N2115">
        <v>40</v>
      </c>
      <c r="O2115">
        <v>368</v>
      </c>
      <c r="P2115">
        <v>128</v>
      </c>
      <c r="Q2115" s="1" t="str">
        <v/>
      </c>
      <c r="R2115" s="1" t="str">
        <v/>
      </c>
      <c r="S2115" s="3">
        <v>0</v>
      </c>
      <c r="T2115" s="3">
        <v>0</v>
      </c>
    </row>
    <row r="2116" spans="1:20" x14ac:dyDescent="0.25">
      <c r="A2116" t="s">
        <v>78</v>
      </c>
      <c r="B2116" t="s">
        <v>2961</v>
      </c>
      <c r="C2116" t="s">
        <v>5151</v>
      </c>
      <c r="D2116" t="s">
        <v>5150</v>
      </c>
      <c r="E2116">
        <v>621.5</v>
      </c>
      <c r="F2116">
        <v>633.95000000000005</v>
      </c>
      <c r="G2116">
        <v>649</v>
      </c>
      <c r="H2116">
        <v>598</v>
      </c>
      <c r="I2116" s="1">
        <v>629.9</v>
      </c>
      <c r="J2116">
        <v>3982861.65</v>
      </c>
      <c r="K2116">
        <v>6415</v>
      </c>
      <c r="L2116" t="s">
        <v>78</v>
      </c>
      <c r="M2116" t="s">
        <v>17</v>
      </c>
      <c r="N2116">
        <v>324</v>
      </c>
      <c r="O2116">
        <v>1830.6</v>
      </c>
      <c r="P2116">
        <v>109</v>
      </c>
      <c r="Q2116" s="1" t="str">
        <v/>
      </c>
      <c r="R2116" s="1" t="str">
        <v/>
      </c>
      <c r="S2116" s="3">
        <v>0</v>
      </c>
      <c r="T2116" s="3">
        <v>0</v>
      </c>
    </row>
    <row r="2117" spans="1:20" x14ac:dyDescent="0.25">
      <c r="A2117" t="s">
        <v>783</v>
      </c>
      <c r="B2117" t="s">
        <v>2961</v>
      </c>
      <c r="C2117" t="s">
        <v>3108</v>
      </c>
      <c r="D2117" t="s">
        <v>3109</v>
      </c>
      <c r="E2117">
        <v>31.55</v>
      </c>
      <c r="F2117">
        <v>30.91</v>
      </c>
      <c r="G2117">
        <v>30.91</v>
      </c>
      <c r="H2117">
        <v>30.91</v>
      </c>
      <c r="I2117" s="1">
        <v>30.91</v>
      </c>
      <c r="J2117">
        <v>528251.9</v>
      </c>
      <c r="K2117">
        <v>17090</v>
      </c>
      <c r="L2117" t="s">
        <v>78</v>
      </c>
      <c r="M2117" t="s">
        <v>17</v>
      </c>
      <c r="N2117">
        <v>166</v>
      </c>
      <c r="O2117">
        <v>70.099999999999994</v>
      </c>
      <c r="P2117">
        <v>16</v>
      </c>
      <c r="Q2117" s="1">
        <v>271.2</v>
      </c>
      <c r="R2117" s="1" t="str">
        <v/>
      </c>
      <c r="S2117" s="3">
        <v>-0.16554912065678828</v>
      </c>
      <c r="T2117" s="3">
        <v>0</v>
      </c>
    </row>
    <row r="2118" spans="1:20" x14ac:dyDescent="0.25">
      <c r="A2118" t="s">
        <v>78</v>
      </c>
      <c r="B2118" t="s">
        <v>2961</v>
      </c>
      <c r="C2118" t="s">
        <v>897</v>
      </c>
      <c r="D2118" t="s">
        <v>898</v>
      </c>
      <c r="E2118">
        <v>1438.4</v>
      </c>
      <c r="F2118">
        <v>1424</v>
      </c>
      <c r="G2118">
        <v>1424</v>
      </c>
      <c r="H2118">
        <v>1366.5</v>
      </c>
      <c r="I2118" s="1">
        <v>1366.5</v>
      </c>
      <c r="J2118">
        <v>119227658.8</v>
      </c>
      <c r="K2118">
        <v>86814</v>
      </c>
      <c r="L2118" t="s">
        <v>78</v>
      </c>
      <c r="M2118" t="s">
        <v>17</v>
      </c>
      <c r="N2118">
        <v>1766</v>
      </c>
      <c r="O2118">
        <v>1457.95</v>
      </c>
      <c r="P2118">
        <v>353.05</v>
      </c>
      <c r="Q2118" s="1">
        <v>390.15</v>
      </c>
      <c r="R2118" s="1">
        <v>356.95</v>
      </c>
      <c r="S2118" s="3">
        <v>0.11010698519003403</v>
      </c>
      <c r="T2118" s="3">
        <v>6.9385148982924916E-2</v>
      </c>
    </row>
    <row r="2119" spans="1:20" x14ac:dyDescent="0.25">
      <c r="A2119" t="s">
        <v>78</v>
      </c>
      <c r="B2119" t="s">
        <v>2961</v>
      </c>
      <c r="C2119" t="s">
        <v>3110</v>
      </c>
      <c r="D2119" t="s">
        <v>3111</v>
      </c>
      <c r="E2119">
        <v>8.52</v>
      </c>
      <c r="F2119">
        <v>8.4</v>
      </c>
      <c r="G2119">
        <v>8.4</v>
      </c>
      <c r="H2119">
        <v>8.09</v>
      </c>
      <c r="I2119" s="1">
        <v>8.09</v>
      </c>
      <c r="J2119">
        <v>2663109.25</v>
      </c>
      <c r="K2119">
        <v>327041</v>
      </c>
      <c r="L2119" t="s">
        <v>78</v>
      </c>
      <c r="M2119" t="s">
        <v>17</v>
      </c>
      <c r="N2119">
        <v>478</v>
      </c>
      <c r="O2119">
        <v>12.75</v>
      </c>
      <c r="P2119">
        <v>5.6</v>
      </c>
      <c r="Q2119" s="1">
        <v>16.3</v>
      </c>
      <c r="R2119" s="1">
        <v>6.9</v>
      </c>
      <c r="S2119" s="3">
        <v>-5.6706714450461937E-2</v>
      </c>
      <c r="T2119" s="3">
        <v>7.982702472052905E-3</v>
      </c>
    </row>
    <row r="2120" spans="1:20" x14ac:dyDescent="0.25">
      <c r="A2120" t="s">
        <v>78</v>
      </c>
      <c r="B2120" t="s">
        <v>2961</v>
      </c>
      <c r="C2120" t="s">
        <v>911</v>
      </c>
      <c r="D2120" t="s">
        <v>912</v>
      </c>
      <c r="E2120">
        <v>370.05</v>
      </c>
      <c r="F2120">
        <v>362</v>
      </c>
      <c r="G2120">
        <v>370</v>
      </c>
      <c r="H2120">
        <v>351.55</v>
      </c>
      <c r="I2120" s="1">
        <v>352.85</v>
      </c>
      <c r="J2120">
        <v>10576138.050000001</v>
      </c>
      <c r="K2120">
        <v>29738</v>
      </c>
      <c r="L2120" t="s">
        <v>78</v>
      </c>
      <c r="M2120" t="s">
        <v>17</v>
      </c>
      <c r="N2120">
        <v>346</v>
      </c>
      <c r="O2120">
        <v>418.7</v>
      </c>
      <c r="P2120">
        <v>235</v>
      </c>
      <c r="Q2120" s="1">
        <v>504.25</v>
      </c>
      <c r="R2120" s="1">
        <v>113.3</v>
      </c>
      <c r="S2120" s="3">
        <v>-2.9314181841197828E-2</v>
      </c>
      <c r="T2120" s="3">
        <v>5.8411381357011738E-2</v>
      </c>
    </row>
    <row r="2121" spans="1:20" x14ac:dyDescent="0.25">
      <c r="A2121" t="s">
        <v>78</v>
      </c>
      <c r="B2121" t="s">
        <v>2961</v>
      </c>
      <c r="C2121" t="s">
        <v>927</v>
      </c>
      <c r="D2121" t="s">
        <v>928</v>
      </c>
      <c r="E2121">
        <v>2892.4</v>
      </c>
      <c r="F2121">
        <v>3037</v>
      </c>
      <c r="G2121">
        <v>3037</v>
      </c>
      <c r="H2121">
        <v>2939</v>
      </c>
      <c r="I2121" s="1">
        <v>3037</v>
      </c>
      <c r="J2121">
        <v>121551028.55</v>
      </c>
      <c r="K2121">
        <v>40044</v>
      </c>
      <c r="L2121" t="s">
        <v>78</v>
      </c>
      <c r="M2121" t="s">
        <v>17</v>
      </c>
      <c r="N2121">
        <v>1121</v>
      </c>
      <c r="O2121">
        <v>3037</v>
      </c>
      <c r="P2121">
        <v>816</v>
      </c>
      <c r="Q2121" s="1">
        <v>505.65</v>
      </c>
      <c r="R2121" s="1">
        <v>360</v>
      </c>
      <c r="S2121" s="3">
        <v>0.16113548713396675</v>
      </c>
      <c r="T2121" s="3">
        <v>0.11245321298639466</v>
      </c>
    </row>
    <row r="2122" spans="1:20" x14ac:dyDescent="0.25">
      <c r="A2122" t="s">
        <v>783</v>
      </c>
      <c r="B2122" t="s">
        <v>2961</v>
      </c>
      <c r="C2122" t="s">
        <v>933</v>
      </c>
      <c r="D2122" t="s">
        <v>934</v>
      </c>
      <c r="E2122">
        <v>669.95</v>
      </c>
      <c r="F2122">
        <v>683.3</v>
      </c>
      <c r="G2122">
        <v>683.3</v>
      </c>
      <c r="H2122">
        <v>683.3</v>
      </c>
      <c r="I2122" s="1">
        <v>683.3</v>
      </c>
      <c r="J2122">
        <v>1944671.8</v>
      </c>
      <c r="K2122">
        <v>2846</v>
      </c>
      <c r="L2122" t="s">
        <v>78</v>
      </c>
      <c r="M2122" t="s">
        <v>17</v>
      </c>
      <c r="N2122">
        <v>29</v>
      </c>
      <c r="O2122">
        <v>845</v>
      </c>
      <c r="P2122">
        <v>604.65</v>
      </c>
      <c r="Q2122" s="1">
        <v>155</v>
      </c>
      <c r="R2122" s="1">
        <v>180.6</v>
      </c>
      <c r="S2122" s="3">
        <v>0.13159228246944754</v>
      </c>
      <c r="T2122" s="3">
        <v>6.8756723088694738E-2</v>
      </c>
    </row>
    <row r="2123" spans="1:20" x14ac:dyDescent="0.25">
      <c r="A2123" t="s">
        <v>783</v>
      </c>
      <c r="B2123" t="s">
        <v>2961</v>
      </c>
      <c r="C2123" t="s">
        <v>937</v>
      </c>
      <c r="D2123" t="s">
        <v>938</v>
      </c>
      <c r="E2123">
        <v>69.14</v>
      </c>
      <c r="F2123">
        <v>70.52</v>
      </c>
      <c r="G2123">
        <v>70.52</v>
      </c>
      <c r="H2123">
        <v>70.52</v>
      </c>
      <c r="I2123" s="1">
        <v>70.52</v>
      </c>
      <c r="J2123">
        <v>10094655.92</v>
      </c>
      <c r="K2123">
        <v>143146</v>
      </c>
      <c r="L2123" t="s">
        <v>78</v>
      </c>
      <c r="M2123" t="s">
        <v>17</v>
      </c>
      <c r="N2123">
        <v>115</v>
      </c>
      <c r="O2123">
        <v>86.5</v>
      </c>
      <c r="P2123">
        <v>44.7</v>
      </c>
      <c r="Q2123" s="1">
        <v>37.5</v>
      </c>
      <c r="R2123" s="1">
        <v>18.350000000000001</v>
      </c>
      <c r="S2123" s="3">
        <v>5.4039176425721314E-2</v>
      </c>
      <c r="T2123" s="3">
        <v>6.9591152865603023E-2</v>
      </c>
    </row>
    <row r="2124" spans="1:20" x14ac:dyDescent="0.25">
      <c r="A2124" t="s">
        <v>78</v>
      </c>
      <c r="B2124" t="s">
        <v>2961</v>
      </c>
      <c r="C2124" t="s">
        <v>947</v>
      </c>
      <c r="D2124" t="s">
        <v>948</v>
      </c>
      <c r="E2124">
        <v>164.74</v>
      </c>
      <c r="F2124">
        <v>172.97</v>
      </c>
      <c r="G2124">
        <v>172.97</v>
      </c>
      <c r="H2124">
        <v>170.1</v>
      </c>
      <c r="I2124" s="1">
        <v>172.97</v>
      </c>
      <c r="J2124">
        <v>21001426.289999999</v>
      </c>
      <c r="K2124">
        <v>121504</v>
      </c>
      <c r="L2124" t="s">
        <v>78</v>
      </c>
      <c r="M2124" t="s">
        <v>17</v>
      </c>
      <c r="N2124">
        <v>500</v>
      </c>
      <c r="O2124">
        <v>197.81</v>
      </c>
      <c r="P2124">
        <v>72.75</v>
      </c>
      <c r="Q2124" s="1">
        <v>126.8</v>
      </c>
      <c r="R2124" s="1">
        <v>60.4</v>
      </c>
      <c r="S2124" s="3">
        <v>2.6213273362330369E-2</v>
      </c>
      <c r="T2124" s="3">
        <v>5.3984393979046752E-2</v>
      </c>
    </row>
    <row r="2125" spans="1:20" x14ac:dyDescent="0.25">
      <c r="A2125" t="s">
        <v>78</v>
      </c>
      <c r="B2125" t="s">
        <v>2961</v>
      </c>
      <c r="C2125" t="s">
        <v>5149</v>
      </c>
      <c r="D2125" t="s">
        <v>5148</v>
      </c>
      <c r="E2125">
        <v>25.99</v>
      </c>
      <c r="F2125">
        <v>25.2</v>
      </c>
      <c r="G2125">
        <v>26.2</v>
      </c>
      <c r="H2125">
        <v>24.81</v>
      </c>
      <c r="I2125" s="1">
        <v>25.01</v>
      </c>
      <c r="J2125">
        <v>1012346.1</v>
      </c>
      <c r="K2125">
        <v>40142</v>
      </c>
      <c r="L2125" t="s">
        <v>78</v>
      </c>
      <c r="M2125" t="s">
        <v>17</v>
      </c>
      <c r="N2125">
        <v>88</v>
      </c>
      <c r="O2125">
        <v>36.299999999999997</v>
      </c>
      <c r="P2125">
        <v>23.45</v>
      </c>
      <c r="Q2125" s="1" t="str">
        <v/>
      </c>
      <c r="R2125" s="1" t="str">
        <v/>
      </c>
      <c r="S2125" s="3">
        <v>0</v>
      </c>
      <c r="T2125" s="3">
        <v>0</v>
      </c>
    </row>
    <row r="2126" spans="1:20" x14ac:dyDescent="0.25">
      <c r="A2126" t="s">
        <v>78</v>
      </c>
      <c r="B2126" t="s">
        <v>2961</v>
      </c>
      <c r="C2126" t="s">
        <v>3118</v>
      </c>
      <c r="D2126" t="s">
        <v>3119</v>
      </c>
      <c r="E2126">
        <v>71.540000000000006</v>
      </c>
      <c r="F2126">
        <v>68</v>
      </c>
      <c r="G2126">
        <v>69.67</v>
      </c>
      <c r="H2126">
        <v>67.959999999999994</v>
      </c>
      <c r="I2126" s="1">
        <v>67.959999999999994</v>
      </c>
      <c r="J2126">
        <v>36873640.049999997</v>
      </c>
      <c r="K2126">
        <v>540487</v>
      </c>
      <c r="L2126" t="s">
        <v>78</v>
      </c>
      <c r="M2126" t="s">
        <v>17</v>
      </c>
      <c r="N2126">
        <v>3325</v>
      </c>
      <c r="O2126">
        <v>71.540000000000006</v>
      </c>
      <c r="P2126">
        <v>13.75</v>
      </c>
      <c r="Q2126" s="1">
        <v>11.2</v>
      </c>
      <c r="R2126" s="1">
        <v>8.5500000000000007</v>
      </c>
      <c r="S2126" s="3">
        <v>0.16212527203180738</v>
      </c>
      <c r="T2126" s="3">
        <v>0.10914853746861941</v>
      </c>
    </row>
    <row r="2127" spans="1:20" x14ac:dyDescent="0.25">
      <c r="A2127" t="s">
        <v>783</v>
      </c>
      <c r="B2127" t="s">
        <v>2961</v>
      </c>
      <c r="C2127" t="s">
        <v>5147</v>
      </c>
      <c r="D2127" t="s">
        <v>5146</v>
      </c>
      <c r="E2127">
        <v>3.79</v>
      </c>
      <c r="F2127">
        <v>3.8</v>
      </c>
      <c r="G2127">
        <v>3.8</v>
      </c>
      <c r="H2127">
        <v>3.77</v>
      </c>
      <c r="I2127" s="1">
        <v>3.77</v>
      </c>
      <c r="J2127">
        <v>13554064.689999999</v>
      </c>
      <c r="K2127">
        <v>3574611</v>
      </c>
      <c r="L2127" t="s">
        <v>78</v>
      </c>
      <c r="M2127" t="s">
        <v>17</v>
      </c>
      <c r="N2127">
        <v>2618</v>
      </c>
      <c r="O2127">
        <v>13</v>
      </c>
      <c r="P2127">
        <v>3.1</v>
      </c>
      <c r="Q2127" s="1" t="str">
        <v/>
      </c>
      <c r="R2127" s="1" t="str">
        <v/>
      </c>
      <c r="S2127" s="3">
        <v>0</v>
      </c>
      <c r="T2127" s="3">
        <v>0</v>
      </c>
    </row>
    <row r="2128" spans="1:20" x14ac:dyDescent="0.25">
      <c r="A2128" t="s">
        <v>783</v>
      </c>
      <c r="B2128" t="s">
        <v>2961</v>
      </c>
      <c r="C2128" t="s">
        <v>3122</v>
      </c>
      <c r="D2128" t="s">
        <v>3123</v>
      </c>
      <c r="E2128">
        <v>0.68</v>
      </c>
      <c r="F2128">
        <v>0.69</v>
      </c>
      <c r="G2128">
        <v>0.69</v>
      </c>
      <c r="H2128">
        <v>0.69</v>
      </c>
      <c r="I2128" s="1">
        <v>0.69</v>
      </c>
      <c r="J2128">
        <v>1728351.33</v>
      </c>
      <c r="K2128">
        <v>2504857</v>
      </c>
      <c r="L2128" t="s">
        <v>78</v>
      </c>
      <c r="M2128" t="s">
        <v>17</v>
      </c>
      <c r="N2128">
        <v>403</v>
      </c>
      <c r="O2128">
        <v>0.95</v>
      </c>
      <c r="P2128">
        <v>0.3</v>
      </c>
      <c r="Q2128" s="1">
        <v>3.5</v>
      </c>
      <c r="R2128" s="1">
        <v>1.6</v>
      </c>
      <c r="S2128" s="3">
        <v>-0.12656266096744007</v>
      </c>
      <c r="T2128" s="3">
        <v>-4.1159306503605109E-2</v>
      </c>
    </row>
    <row r="2129" spans="1:20" x14ac:dyDescent="0.25">
      <c r="A2129" t="s">
        <v>78</v>
      </c>
      <c r="B2129" t="s">
        <v>2961</v>
      </c>
      <c r="C2129" t="s">
        <v>5145</v>
      </c>
      <c r="D2129" t="s">
        <v>5144</v>
      </c>
      <c r="E2129">
        <v>463.35</v>
      </c>
      <c r="F2129">
        <v>461</v>
      </c>
      <c r="G2129">
        <v>462</v>
      </c>
      <c r="H2129">
        <v>441</v>
      </c>
      <c r="I2129" s="1">
        <v>442.85</v>
      </c>
      <c r="J2129">
        <v>159061947</v>
      </c>
      <c r="K2129">
        <v>356066</v>
      </c>
      <c r="L2129" t="s">
        <v>78</v>
      </c>
      <c r="M2129" t="s">
        <v>17</v>
      </c>
      <c r="N2129">
        <v>9120</v>
      </c>
      <c r="O2129">
        <v>530</v>
      </c>
      <c r="P2129">
        <v>169.4</v>
      </c>
      <c r="Q2129" s="1" t="str">
        <v/>
      </c>
      <c r="R2129" s="1" t="str">
        <v/>
      </c>
      <c r="S2129" s="3">
        <v>0</v>
      </c>
      <c r="T2129" s="3">
        <v>0</v>
      </c>
    </row>
    <row r="2130" spans="1:20" x14ac:dyDescent="0.25">
      <c r="A2130" t="s">
        <v>78</v>
      </c>
      <c r="B2130" t="s">
        <v>2961</v>
      </c>
      <c r="C2130" t="s">
        <v>999</v>
      </c>
      <c r="D2130" t="s">
        <v>998</v>
      </c>
      <c r="E2130">
        <v>5.48</v>
      </c>
      <c r="F2130">
        <v>5.5</v>
      </c>
      <c r="G2130">
        <v>5.75</v>
      </c>
      <c r="H2130">
        <v>5.2</v>
      </c>
      <c r="I2130" s="1">
        <v>5.59</v>
      </c>
      <c r="J2130">
        <v>89708.19</v>
      </c>
      <c r="K2130">
        <v>16525</v>
      </c>
      <c r="L2130" t="s">
        <v>78</v>
      </c>
      <c r="M2130" t="s">
        <v>17</v>
      </c>
      <c r="N2130">
        <v>60</v>
      </c>
      <c r="O2130">
        <v>6.85</v>
      </c>
      <c r="P2130">
        <v>4.0999999999999996</v>
      </c>
      <c r="Q2130" s="1">
        <v>13.6</v>
      </c>
      <c r="R2130" s="1">
        <v>27.15</v>
      </c>
      <c r="S2130" s="3">
        <v>-7.1412695795804115E-2</v>
      </c>
      <c r="T2130" s="3">
        <v>-7.5938464876737943E-2</v>
      </c>
    </row>
    <row r="2131" spans="1:20" x14ac:dyDescent="0.25">
      <c r="A2131" t="s">
        <v>78</v>
      </c>
      <c r="B2131" t="s">
        <v>2961</v>
      </c>
      <c r="C2131" t="s">
        <v>1038</v>
      </c>
      <c r="D2131" t="s">
        <v>5143</v>
      </c>
      <c r="E2131">
        <v>327.60000000000002</v>
      </c>
      <c r="F2131">
        <v>325.60000000000002</v>
      </c>
      <c r="G2131">
        <v>325.60000000000002</v>
      </c>
      <c r="H2131">
        <v>311.3</v>
      </c>
      <c r="I2131" s="1">
        <v>314.14999999999998</v>
      </c>
      <c r="J2131">
        <v>16515196.35</v>
      </c>
      <c r="K2131">
        <v>52019</v>
      </c>
      <c r="L2131" t="s">
        <v>78</v>
      </c>
      <c r="M2131" t="s">
        <v>17</v>
      </c>
      <c r="N2131">
        <v>1644</v>
      </c>
      <c r="O2131">
        <v>384</v>
      </c>
      <c r="P2131">
        <v>68.05</v>
      </c>
      <c r="Q2131" s="1">
        <v>77.5</v>
      </c>
      <c r="R2131" s="1">
        <v>34</v>
      </c>
      <c r="S2131" s="3">
        <v>0.12370663914907509</v>
      </c>
      <c r="T2131" s="3">
        <v>0.11752298775215508</v>
      </c>
    </row>
    <row r="2132" spans="1:20" x14ac:dyDescent="0.25">
      <c r="A2132" t="s">
        <v>78</v>
      </c>
      <c r="B2132" t="s">
        <v>2961</v>
      </c>
      <c r="C2132" t="s">
        <v>1048</v>
      </c>
      <c r="D2132" t="s">
        <v>1049</v>
      </c>
      <c r="E2132">
        <v>7.85</v>
      </c>
      <c r="F2132">
        <v>8.1</v>
      </c>
      <c r="G2132">
        <v>8.1999999999999993</v>
      </c>
      <c r="H2132">
        <v>7.55</v>
      </c>
      <c r="I2132" s="1">
        <v>7.8</v>
      </c>
      <c r="J2132">
        <v>3517059.18</v>
      </c>
      <c r="K2132">
        <v>444122</v>
      </c>
      <c r="L2132" t="s">
        <v>78</v>
      </c>
      <c r="M2132" t="s">
        <v>17</v>
      </c>
      <c r="N2132">
        <v>781</v>
      </c>
      <c r="O2132">
        <v>17.5</v>
      </c>
      <c r="P2132">
        <v>5.8</v>
      </c>
      <c r="Q2132" s="1">
        <v>105.35</v>
      </c>
      <c r="R2132" s="1" t="str">
        <v/>
      </c>
      <c r="S2132" s="3">
        <v>-0.19501397922631825</v>
      </c>
      <c r="T2132" s="3">
        <v>0</v>
      </c>
    </row>
    <row r="2133" spans="1:20" x14ac:dyDescent="0.25">
      <c r="A2133" t="s">
        <v>78</v>
      </c>
      <c r="B2133" t="s">
        <v>2961</v>
      </c>
      <c r="C2133" t="s">
        <v>5142</v>
      </c>
      <c r="D2133" t="s">
        <v>5141</v>
      </c>
      <c r="E2133">
        <v>2.2200000000000002</v>
      </c>
      <c r="F2133">
        <v>2.33</v>
      </c>
      <c r="G2133">
        <v>2.33</v>
      </c>
      <c r="H2133">
        <v>2.33</v>
      </c>
      <c r="I2133" s="1">
        <v>2.33</v>
      </c>
      <c r="J2133">
        <v>48664.38</v>
      </c>
      <c r="K2133">
        <v>20886</v>
      </c>
      <c r="L2133" t="s">
        <v>78</v>
      </c>
      <c r="M2133" t="s">
        <v>17</v>
      </c>
      <c r="N2133">
        <v>35</v>
      </c>
      <c r="O2133">
        <v>12.4</v>
      </c>
      <c r="P2133">
        <v>2.2200000000000002</v>
      </c>
      <c r="Q2133" s="1" t="str">
        <v/>
      </c>
      <c r="R2133" s="1" t="str">
        <v/>
      </c>
      <c r="S2133" s="3">
        <v>0</v>
      </c>
      <c r="T2133" s="3">
        <v>0</v>
      </c>
    </row>
    <row r="2134" spans="1:20" x14ac:dyDescent="0.25">
      <c r="A2134" t="s">
        <v>78</v>
      </c>
      <c r="B2134" t="s">
        <v>2961</v>
      </c>
      <c r="C2134" t="s">
        <v>1062</v>
      </c>
      <c r="D2134" t="s">
        <v>1063</v>
      </c>
      <c r="E2134">
        <v>58.54</v>
      </c>
      <c r="F2134">
        <v>56.15</v>
      </c>
      <c r="G2134">
        <v>57.89</v>
      </c>
      <c r="H2134">
        <v>55.61</v>
      </c>
      <c r="I2134" s="1">
        <v>55.61</v>
      </c>
      <c r="J2134">
        <v>2836865.34</v>
      </c>
      <c r="K2134">
        <v>50647</v>
      </c>
      <c r="L2134" t="s">
        <v>78</v>
      </c>
      <c r="M2134" t="s">
        <v>17</v>
      </c>
      <c r="N2134">
        <v>262</v>
      </c>
      <c r="O2134">
        <v>70.97</v>
      </c>
      <c r="P2134">
        <v>34.549999999999997</v>
      </c>
      <c r="Q2134" s="1">
        <v>50</v>
      </c>
      <c r="R2134" s="1" t="str">
        <v/>
      </c>
      <c r="S2134" s="3">
        <v>8.9010504827780057E-3</v>
      </c>
      <c r="T2134" s="3">
        <v>0</v>
      </c>
    </row>
    <row r="2135" spans="1:20" x14ac:dyDescent="0.25">
      <c r="A2135" t="s">
        <v>78</v>
      </c>
      <c r="B2135" t="s">
        <v>2961</v>
      </c>
      <c r="C2135" t="s">
        <v>1072</v>
      </c>
      <c r="D2135" t="s">
        <v>1073</v>
      </c>
      <c r="E2135">
        <v>488.6</v>
      </c>
      <c r="F2135">
        <v>472.55</v>
      </c>
      <c r="G2135">
        <v>481</v>
      </c>
      <c r="H2135">
        <v>464.2</v>
      </c>
      <c r="I2135" s="1">
        <v>464.2</v>
      </c>
      <c r="J2135">
        <v>109629372.8</v>
      </c>
      <c r="K2135">
        <v>234760</v>
      </c>
      <c r="L2135" t="s">
        <v>78</v>
      </c>
      <c r="M2135" t="s">
        <v>17</v>
      </c>
      <c r="N2135">
        <v>3331</v>
      </c>
      <c r="O2135">
        <v>646</v>
      </c>
      <c r="P2135">
        <v>155.5</v>
      </c>
      <c r="Q2135" s="1">
        <v>330</v>
      </c>
      <c r="R2135" s="1">
        <v>815.05</v>
      </c>
      <c r="S2135" s="3">
        <v>2.8843377297075756E-2</v>
      </c>
      <c r="T2135" s="3">
        <v>-2.7739283813254856E-2</v>
      </c>
    </row>
    <row r="2136" spans="1:20" x14ac:dyDescent="0.25">
      <c r="A2136" t="s">
        <v>78</v>
      </c>
      <c r="B2136" t="s">
        <v>2961</v>
      </c>
      <c r="C2136" t="s">
        <v>1076</v>
      </c>
      <c r="D2136" t="s">
        <v>1077</v>
      </c>
      <c r="E2136">
        <v>1623.55</v>
      </c>
      <c r="F2136">
        <v>1639.85</v>
      </c>
      <c r="G2136">
        <v>1649.95</v>
      </c>
      <c r="H2136">
        <v>1542.4</v>
      </c>
      <c r="I2136" s="1">
        <v>1595.1</v>
      </c>
      <c r="J2136">
        <v>266279837.19999999</v>
      </c>
      <c r="K2136">
        <v>164640</v>
      </c>
      <c r="L2136" t="s">
        <v>78</v>
      </c>
      <c r="M2136" t="s">
        <v>17</v>
      </c>
      <c r="N2136">
        <v>16730</v>
      </c>
      <c r="O2136">
        <v>1762</v>
      </c>
      <c r="P2136">
        <v>957.35</v>
      </c>
      <c r="Q2136" s="1">
        <v>128</v>
      </c>
      <c r="R2136" s="1">
        <v>214.85</v>
      </c>
      <c r="S2136" s="3">
        <v>0.23395170418629729</v>
      </c>
      <c r="T2136" s="3">
        <v>0.10537283502792238</v>
      </c>
    </row>
    <row r="2137" spans="1:20" x14ac:dyDescent="0.25">
      <c r="A2137" t="s">
        <v>783</v>
      </c>
      <c r="B2137" t="s">
        <v>2961</v>
      </c>
      <c r="C2137" t="s">
        <v>1102</v>
      </c>
      <c r="D2137" t="s">
        <v>1103</v>
      </c>
      <c r="E2137">
        <v>9.1300000000000008</v>
      </c>
      <c r="F2137">
        <v>8.94</v>
      </c>
      <c r="G2137">
        <v>8.94</v>
      </c>
      <c r="H2137">
        <v>8.94</v>
      </c>
      <c r="I2137" s="1">
        <v>8.94</v>
      </c>
      <c r="J2137">
        <v>4434.24</v>
      </c>
      <c r="K2137">
        <v>496</v>
      </c>
      <c r="L2137" t="s">
        <v>78</v>
      </c>
      <c r="M2137" t="s">
        <v>17</v>
      </c>
      <c r="N2137">
        <v>10</v>
      </c>
      <c r="O2137">
        <v>11.7</v>
      </c>
      <c r="P2137">
        <v>2.7</v>
      </c>
      <c r="Q2137" s="1">
        <v>2.65</v>
      </c>
      <c r="R2137" s="1" t="str">
        <v/>
      </c>
      <c r="S2137" s="3">
        <v>0.10664324413598147</v>
      </c>
      <c r="T2137" s="3">
        <v>0</v>
      </c>
    </row>
    <row r="2138" spans="1:20" x14ac:dyDescent="0.25">
      <c r="A2138" t="s">
        <v>783</v>
      </c>
      <c r="B2138" t="s">
        <v>2961</v>
      </c>
      <c r="C2138" t="s">
        <v>1104</v>
      </c>
      <c r="D2138" t="s">
        <v>1105</v>
      </c>
      <c r="E2138">
        <v>180.54</v>
      </c>
      <c r="F2138">
        <v>184</v>
      </c>
      <c r="G2138">
        <v>184</v>
      </c>
      <c r="H2138">
        <v>183.98</v>
      </c>
      <c r="I2138" s="1">
        <v>184</v>
      </c>
      <c r="J2138">
        <v>1807385.64</v>
      </c>
      <c r="K2138">
        <v>9823</v>
      </c>
      <c r="L2138" t="s">
        <v>78</v>
      </c>
      <c r="M2138" t="s">
        <v>17</v>
      </c>
      <c r="N2138">
        <v>130</v>
      </c>
      <c r="O2138">
        <v>382.7</v>
      </c>
      <c r="P2138">
        <v>166.6</v>
      </c>
      <c r="Q2138" s="1">
        <v>48.8</v>
      </c>
      <c r="R2138" s="1" t="str">
        <v/>
      </c>
      <c r="S2138" s="3">
        <v>0.11694854506339825</v>
      </c>
      <c r="T2138" s="3">
        <v>0</v>
      </c>
    </row>
    <row r="2139" spans="1:20" x14ac:dyDescent="0.25">
      <c r="A2139" t="s">
        <v>783</v>
      </c>
      <c r="B2139" t="s">
        <v>2961</v>
      </c>
      <c r="C2139" t="s">
        <v>1106</v>
      </c>
      <c r="D2139" t="s">
        <v>1107</v>
      </c>
      <c r="E2139">
        <v>212.01</v>
      </c>
      <c r="F2139">
        <v>216.25</v>
      </c>
      <c r="G2139">
        <v>216.25</v>
      </c>
      <c r="H2139">
        <v>216.25</v>
      </c>
      <c r="I2139" s="1">
        <v>216.25</v>
      </c>
      <c r="J2139">
        <v>3811190</v>
      </c>
      <c r="K2139">
        <v>17624</v>
      </c>
      <c r="L2139" t="s">
        <v>78</v>
      </c>
      <c r="M2139" t="s">
        <v>17</v>
      </c>
      <c r="N2139">
        <v>58</v>
      </c>
      <c r="O2139">
        <v>234.25</v>
      </c>
      <c r="P2139">
        <v>105.65</v>
      </c>
      <c r="Q2139" s="1">
        <v>57.7</v>
      </c>
      <c r="R2139" s="1">
        <v>50.65</v>
      </c>
      <c r="S2139" s="3">
        <v>0.11638765455772559</v>
      </c>
      <c r="T2139" s="3">
        <v>7.5230492820479444E-2</v>
      </c>
    </row>
    <row r="2140" spans="1:20" x14ac:dyDescent="0.25">
      <c r="A2140" t="s">
        <v>78</v>
      </c>
      <c r="B2140" t="s">
        <v>2961</v>
      </c>
      <c r="C2140" t="s">
        <v>3150</v>
      </c>
      <c r="D2140" t="s">
        <v>3151</v>
      </c>
      <c r="E2140">
        <v>1.04</v>
      </c>
      <c r="F2140">
        <v>1.03</v>
      </c>
      <c r="G2140">
        <v>1.0900000000000001</v>
      </c>
      <c r="H2140">
        <v>0.98</v>
      </c>
      <c r="I2140" s="1">
        <v>1.0900000000000001</v>
      </c>
      <c r="J2140">
        <v>13489744.93</v>
      </c>
      <c r="K2140">
        <v>13053603</v>
      </c>
      <c r="L2140" t="s">
        <v>78</v>
      </c>
      <c r="M2140" t="s">
        <v>17</v>
      </c>
      <c r="N2140">
        <v>5639</v>
      </c>
      <c r="O2140">
        <v>1.19</v>
      </c>
      <c r="P2140">
        <v>0.45</v>
      </c>
      <c r="Q2140" s="1">
        <v>40.85</v>
      </c>
      <c r="R2140" s="1" t="str">
        <v/>
      </c>
      <c r="S2140" s="3">
        <v>-0.26064524590958194</v>
      </c>
      <c r="T2140" s="3">
        <v>0</v>
      </c>
    </row>
    <row r="2141" spans="1:20" x14ac:dyDescent="0.25">
      <c r="A2141" t="s">
        <v>78</v>
      </c>
      <c r="B2141" t="s">
        <v>2961</v>
      </c>
      <c r="C2141" t="s">
        <v>1132</v>
      </c>
      <c r="D2141" t="s">
        <v>1133</v>
      </c>
      <c r="E2141">
        <v>40.26</v>
      </c>
      <c r="F2141">
        <v>40.5</v>
      </c>
      <c r="G2141">
        <v>40.65</v>
      </c>
      <c r="H2141">
        <v>39.5</v>
      </c>
      <c r="I2141" s="1">
        <v>39.65</v>
      </c>
      <c r="J2141">
        <v>1148273.92</v>
      </c>
      <c r="K2141">
        <v>28894</v>
      </c>
      <c r="L2141" t="s">
        <v>78</v>
      </c>
      <c r="M2141" t="s">
        <v>17</v>
      </c>
      <c r="N2141">
        <v>194</v>
      </c>
      <c r="O2141">
        <v>64.900000000000006</v>
      </c>
      <c r="P2141">
        <v>29.55</v>
      </c>
      <c r="Q2141" s="1">
        <v>31.1</v>
      </c>
      <c r="R2141" s="1">
        <v>12.5</v>
      </c>
      <c r="S2141" s="3">
        <v>2.0446483805025339E-2</v>
      </c>
      <c r="T2141" s="3">
        <v>5.9382833638303545E-2</v>
      </c>
    </row>
    <row r="2142" spans="1:20" x14ac:dyDescent="0.25">
      <c r="A2142" t="s">
        <v>78</v>
      </c>
      <c r="B2142" t="s">
        <v>2961</v>
      </c>
      <c r="C2142" t="s">
        <v>1146</v>
      </c>
      <c r="D2142" t="s">
        <v>1147</v>
      </c>
      <c r="E2142">
        <v>180.6</v>
      </c>
      <c r="F2142">
        <v>171.6</v>
      </c>
      <c r="G2142">
        <v>171.6</v>
      </c>
      <c r="H2142">
        <v>171.6</v>
      </c>
      <c r="I2142" s="1">
        <v>171.6</v>
      </c>
      <c r="J2142">
        <v>6443408.4000000004</v>
      </c>
      <c r="K2142">
        <v>37549</v>
      </c>
      <c r="L2142" t="s">
        <v>78</v>
      </c>
      <c r="M2142" t="s">
        <v>17</v>
      </c>
      <c r="N2142">
        <v>874</v>
      </c>
      <c r="O2142">
        <v>295</v>
      </c>
      <c r="P2142">
        <v>143</v>
      </c>
      <c r="Q2142" s="1">
        <v>96.65</v>
      </c>
      <c r="R2142" s="1">
        <v>40.1</v>
      </c>
      <c r="S2142" s="3">
        <v>4.9001925653655132E-2</v>
      </c>
      <c r="T2142" s="3">
        <v>7.5353757930979981E-2</v>
      </c>
    </row>
    <row r="2143" spans="1:20" x14ac:dyDescent="0.25">
      <c r="A2143" t="s">
        <v>78</v>
      </c>
      <c r="B2143" t="s">
        <v>2961</v>
      </c>
      <c r="C2143" t="s">
        <v>1168</v>
      </c>
      <c r="D2143" t="s">
        <v>1169</v>
      </c>
      <c r="E2143">
        <v>13736.8</v>
      </c>
      <c r="F2143">
        <v>14423.6</v>
      </c>
      <c r="G2143">
        <v>14423.6</v>
      </c>
      <c r="H2143">
        <v>14010</v>
      </c>
      <c r="I2143" s="1">
        <v>14390.2</v>
      </c>
      <c r="J2143">
        <v>58895355.450000003</v>
      </c>
      <c r="K2143">
        <v>4092</v>
      </c>
      <c r="L2143" t="s">
        <v>78</v>
      </c>
      <c r="M2143" t="s">
        <v>17</v>
      </c>
      <c r="N2143">
        <v>877</v>
      </c>
      <c r="O2143">
        <v>16744</v>
      </c>
      <c r="P2143">
        <v>4876</v>
      </c>
      <c r="Q2143" s="1">
        <v>940</v>
      </c>
      <c r="R2143" s="1">
        <v>872</v>
      </c>
      <c r="S2143" s="3">
        <v>0.25529244405373053</v>
      </c>
      <c r="T2143" s="3">
        <v>0.15038756334265213</v>
      </c>
    </row>
    <row r="2144" spans="1:20" x14ac:dyDescent="0.25">
      <c r="A2144" t="s">
        <v>78</v>
      </c>
      <c r="B2144" t="s">
        <v>2961</v>
      </c>
      <c r="C2144" t="s">
        <v>1178</v>
      </c>
      <c r="D2144" t="s">
        <v>1179</v>
      </c>
      <c r="E2144">
        <v>95.03</v>
      </c>
      <c r="F2144">
        <v>97.4</v>
      </c>
      <c r="G2144">
        <v>97.4</v>
      </c>
      <c r="H2144">
        <v>93.01</v>
      </c>
      <c r="I2144" s="1">
        <v>93.49</v>
      </c>
      <c r="J2144">
        <v>6973824.25</v>
      </c>
      <c r="K2144">
        <v>74277</v>
      </c>
      <c r="L2144" t="s">
        <v>78</v>
      </c>
      <c r="M2144" t="s">
        <v>17</v>
      </c>
      <c r="N2144">
        <v>210</v>
      </c>
      <c r="O2144">
        <v>226.95</v>
      </c>
      <c r="P2144">
        <v>89</v>
      </c>
      <c r="Q2144" s="1">
        <v>73.7</v>
      </c>
      <c r="R2144" s="1">
        <v>40.65</v>
      </c>
      <c r="S2144" s="3">
        <v>2.0018713087725626E-2</v>
      </c>
      <c r="T2144" s="3">
        <v>4.2498229813550115E-2</v>
      </c>
    </row>
    <row r="2145" spans="1:20" x14ac:dyDescent="0.25">
      <c r="A2145" t="s">
        <v>78</v>
      </c>
      <c r="B2145" t="s">
        <v>2961</v>
      </c>
      <c r="C2145" t="s">
        <v>5140</v>
      </c>
      <c r="D2145" t="s">
        <v>5139</v>
      </c>
      <c r="E2145">
        <v>81</v>
      </c>
      <c r="F2145">
        <v>80.8</v>
      </c>
      <c r="G2145">
        <v>80.8</v>
      </c>
      <c r="H2145">
        <v>76.95</v>
      </c>
      <c r="I2145" s="1">
        <v>76.95</v>
      </c>
      <c r="J2145">
        <v>338974.05</v>
      </c>
      <c r="K2145">
        <v>4401</v>
      </c>
      <c r="L2145" t="s">
        <v>78</v>
      </c>
      <c r="M2145" t="s">
        <v>17</v>
      </c>
      <c r="N2145">
        <v>39</v>
      </c>
      <c r="O2145">
        <v>140.65</v>
      </c>
      <c r="P2145">
        <v>56.75</v>
      </c>
      <c r="Q2145" s="1" t="str">
        <v/>
      </c>
      <c r="R2145" s="1" t="str">
        <v/>
      </c>
      <c r="S2145" s="3">
        <v>0</v>
      </c>
      <c r="T2145" s="3">
        <v>0</v>
      </c>
    </row>
    <row r="2146" spans="1:20" x14ac:dyDescent="0.25">
      <c r="A2146" t="s">
        <v>783</v>
      </c>
      <c r="B2146" t="s">
        <v>2961</v>
      </c>
      <c r="C2146" t="s">
        <v>1180</v>
      </c>
      <c r="D2146" t="s">
        <v>1181</v>
      </c>
      <c r="E2146">
        <v>12.75</v>
      </c>
      <c r="F2146">
        <v>12.49</v>
      </c>
      <c r="G2146">
        <v>12.49</v>
      </c>
      <c r="H2146">
        <v>12.49</v>
      </c>
      <c r="I2146" s="1">
        <v>12.49</v>
      </c>
      <c r="J2146">
        <v>3704796.29</v>
      </c>
      <c r="K2146">
        <v>296621</v>
      </c>
      <c r="L2146" t="s">
        <v>78</v>
      </c>
      <c r="M2146" t="s">
        <v>17</v>
      </c>
      <c r="N2146">
        <v>253</v>
      </c>
      <c r="O2146">
        <v>14.73</v>
      </c>
      <c r="P2146">
        <v>9.1999999999999993</v>
      </c>
      <c r="Q2146" s="1">
        <v>20.8</v>
      </c>
      <c r="R2146" s="1">
        <v>2.5</v>
      </c>
      <c r="S2146" s="3">
        <v>-4.1611504174673852E-2</v>
      </c>
      <c r="T2146" s="3">
        <v>8.3707281989435334E-2</v>
      </c>
    </row>
    <row r="2147" spans="1:20" x14ac:dyDescent="0.25">
      <c r="A2147" t="s">
        <v>78</v>
      </c>
      <c r="B2147" t="s">
        <v>2961</v>
      </c>
      <c r="C2147" t="s">
        <v>5138</v>
      </c>
      <c r="D2147" t="s">
        <v>5137</v>
      </c>
      <c r="E2147">
        <v>11.36</v>
      </c>
      <c r="F2147">
        <v>11.56</v>
      </c>
      <c r="G2147">
        <v>11.68</v>
      </c>
      <c r="H2147">
        <v>11.2</v>
      </c>
      <c r="I2147" s="1">
        <v>11.62</v>
      </c>
      <c r="J2147">
        <v>502334.32</v>
      </c>
      <c r="K2147">
        <v>43928</v>
      </c>
      <c r="L2147" t="s">
        <v>78</v>
      </c>
      <c r="M2147" t="s">
        <v>17</v>
      </c>
      <c r="N2147">
        <v>120</v>
      </c>
      <c r="O2147">
        <v>22.5</v>
      </c>
      <c r="P2147">
        <v>10</v>
      </c>
      <c r="Q2147" s="1" t="str">
        <v/>
      </c>
      <c r="R2147" s="1" t="str">
        <v/>
      </c>
      <c r="S2147" s="3">
        <v>0</v>
      </c>
      <c r="T2147" s="3">
        <v>0</v>
      </c>
    </row>
    <row r="2148" spans="1:20" x14ac:dyDescent="0.25">
      <c r="A2148" t="s">
        <v>783</v>
      </c>
      <c r="B2148" t="s">
        <v>2961</v>
      </c>
      <c r="C2148" t="s">
        <v>5136</v>
      </c>
      <c r="D2148" t="s">
        <v>5135</v>
      </c>
      <c r="E2148">
        <v>131.49</v>
      </c>
      <c r="F2148">
        <v>128.86000000000001</v>
      </c>
      <c r="G2148">
        <v>128.86000000000001</v>
      </c>
      <c r="H2148">
        <v>128.86000000000001</v>
      </c>
      <c r="I2148" s="1">
        <v>128.86000000000001</v>
      </c>
      <c r="J2148">
        <v>839265.18</v>
      </c>
      <c r="K2148">
        <v>6513</v>
      </c>
      <c r="L2148" t="s">
        <v>78</v>
      </c>
      <c r="M2148" t="s">
        <v>17</v>
      </c>
      <c r="N2148">
        <v>50</v>
      </c>
      <c r="O2148">
        <v>138.41999999999999</v>
      </c>
      <c r="P2148">
        <v>34.450000000000003</v>
      </c>
      <c r="Q2148" s="1" t="str">
        <v/>
      </c>
      <c r="R2148" s="1" t="str">
        <v/>
      </c>
      <c r="S2148" s="3">
        <v>0</v>
      </c>
      <c r="T2148" s="3">
        <v>0</v>
      </c>
    </row>
    <row r="2149" spans="1:20" x14ac:dyDescent="0.25">
      <c r="A2149" t="s">
        <v>78</v>
      </c>
      <c r="B2149" t="s">
        <v>2961</v>
      </c>
      <c r="C2149" t="s">
        <v>1246</v>
      </c>
      <c r="D2149" t="s">
        <v>1247</v>
      </c>
      <c r="E2149">
        <v>52.17</v>
      </c>
      <c r="F2149">
        <v>52.35</v>
      </c>
      <c r="G2149">
        <v>54.3</v>
      </c>
      <c r="H2149">
        <v>51</v>
      </c>
      <c r="I2149" s="1">
        <v>53.66</v>
      </c>
      <c r="J2149">
        <v>8865659.8000000007</v>
      </c>
      <c r="K2149">
        <v>167930</v>
      </c>
      <c r="L2149" t="s">
        <v>78</v>
      </c>
      <c r="M2149" t="s">
        <v>17</v>
      </c>
      <c r="N2149">
        <v>980</v>
      </c>
      <c r="O2149">
        <v>144.15</v>
      </c>
      <c r="P2149">
        <v>29.1</v>
      </c>
      <c r="Q2149" s="1">
        <v>62.45</v>
      </c>
      <c r="R2149" s="1">
        <v>17.649999999999999</v>
      </c>
      <c r="S2149" s="3">
        <v>-1.256196409985455E-2</v>
      </c>
      <c r="T2149" s="3">
        <v>5.713895070846986E-2</v>
      </c>
    </row>
    <row r="2150" spans="1:20" x14ac:dyDescent="0.25">
      <c r="A2150" t="s">
        <v>78</v>
      </c>
      <c r="B2150" t="s">
        <v>2961</v>
      </c>
      <c r="C2150" t="s">
        <v>1262</v>
      </c>
      <c r="D2150" t="s">
        <v>1263</v>
      </c>
      <c r="E2150">
        <v>940.7</v>
      </c>
      <c r="F2150">
        <v>930.7</v>
      </c>
      <c r="G2150">
        <v>967</v>
      </c>
      <c r="H2150">
        <v>930.7</v>
      </c>
      <c r="I2150" s="1">
        <v>955.15</v>
      </c>
      <c r="J2150">
        <v>9421028.8000000007</v>
      </c>
      <c r="K2150">
        <v>9966</v>
      </c>
      <c r="L2150" t="s">
        <v>78</v>
      </c>
      <c r="M2150" t="s">
        <v>17</v>
      </c>
      <c r="N2150">
        <v>263</v>
      </c>
      <c r="O2150">
        <v>1280.45</v>
      </c>
      <c r="P2150">
        <v>349.85</v>
      </c>
      <c r="Q2150" s="1">
        <v>302</v>
      </c>
      <c r="R2150" s="1">
        <v>200</v>
      </c>
      <c r="S2150" s="3">
        <v>0.10070782291075764</v>
      </c>
      <c r="T2150" s="3">
        <v>8.1268336711040945E-2</v>
      </c>
    </row>
    <row r="2151" spans="1:20" x14ac:dyDescent="0.25">
      <c r="A2151" t="s">
        <v>78</v>
      </c>
      <c r="B2151" t="s">
        <v>2961</v>
      </c>
      <c r="C2151" t="s">
        <v>3176</v>
      </c>
      <c r="D2151" t="s">
        <v>3177</v>
      </c>
      <c r="E2151">
        <v>178.64</v>
      </c>
      <c r="F2151">
        <v>183.5</v>
      </c>
      <c r="G2151">
        <v>187.57</v>
      </c>
      <c r="H2151">
        <v>173</v>
      </c>
      <c r="I2151" s="1">
        <v>186.42</v>
      </c>
      <c r="J2151">
        <v>118442672.26000001</v>
      </c>
      <c r="K2151">
        <v>642280</v>
      </c>
      <c r="L2151" t="s">
        <v>78</v>
      </c>
      <c r="M2151" t="s">
        <v>17</v>
      </c>
      <c r="N2151">
        <v>1692</v>
      </c>
      <c r="O2151">
        <v>187.57</v>
      </c>
      <c r="P2151">
        <v>50.4</v>
      </c>
      <c r="Q2151" s="1">
        <v>26.25</v>
      </c>
      <c r="R2151" s="1">
        <v>17.2</v>
      </c>
      <c r="S2151" s="3">
        <v>0.17746208910341776</v>
      </c>
      <c r="T2151" s="3">
        <v>0.12647060447017822</v>
      </c>
    </row>
    <row r="2152" spans="1:20" x14ac:dyDescent="0.25">
      <c r="A2152" t="s">
        <v>783</v>
      </c>
      <c r="B2152" t="s">
        <v>2961</v>
      </c>
      <c r="C2152" t="s">
        <v>3178</v>
      </c>
      <c r="D2152" t="s">
        <v>3178</v>
      </c>
      <c r="E2152">
        <v>39.28</v>
      </c>
      <c r="F2152">
        <v>38.799999999999997</v>
      </c>
      <c r="G2152">
        <v>38.799999999999997</v>
      </c>
      <c r="H2152">
        <v>38.49</v>
      </c>
      <c r="I2152" s="1">
        <v>38.49</v>
      </c>
      <c r="J2152">
        <v>39353.94</v>
      </c>
      <c r="K2152">
        <v>1018</v>
      </c>
      <c r="L2152" t="s">
        <v>78</v>
      </c>
      <c r="M2152" t="s">
        <v>17</v>
      </c>
      <c r="N2152">
        <v>20</v>
      </c>
      <c r="O2152">
        <v>63.45</v>
      </c>
      <c r="P2152">
        <v>23.1</v>
      </c>
      <c r="Q2152" s="1">
        <v>26.5</v>
      </c>
      <c r="R2152" s="1" t="str">
        <v/>
      </c>
      <c r="S2152" s="3">
        <v>3.1593276913019164E-2</v>
      </c>
      <c r="T2152" s="3">
        <v>0</v>
      </c>
    </row>
    <row r="2153" spans="1:20" x14ac:dyDescent="0.25">
      <c r="A2153" t="s">
        <v>78</v>
      </c>
      <c r="B2153" t="s">
        <v>2961</v>
      </c>
      <c r="C2153" t="s">
        <v>1310</v>
      </c>
      <c r="D2153" t="s">
        <v>1311</v>
      </c>
      <c r="E2153">
        <v>544.5</v>
      </c>
      <c r="F2153">
        <v>555</v>
      </c>
      <c r="G2153">
        <v>559</v>
      </c>
      <c r="H2153">
        <v>540</v>
      </c>
      <c r="I2153" s="1">
        <v>550.04999999999995</v>
      </c>
      <c r="J2153">
        <v>5589830.2999999998</v>
      </c>
      <c r="K2153">
        <v>10174</v>
      </c>
      <c r="L2153" t="s">
        <v>78</v>
      </c>
      <c r="M2153" t="s">
        <v>17</v>
      </c>
      <c r="N2153">
        <v>177</v>
      </c>
      <c r="O2153">
        <v>653.70000000000005</v>
      </c>
      <c r="P2153">
        <v>388</v>
      </c>
      <c r="Q2153" s="1">
        <v>585.75</v>
      </c>
      <c r="R2153" s="1">
        <v>322.05</v>
      </c>
      <c r="S2153" s="3">
        <v>-5.2266179690552139E-3</v>
      </c>
      <c r="T2153" s="3">
        <v>2.7111466129061901E-2</v>
      </c>
    </row>
    <row r="2154" spans="1:20" x14ac:dyDescent="0.25">
      <c r="A2154" t="s">
        <v>78</v>
      </c>
      <c r="B2154" t="s">
        <v>2961</v>
      </c>
      <c r="C2154" t="s">
        <v>3183</v>
      </c>
      <c r="D2154" t="s">
        <v>3184</v>
      </c>
      <c r="E2154">
        <v>3.45</v>
      </c>
      <c r="F2154">
        <v>3.55</v>
      </c>
      <c r="G2154">
        <v>3.55</v>
      </c>
      <c r="H2154">
        <v>3.4</v>
      </c>
      <c r="I2154" s="1">
        <v>3.48</v>
      </c>
      <c r="J2154">
        <v>48996.55</v>
      </c>
      <c r="K2154">
        <v>14044</v>
      </c>
      <c r="L2154" t="s">
        <v>78</v>
      </c>
      <c r="M2154" t="s">
        <v>17</v>
      </c>
      <c r="N2154">
        <v>72</v>
      </c>
      <c r="O2154">
        <v>6.4</v>
      </c>
      <c r="P2154">
        <v>2.7</v>
      </c>
      <c r="Q2154" s="1">
        <v>1.1000000000000001</v>
      </c>
      <c r="R2154" s="1">
        <v>0.35</v>
      </c>
      <c r="S2154" s="3">
        <v>0.10073357382636949</v>
      </c>
      <c r="T2154" s="3">
        <v>0.12162645948385964</v>
      </c>
    </row>
    <row r="2155" spans="1:20" x14ac:dyDescent="0.25">
      <c r="A2155" t="s">
        <v>78</v>
      </c>
      <c r="B2155" t="s">
        <v>2961</v>
      </c>
      <c r="C2155" t="s">
        <v>1363</v>
      </c>
      <c r="D2155" t="s">
        <v>1364</v>
      </c>
      <c r="E2155">
        <v>2015.6</v>
      </c>
      <c r="F2155">
        <v>2116.35</v>
      </c>
      <c r="G2155">
        <v>2116.35</v>
      </c>
      <c r="H2155">
        <v>2116.35</v>
      </c>
      <c r="I2155" s="1">
        <v>2116.35</v>
      </c>
      <c r="J2155">
        <v>29338960.050000001</v>
      </c>
      <c r="K2155">
        <v>13863</v>
      </c>
      <c r="L2155" t="s">
        <v>78</v>
      </c>
      <c r="M2155" t="s">
        <v>17</v>
      </c>
      <c r="N2155">
        <v>361</v>
      </c>
      <c r="O2155">
        <v>2116.35</v>
      </c>
      <c r="P2155">
        <v>611</v>
      </c>
      <c r="Q2155" s="1">
        <v>247.8</v>
      </c>
      <c r="R2155" s="1">
        <v>92.1</v>
      </c>
      <c r="S2155" s="3">
        <v>0.19570446009003084</v>
      </c>
      <c r="T2155" s="3">
        <v>0.16957780169624548</v>
      </c>
    </row>
    <row r="2156" spans="1:20" x14ac:dyDescent="0.25">
      <c r="A2156" t="s">
        <v>78</v>
      </c>
      <c r="B2156" t="s">
        <v>2961</v>
      </c>
      <c r="C2156" t="s">
        <v>1365</v>
      </c>
      <c r="D2156" t="s">
        <v>1366</v>
      </c>
      <c r="E2156">
        <v>32.049999999999997</v>
      </c>
      <c r="F2156">
        <v>32.65</v>
      </c>
      <c r="G2156">
        <v>32.65</v>
      </c>
      <c r="H2156">
        <v>30.45</v>
      </c>
      <c r="I2156" s="1">
        <v>30.99</v>
      </c>
      <c r="J2156">
        <v>13649738.26</v>
      </c>
      <c r="K2156">
        <v>439980</v>
      </c>
      <c r="L2156" t="s">
        <v>78</v>
      </c>
      <c r="M2156" t="s">
        <v>17</v>
      </c>
      <c r="N2156">
        <v>2582</v>
      </c>
      <c r="O2156">
        <v>34.39</v>
      </c>
      <c r="P2156">
        <v>12.35</v>
      </c>
      <c r="Q2156" s="1">
        <v>8.0500000000000007</v>
      </c>
      <c r="R2156" s="1">
        <v>3.65</v>
      </c>
      <c r="S2156" s="3">
        <v>0.1188850592780013</v>
      </c>
      <c r="T2156" s="3">
        <v>0.112809948088054</v>
      </c>
    </row>
    <row r="2157" spans="1:20" x14ac:dyDescent="0.25">
      <c r="A2157" t="s">
        <v>78</v>
      </c>
      <c r="B2157" t="s">
        <v>2961</v>
      </c>
      <c r="C2157" t="s">
        <v>5134</v>
      </c>
      <c r="D2157" t="s">
        <v>1400</v>
      </c>
      <c r="E2157">
        <v>0.54</v>
      </c>
      <c r="F2157">
        <v>0.75</v>
      </c>
      <c r="G2157">
        <v>0.75</v>
      </c>
      <c r="H2157">
        <v>0.64</v>
      </c>
      <c r="I2157" s="1">
        <v>0.75</v>
      </c>
      <c r="J2157">
        <v>5225962.84</v>
      </c>
      <c r="K2157">
        <v>6997543</v>
      </c>
      <c r="L2157" t="s">
        <v>78</v>
      </c>
      <c r="M2157" t="s">
        <v>17</v>
      </c>
      <c r="N2157">
        <v>4331</v>
      </c>
      <c r="O2157">
        <v>0.75</v>
      </c>
      <c r="P2157">
        <v>0.18</v>
      </c>
      <c r="Q2157" s="1" t="str">
        <v/>
      </c>
      <c r="R2157" s="1" t="str">
        <v/>
      </c>
      <c r="S2157" s="3">
        <v>0</v>
      </c>
      <c r="T2157" s="3">
        <v>0</v>
      </c>
    </row>
    <row r="2158" spans="1:20" x14ac:dyDescent="0.25">
      <c r="A2158" t="s">
        <v>78</v>
      </c>
      <c r="B2158" t="s">
        <v>2961</v>
      </c>
      <c r="C2158" t="s">
        <v>5133</v>
      </c>
      <c r="D2158" t="s">
        <v>5132</v>
      </c>
      <c r="E2158">
        <v>264.19</v>
      </c>
      <c r="F2158">
        <v>271</v>
      </c>
      <c r="G2158">
        <v>277.39</v>
      </c>
      <c r="H2158">
        <v>269</v>
      </c>
      <c r="I2158" s="1">
        <v>277.39</v>
      </c>
      <c r="J2158">
        <v>22564078.530000001</v>
      </c>
      <c r="K2158">
        <v>81646</v>
      </c>
      <c r="L2158" t="s">
        <v>78</v>
      </c>
      <c r="M2158" t="s">
        <v>17</v>
      </c>
      <c r="N2158">
        <v>453</v>
      </c>
      <c r="O2158">
        <v>277.39</v>
      </c>
      <c r="P2158">
        <v>94</v>
      </c>
      <c r="Q2158" s="1" t="str">
        <v/>
      </c>
      <c r="R2158" s="1" t="str">
        <v/>
      </c>
      <c r="S2158" s="3">
        <v>0</v>
      </c>
      <c r="T2158" s="3">
        <v>0</v>
      </c>
    </row>
    <row r="2159" spans="1:20" x14ac:dyDescent="0.25">
      <c r="A2159" t="s">
        <v>78</v>
      </c>
      <c r="B2159" t="s">
        <v>2961</v>
      </c>
      <c r="C2159" t="s">
        <v>1433</v>
      </c>
      <c r="D2159" t="s">
        <v>5131</v>
      </c>
      <c r="E2159">
        <v>201.22</v>
      </c>
      <c r="F2159">
        <v>204.8</v>
      </c>
      <c r="G2159">
        <v>205</v>
      </c>
      <c r="H2159">
        <v>195</v>
      </c>
      <c r="I2159" s="1">
        <v>196.92</v>
      </c>
      <c r="J2159">
        <v>1859853.09</v>
      </c>
      <c r="K2159">
        <v>9356</v>
      </c>
      <c r="L2159" t="s">
        <v>78</v>
      </c>
      <c r="M2159" t="s">
        <v>17</v>
      </c>
      <c r="N2159">
        <v>212</v>
      </c>
      <c r="O2159">
        <v>290</v>
      </c>
      <c r="P2159">
        <v>141.44999999999999</v>
      </c>
      <c r="Q2159" s="1">
        <v>147.6</v>
      </c>
      <c r="R2159" s="1">
        <v>77.5</v>
      </c>
      <c r="S2159" s="3">
        <v>2.4315212094637051E-2</v>
      </c>
      <c r="T2159" s="3">
        <v>4.7703311846282848E-2</v>
      </c>
    </row>
    <row r="2160" spans="1:20" x14ac:dyDescent="0.25">
      <c r="A2160" t="s">
        <v>78</v>
      </c>
      <c r="B2160" t="s">
        <v>2961</v>
      </c>
      <c r="C2160" t="s">
        <v>1443</v>
      </c>
      <c r="D2160" t="s">
        <v>1444</v>
      </c>
      <c r="E2160">
        <v>842.3</v>
      </c>
      <c r="F2160">
        <v>845</v>
      </c>
      <c r="G2160">
        <v>854.95</v>
      </c>
      <c r="H2160">
        <v>827.1</v>
      </c>
      <c r="I2160" s="1">
        <v>830</v>
      </c>
      <c r="J2160">
        <v>34315399.600000001</v>
      </c>
      <c r="K2160">
        <v>40990</v>
      </c>
      <c r="L2160" t="s">
        <v>78</v>
      </c>
      <c r="M2160" t="s">
        <v>17</v>
      </c>
      <c r="N2160">
        <v>1791</v>
      </c>
      <c r="O2160">
        <v>1314</v>
      </c>
      <c r="P2160">
        <v>575</v>
      </c>
      <c r="Q2160" s="1">
        <v>61</v>
      </c>
      <c r="R2160" s="1">
        <v>22.55</v>
      </c>
      <c r="S2160" s="3">
        <v>0.24302259030853701</v>
      </c>
      <c r="T2160" s="3">
        <v>0.19743982653103553</v>
      </c>
    </row>
    <row r="2161" spans="1:20" x14ac:dyDescent="0.25">
      <c r="A2161" t="s">
        <v>783</v>
      </c>
      <c r="B2161" t="s">
        <v>2961</v>
      </c>
      <c r="C2161" t="s">
        <v>5130</v>
      </c>
      <c r="D2161" t="s">
        <v>5129</v>
      </c>
      <c r="E2161">
        <v>41.47</v>
      </c>
      <c r="F2161">
        <v>41</v>
      </c>
      <c r="G2161">
        <v>41.05</v>
      </c>
      <c r="H2161">
        <v>40.64</v>
      </c>
      <c r="I2161" s="1">
        <v>40.64</v>
      </c>
      <c r="J2161">
        <v>514457.56</v>
      </c>
      <c r="K2161">
        <v>12596</v>
      </c>
      <c r="L2161" t="s">
        <v>78</v>
      </c>
      <c r="M2161" t="s">
        <v>17</v>
      </c>
      <c r="N2161">
        <v>78</v>
      </c>
      <c r="O2161">
        <v>96</v>
      </c>
      <c r="P2161">
        <v>40.64</v>
      </c>
      <c r="Q2161" s="1" t="str">
        <v/>
      </c>
      <c r="R2161" s="1" t="str">
        <v/>
      </c>
      <c r="S2161" s="3">
        <v>0</v>
      </c>
      <c r="T2161" s="3">
        <v>0</v>
      </c>
    </row>
    <row r="2162" spans="1:20" x14ac:dyDescent="0.25">
      <c r="A2162" t="s">
        <v>78</v>
      </c>
      <c r="B2162" t="s">
        <v>2961</v>
      </c>
      <c r="C2162" t="s">
        <v>1467</v>
      </c>
      <c r="D2162" t="s">
        <v>1468</v>
      </c>
      <c r="E2162">
        <v>20.09</v>
      </c>
      <c r="F2162">
        <v>19.95</v>
      </c>
      <c r="G2162">
        <v>21.09</v>
      </c>
      <c r="H2162">
        <v>19.75</v>
      </c>
      <c r="I2162" s="1">
        <v>21.09</v>
      </c>
      <c r="J2162">
        <v>5438610.7800000003</v>
      </c>
      <c r="K2162">
        <v>260551</v>
      </c>
      <c r="L2162" t="s">
        <v>78</v>
      </c>
      <c r="M2162" t="s">
        <v>17</v>
      </c>
      <c r="N2162">
        <v>274</v>
      </c>
      <c r="O2162">
        <v>22.5</v>
      </c>
      <c r="P2162">
        <v>16.350000000000001</v>
      </c>
      <c r="Q2162" s="1">
        <v>26</v>
      </c>
      <c r="R2162" s="1">
        <v>19</v>
      </c>
      <c r="S2162" s="3">
        <v>-1.729024011627267E-2</v>
      </c>
      <c r="T2162" s="3">
        <v>5.2287656834337781E-3</v>
      </c>
    </row>
    <row r="2163" spans="1:20" x14ac:dyDescent="0.25">
      <c r="A2163" t="s">
        <v>78</v>
      </c>
      <c r="B2163" t="s">
        <v>2961</v>
      </c>
      <c r="C2163" t="s">
        <v>5128</v>
      </c>
      <c r="D2163" t="s">
        <v>5127</v>
      </c>
      <c r="E2163">
        <v>796.45</v>
      </c>
      <c r="F2163">
        <v>799.9</v>
      </c>
      <c r="G2163">
        <v>809.5</v>
      </c>
      <c r="H2163">
        <v>772.1</v>
      </c>
      <c r="I2163" s="1">
        <v>774.6</v>
      </c>
      <c r="J2163">
        <v>16008758.050000001</v>
      </c>
      <c r="K2163">
        <v>20468</v>
      </c>
      <c r="L2163" t="s">
        <v>78</v>
      </c>
      <c r="M2163" t="s">
        <v>17</v>
      </c>
      <c r="N2163">
        <v>1473</v>
      </c>
      <c r="O2163">
        <v>897.25</v>
      </c>
      <c r="P2163">
        <v>550</v>
      </c>
      <c r="Q2163" s="1" t="str">
        <v/>
      </c>
      <c r="R2163" s="1" t="str">
        <v/>
      </c>
      <c r="S2163" s="3">
        <v>0</v>
      </c>
      <c r="T2163" s="3">
        <v>0</v>
      </c>
    </row>
    <row r="2164" spans="1:20" x14ac:dyDescent="0.25">
      <c r="A2164" t="s">
        <v>78</v>
      </c>
      <c r="B2164" t="s">
        <v>2961</v>
      </c>
      <c r="C2164" t="s">
        <v>3217</v>
      </c>
      <c r="D2164" t="s">
        <v>3218</v>
      </c>
      <c r="E2164">
        <v>7.25</v>
      </c>
      <c r="F2164">
        <v>7.54</v>
      </c>
      <c r="G2164">
        <v>7.61</v>
      </c>
      <c r="H2164">
        <v>7.25</v>
      </c>
      <c r="I2164" s="1">
        <v>7.61</v>
      </c>
      <c r="J2164">
        <v>156213203.37</v>
      </c>
      <c r="K2164">
        <v>20715712</v>
      </c>
      <c r="L2164" t="s">
        <v>78</v>
      </c>
      <c r="M2164" t="s">
        <v>17</v>
      </c>
      <c r="N2164">
        <v>11907</v>
      </c>
      <c r="O2164">
        <v>27.15</v>
      </c>
      <c r="P2164">
        <v>6.71</v>
      </c>
      <c r="Q2164" s="1">
        <v>12.05</v>
      </c>
      <c r="R2164" s="1">
        <v>2.4500000000000002</v>
      </c>
      <c r="S2164" s="3">
        <v>-3.7575949018965438E-2</v>
      </c>
      <c r="T2164" s="3">
        <v>5.8272353204443572E-2</v>
      </c>
    </row>
    <row r="2165" spans="1:20" x14ac:dyDescent="0.25">
      <c r="A2165" t="s">
        <v>78</v>
      </c>
      <c r="B2165" t="s">
        <v>2961</v>
      </c>
      <c r="C2165" t="s">
        <v>3630</v>
      </c>
      <c r="D2165" t="s">
        <v>5126</v>
      </c>
      <c r="E2165">
        <v>27.06</v>
      </c>
      <c r="F2165">
        <v>27.2</v>
      </c>
      <c r="G2165">
        <v>27.2</v>
      </c>
      <c r="H2165">
        <v>26</v>
      </c>
      <c r="I2165" s="1">
        <v>26.08</v>
      </c>
      <c r="J2165">
        <v>96128417.719999999</v>
      </c>
      <c r="K2165">
        <v>3612900</v>
      </c>
      <c r="L2165" t="s">
        <v>78</v>
      </c>
      <c r="M2165" t="s">
        <v>17</v>
      </c>
      <c r="N2165">
        <v>4686</v>
      </c>
      <c r="O2165">
        <v>30.74</v>
      </c>
      <c r="P2165">
        <v>21.5</v>
      </c>
      <c r="Q2165" s="1">
        <v>8</v>
      </c>
      <c r="R2165" s="1" t="str">
        <v/>
      </c>
      <c r="S2165" s="3">
        <v>0.1034893176937759</v>
      </c>
      <c r="T2165" s="3">
        <v>0</v>
      </c>
    </row>
    <row r="2166" spans="1:20" x14ac:dyDescent="0.25">
      <c r="A2166" t="s">
        <v>78</v>
      </c>
      <c r="B2166" t="s">
        <v>2961</v>
      </c>
      <c r="C2166" t="s">
        <v>3225</v>
      </c>
      <c r="D2166" t="s">
        <v>3226</v>
      </c>
      <c r="E2166">
        <v>602.04999999999995</v>
      </c>
      <c r="F2166">
        <v>602.04999999999995</v>
      </c>
      <c r="G2166">
        <v>609.29999999999995</v>
      </c>
      <c r="H2166">
        <v>580.4</v>
      </c>
      <c r="I2166" s="1">
        <v>587.4</v>
      </c>
      <c r="J2166">
        <v>1208370.3</v>
      </c>
      <c r="K2166">
        <v>2051</v>
      </c>
      <c r="L2166" t="s">
        <v>78</v>
      </c>
      <c r="M2166" t="s">
        <v>17</v>
      </c>
      <c r="N2166">
        <v>75</v>
      </c>
      <c r="O2166">
        <v>727.3</v>
      </c>
      <c r="P2166">
        <v>257.5</v>
      </c>
      <c r="Q2166" s="1">
        <v>207.1</v>
      </c>
      <c r="R2166" s="1">
        <v>202.7</v>
      </c>
      <c r="S2166" s="3">
        <v>9.0760712499599272E-2</v>
      </c>
      <c r="T2166" s="3">
        <v>5.460871736634898E-2</v>
      </c>
    </row>
    <row r="2167" spans="1:20" x14ac:dyDescent="0.25">
      <c r="A2167" t="s">
        <v>78</v>
      </c>
      <c r="B2167" t="s">
        <v>2961</v>
      </c>
      <c r="C2167" t="s">
        <v>3231</v>
      </c>
      <c r="D2167" t="s">
        <v>5125</v>
      </c>
      <c r="E2167">
        <v>378.1</v>
      </c>
      <c r="F2167">
        <v>389</v>
      </c>
      <c r="G2167">
        <v>389</v>
      </c>
      <c r="H2167">
        <v>370</v>
      </c>
      <c r="I2167" s="1">
        <v>380</v>
      </c>
      <c r="J2167">
        <v>763268.7</v>
      </c>
      <c r="K2167">
        <v>2039</v>
      </c>
      <c r="L2167" t="s">
        <v>78</v>
      </c>
      <c r="M2167" t="s">
        <v>17</v>
      </c>
      <c r="N2167">
        <v>98</v>
      </c>
      <c r="O2167">
        <v>414.15</v>
      </c>
      <c r="P2167">
        <v>138.5</v>
      </c>
      <c r="Q2167" s="1">
        <v>88.05</v>
      </c>
      <c r="R2167" s="1" t="str">
        <v/>
      </c>
      <c r="S2167" s="3">
        <v>0.129590903433356</v>
      </c>
      <c r="T2167" s="3">
        <v>0</v>
      </c>
    </row>
    <row r="2168" spans="1:20" x14ac:dyDescent="0.25">
      <c r="A2168" t="s">
        <v>78</v>
      </c>
      <c r="B2168" t="s">
        <v>2961</v>
      </c>
      <c r="C2168" t="s">
        <v>3237</v>
      </c>
      <c r="D2168" t="s">
        <v>3238</v>
      </c>
      <c r="E2168">
        <v>1001.4</v>
      </c>
      <c r="F2168">
        <v>1028.8</v>
      </c>
      <c r="G2168">
        <v>1028.8</v>
      </c>
      <c r="H2168">
        <v>951.35</v>
      </c>
      <c r="I2168" s="1">
        <v>951.55</v>
      </c>
      <c r="J2168">
        <v>690172</v>
      </c>
      <c r="K2168">
        <v>716</v>
      </c>
      <c r="L2168" t="s">
        <v>78</v>
      </c>
      <c r="M2168" t="s">
        <v>17</v>
      </c>
      <c r="N2168">
        <v>102</v>
      </c>
      <c r="O2168">
        <v>1222.6500000000001</v>
      </c>
      <c r="P2168">
        <v>6.8</v>
      </c>
      <c r="Q2168" s="1">
        <v>2.4</v>
      </c>
      <c r="R2168" s="1" t="str">
        <v/>
      </c>
      <c r="S2168" s="3">
        <v>0.64633558084391174</v>
      </c>
      <c r="T2168" s="3">
        <v>0</v>
      </c>
    </row>
    <row r="2169" spans="1:20" x14ac:dyDescent="0.25">
      <c r="A2169" t="s">
        <v>783</v>
      </c>
      <c r="B2169" t="s">
        <v>2961</v>
      </c>
      <c r="C2169" t="s">
        <v>3239</v>
      </c>
      <c r="D2169" t="s">
        <v>3240</v>
      </c>
      <c r="E2169">
        <v>27.27</v>
      </c>
      <c r="F2169">
        <v>27.81</v>
      </c>
      <c r="G2169">
        <v>27.81</v>
      </c>
      <c r="H2169">
        <v>27.81</v>
      </c>
      <c r="I2169" s="1">
        <v>27.81</v>
      </c>
      <c r="J2169">
        <v>276236.73</v>
      </c>
      <c r="K2169">
        <v>9933</v>
      </c>
      <c r="L2169" t="s">
        <v>78</v>
      </c>
      <c r="M2169" t="s">
        <v>17</v>
      </c>
      <c r="N2169">
        <v>40</v>
      </c>
      <c r="O2169">
        <v>27.81</v>
      </c>
      <c r="P2169">
        <v>7.55</v>
      </c>
      <c r="Q2169" s="1">
        <v>1.85</v>
      </c>
      <c r="R2169" s="1">
        <v>3.25</v>
      </c>
      <c r="S2169" s="3">
        <v>0.25338869056583313</v>
      </c>
      <c r="T2169" s="3">
        <v>0.11324397262727781</v>
      </c>
    </row>
    <row r="2170" spans="1:20" x14ac:dyDescent="0.25">
      <c r="A2170" t="s">
        <v>78</v>
      </c>
      <c r="B2170" t="s">
        <v>2961</v>
      </c>
      <c r="C2170" t="s">
        <v>1547</v>
      </c>
      <c r="D2170" t="s">
        <v>1548</v>
      </c>
      <c r="E2170">
        <v>599.1</v>
      </c>
      <c r="F2170">
        <v>585</v>
      </c>
      <c r="G2170">
        <v>629</v>
      </c>
      <c r="H2170">
        <v>569.15</v>
      </c>
      <c r="I2170" s="1">
        <v>601.25</v>
      </c>
      <c r="J2170">
        <v>53420791.850000001</v>
      </c>
      <c r="K2170">
        <v>90323</v>
      </c>
      <c r="L2170" t="s">
        <v>78</v>
      </c>
      <c r="M2170" t="s">
        <v>17</v>
      </c>
      <c r="N2170">
        <v>1163</v>
      </c>
      <c r="O2170">
        <v>699.45</v>
      </c>
      <c r="P2170">
        <v>267.14999999999998</v>
      </c>
      <c r="Q2170" s="1">
        <v>495.4</v>
      </c>
      <c r="R2170" s="1">
        <v>455</v>
      </c>
      <c r="S2170" s="3">
        <v>1.6268015037629313E-2</v>
      </c>
      <c r="T2170" s="3">
        <v>1.4025485337038512E-2</v>
      </c>
    </row>
    <row r="2171" spans="1:20" x14ac:dyDescent="0.25">
      <c r="A2171" t="s">
        <v>78</v>
      </c>
      <c r="B2171" t="s">
        <v>2961</v>
      </c>
      <c r="C2171" t="s">
        <v>5124</v>
      </c>
      <c r="D2171" t="s">
        <v>5123</v>
      </c>
      <c r="E2171">
        <v>1.9</v>
      </c>
      <c r="F2171">
        <v>1.9</v>
      </c>
      <c r="G2171">
        <v>1.94</v>
      </c>
      <c r="H2171">
        <v>1.85</v>
      </c>
      <c r="I2171" s="1">
        <v>1.92</v>
      </c>
      <c r="J2171">
        <v>8890993.8300000001</v>
      </c>
      <c r="K2171">
        <v>4680512</v>
      </c>
      <c r="L2171" t="s">
        <v>78</v>
      </c>
      <c r="M2171" t="s">
        <v>17</v>
      </c>
      <c r="N2171">
        <v>4076</v>
      </c>
      <c r="O2171">
        <v>3.05</v>
      </c>
      <c r="P2171">
        <v>1.57</v>
      </c>
      <c r="Q2171" s="1" t="str">
        <v/>
      </c>
      <c r="R2171" s="1" t="str">
        <v/>
      </c>
      <c r="S2171" s="3">
        <v>0</v>
      </c>
      <c r="T2171" s="3">
        <v>0</v>
      </c>
    </row>
    <row r="2172" spans="1:20" x14ac:dyDescent="0.25">
      <c r="A2172" t="s">
        <v>78</v>
      </c>
      <c r="B2172" t="s">
        <v>2961</v>
      </c>
      <c r="C2172" t="s">
        <v>5122</v>
      </c>
      <c r="D2172" t="s">
        <v>3093</v>
      </c>
      <c r="E2172">
        <v>3.53</v>
      </c>
      <c r="F2172">
        <v>3.7</v>
      </c>
      <c r="G2172">
        <v>3.7</v>
      </c>
      <c r="H2172">
        <v>3.65</v>
      </c>
      <c r="I2172" s="1">
        <v>3.69</v>
      </c>
      <c r="J2172">
        <v>1720917.78</v>
      </c>
      <c r="K2172">
        <v>465256</v>
      </c>
      <c r="L2172" t="s">
        <v>78</v>
      </c>
      <c r="M2172" t="s">
        <v>17</v>
      </c>
      <c r="N2172">
        <v>244</v>
      </c>
      <c r="O2172">
        <v>7.1</v>
      </c>
      <c r="P2172">
        <v>2.7</v>
      </c>
      <c r="Q2172" s="1" t="str">
        <v/>
      </c>
      <c r="R2172" s="1" t="str">
        <v/>
      </c>
      <c r="S2172" s="3">
        <v>0</v>
      </c>
      <c r="T2172" s="3">
        <v>0</v>
      </c>
    </row>
    <row r="2173" spans="1:20" x14ac:dyDescent="0.25">
      <c r="A2173" t="s">
        <v>78</v>
      </c>
      <c r="B2173" t="s">
        <v>2961</v>
      </c>
      <c r="C2173" t="s">
        <v>1574</v>
      </c>
      <c r="D2173" t="s">
        <v>1575</v>
      </c>
      <c r="E2173">
        <v>6416.3</v>
      </c>
      <c r="F2173">
        <v>6416.3</v>
      </c>
      <c r="G2173">
        <v>6420</v>
      </c>
      <c r="H2173">
        <v>6250.05</v>
      </c>
      <c r="I2173" s="1">
        <v>6279.25</v>
      </c>
      <c r="J2173">
        <v>11484032.050000001</v>
      </c>
      <c r="K2173">
        <v>1824</v>
      </c>
      <c r="L2173" t="s">
        <v>78</v>
      </c>
      <c r="M2173" t="s">
        <v>17</v>
      </c>
      <c r="N2173">
        <v>351</v>
      </c>
      <c r="O2173">
        <v>6760.15</v>
      </c>
      <c r="P2173">
        <v>1785.05</v>
      </c>
      <c r="Q2173" s="1">
        <v>2054.5500000000002</v>
      </c>
      <c r="R2173" s="1">
        <v>1731.05</v>
      </c>
      <c r="S2173" s="3">
        <v>9.7570910770968799E-2</v>
      </c>
      <c r="T2173" s="3">
        <v>6.6509148166549625E-2</v>
      </c>
    </row>
    <row r="2174" spans="1:20" x14ac:dyDescent="0.25">
      <c r="A2174" t="s">
        <v>78</v>
      </c>
      <c r="B2174" t="s">
        <v>2961</v>
      </c>
      <c r="C2174" t="s">
        <v>1594</v>
      </c>
      <c r="D2174" t="s">
        <v>1595</v>
      </c>
      <c r="E2174">
        <v>43.06</v>
      </c>
      <c r="F2174">
        <v>43.77</v>
      </c>
      <c r="G2174">
        <v>43.8</v>
      </c>
      <c r="H2174">
        <v>41.6</v>
      </c>
      <c r="I2174" s="1">
        <v>42.38</v>
      </c>
      <c r="J2174">
        <v>12231625.07</v>
      </c>
      <c r="K2174">
        <v>286604</v>
      </c>
      <c r="L2174" t="s">
        <v>78</v>
      </c>
      <c r="M2174" t="s">
        <v>17</v>
      </c>
      <c r="N2174">
        <v>1134</v>
      </c>
      <c r="O2174">
        <v>50.4</v>
      </c>
      <c r="P2174">
        <v>25.55</v>
      </c>
      <c r="Q2174" s="1">
        <v>29.85</v>
      </c>
      <c r="R2174" s="1">
        <v>7.25</v>
      </c>
      <c r="S2174" s="3">
        <v>2.963836922259766E-2</v>
      </c>
      <c r="T2174" s="3">
        <v>9.2245212877073657E-2</v>
      </c>
    </row>
    <row r="2175" spans="1:20" x14ac:dyDescent="0.25">
      <c r="A2175" t="s">
        <v>78</v>
      </c>
      <c r="B2175" t="s">
        <v>2961</v>
      </c>
      <c r="C2175" t="s">
        <v>3255</v>
      </c>
      <c r="D2175" t="s">
        <v>3256</v>
      </c>
      <c r="E2175">
        <v>4.0999999999999996</v>
      </c>
      <c r="F2175">
        <v>3.9</v>
      </c>
      <c r="G2175">
        <v>4.09</v>
      </c>
      <c r="H2175">
        <v>3.9</v>
      </c>
      <c r="I2175" s="1">
        <v>3.94</v>
      </c>
      <c r="J2175">
        <v>276303.39</v>
      </c>
      <c r="K2175">
        <v>69139</v>
      </c>
      <c r="L2175" t="s">
        <v>78</v>
      </c>
      <c r="M2175" t="s">
        <v>17</v>
      </c>
      <c r="N2175">
        <v>171</v>
      </c>
      <c r="O2175">
        <v>7.55</v>
      </c>
      <c r="P2175">
        <v>2</v>
      </c>
      <c r="Q2175" s="1">
        <v>6.45</v>
      </c>
      <c r="R2175" s="1">
        <v>12.65</v>
      </c>
      <c r="S2175" s="3">
        <v>-4.0242807149312165E-2</v>
      </c>
      <c r="T2175" s="3">
        <v>-5.6625448534908696E-2</v>
      </c>
    </row>
    <row r="2176" spans="1:20" x14ac:dyDescent="0.25">
      <c r="A2176" t="s">
        <v>78</v>
      </c>
      <c r="B2176" t="s">
        <v>2961</v>
      </c>
      <c r="C2176" t="s">
        <v>5121</v>
      </c>
      <c r="D2176" t="s">
        <v>5120</v>
      </c>
      <c r="E2176">
        <v>7.65</v>
      </c>
      <c r="F2176">
        <v>7.49</v>
      </c>
      <c r="G2176">
        <v>7.69</v>
      </c>
      <c r="H2176">
        <v>7.26</v>
      </c>
      <c r="I2176" s="1">
        <v>7.65</v>
      </c>
      <c r="J2176">
        <v>3093661.67</v>
      </c>
      <c r="K2176">
        <v>412398</v>
      </c>
      <c r="L2176" t="s">
        <v>78</v>
      </c>
      <c r="M2176" t="s">
        <v>17</v>
      </c>
      <c r="N2176">
        <v>1014</v>
      </c>
      <c r="O2176">
        <v>8.1999999999999993</v>
      </c>
      <c r="P2176">
        <v>4.45</v>
      </c>
      <c r="Q2176" s="1" t="str">
        <v/>
      </c>
      <c r="R2176" s="1">
        <v>25.5</v>
      </c>
      <c r="S2176" s="3">
        <v>0</v>
      </c>
      <c r="T2176" s="3">
        <v>-5.839147818796242E-2</v>
      </c>
    </row>
    <row r="2177" spans="1:20" x14ac:dyDescent="0.25">
      <c r="A2177" t="s">
        <v>78</v>
      </c>
      <c r="B2177" t="s">
        <v>2961</v>
      </c>
      <c r="C2177" t="s">
        <v>1632</v>
      </c>
      <c r="D2177" t="s">
        <v>1633</v>
      </c>
      <c r="E2177">
        <v>152.49</v>
      </c>
      <c r="F2177">
        <v>146.51</v>
      </c>
      <c r="G2177">
        <v>156</v>
      </c>
      <c r="H2177">
        <v>146.51</v>
      </c>
      <c r="I2177" s="1">
        <v>147.91999999999999</v>
      </c>
      <c r="J2177">
        <v>1554765.38</v>
      </c>
      <c r="K2177">
        <v>10360</v>
      </c>
      <c r="L2177" t="s">
        <v>78</v>
      </c>
      <c r="M2177" t="s">
        <v>17</v>
      </c>
      <c r="N2177">
        <v>115</v>
      </c>
      <c r="O2177">
        <v>163.25</v>
      </c>
      <c r="P2177">
        <v>60.75</v>
      </c>
      <c r="Q2177" s="1">
        <v>33.65</v>
      </c>
      <c r="R2177" s="1">
        <v>13.5</v>
      </c>
      <c r="S2177" s="3">
        <v>0.13132352785160295</v>
      </c>
      <c r="T2177" s="3">
        <v>0.1270837475491311</v>
      </c>
    </row>
    <row r="2178" spans="1:20" x14ac:dyDescent="0.25">
      <c r="A2178" t="s">
        <v>78</v>
      </c>
      <c r="B2178" t="s">
        <v>2961</v>
      </c>
      <c r="C2178" t="s">
        <v>5119</v>
      </c>
      <c r="D2178" t="s">
        <v>5118</v>
      </c>
      <c r="E2178">
        <v>18.04</v>
      </c>
      <c r="F2178">
        <v>18.940000000000001</v>
      </c>
      <c r="G2178">
        <v>18.940000000000001</v>
      </c>
      <c r="H2178">
        <v>18.940000000000001</v>
      </c>
      <c r="I2178" s="1">
        <v>18.940000000000001</v>
      </c>
      <c r="J2178">
        <v>21471501.460000001</v>
      </c>
      <c r="K2178">
        <v>1133659</v>
      </c>
      <c r="L2178" t="s">
        <v>78</v>
      </c>
      <c r="M2178" t="s">
        <v>17</v>
      </c>
      <c r="N2178">
        <v>1298</v>
      </c>
      <c r="O2178">
        <v>45.5</v>
      </c>
      <c r="P2178">
        <v>13</v>
      </c>
      <c r="Q2178" s="1" t="str">
        <v/>
      </c>
      <c r="R2178" s="1" t="str">
        <v/>
      </c>
      <c r="S2178" s="3">
        <v>0</v>
      </c>
      <c r="T2178" s="3">
        <v>0</v>
      </c>
    </row>
    <row r="2179" spans="1:20" x14ac:dyDescent="0.25">
      <c r="A2179" t="s">
        <v>783</v>
      </c>
      <c r="B2179" t="s">
        <v>2961</v>
      </c>
      <c r="C2179" t="s">
        <v>3257</v>
      </c>
      <c r="D2179" t="s">
        <v>3258</v>
      </c>
      <c r="E2179">
        <v>4.87</v>
      </c>
      <c r="F2179">
        <v>4.96</v>
      </c>
      <c r="G2179">
        <v>4.96</v>
      </c>
      <c r="H2179">
        <v>4.96</v>
      </c>
      <c r="I2179" s="1">
        <v>4.96</v>
      </c>
      <c r="J2179">
        <v>396502.4</v>
      </c>
      <c r="K2179">
        <v>79940</v>
      </c>
      <c r="L2179" t="s">
        <v>78</v>
      </c>
      <c r="M2179" t="s">
        <v>17</v>
      </c>
      <c r="N2179">
        <v>75</v>
      </c>
      <c r="O2179">
        <v>4.96</v>
      </c>
      <c r="P2179">
        <v>1.8</v>
      </c>
      <c r="Q2179" s="1">
        <v>1.9</v>
      </c>
      <c r="R2179" s="1" t="str">
        <v/>
      </c>
      <c r="S2179" s="3">
        <v>8.3246612584138679E-2</v>
      </c>
      <c r="T2179" s="3">
        <v>0</v>
      </c>
    </row>
    <row r="2180" spans="1:20" x14ac:dyDescent="0.25">
      <c r="A2180" t="s">
        <v>78</v>
      </c>
      <c r="B2180" t="s">
        <v>2961</v>
      </c>
      <c r="C2180" t="s">
        <v>3259</v>
      </c>
      <c r="D2180" t="s">
        <v>3260</v>
      </c>
      <c r="E2180">
        <v>12.03</v>
      </c>
      <c r="F2180">
        <v>12</v>
      </c>
      <c r="G2180">
        <v>12.25</v>
      </c>
      <c r="H2180">
        <v>11.51</v>
      </c>
      <c r="I2180" s="1">
        <v>11.71</v>
      </c>
      <c r="J2180">
        <v>2041348.14</v>
      </c>
      <c r="K2180">
        <v>172235</v>
      </c>
      <c r="L2180" t="s">
        <v>78</v>
      </c>
      <c r="M2180" t="s">
        <v>17</v>
      </c>
      <c r="N2180">
        <v>405</v>
      </c>
      <c r="O2180">
        <v>14.83</v>
      </c>
      <c r="P2180">
        <v>8.4499999999999993</v>
      </c>
      <c r="Q2180" s="1">
        <v>7.7</v>
      </c>
      <c r="R2180" s="1">
        <v>2.95</v>
      </c>
      <c r="S2180" s="3">
        <v>3.5552641542102581E-2</v>
      </c>
      <c r="T2180" s="3">
        <v>7.1322803781583621E-2</v>
      </c>
    </row>
    <row r="2181" spans="1:20" x14ac:dyDescent="0.25">
      <c r="A2181" t="s">
        <v>783</v>
      </c>
      <c r="B2181" t="s">
        <v>2961</v>
      </c>
      <c r="C2181" t="s">
        <v>5117</v>
      </c>
      <c r="D2181" t="s">
        <v>5116</v>
      </c>
      <c r="E2181">
        <v>123.15</v>
      </c>
      <c r="F2181">
        <v>123.15</v>
      </c>
      <c r="G2181">
        <v>125</v>
      </c>
      <c r="H2181">
        <v>123.15</v>
      </c>
      <c r="I2181" s="1">
        <v>124</v>
      </c>
      <c r="J2181">
        <v>1607165.05</v>
      </c>
      <c r="K2181">
        <v>12868</v>
      </c>
      <c r="L2181" t="s">
        <v>78</v>
      </c>
      <c r="M2181" t="s">
        <v>17</v>
      </c>
      <c r="N2181">
        <v>29</v>
      </c>
      <c r="O2181">
        <v>195</v>
      </c>
      <c r="P2181">
        <v>91</v>
      </c>
      <c r="Q2181" s="1" t="str">
        <v/>
      </c>
      <c r="R2181" s="1" t="str">
        <v/>
      </c>
      <c r="S2181" s="3">
        <v>0</v>
      </c>
      <c r="T2181" s="3">
        <v>0</v>
      </c>
    </row>
    <row r="2182" spans="1:20" x14ac:dyDescent="0.25">
      <c r="A2182" t="s">
        <v>78</v>
      </c>
      <c r="B2182" t="s">
        <v>2961</v>
      </c>
      <c r="C2182" t="s">
        <v>3269</v>
      </c>
      <c r="D2182" t="s">
        <v>3270</v>
      </c>
      <c r="E2182">
        <v>12.95</v>
      </c>
      <c r="F2182">
        <v>12.3</v>
      </c>
      <c r="G2182">
        <v>12.3</v>
      </c>
      <c r="H2182">
        <v>12.3</v>
      </c>
      <c r="I2182" s="1">
        <v>12.3</v>
      </c>
      <c r="J2182">
        <v>936103.8</v>
      </c>
      <c r="K2182">
        <v>76106</v>
      </c>
      <c r="L2182" t="s">
        <v>78</v>
      </c>
      <c r="M2182" t="s">
        <v>17</v>
      </c>
      <c r="N2182">
        <v>294</v>
      </c>
      <c r="O2182">
        <v>16.760000000000002</v>
      </c>
      <c r="P2182">
        <v>5.0999999999999996</v>
      </c>
      <c r="Q2182" s="1">
        <v>5.45</v>
      </c>
      <c r="R2182" s="1">
        <v>2.2999999999999998</v>
      </c>
      <c r="S2182" s="3">
        <v>7.0185471327616877E-2</v>
      </c>
      <c r="T2182" s="3">
        <v>8.7398988374145059E-2</v>
      </c>
    </row>
    <row r="2183" spans="1:20" x14ac:dyDescent="0.25">
      <c r="A2183" t="s">
        <v>78</v>
      </c>
      <c r="B2183" t="s">
        <v>2961</v>
      </c>
      <c r="C2183" t="s">
        <v>1686</v>
      </c>
      <c r="D2183" t="s">
        <v>1687</v>
      </c>
      <c r="E2183">
        <v>1575.5</v>
      </c>
      <c r="F2183">
        <v>1645</v>
      </c>
      <c r="G2183">
        <v>1654.25</v>
      </c>
      <c r="H2183">
        <v>1586</v>
      </c>
      <c r="I2183" s="1">
        <v>1654.25</v>
      </c>
      <c r="J2183">
        <v>41512589.75</v>
      </c>
      <c r="K2183">
        <v>25125</v>
      </c>
      <c r="L2183" t="s">
        <v>78</v>
      </c>
      <c r="M2183" t="s">
        <v>17</v>
      </c>
      <c r="N2183">
        <v>830</v>
      </c>
      <c r="O2183">
        <v>1654.25</v>
      </c>
      <c r="P2183">
        <v>207.4</v>
      </c>
      <c r="Q2183" s="1">
        <v>153.05000000000001</v>
      </c>
      <c r="R2183" s="1">
        <v>121.95</v>
      </c>
      <c r="S2183" s="3">
        <v>0.21940316369694068</v>
      </c>
      <c r="T2183" s="3">
        <v>0.13917372320230115</v>
      </c>
    </row>
    <row r="2184" spans="1:20" x14ac:dyDescent="0.25">
      <c r="A2184" t="s">
        <v>783</v>
      </c>
      <c r="B2184" t="s">
        <v>2961</v>
      </c>
      <c r="C2184" t="s">
        <v>1690</v>
      </c>
      <c r="D2184" t="s">
        <v>1691</v>
      </c>
      <c r="E2184">
        <v>19.649999999999999</v>
      </c>
      <c r="F2184">
        <v>19.25</v>
      </c>
      <c r="G2184">
        <v>19.25</v>
      </c>
      <c r="H2184">
        <v>19.25</v>
      </c>
      <c r="I2184" s="1">
        <v>19.25</v>
      </c>
      <c r="J2184">
        <v>1585199</v>
      </c>
      <c r="K2184">
        <v>82348</v>
      </c>
      <c r="L2184" t="s">
        <v>78</v>
      </c>
      <c r="M2184" t="s">
        <v>17</v>
      </c>
      <c r="N2184">
        <v>149</v>
      </c>
      <c r="O2184">
        <v>19.649999999999999</v>
      </c>
      <c r="P2184">
        <v>4.95</v>
      </c>
      <c r="Q2184" s="1">
        <v>6.45</v>
      </c>
      <c r="R2184" s="1">
        <v>5.15</v>
      </c>
      <c r="S2184" s="3">
        <v>9.5399617478746812E-2</v>
      </c>
      <c r="T2184" s="3">
        <v>6.8108805764197644E-2</v>
      </c>
    </row>
    <row r="2185" spans="1:20" x14ac:dyDescent="0.25">
      <c r="A2185" t="s">
        <v>78</v>
      </c>
      <c r="B2185" t="s">
        <v>2961</v>
      </c>
      <c r="C2185" t="s">
        <v>1700</v>
      </c>
      <c r="D2185" t="s">
        <v>1701</v>
      </c>
      <c r="E2185">
        <v>151.47999999999999</v>
      </c>
      <c r="F2185">
        <v>151.47999999999999</v>
      </c>
      <c r="G2185">
        <v>153.9</v>
      </c>
      <c r="H2185">
        <v>145.55000000000001</v>
      </c>
      <c r="I2185" s="1">
        <v>152.4</v>
      </c>
      <c r="J2185">
        <v>4291892</v>
      </c>
      <c r="K2185">
        <v>28454</v>
      </c>
      <c r="L2185" t="s">
        <v>78</v>
      </c>
      <c r="M2185" t="s">
        <v>17</v>
      </c>
      <c r="N2185">
        <v>322</v>
      </c>
      <c r="O2185">
        <v>179.65</v>
      </c>
      <c r="P2185">
        <v>104.55</v>
      </c>
      <c r="Q2185" s="1">
        <v>165.25</v>
      </c>
      <c r="R2185" s="1" t="str">
        <v/>
      </c>
      <c r="S2185" s="3">
        <v>-6.7232004316161165E-3</v>
      </c>
      <c r="T2185" s="3">
        <v>0</v>
      </c>
    </row>
    <row r="2186" spans="1:20" x14ac:dyDescent="0.25">
      <c r="A2186" t="s">
        <v>783</v>
      </c>
      <c r="B2186" t="s">
        <v>2961</v>
      </c>
      <c r="C2186" t="s">
        <v>1722</v>
      </c>
      <c r="D2186" t="s">
        <v>1723</v>
      </c>
      <c r="E2186">
        <v>61.16</v>
      </c>
      <c r="F2186">
        <v>61</v>
      </c>
      <c r="G2186">
        <v>62.15</v>
      </c>
      <c r="H2186">
        <v>60.5</v>
      </c>
      <c r="I2186" s="1">
        <v>62.15</v>
      </c>
      <c r="J2186">
        <v>3370947.4</v>
      </c>
      <c r="K2186">
        <v>54990</v>
      </c>
      <c r="L2186" t="s">
        <v>78</v>
      </c>
      <c r="M2186" t="s">
        <v>17</v>
      </c>
      <c r="N2186">
        <v>84</v>
      </c>
      <c r="O2186">
        <v>72.87</v>
      </c>
      <c r="P2186">
        <v>47.9</v>
      </c>
      <c r="Q2186" s="1">
        <v>14.1</v>
      </c>
      <c r="R2186" s="1">
        <v>3.9</v>
      </c>
      <c r="S2186" s="3">
        <v>0.13157975352124884</v>
      </c>
      <c r="T2186" s="3">
        <v>0.1483807462778497</v>
      </c>
    </row>
    <row r="2187" spans="1:20" x14ac:dyDescent="0.25">
      <c r="A2187" t="s">
        <v>78</v>
      </c>
      <c r="B2187" t="s">
        <v>2961</v>
      </c>
      <c r="C2187" t="s">
        <v>1744</v>
      </c>
      <c r="D2187" t="s">
        <v>1745</v>
      </c>
      <c r="E2187">
        <v>264.26</v>
      </c>
      <c r="F2187">
        <v>277.47000000000003</v>
      </c>
      <c r="G2187">
        <v>277.47000000000003</v>
      </c>
      <c r="H2187">
        <v>252.15</v>
      </c>
      <c r="I2187" s="1">
        <v>277.47000000000003</v>
      </c>
      <c r="J2187">
        <v>581656114.76999998</v>
      </c>
      <c r="K2187">
        <v>2148219</v>
      </c>
      <c r="L2187" t="s">
        <v>78</v>
      </c>
      <c r="M2187" t="s">
        <v>17</v>
      </c>
      <c r="N2187">
        <v>21688</v>
      </c>
      <c r="O2187">
        <v>277.47000000000003</v>
      </c>
      <c r="P2187">
        <v>55.1</v>
      </c>
      <c r="Q2187" s="1">
        <v>55.8</v>
      </c>
      <c r="R2187" s="1">
        <v>99</v>
      </c>
      <c r="S2187" s="3">
        <v>0.1430059371474619</v>
      </c>
      <c r="T2187" s="3">
        <v>5.2850690282127522E-2</v>
      </c>
    </row>
    <row r="2188" spans="1:20" x14ac:dyDescent="0.25">
      <c r="A2188" t="s">
        <v>783</v>
      </c>
      <c r="B2188" t="s">
        <v>2961</v>
      </c>
      <c r="C2188" t="s">
        <v>1748</v>
      </c>
      <c r="D2188" t="s">
        <v>1749</v>
      </c>
      <c r="E2188">
        <v>38.96</v>
      </c>
      <c r="F2188">
        <v>39.729999999999997</v>
      </c>
      <c r="G2188">
        <v>39.729999999999997</v>
      </c>
      <c r="H2188">
        <v>39.729999999999997</v>
      </c>
      <c r="I2188" s="1">
        <v>39.729999999999997</v>
      </c>
      <c r="J2188">
        <v>3025081.93</v>
      </c>
      <c r="K2188">
        <v>76141</v>
      </c>
      <c r="L2188" t="s">
        <v>78</v>
      </c>
      <c r="M2188" t="s">
        <v>17</v>
      </c>
      <c r="N2188">
        <v>76</v>
      </c>
      <c r="O2188">
        <v>70.2</v>
      </c>
      <c r="P2188">
        <v>22.3</v>
      </c>
      <c r="Q2188" s="1">
        <v>26.6</v>
      </c>
      <c r="R2188" s="1" t="str">
        <v/>
      </c>
      <c r="S2188" s="3">
        <v>3.3998107868242977E-2</v>
      </c>
      <c r="T2188" s="3">
        <v>0</v>
      </c>
    </row>
    <row r="2189" spans="1:20" x14ac:dyDescent="0.25">
      <c r="A2189" t="s">
        <v>78</v>
      </c>
      <c r="B2189" t="s">
        <v>2961</v>
      </c>
      <c r="C2189" t="s">
        <v>1770</v>
      </c>
      <c r="D2189" t="s">
        <v>5115</v>
      </c>
      <c r="E2189">
        <v>71.73</v>
      </c>
      <c r="F2189">
        <v>72</v>
      </c>
      <c r="G2189">
        <v>73</v>
      </c>
      <c r="H2189">
        <v>68.14</v>
      </c>
      <c r="I2189" s="1">
        <v>68.209999999999994</v>
      </c>
      <c r="J2189">
        <v>12063356.83</v>
      </c>
      <c r="K2189">
        <v>176160</v>
      </c>
      <c r="L2189" t="s">
        <v>78</v>
      </c>
      <c r="M2189" t="s">
        <v>17</v>
      </c>
      <c r="N2189">
        <v>1071</v>
      </c>
      <c r="O2189">
        <v>85.09</v>
      </c>
      <c r="P2189">
        <v>36.15</v>
      </c>
      <c r="Q2189" s="1">
        <v>23.5</v>
      </c>
      <c r="R2189" s="1">
        <v>6.25</v>
      </c>
      <c r="S2189" s="3">
        <v>9.2861220598796868E-2</v>
      </c>
      <c r="T2189" s="3">
        <v>0.12686004315704991</v>
      </c>
    </row>
    <row r="2190" spans="1:20" x14ac:dyDescent="0.25">
      <c r="A2190" t="s">
        <v>78</v>
      </c>
      <c r="B2190" t="s">
        <v>2961</v>
      </c>
      <c r="C2190" t="s">
        <v>5114</v>
      </c>
      <c r="D2190" t="s">
        <v>5113</v>
      </c>
      <c r="E2190">
        <v>39.17</v>
      </c>
      <c r="F2190">
        <v>39</v>
      </c>
      <c r="G2190">
        <v>39.5</v>
      </c>
      <c r="H2190">
        <v>37.86</v>
      </c>
      <c r="I2190" s="1">
        <v>38</v>
      </c>
      <c r="J2190">
        <v>5008184.88</v>
      </c>
      <c r="K2190">
        <v>131079</v>
      </c>
      <c r="L2190" t="s">
        <v>78</v>
      </c>
      <c r="M2190" t="s">
        <v>17</v>
      </c>
      <c r="N2190">
        <v>399</v>
      </c>
      <c r="O2190">
        <v>92.95</v>
      </c>
      <c r="P2190">
        <v>34.799999999999997</v>
      </c>
      <c r="Q2190" s="1" t="str">
        <v/>
      </c>
      <c r="R2190" s="1" t="str">
        <v/>
      </c>
      <c r="S2190" s="3">
        <v>0</v>
      </c>
      <c r="T2190" s="3">
        <v>0</v>
      </c>
    </row>
    <row r="2191" spans="1:20" x14ac:dyDescent="0.25">
      <c r="A2191" t="s">
        <v>783</v>
      </c>
      <c r="B2191" t="s">
        <v>2961</v>
      </c>
      <c r="C2191" t="s">
        <v>1780</v>
      </c>
      <c r="D2191" t="s">
        <v>1781</v>
      </c>
      <c r="E2191">
        <v>6.77</v>
      </c>
      <c r="F2191">
        <v>6.63</v>
      </c>
      <c r="G2191">
        <v>6.65</v>
      </c>
      <c r="H2191">
        <v>6.63</v>
      </c>
      <c r="I2191" s="1">
        <v>6.64</v>
      </c>
      <c r="J2191">
        <v>730369.08</v>
      </c>
      <c r="K2191">
        <v>110038</v>
      </c>
      <c r="L2191" t="s">
        <v>78</v>
      </c>
      <c r="M2191" t="s">
        <v>17</v>
      </c>
      <c r="N2191">
        <v>178</v>
      </c>
      <c r="O2191">
        <v>22.25</v>
      </c>
      <c r="P2191">
        <v>6.63</v>
      </c>
      <c r="Q2191" s="1">
        <v>25.8</v>
      </c>
      <c r="R2191" s="1">
        <v>31.5</v>
      </c>
      <c r="S2191" s="3">
        <v>-0.10694330394996121</v>
      </c>
      <c r="T2191" s="3">
        <v>-7.4851624466249156E-2</v>
      </c>
    </row>
    <row r="2192" spans="1:20" x14ac:dyDescent="0.25">
      <c r="A2192" t="s">
        <v>78</v>
      </c>
      <c r="B2192" t="s">
        <v>2961</v>
      </c>
      <c r="C2192" t="s">
        <v>1786</v>
      </c>
      <c r="D2192" t="s">
        <v>1787</v>
      </c>
      <c r="E2192">
        <v>29.14</v>
      </c>
      <c r="F2192">
        <v>28.5</v>
      </c>
      <c r="G2192">
        <v>29.84</v>
      </c>
      <c r="H2192">
        <v>27.68</v>
      </c>
      <c r="I2192" s="1">
        <v>27.68</v>
      </c>
      <c r="J2192">
        <v>10195264.92</v>
      </c>
      <c r="K2192">
        <v>361400</v>
      </c>
      <c r="L2192" t="s">
        <v>78</v>
      </c>
      <c r="M2192" t="s">
        <v>17</v>
      </c>
      <c r="N2192">
        <v>987</v>
      </c>
      <c r="O2192">
        <v>32</v>
      </c>
      <c r="P2192">
        <v>12.65</v>
      </c>
      <c r="Q2192" s="1">
        <v>55.1</v>
      </c>
      <c r="R2192" s="1" t="str">
        <v/>
      </c>
      <c r="S2192" s="3">
        <v>-5.5755333166738863E-2</v>
      </c>
      <c r="T2192" s="3">
        <v>0</v>
      </c>
    </row>
    <row r="2193" spans="1:20" x14ac:dyDescent="0.25">
      <c r="A2193" t="s">
        <v>78</v>
      </c>
      <c r="B2193" t="s">
        <v>2961</v>
      </c>
      <c r="C2193" t="s">
        <v>5112</v>
      </c>
      <c r="D2193" t="s">
        <v>5111</v>
      </c>
      <c r="E2193">
        <v>94.55</v>
      </c>
      <c r="F2193">
        <v>95</v>
      </c>
      <c r="G2193">
        <v>97.8</v>
      </c>
      <c r="H2193">
        <v>90.1</v>
      </c>
      <c r="I2193" s="1">
        <v>92.45</v>
      </c>
      <c r="J2193">
        <v>153220037.97999999</v>
      </c>
      <c r="K2193">
        <v>1644003</v>
      </c>
      <c r="L2193" t="s">
        <v>78</v>
      </c>
      <c r="M2193" t="s">
        <v>17</v>
      </c>
      <c r="N2193">
        <v>9576</v>
      </c>
      <c r="O2193">
        <v>99.94</v>
      </c>
      <c r="P2193">
        <v>31.95</v>
      </c>
      <c r="Q2193" s="1" t="str">
        <v/>
      </c>
      <c r="R2193" s="1" t="str">
        <v/>
      </c>
      <c r="S2193" s="3">
        <v>0</v>
      </c>
      <c r="T2193" s="3">
        <v>0</v>
      </c>
    </row>
    <row r="2194" spans="1:20" x14ac:dyDescent="0.25">
      <c r="A2194" t="s">
        <v>78</v>
      </c>
      <c r="B2194" t="s">
        <v>2961</v>
      </c>
      <c r="C2194" t="s">
        <v>5110</v>
      </c>
      <c r="D2194" t="s">
        <v>5109</v>
      </c>
      <c r="E2194">
        <v>55.05</v>
      </c>
      <c r="F2194">
        <v>55.05</v>
      </c>
      <c r="G2194">
        <v>57.99</v>
      </c>
      <c r="H2194">
        <v>53.05</v>
      </c>
      <c r="I2194" s="1">
        <v>55</v>
      </c>
      <c r="J2194">
        <v>1757069.74</v>
      </c>
      <c r="K2194">
        <v>32454</v>
      </c>
      <c r="L2194" t="s">
        <v>78</v>
      </c>
      <c r="M2194" t="s">
        <v>17</v>
      </c>
      <c r="N2194">
        <v>139</v>
      </c>
      <c r="O2194">
        <v>61</v>
      </c>
      <c r="P2194">
        <v>36.049999999999997</v>
      </c>
      <c r="Q2194" s="1" t="str">
        <v/>
      </c>
      <c r="R2194" s="1" t="str">
        <v/>
      </c>
      <c r="S2194" s="3">
        <v>0</v>
      </c>
      <c r="T2194" s="3">
        <v>0</v>
      </c>
    </row>
    <row r="2195" spans="1:20" x14ac:dyDescent="0.25">
      <c r="A2195" t="s">
        <v>78</v>
      </c>
      <c r="B2195" t="s">
        <v>2961</v>
      </c>
      <c r="C2195" t="s">
        <v>5108</v>
      </c>
      <c r="D2195" t="s">
        <v>5107</v>
      </c>
      <c r="E2195">
        <v>11.62</v>
      </c>
      <c r="F2195">
        <v>11.75</v>
      </c>
      <c r="G2195">
        <v>11.75</v>
      </c>
      <c r="H2195">
        <v>11.25</v>
      </c>
      <c r="I2195" s="1">
        <v>11.42</v>
      </c>
      <c r="J2195">
        <v>2047084.9</v>
      </c>
      <c r="K2195">
        <v>178719</v>
      </c>
      <c r="L2195" t="s">
        <v>78</v>
      </c>
      <c r="M2195" t="s">
        <v>17</v>
      </c>
      <c r="N2195">
        <v>925</v>
      </c>
      <c r="O2195">
        <v>900</v>
      </c>
      <c r="P2195">
        <v>9.4499999999999993</v>
      </c>
      <c r="Q2195" s="1" t="str">
        <v/>
      </c>
      <c r="R2195" s="1">
        <v>71.5</v>
      </c>
      <c r="S2195" s="3">
        <v>0</v>
      </c>
      <c r="T2195" s="3">
        <v>-8.7590461331311431E-2</v>
      </c>
    </row>
    <row r="2196" spans="1:20" x14ac:dyDescent="0.25">
      <c r="A2196" t="s">
        <v>78</v>
      </c>
      <c r="B2196" t="s">
        <v>2961</v>
      </c>
      <c r="C2196" t="s">
        <v>5106</v>
      </c>
      <c r="D2196" t="s">
        <v>5105</v>
      </c>
      <c r="E2196">
        <v>66.900000000000006</v>
      </c>
      <c r="F2196">
        <v>68.900000000000006</v>
      </c>
      <c r="G2196">
        <v>68.900000000000006</v>
      </c>
      <c r="H2196">
        <v>64.06</v>
      </c>
      <c r="I2196" s="1">
        <v>65.400000000000006</v>
      </c>
      <c r="J2196">
        <v>280039.45</v>
      </c>
      <c r="K2196">
        <v>4251</v>
      </c>
      <c r="L2196" t="s">
        <v>78</v>
      </c>
      <c r="M2196" t="s">
        <v>17</v>
      </c>
      <c r="N2196">
        <v>40</v>
      </c>
      <c r="O2196">
        <v>75.5</v>
      </c>
      <c r="P2196">
        <v>49.8</v>
      </c>
      <c r="Q2196" s="1" t="str">
        <v/>
      </c>
      <c r="R2196" s="1" t="str">
        <v/>
      </c>
      <c r="S2196" s="3">
        <v>0</v>
      </c>
      <c r="T2196" s="3">
        <v>0</v>
      </c>
    </row>
    <row r="2197" spans="1:20" x14ac:dyDescent="0.25">
      <c r="A2197" t="s">
        <v>78</v>
      </c>
      <c r="B2197" t="s">
        <v>2961</v>
      </c>
      <c r="C2197" t="s">
        <v>3303</v>
      </c>
      <c r="D2197" t="s">
        <v>3304</v>
      </c>
      <c r="E2197">
        <v>28.6</v>
      </c>
      <c r="F2197">
        <v>29</v>
      </c>
      <c r="G2197">
        <v>29</v>
      </c>
      <c r="H2197">
        <v>28.03</v>
      </c>
      <c r="I2197" s="1">
        <v>28.41</v>
      </c>
      <c r="J2197">
        <v>367845</v>
      </c>
      <c r="K2197">
        <v>13026</v>
      </c>
      <c r="L2197" t="s">
        <v>78</v>
      </c>
      <c r="M2197" t="s">
        <v>17</v>
      </c>
      <c r="N2197">
        <v>81</v>
      </c>
      <c r="O2197">
        <v>36.75</v>
      </c>
      <c r="P2197">
        <v>17.100000000000001</v>
      </c>
      <c r="Q2197" s="1">
        <v>14.45</v>
      </c>
      <c r="R2197" s="1">
        <v>5.5</v>
      </c>
      <c r="S2197" s="3">
        <v>5.7954399425960368E-2</v>
      </c>
      <c r="T2197" s="3">
        <v>8.5515179053362145E-2</v>
      </c>
    </row>
    <row r="2198" spans="1:20" x14ac:dyDescent="0.25">
      <c r="A2198" t="s">
        <v>78</v>
      </c>
      <c r="B2198" t="s">
        <v>2961</v>
      </c>
      <c r="C2198" t="s">
        <v>1852</v>
      </c>
      <c r="D2198" t="s">
        <v>1853</v>
      </c>
      <c r="E2198">
        <v>78.989999999999995</v>
      </c>
      <c r="F2198">
        <v>78.98</v>
      </c>
      <c r="G2198">
        <v>79.430000000000007</v>
      </c>
      <c r="H2198">
        <v>78.5</v>
      </c>
      <c r="I2198" s="1">
        <v>79.42</v>
      </c>
      <c r="J2198">
        <v>639632.03</v>
      </c>
      <c r="K2198">
        <v>8082</v>
      </c>
      <c r="L2198" t="s">
        <v>78</v>
      </c>
      <c r="M2198" t="s">
        <v>17</v>
      </c>
      <c r="N2198">
        <v>60</v>
      </c>
      <c r="O2198">
        <v>116.2</v>
      </c>
      <c r="P2198">
        <v>55.15</v>
      </c>
      <c r="Q2198" s="1">
        <v>32.049999999999997</v>
      </c>
      <c r="R2198" s="1">
        <v>27.1</v>
      </c>
      <c r="S2198" s="3">
        <v>7.8553818508177997E-2</v>
      </c>
      <c r="T2198" s="3">
        <v>5.5201119162792578E-2</v>
      </c>
    </row>
    <row r="2199" spans="1:20" x14ac:dyDescent="0.25">
      <c r="A2199" t="s">
        <v>78</v>
      </c>
      <c r="B2199" t="s">
        <v>2961</v>
      </c>
      <c r="C2199" t="s">
        <v>3307</v>
      </c>
      <c r="D2199" t="s">
        <v>3308</v>
      </c>
      <c r="E2199">
        <v>3.29</v>
      </c>
      <c r="F2199">
        <v>3.41</v>
      </c>
      <c r="G2199">
        <v>3.41</v>
      </c>
      <c r="H2199">
        <v>3.25</v>
      </c>
      <c r="I2199" s="1">
        <v>3.33</v>
      </c>
      <c r="J2199">
        <v>47565.77</v>
      </c>
      <c r="K2199">
        <v>14459</v>
      </c>
      <c r="L2199" t="s">
        <v>78</v>
      </c>
      <c r="M2199" t="s">
        <v>17</v>
      </c>
      <c r="N2199">
        <v>54</v>
      </c>
      <c r="O2199">
        <v>4.7</v>
      </c>
      <c r="P2199">
        <v>2.8</v>
      </c>
      <c r="Q2199" s="1">
        <v>9.1999999999999993</v>
      </c>
      <c r="R2199" s="1">
        <v>30.8</v>
      </c>
      <c r="S2199" s="3">
        <v>-8.1199194675758979E-2</v>
      </c>
      <c r="T2199" s="3">
        <v>-0.10520998317729702</v>
      </c>
    </row>
    <row r="2200" spans="1:20" x14ac:dyDescent="0.25">
      <c r="A2200" t="s">
        <v>78</v>
      </c>
      <c r="B2200" t="s">
        <v>2961</v>
      </c>
      <c r="C2200" t="s">
        <v>1873</v>
      </c>
      <c r="D2200" t="s">
        <v>1874</v>
      </c>
      <c r="E2200">
        <v>26.71</v>
      </c>
      <c r="F2200">
        <v>26.71</v>
      </c>
      <c r="G2200">
        <v>27.4</v>
      </c>
      <c r="H2200">
        <v>26</v>
      </c>
      <c r="I2200" s="1">
        <v>27.25</v>
      </c>
      <c r="J2200">
        <v>279416.7</v>
      </c>
      <c r="K2200">
        <v>10313</v>
      </c>
      <c r="L2200" t="s">
        <v>78</v>
      </c>
      <c r="M2200" t="s">
        <v>17</v>
      </c>
      <c r="N2200">
        <v>66</v>
      </c>
      <c r="O2200">
        <v>31.29</v>
      </c>
      <c r="P2200">
        <v>15.35</v>
      </c>
      <c r="Q2200" s="1">
        <v>7</v>
      </c>
      <c r="R2200" s="1">
        <v>6.3</v>
      </c>
      <c r="S2200" s="3">
        <v>0.1199252563419928</v>
      </c>
      <c r="T2200" s="3">
        <v>7.5929665497172838E-2</v>
      </c>
    </row>
    <row r="2201" spans="1:20" x14ac:dyDescent="0.25">
      <c r="A2201" t="s">
        <v>78</v>
      </c>
      <c r="B2201" t="s">
        <v>2961</v>
      </c>
      <c r="C2201" t="s">
        <v>5104</v>
      </c>
      <c r="D2201" t="s">
        <v>5103</v>
      </c>
      <c r="E2201">
        <v>9.89</v>
      </c>
      <c r="F2201">
        <v>9.8800000000000008</v>
      </c>
      <c r="G2201">
        <v>10.45</v>
      </c>
      <c r="H2201">
        <v>7.05</v>
      </c>
      <c r="I2201" s="1">
        <v>7.48</v>
      </c>
      <c r="J2201">
        <v>1240093.1200000001</v>
      </c>
      <c r="K2201">
        <v>150792</v>
      </c>
      <c r="L2201" t="s">
        <v>78</v>
      </c>
      <c r="M2201" t="s">
        <v>17</v>
      </c>
      <c r="N2201">
        <v>564</v>
      </c>
      <c r="O2201">
        <v>10.45</v>
      </c>
      <c r="P2201">
        <v>5.0999999999999996</v>
      </c>
      <c r="Q2201" s="1" t="str">
        <v/>
      </c>
      <c r="R2201" s="1" t="str">
        <v/>
      </c>
      <c r="S2201" s="3">
        <v>0</v>
      </c>
      <c r="T2201" s="3">
        <v>0</v>
      </c>
    </row>
    <row r="2202" spans="1:20" x14ac:dyDescent="0.25">
      <c r="A2202" t="s">
        <v>783</v>
      </c>
      <c r="B2202" t="s">
        <v>2961</v>
      </c>
      <c r="C2202" t="s">
        <v>5102</v>
      </c>
      <c r="D2202" t="s">
        <v>5101</v>
      </c>
      <c r="E2202">
        <v>22.06</v>
      </c>
      <c r="F2202">
        <v>21.61</v>
      </c>
      <c r="G2202">
        <v>21.61</v>
      </c>
      <c r="H2202">
        <v>21.61</v>
      </c>
      <c r="I2202" s="1">
        <v>21.61</v>
      </c>
      <c r="J2202">
        <v>145240.81</v>
      </c>
      <c r="K2202">
        <v>6721</v>
      </c>
      <c r="L2202" t="s">
        <v>78</v>
      </c>
      <c r="M2202" t="s">
        <v>17</v>
      </c>
      <c r="N2202">
        <v>37</v>
      </c>
      <c r="O2202">
        <v>34.950000000000003</v>
      </c>
      <c r="P2202">
        <v>17.8</v>
      </c>
      <c r="Q2202" s="1" t="str">
        <v/>
      </c>
      <c r="R2202" s="1" t="str">
        <v/>
      </c>
      <c r="S2202" s="3">
        <v>0</v>
      </c>
      <c r="T2202" s="3">
        <v>0</v>
      </c>
    </row>
    <row r="2203" spans="1:20" x14ac:dyDescent="0.25">
      <c r="A2203" t="s">
        <v>78</v>
      </c>
      <c r="B2203" t="s">
        <v>2961</v>
      </c>
      <c r="C2203" t="s">
        <v>1887</v>
      </c>
      <c r="D2203" t="s">
        <v>1888</v>
      </c>
      <c r="E2203">
        <v>237.49</v>
      </c>
      <c r="F2203">
        <v>235</v>
      </c>
      <c r="G2203">
        <v>247.9</v>
      </c>
      <c r="H2203">
        <v>230</v>
      </c>
      <c r="I2203" s="1">
        <v>235.44</v>
      </c>
      <c r="J2203">
        <v>11914031.48</v>
      </c>
      <c r="K2203">
        <v>49877</v>
      </c>
      <c r="L2203" t="s">
        <v>78</v>
      </c>
      <c r="M2203" t="s">
        <v>17</v>
      </c>
      <c r="N2203">
        <v>669</v>
      </c>
      <c r="O2203">
        <v>264.31</v>
      </c>
      <c r="P2203">
        <v>167.15</v>
      </c>
      <c r="Q2203" s="1">
        <v>372.55</v>
      </c>
      <c r="R2203" s="1">
        <v>381</v>
      </c>
      <c r="S2203" s="3">
        <v>-3.7520902003117307E-2</v>
      </c>
      <c r="T2203" s="3">
        <v>-2.3766991939295212E-2</v>
      </c>
    </row>
    <row r="2204" spans="1:20" x14ac:dyDescent="0.25">
      <c r="A2204" t="s">
        <v>78</v>
      </c>
      <c r="B2204" t="s">
        <v>2961</v>
      </c>
      <c r="C2204" t="s">
        <v>1901</v>
      </c>
      <c r="D2204" t="s">
        <v>1902</v>
      </c>
      <c r="E2204">
        <v>2197.8000000000002</v>
      </c>
      <c r="F2204">
        <v>2197.8000000000002</v>
      </c>
      <c r="G2204">
        <v>2300</v>
      </c>
      <c r="H2204">
        <v>2101</v>
      </c>
      <c r="I2204" s="1">
        <v>2140</v>
      </c>
      <c r="J2204">
        <v>1040852.4</v>
      </c>
      <c r="K2204">
        <v>481</v>
      </c>
      <c r="L2204" t="s">
        <v>78</v>
      </c>
      <c r="M2204" t="s">
        <v>17</v>
      </c>
      <c r="N2204">
        <v>95</v>
      </c>
      <c r="O2204">
        <v>2779</v>
      </c>
      <c r="P2204">
        <v>1455.05</v>
      </c>
      <c r="Q2204" s="1">
        <v>2115.15</v>
      </c>
      <c r="R2204" s="1">
        <v>1370</v>
      </c>
      <c r="S2204" s="3">
        <v>9.7381527253448397E-4</v>
      </c>
      <c r="T2204" s="3">
        <v>2.25377648668037E-2</v>
      </c>
    </row>
    <row r="2205" spans="1:20" x14ac:dyDescent="0.25">
      <c r="A2205" t="s">
        <v>78</v>
      </c>
      <c r="B2205" t="s">
        <v>2961</v>
      </c>
      <c r="C2205" t="s">
        <v>1909</v>
      </c>
      <c r="D2205" t="s">
        <v>1910</v>
      </c>
      <c r="E2205">
        <v>3059.6</v>
      </c>
      <c r="F2205">
        <v>3059.6</v>
      </c>
      <c r="G2205">
        <v>3090</v>
      </c>
      <c r="H2205">
        <v>3059.6</v>
      </c>
      <c r="I2205" s="1">
        <v>3072.45</v>
      </c>
      <c r="J2205">
        <v>552678.5</v>
      </c>
      <c r="K2205">
        <v>180</v>
      </c>
      <c r="L2205" t="s">
        <v>78</v>
      </c>
      <c r="M2205" t="s">
        <v>17</v>
      </c>
      <c r="N2205">
        <v>43</v>
      </c>
      <c r="O2205">
        <v>3760</v>
      </c>
      <c r="P2205">
        <v>1507</v>
      </c>
      <c r="Q2205" s="1">
        <v>1647</v>
      </c>
      <c r="R2205" s="1">
        <v>578.5</v>
      </c>
      <c r="S2205" s="3">
        <v>5.3333594083276203E-2</v>
      </c>
      <c r="T2205" s="3">
        <v>8.7024208033361639E-2</v>
      </c>
    </row>
    <row r="2206" spans="1:20" x14ac:dyDescent="0.25">
      <c r="A2206" t="s">
        <v>783</v>
      </c>
      <c r="B2206" t="s">
        <v>2961</v>
      </c>
      <c r="C2206" t="s">
        <v>3327</v>
      </c>
      <c r="D2206" t="s">
        <v>3328</v>
      </c>
      <c r="E2206">
        <v>8.51</v>
      </c>
      <c r="F2206">
        <v>8.67</v>
      </c>
      <c r="G2206">
        <v>8.67</v>
      </c>
      <c r="H2206">
        <v>8.33</v>
      </c>
      <c r="I2206" s="1">
        <v>8.33</v>
      </c>
      <c r="J2206">
        <v>5498714.6500000004</v>
      </c>
      <c r="K2206">
        <v>644315</v>
      </c>
      <c r="L2206" t="s">
        <v>78</v>
      </c>
      <c r="M2206" t="s">
        <v>17</v>
      </c>
      <c r="N2206">
        <v>450</v>
      </c>
      <c r="O2206">
        <v>11.1</v>
      </c>
      <c r="P2206">
        <v>2.8</v>
      </c>
      <c r="Q2206" s="1">
        <v>2.0499999999999998</v>
      </c>
      <c r="R2206" s="1">
        <v>1.7</v>
      </c>
      <c r="S2206" s="3">
        <v>0.12393430836943042</v>
      </c>
      <c r="T2206" s="3">
        <v>8.2657041563302114E-2</v>
      </c>
    </row>
    <row r="2207" spans="1:20" x14ac:dyDescent="0.25">
      <c r="A2207" t="s">
        <v>783</v>
      </c>
      <c r="B2207" t="s">
        <v>2961</v>
      </c>
      <c r="C2207" t="s">
        <v>1953</v>
      </c>
      <c r="D2207" t="s">
        <v>1954</v>
      </c>
      <c r="E2207">
        <v>298</v>
      </c>
      <c r="F2207">
        <v>303</v>
      </c>
      <c r="G2207">
        <v>303</v>
      </c>
      <c r="H2207">
        <v>292.05</v>
      </c>
      <c r="I2207" s="1">
        <v>292.05</v>
      </c>
      <c r="J2207">
        <v>2435391</v>
      </c>
      <c r="K2207">
        <v>8228</v>
      </c>
      <c r="L2207" t="s">
        <v>78</v>
      </c>
      <c r="M2207" t="s">
        <v>17</v>
      </c>
      <c r="N2207">
        <v>91</v>
      </c>
      <c r="O2207">
        <v>303</v>
      </c>
      <c r="P2207">
        <v>108.05</v>
      </c>
      <c r="Q2207" s="1">
        <v>50.05</v>
      </c>
      <c r="R2207" s="1">
        <v>97.1</v>
      </c>
      <c r="S2207" s="3">
        <v>0.1583445528635341</v>
      </c>
      <c r="T2207" s="3">
        <v>5.6571285825556483E-2</v>
      </c>
    </row>
    <row r="2208" spans="1:20" x14ac:dyDescent="0.25">
      <c r="A2208" t="s">
        <v>78</v>
      </c>
      <c r="B2208" t="s">
        <v>2961</v>
      </c>
      <c r="C2208" t="s">
        <v>1959</v>
      </c>
      <c r="D2208" t="s">
        <v>1960</v>
      </c>
      <c r="E2208">
        <v>13.09</v>
      </c>
      <c r="F2208">
        <v>12.71</v>
      </c>
      <c r="G2208">
        <v>13.06</v>
      </c>
      <c r="H2208">
        <v>12.43</v>
      </c>
      <c r="I2208" s="1">
        <v>12.5</v>
      </c>
      <c r="J2208">
        <v>2524231.33</v>
      </c>
      <c r="K2208">
        <v>200364</v>
      </c>
      <c r="L2208" t="s">
        <v>78</v>
      </c>
      <c r="M2208" t="s">
        <v>17</v>
      </c>
      <c r="N2208">
        <v>410</v>
      </c>
      <c r="O2208">
        <v>15.4</v>
      </c>
      <c r="P2208">
        <v>6.6</v>
      </c>
      <c r="Q2208" s="1">
        <v>6.2</v>
      </c>
      <c r="R2208" s="1">
        <v>2.95</v>
      </c>
      <c r="S2208" s="3">
        <v>6.0172480869304268E-2</v>
      </c>
      <c r="T2208" s="3">
        <v>7.4823686763580977E-2</v>
      </c>
    </row>
    <row r="2209" spans="1:20" x14ac:dyDescent="0.25">
      <c r="A2209" t="s">
        <v>78</v>
      </c>
      <c r="B2209" t="s">
        <v>2961</v>
      </c>
      <c r="C2209" t="s">
        <v>3333</v>
      </c>
      <c r="D2209" t="s">
        <v>3334</v>
      </c>
      <c r="E2209">
        <v>38.18</v>
      </c>
      <c r="F2209">
        <v>39</v>
      </c>
      <c r="G2209">
        <v>39.74</v>
      </c>
      <c r="H2209">
        <v>37.5</v>
      </c>
      <c r="I2209" s="1">
        <v>37.630000000000003</v>
      </c>
      <c r="J2209">
        <v>1711804.22</v>
      </c>
      <c r="K2209">
        <v>44695</v>
      </c>
      <c r="L2209" t="s">
        <v>78</v>
      </c>
      <c r="M2209" t="s">
        <v>17</v>
      </c>
      <c r="N2209">
        <v>197</v>
      </c>
      <c r="O2209">
        <v>58.6</v>
      </c>
      <c r="P2209">
        <v>17.600000000000001</v>
      </c>
      <c r="Q2209" s="1">
        <v>7.4</v>
      </c>
      <c r="R2209" s="1">
        <v>7.2</v>
      </c>
      <c r="S2209" s="3">
        <v>0.145139885591548</v>
      </c>
      <c r="T2209" s="3">
        <v>8.615153452209845E-2</v>
      </c>
    </row>
    <row r="2210" spans="1:20" x14ac:dyDescent="0.25">
      <c r="A2210" t="s">
        <v>783</v>
      </c>
      <c r="B2210" t="s">
        <v>2961</v>
      </c>
      <c r="C2210" t="s">
        <v>1985</v>
      </c>
      <c r="D2210" t="s">
        <v>1986</v>
      </c>
      <c r="E2210">
        <v>147.9</v>
      </c>
      <c r="F2210">
        <v>144.94</v>
      </c>
      <c r="G2210">
        <v>145</v>
      </c>
      <c r="H2210">
        <v>144.94</v>
      </c>
      <c r="I2210" s="1">
        <v>144.94</v>
      </c>
      <c r="J2210">
        <v>1907275.58</v>
      </c>
      <c r="K2210">
        <v>13157</v>
      </c>
      <c r="L2210" t="s">
        <v>78</v>
      </c>
      <c r="M2210" t="s">
        <v>17</v>
      </c>
      <c r="N2210">
        <v>59</v>
      </c>
      <c r="O2210">
        <v>168</v>
      </c>
      <c r="P2210">
        <v>51.55</v>
      </c>
      <c r="Q2210" s="1">
        <v>67.349999999999994</v>
      </c>
      <c r="R2210" s="1">
        <v>43.55</v>
      </c>
      <c r="S2210" s="3">
        <v>6.5951769201658239E-2</v>
      </c>
      <c r="T2210" s="3">
        <v>6.1929549783803495E-2</v>
      </c>
    </row>
    <row r="2211" spans="1:20" x14ac:dyDescent="0.25">
      <c r="A2211" t="s">
        <v>78</v>
      </c>
      <c r="B2211" t="s">
        <v>2961</v>
      </c>
      <c r="C2211" t="s">
        <v>1987</v>
      </c>
      <c r="D2211" t="s">
        <v>1988</v>
      </c>
      <c r="E2211">
        <v>127.31</v>
      </c>
      <c r="F2211">
        <v>127</v>
      </c>
      <c r="G2211">
        <v>130</v>
      </c>
      <c r="H2211">
        <v>120.94</v>
      </c>
      <c r="I2211" s="1">
        <v>128.69</v>
      </c>
      <c r="J2211">
        <v>26864759.199999999</v>
      </c>
      <c r="K2211">
        <v>216866</v>
      </c>
      <c r="L2211" t="s">
        <v>78</v>
      </c>
      <c r="M2211" t="s">
        <v>17</v>
      </c>
      <c r="N2211">
        <v>843</v>
      </c>
      <c r="O2211">
        <v>142.99</v>
      </c>
      <c r="P2211">
        <v>42.05</v>
      </c>
      <c r="Q2211" s="1">
        <v>90.35</v>
      </c>
      <c r="R2211" s="1">
        <v>199.15</v>
      </c>
      <c r="S2211" s="3">
        <v>2.9915008556423928E-2</v>
      </c>
      <c r="T2211" s="3">
        <v>-2.1584290470917478E-2</v>
      </c>
    </row>
    <row r="2212" spans="1:20" x14ac:dyDescent="0.25">
      <c r="A2212" t="s">
        <v>78</v>
      </c>
      <c r="B2212" t="s">
        <v>2961</v>
      </c>
      <c r="C2212" t="s">
        <v>1989</v>
      </c>
      <c r="D2212" t="s">
        <v>1990</v>
      </c>
      <c r="E2212">
        <v>172.03</v>
      </c>
      <c r="F2212">
        <v>172.3</v>
      </c>
      <c r="G2212">
        <v>175</v>
      </c>
      <c r="H2212">
        <v>167.7</v>
      </c>
      <c r="I2212" s="1">
        <v>171.29</v>
      </c>
      <c r="J2212">
        <v>38509504.159999996</v>
      </c>
      <c r="K2212">
        <v>223794</v>
      </c>
      <c r="L2212" t="s">
        <v>78</v>
      </c>
      <c r="M2212" t="s">
        <v>17</v>
      </c>
      <c r="N2212">
        <v>1226</v>
      </c>
      <c r="O2212">
        <v>197.01</v>
      </c>
      <c r="P2212">
        <v>97.05</v>
      </c>
      <c r="Q2212" s="1">
        <v>35</v>
      </c>
      <c r="R2212" s="1" t="str">
        <v/>
      </c>
      <c r="S2212" s="3">
        <v>0.14148970002256811</v>
      </c>
      <c r="T2212" s="3">
        <v>0</v>
      </c>
    </row>
    <row r="2213" spans="1:20" x14ac:dyDescent="0.25">
      <c r="A2213" t="s">
        <v>783</v>
      </c>
      <c r="B2213" t="s">
        <v>2961</v>
      </c>
      <c r="C2213" t="s">
        <v>5100</v>
      </c>
      <c r="D2213" t="s">
        <v>5099</v>
      </c>
      <c r="E2213">
        <v>16.04</v>
      </c>
      <c r="F2213">
        <v>16</v>
      </c>
      <c r="G2213">
        <v>16.36</v>
      </c>
      <c r="H2213">
        <v>16</v>
      </c>
      <c r="I2213" s="1">
        <v>16.36</v>
      </c>
      <c r="J2213">
        <v>144903.76999999999</v>
      </c>
      <c r="K2213">
        <v>8949</v>
      </c>
      <c r="L2213" t="s">
        <v>78</v>
      </c>
      <c r="M2213" t="s">
        <v>17</v>
      </c>
      <c r="N2213">
        <v>28</v>
      </c>
      <c r="O2213">
        <v>33.25</v>
      </c>
      <c r="P2213">
        <v>10.9</v>
      </c>
      <c r="Q2213" s="1" t="str">
        <v/>
      </c>
      <c r="R2213" s="1">
        <v>6.2</v>
      </c>
      <c r="S2213" s="3">
        <v>0</v>
      </c>
      <c r="T2213" s="3">
        <v>4.9682705459551224E-2</v>
      </c>
    </row>
    <row r="2214" spans="1:20" x14ac:dyDescent="0.25">
      <c r="A2214" t="s">
        <v>783</v>
      </c>
      <c r="B2214" t="s">
        <v>2961</v>
      </c>
      <c r="C2214" t="s">
        <v>2021</v>
      </c>
      <c r="D2214" t="s">
        <v>5098</v>
      </c>
      <c r="E2214">
        <v>28.58</v>
      </c>
      <c r="F2214">
        <v>28.99</v>
      </c>
      <c r="G2214">
        <v>28.99</v>
      </c>
      <c r="H2214">
        <v>28</v>
      </c>
      <c r="I2214" s="1">
        <v>28</v>
      </c>
      <c r="J2214">
        <v>23415245.239999998</v>
      </c>
      <c r="K2214">
        <v>818726</v>
      </c>
      <c r="L2214" t="s">
        <v>78</v>
      </c>
      <c r="M2214" t="s">
        <v>17</v>
      </c>
      <c r="N2214">
        <v>1155</v>
      </c>
      <c r="O2214">
        <v>78.150000000000006</v>
      </c>
      <c r="P2214">
        <v>21.07</v>
      </c>
      <c r="Q2214" s="1">
        <v>205</v>
      </c>
      <c r="R2214" s="1">
        <v>269.8</v>
      </c>
      <c r="S2214" s="3">
        <v>-0.15286944302905081</v>
      </c>
      <c r="T2214" s="3">
        <v>-0.10703847828910773</v>
      </c>
    </row>
    <row r="2215" spans="1:20" x14ac:dyDescent="0.25">
      <c r="A2215" t="s">
        <v>783</v>
      </c>
      <c r="B2215" t="s">
        <v>2961</v>
      </c>
      <c r="C2215" t="s">
        <v>2029</v>
      </c>
      <c r="D2215" t="s">
        <v>2030</v>
      </c>
      <c r="E2215">
        <v>96.95</v>
      </c>
      <c r="F2215">
        <v>95.01</v>
      </c>
      <c r="G2215">
        <v>95.01</v>
      </c>
      <c r="H2215">
        <v>95.01</v>
      </c>
      <c r="I2215" s="1">
        <v>95.01</v>
      </c>
      <c r="J2215">
        <v>286835.19</v>
      </c>
      <c r="K2215">
        <v>3019</v>
      </c>
      <c r="L2215" t="s">
        <v>78</v>
      </c>
      <c r="M2215" t="s">
        <v>17</v>
      </c>
      <c r="N2215">
        <v>56</v>
      </c>
      <c r="O2215">
        <v>230</v>
      </c>
      <c r="P2215">
        <v>95.01</v>
      </c>
      <c r="Q2215" s="1">
        <v>109.5</v>
      </c>
      <c r="R2215" s="1">
        <v>23.15</v>
      </c>
      <c r="S2215" s="3">
        <v>-1.1758851252269942E-2</v>
      </c>
      <c r="T2215" s="3">
        <v>7.3109710615286705E-2</v>
      </c>
    </row>
    <row r="2216" spans="1:20" x14ac:dyDescent="0.25">
      <c r="A2216" t="s">
        <v>783</v>
      </c>
      <c r="B2216" t="s">
        <v>2961</v>
      </c>
      <c r="C2216" t="s">
        <v>2033</v>
      </c>
      <c r="D2216" t="s">
        <v>2034</v>
      </c>
      <c r="E2216">
        <v>139.25</v>
      </c>
      <c r="F2216">
        <v>136.46</v>
      </c>
      <c r="G2216">
        <v>136.46</v>
      </c>
      <c r="H2216">
        <v>136.46</v>
      </c>
      <c r="I2216" s="1">
        <v>136.46</v>
      </c>
      <c r="J2216">
        <v>11735.56</v>
      </c>
      <c r="K2216">
        <v>86</v>
      </c>
      <c r="L2216" t="s">
        <v>78</v>
      </c>
      <c r="M2216" t="s">
        <v>17</v>
      </c>
      <c r="N2216">
        <v>9</v>
      </c>
      <c r="O2216">
        <v>150.19</v>
      </c>
      <c r="P2216">
        <v>64.349999999999994</v>
      </c>
      <c r="Q2216" s="1">
        <v>75.849999999999994</v>
      </c>
      <c r="R2216" s="1" t="str">
        <v/>
      </c>
      <c r="S2216" s="3">
        <v>5.0156799067889501E-2</v>
      </c>
      <c r="T2216" s="3">
        <v>0</v>
      </c>
    </row>
    <row r="2217" spans="1:20" x14ac:dyDescent="0.25">
      <c r="A2217" t="s">
        <v>78</v>
      </c>
      <c r="B2217" t="s">
        <v>2961</v>
      </c>
      <c r="C2217" t="s">
        <v>5097</v>
      </c>
      <c r="D2217" t="s">
        <v>5096</v>
      </c>
      <c r="E2217">
        <v>1395.3</v>
      </c>
      <c r="F2217">
        <v>1395</v>
      </c>
      <c r="G2217">
        <v>1395</v>
      </c>
      <c r="H2217">
        <v>1329</v>
      </c>
      <c r="I2217" s="1">
        <v>1355.2</v>
      </c>
      <c r="J2217">
        <v>226641226.34999999</v>
      </c>
      <c r="K2217">
        <v>167063</v>
      </c>
      <c r="L2217" t="s">
        <v>78</v>
      </c>
      <c r="M2217" t="s">
        <v>17</v>
      </c>
      <c r="N2217">
        <v>13897</v>
      </c>
      <c r="O2217">
        <v>1592.7</v>
      </c>
      <c r="P2217">
        <v>604.45000000000005</v>
      </c>
      <c r="Q2217" s="1" t="str">
        <v/>
      </c>
      <c r="R2217" s="1" t="str">
        <v/>
      </c>
      <c r="S2217" s="3">
        <v>0</v>
      </c>
      <c r="T2217" s="3">
        <v>0</v>
      </c>
    </row>
    <row r="2218" spans="1:20" x14ac:dyDescent="0.25">
      <c r="A2218" t="s">
        <v>783</v>
      </c>
      <c r="B2218" t="s">
        <v>2961</v>
      </c>
      <c r="C2218" t="s">
        <v>5095</v>
      </c>
      <c r="D2218" t="s">
        <v>5094</v>
      </c>
      <c r="E2218">
        <v>3.81</v>
      </c>
      <c r="F2218">
        <v>3.73</v>
      </c>
      <c r="G2218">
        <v>3.73</v>
      </c>
      <c r="H2218">
        <v>3.73</v>
      </c>
      <c r="I2218" s="1">
        <v>3.73</v>
      </c>
      <c r="J2218">
        <v>170270.77</v>
      </c>
      <c r="K2218">
        <v>45649</v>
      </c>
      <c r="L2218" t="s">
        <v>78</v>
      </c>
      <c r="M2218" t="s">
        <v>17</v>
      </c>
      <c r="N2218">
        <v>203</v>
      </c>
      <c r="O2218">
        <v>4.49</v>
      </c>
      <c r="P2218">
        <v>2.65</v>
      </c>
      <c r="Q2218" s="1" t="str">
        <v/>
      </c>
      <c r="R2218" s="1" t="str">
        <v/>
      </c>
      <c r="S2218" s="3">
        <v>0</v>
      </c>
      <c r="T2218" s="3">
        <v>0</v>
      </c>
    </row>
    <row r="2219" spans="1:20" x14ac:dyDescent="0.25">
      <c r="A2219" t="s">
        <v>78</v>
      </c>
      <c r="B2219" t="s">
        <v>2961</v>
      </c>
      <c r="C2219" t="s">
        <v>2059</v>
      </c>
      <c r="D2219" t="s">
        <v>2060</v>
      </c>
      <c r="E2219">
        <v>31.58</v>
      </c>
      <c r="F2219">
        <v>31.5</v>
      </c>
      <c r="G2219">
        <v>32.65</v>
      </c>
      <c r="H2219">
        <v>31.04</v>
      </c>
      <c r="I2219" s="1">
        <v>31.27</v>
      </c>
      <c r="J2219">
        <v>398968.43</v>
      </c>
      <c r="K2219">
        <v>12638</v>
      </c>
      <c r="L2219" t="s">
        <v>78</v>
      </c>
      <c r="M2219" t="s">
        <v>17</v>
      </c>
      <c r="N2219">
        <v>55</v>
      </c>
      <c r="O2219">
        <v>48.4</v>
      </c>
      <c r="P2219">
        <v>5.15</v>
      </c>
      <c r="Q2219" s="1">
        <v>16.399999999999999</v>
      </c>
      <c r="R2219" s="1">
        <v>11.85</v>
      </c>
      <c r="S2219" s="3">
        <v>5.5253989597719322E-2</v>
      </c>
      <c r="T2219" s="3">
        <v>4.9684870021234007E-2</v>
      </c>
    </row>
    <row r="2220" spans="1:20" x14ac:dyDescent="0.25">
      <c r="A2220" t="s">
        <v>78</v>
      </c>
      <c r="B2220" t="s">
        <v>2961</v>
      </c>
      <c r="C2220" t="s">
        <v>3355</v>
      </c>
      <c r="D2220" t="s">
        <v>3356</v>
      </c>
      <c r="E2220">
        <v>130.91</v>
      </c>
      <c r="F2220">
        <v>130.91</v>
      </c>
      <c r="G2220">
        <v>134.5</v>
      </c>
      <c r="H2220">
        <v>124.36</v>
      </c>
      <c r="I2220" s="1">
        <v>128.4</v>
      </c>
      <c r="J2220">
        <v>16799499.649999999</v>
      </c>
      <c r="K2220">
        <v>130899</v>
      </c>
      <c r="L2220" t="s">
        <v>78</v>
      </c>
      <c r="M2220" t="s">
        <v>17</v>
      </c>
      <c r="N2220">
        <v>599</v>
      </c>
      <c r="O2220">
        <v>158</v>
      </c>
      <c r="P2220">
        <v>79.2</v>
      </c>
      <c r="Q2220" s="1">
        <v>59.5</v>
      </c>
      <c r="R2220" s="1">
        <v>42.5</v>
      </c>
      <c r="S2220" s="3">
        <v>6.6196710229514899E-2</v>
      </c>
      <c r="T2220" s="3">
        <v>5.6806939446631066E-2</v>
      </c>
    </row>
    <row r="2221" spans="1:20" x14ac:dyDescent="0.25">
      <c r="A2221" t="s">
        <v>783</v>
      </c>
      <c r="B2221" t="s">
        <v>2961</v>
      </c>
      <c r="C2221" t="s">
        <v>5093</v>
      </c>
      <c r="D2221" t="s">
        <v>5092</v>
      </c>
      <c r="E2221">
        <v>75.48</v>
      </c>
      <c r="F2221">
        <v>76.98</v>
      </c>
      <c r="G2221">
        <v>76.98</v>
      </c>
      <c r="H2221">
        <v>76.98</v>
      </c>
      <c r="I2221" s="1">
        <v>76.98</v>
      </c>
      <c r="J2221">
        <v>1984621.38</v>
      </c>
      <c r="K2221">
        <v>25781</v>
      </c>
      <c r="L2221" t="s">
        <v>78</v>
      </c>
      <c r="M2221" t="s">
        <v>17</v>
      </c>
      <c r="N2221">
        <v>34</v>
      </c>
      <c r="O2221">
        <v>86.38</v>
      </c>
      <c r="P2221">
        <v>36.25</v>
      </c>
      <c r="Q2221" s="1" t="str">
        <v/>
      </c>
      <c r="R2221" s="1" t="str">
        <v/>
      </c>
      <c r="S2221" s="3">
        <v>0</v>
      </c>
      <c r="T2221" s="3">
        <v>0</v>
      </c>
    </row>
    <row r="2222" spans="1:20" x14ac:dyDescent="0.25">
      <c r="A2222" t="s">
        <v>78</v>
      </c>
      <c r="B2222" t="s">
        <v>2961</v>
      </c>
      <c r="C2222" t="s">
        <v>3357</v>
      </c>
      <c r="D2222" t="s">
        <v>3358</v>
      </c>
      <c r="E2222">
        <v>413.65</v>
      </c>
      <c r="F2222">
        <v>413.65</v>
      </c>
      <c r="G2222">
        <v>413.65</v>
      </c>
      <c r="H2222">
        <v>394</v>
      </c>
      <c r="I2222" s="1">
        <v>397.6</v>
      </c>
      <c r="J2222">
        <v>202108.2</v>
      </c>
      <c r="K2222">
        <v>505</v>
      </c>
      <c r="L2222" t="s">
        <v>78</v>
      </c>
      <c r="M2222" t="s">
        <v>17</v>
      </c>
      <c r="N2222">
        <v>50</v>
      </c>
      <c r="O2222">
        <v>525</v>
      </c>
      <c r="P2222">
        <v>240.35</v>
      </c>
      <c r="Q2222" s="1">
        <v>327.2</v>
      </c>
      <c r="R2222" s="1">
        <v>130.05000000000001</v>
      </c>
      <c r="S2222" s="3">
        <v>1.6372151062811202E-2</v>
      </c>
      <c r="T2222" s="3">
        <v>5.7434586957796352E-2</v>
      </c>
    </row>
    <row r="2223" spans="1:20" x14ac:dyDescent="0.25">
      <c r="A2223" t="s">
        <v>78</v>
      </c>
      <c r="B2223" t="s">
        <v>2961</v>
      </c>
      <c r="C2223" t="s">
        <v>3367</v>
      </c>
      <c r="D2223" t="s">
        <v>3368</v>
      </c>
      <c r="E2223">
        <v>8.7799999999999994</v>
      </c>
      <c r="F2223">
        <v>8.86</v>
      </c>
      <c r="G2223">
        <v>8.99</v>
      </c>
      <c r="H2223">
        <v>8.41</v>
      </c>
      <c r="I2223" s="1">
        <v>8.89</v>
      </c>
      <c r="J2223">
        <v>4812920.4800000004</v>
      </c>
      <c r="K2223">
        <v>547552</v>
      </c>
      <c r="L2223" t="s">
        <v>78</v>
      </c>
      <c r="M2223" t="s">
        <v>17</v>
      </c>
      <c r="N2223">
        <v>2184</v>
      </c>
      <c r="O2223">
        <v>13.75</v>
      </c>
      <c r="P2223">
        <v>7.25</v>
      </c>
      <c r="Q2223" s="1">
        <v>1.35</v>
      </c>
      <c r="R2223" s="1">
        <v>0.25</v>
      </c>
      <c r="S2223" s="3">
        <v>0.1700758059132299</v>
      </c>
      <c r="T2223" s="3">
        <v>0.19537899105867118</v>
      </c>
    </row>
    <row r="2224" spans="1:20" x14ac:dyDescent="0.25">
      <c r="A2224" t="s">
        <v>783</v>
      </c>
      <c r="B2224" t="s">
        <v>2961</v>
      </c>
      <c r="C2224" t="s">
        <v>2127</v>
      </c>
      <c r="D2224" t="s">
        <v>2128</v>
      </c>
      <c r="E2224">
        <v>12.23</v>
      </c>
      <c r="F2224">
        <v>11.98</v>
      </c>
      <c r="G2224">
        <v>11.98</v>
      </c>
      <c r="H2224">
        <v>11.98</v>
      </c>
      <c r="I2224" s="1">
        <v>11.98</v>
      </c>
      <c r="J2224">
        <v>238018.64</v>
      </c>
      <c r="K2224">
        <v>19868</v>
      </c>
      <c r="L2224" t="s">
        <v>78</v>
      </c>
      <c r="M2224" t="s">
        <v>17</v>
      </c>
      <c r="N2224">
        <v>41</v>
      </c>
      <c r="O2224">
        <v>38</v>
      </c>
      <c r="P2224">
        <v>11.98</v>
      </c>
      <c r="Q2224" s="1">
        <v>44.25</v>
      </c>
      <c r="R2224" s="1">
        <v>80.2</v>
      </c>
      <c r="S2224" s="3">
        <v>-0.10316621183135055</v>
      </c>
      <c r="T2224" s="3">
        <v>-9.0638145844480489E-2</v>
      </c>
    </row>
    <row r="2225" spans="1:20" x14ac:dyDescent="0.25">
      <c r="A2225" t="s">
        <v>78</v>
      </c>
      <c r="B2225" t="s">
        <v>2961</v>
      </c>
      <c r="C2225" t="s">
        <v>2131</v>
      </c>
      <c r="D2225" t="s">
        <v>2132</v>
      </c>
      <c r="E2225">
        <v>500.1</v>
      </c>
      <c r="F2225">
        <v>519.85</v>
      </c>
      <c r="G2225">
        <v>519.85</v>
      </c>
      <c r="H2225">
        <v>481.5</v>
      </c>
      <c r="I2225" s="1">
        <v>491.95</v>
      </c>
      <c r="J2225">
        <v>3231494.7</v>
      </c>
      <c r="K2225">
        <v>6475</v>
      </c>
      <c r="L2225" t="s">
        <v>78</v>
      </c>
      <c r="M2225" t="s">
        <v>17</v>
      </c>
      <c r="N2225">
        <v>116</v>
      </c>
      <c r="O2225">
        <v>558.5</v>
      </c>
      <c r="P2225">
        <v>148.44999999999999</v>
      </c>
      <c r="Q2225" s="1">
        <v>270</v>
      </c>
      <c r="R2225" s="1">
        <v>28.05</v>
      </c>
      <c r="S2225" s="3">
        <v>5.1267165182565133E-2</v>
      </c>
      <c r="T2225" s="3">
        <v>0.15389247663103034</v>
      </c>
    </row>
    <row r="2226" spans="1:20" x14ac:dyDescent="0.25">
      <c r="A2226" t="s">
        <v>78</v>
      </c>
      <c r="B2226" t="s">
        <v>2961</v>
      </c>
      <c r="C2226" t="s">
        <v>2135</v>
      </c>
      <c r="D2226" t="s">
        <v>2136</v>
      </c>
      <c r="E2226">
        <v>709</v>
      </c>
      <c r="F2226">
        <v>711</v>
      </c>
      <c r="G2226">
        <v>734.7</v>
      </c>
      <c r="H2226">
        <v>673.55</v>
      </c>
      <c r="I2226" s="1">
        <v>675.4</v>
      </c>
      <c r="J2226">
        <v>238711811.80000001</v>
      </c>
      <c r="K2226">
        <v>345442</v>
      </c>
      <c r="L2226" t="s">
        <v>78</v>
      </c>
      <c r="M2226" t="s">
        <v>17</v>
      </c>
      <c r="N2226">
        <v>11252</v>
      </c>
      <c r="O2226">
        <v>4240</v>
      </c>
      <c r="P2226">
        <v>673.55</v>
      </c>
      <c r="Q2226" s="1">
        <v>207</v>
      </c>
      <c r="R2226" s="1">
        <v>172.05</v>
      </c>
      <c r="S2226" s="3">
        <v>0.10356832293673346</v>
      </c>
      <c r="T2226" s="3">
        <v>7.0727745216754734E-2</v>
      </c>
    </row>
    <row r="2227" spans="1:20" x14ac:dyDescent="0.25">
      <c r="A2227" t="s">
        <v>78</v>
      </c>
      <c r="B2227" t="s">
        <v>2961</v>
      </c>
      <c r="C2227" t="s">
        <v>5091</v>
      </c>
      <c r="D2227" t="s">
        <v>5090</v>
      </c>
      <c r="E2227">
        <v>14335.7</v>
      </c>
      <c r="F2227">
        <v>14335.7</v>
      </c>
      <c r="G2227">
        <v>14350</v>
      </c>
      <c r="H2227">
        <v>13850</v>
      </c>
      <c r="I2227" s="1">
        <v>14242.55</v>
      </c>
      <c r="J2227">
        <v>93662434.349999994</v>
      </c>
      <c r="K2227">
        <v>6657</v>
      </c>
      <c r="L2227" t="s">
        <v>78</v>
      </c>
      <c r="M2227" t="s">
        <v>17</v>
      </c>
      <c r="N2227">
        <v>1975</v>
      </c>
      <c r="O2227">
        <v>15702.1</v>
      </c>
      <c r="P2227">
        <v>3804.05</v>
      </c>
      <c r="Q2227" s="1" t="str">
        <v/>
      </c>
      <c r="R2227" s="1" t="str">
        <v/>
      </c>
      <c r="S2227" s="3">
        <v>0</v>
      </c>
      <c r="T2227" s="3">
        <v>0</v>
      </c>
    </row>
    <row r="2228" spans="1:20" x14ac:dyDescent="0.25">
      <c r="A2228" t="s">
        <v>78</v>
      </c>
      <c r="B2228" t="s">
        <v>2961</v>
      </c>
      <c r="C2228" t="s">
        <v>2165</v>
      </c>
      <c r="D2228" t="s">
        <v>2166</v>
      </c>
      <c r="E2228">
        <v>449.6</v>
      </c>
      <c r="F2228">
        <v>449.6</v>
      </c>
      <c r="G2228">
        <v>450</v>
      </c>
      <c r="H2228">
        <v>427.15</v>
      </c>
      <c r="I2228" s="1">
        <v>427.15</v>
      </c>
      <c r="J2228">
        <v>70471235.75</v>
      </c>
      <c r="K2228">
        <v>163714</v>
      </c>
      <c r="L2228" t="s">
        <v>78</v>
      </c>
      <c r="M2228" t="s">
        <v>17</v>
      </c>
      <c r="N2228">
        <v>2147</v>
      </c>
      <c r="O2228">
        <v>569.6</v>
      </c>
      <c r="P2228">
        <v>94.25</v>
      </c>
      <c r="Q2228" s="1">
        <v>107.8</v>
      </c>
      <c r="R2228" s="1">
        <v>59</v>
      </c>
      <c r="S2228" s="3">
        <v>0.12157969301245797</v>
      </c>
      <c r="T2228" s="3">
        <v>0.10398425273964285</v>
      </c>
    </row>
    <row r="2229" spans="1:20" x14ac:dyDescent="0.25">
      <c r="A2229" t="s">
        <v>78</v>
      </c>
      <c r="B2229" t="s">
        <v>2961</v>
      </c>
      <c r="C2229" t="s">
        <v>5089</v>
      </c>
      <c r="D2229" t="s">
        <v>3649</v>
      </c>
      <c r="E2229">
        <v>21.02</v>
      </c>
      <c r="F2229">
        <v>21.29</v>
      </c>
      <c r="G2229">
        <v>21.29</v>
      </c>
      <c r="H2229">
        <v>20.66</v>
      </c>
      <c r="I2229" s="1">
        <v>20.7</v>
      </c>
      <c r="J2229">
        <v>632518.84</v>
      </c>
      <c r="K2229">
        <v>30453</v>
      </c>
      <c r="L2229" t="s">
        <v>78</v>
      </c>
      <c r="M2229" t="s">
        <v>17</v>
      </c>
      <c r="N2229">
        <v>263</v>
      </c>
      <c r="O2229">
        <v>56.05</v>
      </c>
      <c r="P2229">
        <v>15</v>
      </c>
      <c r="Q2229" s="1" t="str">
        <v/>
      </c>
      <c r="R2229" s="1" t="str">
        <v/>
      </c>
      <c r="S2229" s="3">
        <v>0</v>
      </c>
      <c r="T2229" s="3">
        <v>0</v>
      </c>
    </row>
    <row r="2230" spans="1:20" x14ac:dyDescent="0.25">
      <c r="A2230" t="s">
        <v>78</v>
      </c>
      <c r="B2230" t="s">
        <v>2961</v>
      </c>
      <c r="C2230" t="s">
        <v>2183</v>
      </c>
      <c r="D2230" t="s">
        <v>2184</v>
      </c>
      <c r="E2230">
        <v>82.16</v>
      </c>
      <c r="F2230">
        <v>78.05</v>
      </c>
      <c r="G2230">
        <v>86.26</v>
      </c>
      <c r="H2230">
        <v>78.05</v>
      </c>
      <c r="I2230" s="1">
        <v>86.26</v>
      </c>
      <c r="J2230">
        <v>6423036.0499999998</v>
      </c>
      <c r="K2230">
        <v>78978</v>
      </c>
      <c r="L2230" t="s">
        <v>78</v>
      </c>
      <c r="M2230" t="s">
        <v>17</v>
      </c>
      <c r="N2230">
        <v>665</v>
      </c>
      <c r="O2230">
        <v>140.30000000000001</v>
      </c>
      <c r="P2230">
        <v>44.85</v>
      </c>
      <c r="Q2230" s="1">
        <v>49.55</v>
      </c>
      <c r="R2230" s="1">
        <v>38</v>
      </c>
      <c r="S2230" s="3">
        <v>4.7282426879349915E-2</v>
      </c>
      <c r="T2230" s="3">
        <v>4.1817250084123181E-2</v>
      </c>
    </row>
    <row r="2231" spans="1:20" x14ac:dyDescent="0.25">
      <c r="A2231" t="s">
        <v>78</v>
      </c>
      <c r="B2231" t="s">
        <v>2961</v>
      </c>
      <c r="C2231" t="s">
        <v>2205</v>
      </c>
      <c r="D2231" t="s">
        <v>5088</v>
      </c>
      <c r="E2231">
        <v>2316.65</v>
      </c>
      <c r="F2231">
        <v>2380</v>
      </c>
      <c r="G2231">
        <v>2380</v>
      </c>
      <c r="H2231">
        <v>2200.85</v>
      </c>
      <c r="I2231" s="1">
        <v>2200.85</v>
      </c>
      <c r="J2231">
        <v>698207637.04999995</v>
      </c>
      <c r="K2231">
        <v>309516</v>
      </c>
      <c r="L2231" t="s">
        <v>78</v>
      </c>
      <c r="M2231" t="s">
        <v>17</v>
      </c>
      <c r="N2231">
        <v>29980</v>
      </c>
      <c r="O2231">
        <v>2380</v>
      </c>
      <c r="P2231">
        <v>1810.7</v>
      </c>
      <c r="Q2231" s="1">
        <v>456</v>
      </c>
      <c r="R2231" s="1">
        <v>675</v>
      </c>
      <c r="S2231" s="3">
        <v>0.14016787450661816</v>
      </c>
      <c r="T2231" s="3">
        <v>6.0840956913626121E-2</v>
      </c>
    </row>
    <row r="2232" spans="1:20" x14ac:dyDescent="0.25">
      <c r="A2232" t="s">
        <v>78</v>
      </c>
      <c r="B2232" t="s">
        <v>2961</v>
      </c>
      <c r="C2232" t="s">
        <v>5087</v>
      </c>
      <c r="D2232" t="s">
        <v>5086</v>
      </c>
      <c r="E2232">
        <v>130.71</v>
      </c>
      <c r="F2232">
        <v>130.69999999999999</v>
      </c>
      <c r="G2232">
        <v>132</v>
      </c>
      <c r="H2232">
        <v>129.4</v>
      </c>
      <c r="I2232" s="1">
        <v>130.22</v>
      </c>
      <c r="J2232">
        <v>5672133.29</v>
      </c>
      <c r="K2232">
        <v>43348</v>
      </c>
      <c r="L2232" t="s">
        <v>78</v>
      </c>
      <c r="M2232" t="s">
        <v>17</v>
      </c>
      <c r="N2232">
        <v>515</v>
      </c>
      <c r="O2232">
        <v>255.35</v>
      </c>
      <c r="P2232">
        <v>96</v>
      </c>
      <c r="Q2232" s="1" t="str">
        <v/>
      </c>
      <c r="R2232" s="1" t="str">
        <v/>
      </c>
      <c r="S2232" s="3">
        <v>0</v>
      </c>
      <c r="T2232" s="3">
        <v>0</v>
      </c>
    </row>
    <row r="2233" spans="1:20" x14ac:dyDescent="0.25">
      <c r="A2233" t="s">
        <v>783</v>
      </c>
      <c r="B2233" t="s">
        <v>2961</v>
      </c>
      <c r="C2233" t="s">
        <v>3389</v>
      </c>
      <c r="D2233" t="s">
        <v>3390</v>
      </c>
      <c r="E2233">
        <v>51.05</v>
      </c>
      <c r="F2233">
        <v>50.02</v>
      </c>
      <c r="G2233">
        <v>50.02</v>
      </c>
      <c r="H2233">
        <v>50.02</v>
      </c>
      <c r="I2233" s="1">
        <v>50.02</v>
      </c>
      <c r="J2233">
        <v>141456.56</v>
      </c>
      <c r="K2233">
        <v>2828</v>
      </c>
      <c r="L2233" t="s">
        <v>78</v>
      </c>
      <c r="M2233" t="s">
        <v>17</v>
      </c>
      <c r="N2233">
        <v>15</v>
      </c>
      <c r="O2233">
        <v>60.01</v>
      </c>
      <c r="P2233">
        <v>22.15</v>
      </c>
      <c r="Q2233" s="1">
        <v>1.4</v>
      </c>
      <c r="R2233" s="1">
        <v>2.4</v>
      </c>
      <c r="S2233" s="3">
        <v>0.34715625204707123</v>
      </c>
      <c r="T2233" s="3">
        <v>0.16388616803974543</v>
      </c>
    </row>
    <row r="2234" spans="1:20" x14ac:dyDescent="0.25">
      <c r="A2234" t="s">
        <v>783</v>
      </c>
      <c r="B2234" t="s">
        <v>2961</v>
      </c>
      <c r="C2234" t="s">
        <v>3395</v>
      </c>
      <c r="D2234" t="s">
        <v>3396</v>
      </c>
      <c r="E2234">
        <v>3.73</v>
      </c>
      <c r="F2234">
        <v>3.73</v>
      </c>
      <c r="G2234">
        <v>3.73</v>
      </c>
      <c r="H2234">
        <v>3.7</v>
      </c>
      <c r="I2234" s="1">
        <v>3.7</v>
      </c>
      <c r="J2234">
        <v>2543643.06</v>
      </c>
      <c r="K2234">
        <v>684330</v>
      </c>
      <c r="L2234" t="s">
        <v>78</v>
      </c>
      <c r="M2234" t="s">
        <v>17</v>
      </c>
      <c r="N2234">
        <v>991</v>
      </c>
      <c r="O2234">
        <v>5.8</v>
      </c>
      <c r="P2234">
        <v>1.75</v>
      </c>
      <c r="Q2234" s="1">
        <v>4.3499999999999996</v>
      </c>
      <c r="R2234" s="1">
        <v>10.65</v>
      </c>
      <c r="S2234" s="3">
        <v>-1.3396377795078518E-2</v>
      </c>
      <c r="T2234" s="3">
        <v>-5.1461029845076722E-2</v>
      </c>
    </row>
    <row r="2235" spans="1:20" x14ac:dyDescent="0.25">
      <c r="A2235" t="s">
        <v>78</v>
      </c>
      <c r="B2235" t="s">
        <v>2961</v>
      </c>
      <c r="C2235" t="s">
        <v>2251</v>
      </c>
      <c r="D2235" t="s">
        <v>2252</v>
      </c>
      <c r="E2235">
        <v>28.56</v>
      </c>
      <c r="F2235">
        <v>28.79</v>
      </c>
      <c r="G2235">
        <v>28.79</v>
      </c>
      <c r="H2235">
        <v>27.15</v>
      </c>
      <c r="I2235" s="1">
        <v>27.32</v>
      </c>
      <c r="J2235">
        <v>1043208.67</v>
      </c>
      <c r="K2235">
        <v>37713</v>
      </c>
      <c r="L2235" t="s">
        <v>78</v>
      </c>
      <c r="M2235" t="s">
        <v>17</v>
      </c>
      <c r="N2235">
        <v>387</v>
      </c>
      <c r="O2235">
        <v>33.08</v>
      </c>
      <c r="P2235">
        <v>18.149999999999999</v>
      </c>
      <c r="Q2235" s="1">
        <v>12.5</v>
      </c>
      <c r="R2235" s="1">
        <v>6.6</v>
      </c>
      <c r="S2235" s="3">
        <v>6.7327149890540339E-2</v>
      </c>
      <c r="T2235" s="3">
        <v>7.3568956446878442E-2</v>
      </c>
    </row>
    <row r="2236" spans="1:20" x14ac:dyDescent="0.25">
      <c r="A2236" t="s">
        <v>78</v>
      </c>
      <c r="B2236" t="s">
        <v>2961</v>
      </c>
      <c r="C2236" t="s">
        <v>2253</v>
      </c>
      <c r="D2236" t="s">
        <v>2254</v>
      </c>
      <c r="E2236">
        <v>129.87</v>
      </c>
      <c r="F2236">
        <v>136.36000000000001</v>
      </c>
      <c r="G2236">
        <v>136.36000000000001</v>
      </c>
      <c r="H2236">
        <v>134</v>
      </c>
      <c r="I2236" s="1">
        <v>136.36000000000001</v>
      </c>
      <c r="J2236">
        <v>42736390.899999999</v>
      </c>
      <c r="K2236">
        <v>313572</v>
      </c>
      <c r="L2236" t="s">
        <v>78</v>
      </c>
      <c r="M2236" t="s">
        <v>17</v>
      </c>
      <c r="N2236">
        <v>1333</v>
      </c>
      <c r="O2236">
        <v>143</v>
      </c>
      <c r="P2236">
        <v>57.3</v>
      </c>
      <c r="Q2236" s="1">
        <v>99.05</v>
      </c>
      <c r="R2236" s="1">
        <v>50</v>
      </c>
      <c r="S2236" s="3">
        <v>2.6997475531671533E-2</v>
      </c>
      <c r="T2236" s="3">
        <v>5.1414394546337228E-2</v>
      </c>
    </row>
    <row r="2237" spans="1:20" x14ac:dyDescent="0.25">
      <c r="A2237" t="s">
        <v>78</v>
      </c>
      <c r="B2237" t="s">
        <v>2961</v>
      </c>
      <c r="C2237" t="s">
        <v>2263</v>
      </c>
      <c r="D2237" t="s">
        <v>2264</v>
      </c>
      <c r="E2237">
        <v>3.9</v>
      </c>
      <c r="F2237">
        <v>3.7</v>
      </c>
      <c r="G2237">
        <v>3.7</v>
      </c>
      <c r="H2237">
        <v>3.7</v>
      </c>
      <c r="I2237" s="1">
        <v>3.7</v>
      </c>
      <c r="J2237">
        <v>500761.7</v>
      </c>
      <c r="K2237">
        <v>135341</v>
      </c>
      <c r="L2237" t="s">
        <v>78</v>
      </c>
      <c r="M2237" t="s">
        <v>17</v>
      </c>
      <c r="N2237">
        <v>301</v>
      </c>
      <c r="O2237">
        <v>4.91</v>
      </c>
      <c r="P2237">
        <v>1</v>
      </c>
      <c r="Q2237" s="1">
        <v>3.2</v>
      </c>
      <c r="R2237" s="1">
        <v>2.1</v>
      </c>
      <c r="S2237" s="3">
        <v>1.2171983726741775E-2</v>
      </c>
      <c r="T2237" s="3">
        <v>2.870863638951282E-2</v>
      </c>
    </row>
    <row r="2238" spans="1:20" x14ac:dyDescent="0.25">
      <c r="A2238" t="s">
        <v>78</v>
      </c>
      <c r="B2238" t="s">
        <v>2961</v>
      </c>
      <c r="C2238" t="s">
        <v>2267</v>
      </c>
      <c r="D2238" t="s">
        <v>2268</v>
      </c>
      <c r="E2238">
        <v>51.25</v>
      </c>
      <c r="F2238">
        <v>51.99</v>
      </c>
      <c r="G2238">
        <v>51.99</v>
      </c>
      <c r="H2238">
        <v>50</v>
      </c>
      <c r="I2238" s="1">
        <v>50.68</v>
      </c>
      <c r="J2238">
        <v>175382.1</v>
      </c>
      <c r="K2238">
        <v>3445</v>
      </c>
      <c r="L2238" t="s">
        <v>78</v>
      </c>
      <c r="M2238" t="s">
        <v>17</v>
      </c>
      <c r="N2238">
        <v>63</v>
      </c>
      <c r="O2238">
        <v>83.2</v>
      </c>
      <c r="P2238">
        <v>39.15</v>
      </c>
      <c r="Q2238" s="1">
        <v>78.099999999999994</v>
      </c>
      <c r="R2238" s="1" t="str">
        <v/>
      </c>
      <c r="S2238" s="3">
        <v>-3.5396579299312392E-2</v>
      </c>
      <c r="T2238" s="3">
        <v>0</v>
      </c>
    </row>
    <row r="2239" spans="1:20" x14ac:dyDescent="0.25">
      <c r="A2239" t="s">
        <v>78</v>
      </c>
      <c r="B2239" t="s">
        <v>2961</v>
      </c>
      <c r="C2239" t="s">
        <v>3401</v>
      </c>
      <c r="D2239" t="s">
        <v>3402</v>
      </c>
      <c r="E2239">
        <v>243.93</v>
      </c>
      <c r="F2239">
        <v>239.9</v>
      </c>
      <c r="G2239">
        <v>239.9</v>
      </c>
      <c r="H2239">
        <v>231.73</v>
      </c>
      <c r="I2239" s="1">
        <v>232.51</v>
      </c>
      <c r="J2239">
        <v>24026427.210000001</v>
      </c>
      <c r="K2239">
        <v>102602</v>
      </c>
      <c r="L2239" t="s">
        <v>78</v>
      </c>
      <c r="M2239" t="s">
        <v>17</v>
      </c>
      <c r="N2239">
        <v>1291</v>
      </c>
      <c r="O2239">
        <v>305</v>
      </c>
      <c r="P2239">
        <v>106.1</v>
      </c>
      <c r="Q2239" s="1">
        <v>36.299999999999997</v>
      </c>
      <c r="R2239" s="1">
        <v>18.55</v>
      </c>
      <c r="S2239" s="3">
        <v>0.16737731842961945</v>
      </c>
      <c r="T2239" s="3">
        <v>0.13468370405620944</v>
      </c>
    </row>
    <row r="2240" spans="1:20" x14ac:dyDescent="0.25">
      <c r="A2240" t="s">
        <v>783</v>
      </c>
      <c r="B2240" t="s">
        <v>2961</v>
      </c>
      <c r="C2240" t="s">
        <v>3411</v>
      </c>
      <c r="D2240" t="s">
        <v>3412</v>
      </c>
      <c r="E2240">
        <v>263.5</v>
      </c>
      <c r="F2240">
        <v>268.75</v>
      </c>
      <c r="G2240">
        <v>268.75</v>
      </c>
      <c r="H2240">
        <v>268.75</v>
      </c>
      <c r="I2240" s="1">
        <v>268.75</v>
      </c>
      <c r="J2240">
        <v>236500</v>
      </c>
      <c r="K2240">
        <v>880</v>
      </c>
      <c r="L2240" t="s">
        <v>78</v>
      </c>
      <c r="M2240" t="s">
        <v>17</v>
      </c>
      <c r="N2240">
        <v>10</v>
      </c>
      <c r="O2240">
        <v>340.05</v>
      </c>
      <c r="P2240">
        <v>59.1</v>
      </c>
      <c r="Q2240" s="1">
        <v>20.5</v>
      </c>
      <c r="R2240" s="1" t="str">
        <v/>
      </c>
      <c r="S2240" s="3">
        <v>0.23917568835832492</v>
      </c>
      <c r="T2240" s="3">
        <v>0</v>
      </c>
    </row>
    <row r="2241" spans="1:20" x14ac:dyDescent="0.25">
      <c r="A2241" t="s">
        <v>783</v>
      </c>
      <c r="B2241" t="s">
        <v>2961</v>
      </c>
      <c r="C2241" t="s">
        <v>3413</v>
      </c>
      <c r="D2241" t="s">
        <v>3414</v>
      </c>
      <c r="E2241">
        <v>11.09</v>
      </c>
      <c r="F2241">
        <v>10.86</v>
      </c>
      <c r="G2241">
        <v>10.86</v>
      </c>
      <c r="H2241">
        <v>10.86</v>
      </c>
      <c r="I2241" s="1">
        <v>10.86</v>
      </c>
      <c r="J2241">
        <v>12206.64</v>
      </c>
      <c r="K2241">
        <v>1124</v>
      </c>
      <c r="L2241" t="s">
        <v>78</v>
      </c>
      <c r="M2241" t="s">
        <v>17</v>
      </c>
      <c r="N2241">
        <v>6</v>
      </c>
      <c r="O2241">
        <v>13.05</v>
      </c>
      <c r="P2241">
        <v>3.25</v>
      </c>
      <c r="Q2241" s="1">
        <v>2.6</v>
      </c>
      <c r="R2241" s="1" t="str">
        <v/>
      </c>
      <c r="S2241" s="3">
        <v>0.12651775178938074</v>
      </c>
      <c r="T2241" s="3">
        <v>0</v>
      </c>
    </row>
    <row r="2242" spans="1:20" x14ac:dyDescent="0.25">
      <c r="A2242" t="s">
        <v>783</v>
      </c>
      <c r="B2242" t="s">
        <v>2961</v>
      </c>
      <c r="C2242" t="s">
        <v>5085</v>
      </c>
      <c r="D2242" t="s">
        <v>5084</v>
      </c>
      <c r="E2242">
        <v>307.37</v>
      </c>
      <c r="F2242">
        <v>313.51</v>
      </c>
      <c r="G2242">
        <v>313.51</v>
      </c>
      <c r="H2242">
        <v>313.51</v>
      </c>
      <c r="I2242" s="1">
        <v>313.51</v>
      </c>
      <c r="J2242">
        <v>18810.599999999999</v>
      </c>
      <c r="K2242">
        <v>60</v>
      </c>
      <c r="L2242" t="s">
        <v>78</v>
      </c>
      <c r="M2242" t="s">
        <v>17</v>
      </c>
      <c r="N2242">
        <v>7</v>
      </c>
      <c r="O2242">
        <v>313.51</v>
      </c>
      <c r="P2242">
        <v>41.25</v>
      </c>
      <c r="Q2242" s="1" t="str">
        <v/>
      </c>
      <c r="R2242" s="1" t="str">
        <v/>
      </c>
      <c r="S2242" s="3">
        <v>0</v>
      </c>
      <c r="T2242" s="3">
        <v>0</v>
      </c>
    </row>
    <row r="2243" spans="1:20" x14ac:dyDescent="0.25">
      <c r="A2243" t="s">
        <v>783</v>
      </c>
      <c r="B2243" t="s">
        <v>2961</v>
      </c>
      <c r="C2243" t="s">
        <v>3421</v>
      </c>
      <c r="D2243" t="s">
        <v>3422</v>
      </c>
      <c r="E2243">
        <v>21</v>
      </c>
      <c r="F2243">
        <v>20.58</v>
      </c>
      <c r="G2243">
        <v>20.8</v>
      </c>
      <c r="H2243">
        <v>20.58</v>
      </c>
      <c r="I2243" s="1">
        <v>20.71</v>
      </c>
      <c r="J2243">
        <v>994635.68</v>
      </c>
      <c r="K2243">
        <v>48226</v>
      </c>
      <c r="L2243" t="s">
        <v>78</v>
      </c>
      <c r="M2243" t="s">
        <v>17</v>
      </c>
      <c r="N2243">
        <v>112</v>
      </c>
      <c r="O2243">
        <v>30.45</v>
      </c>
      <c r="P2243">
        <v>17.149999999999999</v>
      </c>
      <c r="Q2243" s="1">
        <v>11</v>
      </c>
      <c r="R2243" s="1">
        <v>2.9</v>
      </c>
      <c r="S2243" s="3">
        <v>5.4141596947284487E-2</v>
      </c>
      <c r="T2243" s="3">
        <v>0.10322914525602078</v>
      </c>
    </row>
    <row r="2244" spans="1:20" x14ac:dyDescent="0.25">
      <c r="A2244" t="s">
        <v>78</v>
      </c>
      <c r="B2244" t="s">
        <v>2961</v>
      </c>
      <c r="C2244" t="s">
        <v>5083</v>
      </c>
      <c r="D2244" t="s">
        <v>5082</v>
      </c>
      <c r="E2244">
        <v>36.18</v>
      </c>
      <c r="F2244">
        <v>36.18</v>
      </c>
      <c r="G2244">
        <v>37.979999999999997</v>
      </c>
      <c r="H2244">
        <v>36</v>
      </c>
      <c r="I2244" s="1">
        <v>37.979999999999997</v>
      </c>
      <c r="J2244">
        <v>1663245.01</v>
      </c>
      <c r="K2244">
        <v>44124</v>
      </c>
      <c r="L2244" t="s">
        <v>78</v>
      </c>
      <c r="M2244" t="s">
        <v>17</v>
      </c>
      <c r="N2244">
        <v>225</v>
      </c>
      <c r="O2244">
        <v>42.27</v>
      </c>
      <c r="P2244">
        <v>14.7</v>
      </c>
      <c r="Q2244" s="1" t="str">
        <v/>
      </c>
      <c r="R2244" s="1" t="str">
        <v/>
      </c>
      <c r="S2244" s="3">
        <v>0</v>
      </c>
      <c r="T2244" s="3">
        <v>0</v>
      </c>
    </row>
    <row r="2245" spans="1:20" x14ac:dyDescent="0.25">
      <c r="A2245" t="s">
        <v>78</v>
      </c>
      <c r="B2245" t="s">
        <v>2961</v>
      </c>
      <c r="C2245" t="s">
        <v>2357</v>
      </c>
      <c r="D2245" t="s">
        <v>2358</v>
      </c>
      <c r="E2245">
        <v>8.43</v>
      </c>
      <c r="F2245">
        <v>8.43</v>
      </c>
      <c r="G2245">
        <v>8.85</v>
      </c>
      <c r="H2245">
        <v>8.4</v>
      </c>
      <c r="I2245" s="1">
        <v>8.7200000000000006</v>
      </c>
      <c r="J2245">
        <v>1669352.73</v>
      </c>
      <c r="K2245">
        <v>190641</v>
      </c>
      <c r="L2245" t="s">
        <v>78</v>
      </c>
      <c r="M2245" t="s">
        <v>17</v>
      </c>
      <c r="N2245">
        <v>568</v>
      </c>
      <c r="O2245">
        <v>25.4</v>
      </c>
      <c r="P2245">
        <v>8.4</v>
      </c>
      <c r="Q2245" s="1">
        <v>26</v>
      </c>
      <c r="R2245" s="1" t="str">
        <v/>
      </c>
      <c r="S2245" s="3">
        <v>-8.7018603665627969E-2</v>
      </c>
      <c r="T2245" s="3">
        <v>0</v>
      </c>
    </row>
    <row r="2246" spans="1:20" x14ac:dyDescent="0.25">
      <c r="A2246" t="s">
        <v>78</v>
      </c>
      <c r="B2246" t="s">
        <v>2961</v>
      </c>
      <c r="C2246" t="s">
        <v>5081</v>
      </c>
      <c r="D2246" t="s">
        <v>5080</v>
      </c>
      <c r="E2246">
        <v>339</v>
      </c>
      <c r="F2246">
        <v>326</v>
      </c>
      <c r="G2246">
        <v>348</v>
      </c>
      <c r="H2246">
        <v>326</v>
      </c>
      <c r="I2246" s="1">
        <v>337.15</v>
      </c>
      <c r="J2246">
        <v>1834676.45</v>
      </c>
      <c r="K2246">
        <v>5466</v>
      </c>
      <c r="L2246" t="s">
        <v>78</v>
      </c>
      <c r="M2246" t="s">
        <v>17</v>
      </c>
      <c r="N2246">
        <v>23</v>
      </c>
      <c r="O2246">
        <v>404.95</v>
      </c>
      <c r="P2246">
        <v>210.1</v>
      </c>
      <c r="Q2246" s="1" t="str">
        <v/>
      </c>
      <c r="R2246" s="1" t="str">
        <v/>
      </c>
      <c r="S2246" s="3">
        <v>0</v>
      </c>
      <c r="T2246" s="3">
        <v>0</v>
      </c>
    </row>
    <row r="2247" spans="1:20" x14ac:dyDescent="0.25">
      <c r="A2247" t="s">
        <v>78</v>
      </c>
      <c r="B2247" t="s">
        <v>2961</v>
      </c>
      <c r="C2247" t="s">
        <v>5079</v>
      </c>
      <c r="D2247" t="s">
        <v>5078</v>
      </c>
      <c r="E2247">
        <v>595.04999999999995</v>
      </c>
      <c r="F2247">
        <v>595.04999999999995</v>
      </c>
      <c r="G2247">
        <v>603.9</v>
      </c>
      <c r="H2247">
        <v>590</v>
      </c>
      <c r="I2247" s="1">
        <v>593.6</v>
      </c>
      <c r="J2247">
        <v>1231419.6000000001</v>
      </c>
      <c r="K2247">
        <v>2065</v>
      </c>
      <c r="L2247" t="s">
        <v>78</v>
      </c>
      <c r="M2247" t="s">
        <v>17</v>
      </c>
      <c r="N2247">
        <v>90</v>
      </c>
      <c r="O2247">
        <v>2330</v>
      </c>
      <c r="P2247">
        <v>552.6</v>
      </c>
      <c r="Q2247" s="1" t="str">
        <v/>
      </c>
      <c r="R2247" s="1" t="str">
        <v/>
      </c>
      <c r="S2247" s="3">
        <v>0</v>
      </c>
      <c r="T2247" s="3">
        <v>0</v>
      </c>
    </row>
    <row r="2248" spans="1:20" x14ac:dyDescent="0.25">
      <c r="A2248" t="s">
        <v>783</v>
      </c>
      <c r="B2248" t="s">
        <v>2961</v>
      </c>
      <c r="C2248" t="s">
        <v>2369</v>
      </c>
      <c r="D2248" t="s">
        <v>2370</v>
      </c>
      <c r="E2248">
        <v>14.54</v>
      </c>
      <c r="F2248">
        <v>14.24</v>
      </c>
      <c r="G2248">
        <v>14.24</v>
      </c>
      <c r="H2248">
        <v>14.24</v>
      </c>
      <c r="I2248" s="1">
        <v>14.24</v>
      </c>
      <c r="J2248">
        <v>73862.880000000005</v>
      </c>
      <c r="K2248">
        <v>5187</v>
      </c>
      <c r="L2248" t="s">
        <v>78</v>
      </c>
      <c r="M2248" t="s">
        <v>17</v>
      </c>
      <c r="N2248">
        <v>30</v>
      </c>
      <c r="O2248">
        <v>15.82</v>
      </c>
      <c r="P2248">
        <v>6.15</v>
      </c>
      <c r="Q2248" s="1">
        <v>21.25</v>
      </c>
      <c r="R2248" s="1">
        <v>14.1</v>
      </c>
      <c r="S2248" s="3">
        <v>-3.2808239961460539E-2</v>
      </c>
      <c r="T2248" s="3">
        <v>4.9385679745284072E-4</v>
      </c>
    </row>
    <row r="2249" spans="1:20" x14ac:dyDescent="0.25">
      <c r="A2249" t="s">
        <v>78</v>
      </c>
      <c r="B2249" t="s">
        <v>2961</v>
      </c>
      <c r="C2249" t="s">
        <v>2371</v>
      </c>
      <c r="D2249" t="s">
        <v>2372</v>
      </c>
      <c r="E2249">
        <v>28.36</v>
      </c>
      <c r="F2249">
        <v>29</v>
      </c>
      <c r="G2249">
        <v>29.77</v>
      </c>
      <c r="H2249">
        <v>28.01</v>
      </c>
      <c r="I2249" s="1">
        <v>29.59</v>
      </c>
      <c r="J2249">
        <v>1500075.5</v>
      </c>
      <c r="K2249">
        <v>50912</v>
      </c>
      <c r="L2249" t="s">
        <v>78</v>
      </c>
      <c r="M2249" t="s">
        <v>17</v>
      </c>
      <c r="N2249">
        <v>193</v>
      </c>
      <c r="O2249">
        <v>32</v>
      </c>
      <c r="P2249">
        <v>17.75</v>
      </c>
      <c r="Q2249" s="1">
        <v>68</v>
      </c>
      <c r="R2249" s="1">
        <v>432.1</v>
      </c>
      <c r="S2249" s="3">
        <v>-6.6989915859642202E-2</v>
      </c>
      <c r="T2249" s="3">
        <v>-0.12539909999586507</v>
      </c>
    </row>
    <row r="2250" spans="1:20" x14ac:dyDescent="0.25">
      <c r="A2250" t="s">
        <v>78</v>
      </c>
      <c r="B2250" t="s">
        <v>2961</v>
      </c>
      <c r="C2250" t="s">
        <v>2377</v>
      </c>
      <c r="D2250" t="s">
        <v>2378</v>
      </c>
      <c r="E2250">
        <v>4189.05</v>
      </c>
      <c r="F2250">
        <v>4279.95</v>
      </c>
      <c r="G2250">
        <v>4279.95</v>
      </c>
      <c r="H2250">
        <v>3990</v>
      </c>
      <c r="I2250" s="1">
        <v>4094.05</v>
      </c>
      <c r="J2250">
        <v>257229788.5</v>
      </c>
      <c r="K2250">
        <v>62971</v>
      </c>
      <c r="L2250" t="s">
        <v>78</v>
      </c>
      <c r="M2250" t="s">
        <v>17</v>
      </c>
      <c r="N2250">
        <v>5532</v>
      </c>
      <c r="O2250">
        <v>4690</v>
      </c>
      <c r="P2250">
        <v>586.75</v>
      </c>
      <c r="Q2250" s="1">
        <v>840</v>
      </c>
      <c r="R2250" s="1">
        <v>347.05</v>
      </c>
      <c r="S2250" s="3">
        <v>0.14109767727448208</v>
      </c>
      <c r="T2250" s="3">
        <v>0.13125030014945827</v>
      </c>
    </row>
    <row r="2251" spans="1:20" x14ac:dyDescent="0.25">
      <c r="A2251" t="s">
        <v>78</v>
      </c>
      <c r="B2251" t="s">
        <v>2961</v>
      </c>
      <c r="C2251" t="s">
        <v>5077</v>
      </c>
      <c r="D2251" t="s">
        <v>5076</v>
      </c>
      <c r="E2251">
        <v>15.65</v>
      </c>
      <c r="F2251">
        <v>15.7</v>
      </c>
      <c r="G2251">
        <v>15.8</v>
      </c>
      <c r="H2251">
        <v>15.25</v>
      </c>
      <c r="I2251" s="1">
        <v>15.45</v>
      </c>
      <c r="J2251">
        <v>88091.65</v>
      </c>
      <c r="K2251">
        <v>5679</v>
      </c>
      <c r="L2251" t="s">
        <v>78</v>
      </c>
      <c r="M2251" t="s">
        <v>17</v>
      </c>
      <c r="N2251">
        <v>40</v>
      </c>
      <c r="O2251">
        <v>34.4</v>
      </c>
      <c r="P2251">
        <v>13.5</v>
      </c>
      <c r="Q2251" s="1" t="str">
        <v/>
      </c>
      <c r="R2251" s="1">
        <v>24</v>
      </c>
      <c r="S2251" s="3">
        <v>0</v>
      </c>
      <c r="T2251" s="3">
        <v>-2.1769724339495089E-2</v>
      </c>
    </row>
    <row r="2252" spans="1:20" x14ac:dyDescent="0.25">
      <c r="A2252" t="s">
        <v>783</v>
      </c>
      <c r="B2252" t="s">
        <v>2961</v>
      </c>
      <c r="C2252" t="s">
        <v>2401</v>
      </c>
      <c r="D2252" t="s">
        <v>2402</v>
      </c>
      <c r="E2252">
        <v>146</v>
      </c>
      <c r="F2252">
        <v>143.08000000000001</v>
      </c>
      <c r="G2252">
        <v>144.02000000000001</v>
      </c>
      <c r="H2252">
        <v>143.08000000000001</v>
      </c>
      <c r="I2252" s="1">
        <v>143.08000000000001</v>
      </c>
      <c r="J2252">
        <v>492988.94</v>
      </c>
      <c r="K2252">
        <v>3436</v>
      </c>
      <c r="L2252" t="s">
        <v>78</v>
      </c>
      <c r="M2252" t="s">
        <v>17</v>
      </c>
      <c r="N2252">
        <v>68</v>
      </c>
      <c r="O2252">
        <v>172.5</v>
      </c>
      <c r="P2252">
        <v>42.45</v>
      </c>
      <c r="Q2252" s="1">
        <v>53.7</v>
      </c>
      <c r="R2252" s="1" t="str">
        <v/>
      </c>
      <c r="S2252" s="3">
        <v>8.5093229824301009E-2</v>
      </c>
      <c r="T2252" s="3">
        <v>0</v>
      </c>
    </row>
    <row r="2253" spans="1:20" x14ac:dyDescent="0.25">
      <c r="A2253" t="s">
        <v>783</v>
      </c>
      <c r="B2253" t="s">
        <v>2961</v>
      </c>
      <c r="C2253" t="s">
        <v>2407</v>
      </c>
      <c r="D2253" t="s">
        <v>2408</v>
      </c>
      <c r="E2253">
        <v>28.65</v>
      </c>
      <c r="F2253">
        <v>28.07</v>
      </c>
      <c r="G2253">
        <v>28.07</v>
      </c>
      <c r="H2253">
        <v>28.07</v>
      </c>
      <c r="I2253" s="1">
        <v>28.07</v>
      </c>
      <c r="J2253">
        <v>268573.76</v>
      </c>
      <c r="K2253">
        <v>9568</v>
      </c>
      <c r="L2253" t="s">
        <v>78</v>
      </c>
      <c r="M2253" t="s">
        <v>17</v>
      </c>
      <c r="N2253">
        <v>43</v>
      </c>
      <c r="O2253">
        <v>35.450000000000003</v>
      </c>
      <c r="P2253">
        <v>21.5</v>
      </c>
      <c r="Q2253" s="1">
        <v>12.3</v>
      </c>
      <c r="R2253" s="1">
        <v>5</v>
      </c>
      <c r="S2253" s="3">
        <v>7.1177499971091462E-2</v>
      </c>
      <c r="T2253" s="3">
        <v>9.0041678090423405E-2</v>
      </c>
    </row>
    <row r="2254" spans="1:20" x14ac:dyDescent="0.25">
      <c r="A2254" t="s">
        <v>78</v>
      </c>
      <c r="B2254" t="s">
        <v>2961</v>
      </c>
      <c r="C2254" t="s">
        <v>3451</v>
      </c>
      <c r="D2254" t="s">
        <v>3452</v>
      </c>
      <c r="E2254">
        <v>0.9</v>
      </c>
      <c r="F2254">
        <v>0.85</v>
      </c>
      <c r="G2254">
        <v>0.94</v>
      </c>
      <c r="H2254">
        <v>0.85</v>
      </c>
      <c r="I2254" s="1">
        <v>0.92</v>
      </c>
      <c r="J2254">
        <v>2917636.93</v>
      </c>
      <c r="K2254">
        <v>3369543</v>
      </c>
      <c r="L2254" t="s">
        <v>78</v>
      </c>
      <c r="M2254" t="s">
        <v>17</v>
      </c>
      <c r="N2254">
        <v>1626</v>
      </c>
      <c r="O2254">
        <v>1.7</v>
      </c>
      <c r="P2254">
        <v>0.85</v>
      </c>
      <c r="Q2254" s="1">
        <v>2.0499999999999998</v>
      </c>
      <c r="R2254" s="1">
        <v>67.75</v>
      </c>
      <c r="S2254" s="3">
        <v>-6.4588229304853528E-2</v>
      </c>
      <c r="T2254" s="3">
        <v>-0.19333158526297467</v>
      </c>
    </row>
    <row r="2255" spans="1:20" x14ac:dyDescent="0.25">
      <c r="A2255" t="s">
        <v>783</v>
      </c>
      <c r="B2255" t="s">
        <v>2961</v>
      </c>
      <c r="C2255" t="s">
        <v>3455</v>
      </c>
      <c r="D2255" t="s">
        <v>3456</v>
      </c>
      <c r="E2255">
        <v>14.35</v>
      </c>
      <c r="F2255">
        <v>14.63</v>
      </c>
      <c r="G2255">
        <v>14.63</v>
      </c>
      <c r="H2255">
        <v>14.63</v>
      </c>
      <c r="I2255" s="1">
        <v>14.63</v>
      </c>
      <c r="J2255">
        <v>142744.91</v>
      </c>
      <c r="K2255">
        <v>9757</v>
      </c>
      <c r="L2255" t="s">
        <v>78</v>
      </c>
      <c r="M2255" t="s">
        <v>17</v>
      </c>
      <c r="N2255">
        <v>37</v>
      </c>
      <c r="O2255">
        <v>19.850000000000001</v>
      </c>
      <c r="P2255">
        <v>6.3</v>
      </c>
      <c r="Q2255" s="1">
        <v>14.85</v>
      </c>
      <c r="R2255" s="1" t="str">
        <v/>
      </c>
      <c r="S2255" s="3">
        <v>-1.2430309809026152E-3</v>
      </c>
      <c r="T2255" s="3">
        <v>0</v>
      </c>
    </row>
    <row r="2256" spans="1:20" x14ac:dyDescent="0.25">
      <c r="A2256" t="s">
        <v>78</v>
      </c>
      <c r="B2256" t="s">
        <v>2961</v>
      </c>
      <c r="C2256" t="s">
        <v>5075</v>
      </c>
      <c r="D2256" t="s">
        <v>5074</v>
      </c>
      <c r="E2256">
        <v>95.68</v>
      </c>
      <c r="F2256">
        <v>95.9</v>
      </c>
      <c r="G2256">
        <v>100.46</v>
      </c>
      <c r="H2256">
        <v>94.55</v>
      </c>
      <c r="I2256" s="1">
        <v>100.46</v>
      </c>
      <c r="J2256">
        <v>11625914.73</v>
      </c>
      <c r="K2256">
        <v>116569</v>
      </c>
      <c r="L2256" t="s">
        <v>78</v>
      </c>
      <c r="M2256" t="s">
        <v>17</v>
      </c>
      <c r="N2256">
        <v>687</v>
      </c>
      <c r="O2256">
        <v>118</v>
      </c>
      <c r="P2256">
        <v>57</v>
      </c>
      <c r="Q2256" s="1" t="str">
        <v/>
      </c>
      <c r="R2256" s="1" t="str">
        <v/>
      </c>
      <c r="S2256" s="3">
        <v>0</v>
      </c>
      <c r="T2256" s="3">
        <v>0</v>
      </c>
    </row>
    <row r="2257" spans="1:20" x14ac:dyDescent="0.25">
      <c r="A2257" t="s">
        <v>78</v>
      </c>
      <c r="B2257" t="s">
        <v>2961</v>
      </c>
      <c r="C2257" t="s">
        <v>3463</v>
      </c>
      <c r="D2257" t="s">
        <v>3464</v>
      </c>
      <c r="E2257">
        <v>29.09</v>
      </c>
      <c r="F2257">
        <v>27.63</v>
      </c>
      <c r="G2257">
        <v>27.63</v>
      </c>
      <c r="H2257">
        <v>27.63</v>
      </c>
      <c r="I2257" s="1">
        <v>27.63</v>
      </c>
      <c r="J2257">
        <v>1498015.71</v>
      </c>
      <c r="K2257">
        <v>54217</v>
      </c>
      <c r="L2257" t="s">
        <v>78</v>
      </c>
      <c r="M2257" t="s">
        <v>17</v>
      </c>
      <c r="N2257">
        <v>219</v>
      </c>
      <c r="O2257">
        <v>38.5</v>
      </c>
      <c r="P2257">
        <v>23.25</v>
      </c>
      <c r="Q2257" s="1">
        <v>34.950000000000003</v>
      </c>
      <c r="R2257" s="1">
        <v>5.75</v>
      </c>
      <c r="S2257" s="3">
        <v>-1.9394159902000441E-2</v>
      </c>
      <c r="T2257" s="3">
        <v>8.1600763511968877E-2</v>
      </c>
    </row>
    <row r="2258" spans="1:20" x14ac:dyDescent="0.25">
      <c r="A2258" t="s">
        <v>78</v>
      </c>
      <c r="B2258" t="s">
        <v>2961</v>
      </c>
      <c r="C2258" t="s">
        <v>3467</v>
      </c>
      <c r="D2258" t="s">
        <v>3468</v>
      </c>
      <c r="E2258">
        <v>0.76</v>
      </c>
      <c r="F2258">
        <v>0.77</v>
      </c>
      <c r="G2258">
        <v>0.77</v>
      </c>
      <c r="H2258">
        <v>0.77</v>
      </c>
      <c r="I2258" s="1">
        <v>0.77</v>
      </c>
      <c r="J2258">
        <v>1003798.18</v>
      </c>
      <c r="K2258">
        <v>1303634</v>
      </c>
      <c r="L2258" t="s">
        <v>78</v>
      </c>
      <c r="M2258" t="s">
        <v>17</v>
      </c>
      <c r="N2258">
        <v>245</v>
      </c>
      <c r="O2258">
        <v>1.1499999999999999</v>
      </c>
      <c r="P2258">
        <v>0.5</v>
      </c>
      <c r="Q2258" s="1">
        <v>1.45</v>
      </c>
      <c r="R2258" s="1">
        <v>2.35</v>
      </c>
      <c r="S2258" s="3">
        <v>-5.1377196496760313E-2</v>
      </c>
      <c r="T2258" s="3">
        <v>-5.4232443472240099E-2</v>
      </c>
    </row>
    <row r="2259" spans="1:20" x14ac:dyDescent="0.25">
      <c r="A2259" t="s">
        <v>78</v>
      </c>
      <c r="B2259" t="s">
        <v>2961</v>
      </c>
      <c r="C2259" t="s">
        <v>5073</v>
      </c>
      <c r="D2259" t="s">
        <v>5072</v>
      </c>
      <c r="E2259">
        <v>1998.7</v>
      </c>
      <c r="F2259">
        <v>1950</v>
      </c>
      <c r="G2259">
        <v>1950</v>
      </c>
      <c r="H2259">
        <v>1898.8</v>
      </c>
      <c r="I2259" s="1">
        <v>1898.8</v>
      </c>
      <c r="J2259">
        <v>23303322.149999999</v>
      </c>
      <c r="K2259">
        <v>12251</v>
      </c>
      <c r="L2259" t="s">
        <v>78</v>
      </c>
      <c r="M2259" t="s">
        <v>17</v>
      </c>
      <c r="N2259">
        <v>1014</v>
      </c>
      <c r="O2259">
        <v>2250</v>
      </c>
      <c r="P2259">
        <v>563</v>
      </c>
      <c r="Q2259" s="1" t="str">
        <v/>
      </c>
      <c r="R2259" s="1" t="str">
        <v/>
      </c>
      <c r="S2259" s="3">
        <v>0</v>
      </c>
      <c r="T2259" s="3">
        <v>0</v>
      </c>
    </row>
    <row r="2260" spans="1:20" x14ac:dyDescent="0.25">
      <c r="A2260" t="s">
        <v>783</v>
      </c>
      <c r="B2260" t="s">
        <v>2961</v>
      </c>
      <c r="C2260" t="s">
        <v>2455</v>
      </c>
      <c r="D2260" t="s">
        <v>2456</v>
      </c>
      <c r="E2260">
        <v>314</v>
      </c>
      <c r="F2260">
        <v>314</v>
      </c>
      <c r="G2260">
        <v>315</v>
      </c>
      <c r="H2260">
        <v>308</v>
      </c>
      <c r="I2260" s="1">
        <v>308</v>
      </c>
      <c r="J2260">
        <v>2226603.15</v>
      </c>
      <c r="K2260">
        <v>7093</v>
      </c>
      <c r="L2260" t="s">
        <v>78</v>
      </c>
      <c r="M2260" t="s">
        <v>17</v>
      </c>
      <c r="N2260">
        <v>36</v>
      </c>
      <c r="O2260">
        <v>346.3</v>
      </c>
      <c r="P2260">
        <v>158</v>
      </c>
      <c r="Q2260" s="1">
        <v>123.1</v>
      </c>
      <c r="R2260" s="1">
        <v>85.5</v>
      </c>
      <c r="S2260" s="3">
        <v>7.9421478056803441E-2</v>
      </c>
      <c r="T2260" s="3">
        <v>6.613939070470698E-2</v>
      </c>
    </row>
    <row r="2261" spans="1:20" x14ac:dyDescent="0.25">
      <c r="A2261" t="s">
        <v>78</v>
      </c>
      <c r="B2261" t="s">
        <v>2961</v>
      </c>
      <c r="C2261" t="s">
        <v>2469</v>
      </c>
      <c r="D2261" t="s">
        <v>2470</v>
      </c>
      <c r="E2261">
        <v>565.25</v>
      </c>
      <c r="F2261">
        <v>565.25</v>
      </c>
      <c r="G2261">
        <v>565.25</v>
      </c>
      <c r="H2261">
        <v>552.70000000000005</v>
      </c>
      <c r="I2261" s="1">
        <v>553.04999999999995</v>
      </c>
      <c r="J2261">
        <v>47664595.049999997</v>
      </c>
      <c r="K2261">
        <v>85468</v>
      </c>
      <c r="L2261" t="s">
        <v>78</v>
      </c>
      <c r="M2261" t="s">
        <v>17</v>
      </c>
      <c r="N2261">
        <v>1498</v>
      </c>
      <c r="O2261">
        <v>639.70000000000005</v>
      </c>
      <c r="P2261">
        <v>286</v>
      </c>
      <c r="Q2261" s="1">
        <v>1650</v>
      </c>
      <c r="R2261" s="1">
        <v>388.7</v>
      </c>
      <c r="S2261" s="3">
        <v>-8.7064620834507833E-2</v>
      </c>
      <c r="T2261" s="3">
        <v>1.7778562820680799E-2</v>
      </c>
    </row>
    <row r="2262" spans="1:20" x14ac:dyDescent="0.25">
      <c r="A2262" t="s">
        <v>78</v>
      </c>
      <c r="B2262" t="s">
        <v>2961</v>
      </c>
      <c r="C2262" t="s">
        <v>3473</v>
      </c>
      <c r="D2262" t="s">
        <v>3474</v>
      </c>
      <c r="E2262">
        <v>33.979999999999997</v>
      </c>
      <c r="F2262">
        <v>33.979999999999997</v>
      </c>
      <c r="G2262">
        <v>34.75</v>
      </c>
      <c r="H2262">
        <v>33.6</v>
      </c>
      <c r="I2262" s="1">
        <v>34.01</v>
      </c>
      <c r="J2262">
        <v>315380.43</v>
      </c>
      <c r="K2262">
        <v>9317</v>
      </c>
      <c r="L2262" t="s">
        <v>78</v>
      </c>
      <c r="M2262" t="s">
        <v>17</v>
      </c>
      <c r="N2262">
        <v>45</v>
      </c>
      <c r="O2262">
        <v>42.2</v>
      </c>
      <c r="P2262">
        <v>18.2</v>
      </c>
      <c r="Q2262" s="1">
        <v>6.85</v>
      </c>
      <c r="R2262" s="1" t="str">
        <v/>
      </c>
      <c r="S2262" s="3">
        <v>0.14285992717012475</v>
      </c>
      <c r="T2262" s="3">
        <v>0</v>
      </c>
    </row>
    <row r="2263" spans="1:20" x14ac:dyDescent="0.25">
      <c r="A2263" t="s">
        <v>78</v>
      </c>
      <c r="B2263" t="s">
        <v>2961</v>
      </c>
      <c r="C2263" t="s">
        <v>2475</v>
      </c>
      <c r="D2263" t="s">
        <v>2476</v>
      </c>
      <c r="E2263">
        <v>212.69</v>
      </c>
      <c r="F2263">
        <v>223.32</v>
      </c>
      <c r="G2263">
        <v>223.32</v>
      </c>
      <c r="H2263">
        <v>223.32</v>
      </c>
      <c r="I2263" s="1">
        <v>223.32</v>
      </c>
      <c r="J2263">
        <v>3598355.16</v>
      </c>
      <c r="K2263">
        <v>16113</v>
      </c>
      <c r="L2263" t="s">
        <v>78</v>
      </c>
      <c r="M2263" t="s">
        <v>17</v>
      </c>
      <c r="N2263">
        <v>122</v>
      </c>
      <c r="O2263">
        <v>235.58</v>
      </c>
      <c r="P2263">
        <v>83.15</v>
      </c>
      <c r="Q2263" s="1">
        <v>58.1</v>
      </c>
      <c r="R2263" s="1">
        <v>13.4</v>
      </c>
      <c r="S2263" s="3">
        <v>0.11874031999235091</v>
      </c>
      <c r="T2263" s="3">
        <v>0.15095325312576735</v>
      </c>
    </row>
    <row r="2264" spans="1:20" x14ac:dyDescent="0.25">
      <c r="A2264" t="s">
        <v>783</v>
      </c>
      <c r="B2264" t="s">
        <v>2961</v>
      </c>
      <c r="C2264" t="s">
        <v>3481</v>
      </c>
      <c r="D2264" t="s">
        <v>3482</v>
      </c>
      <c r="E2264">
        <v>5.41</v>
      </c>
      <c r="F2264">
        <v>5.51</v>
      </c>
      <c r="G2264">
        <v>5.51</v>
      </c>
      <c r="H2264">
        <v>5.51</v>
      </c>
      <c r="I2264" s="1">
        <v>5.51</v>
      </c>
      <c r="J2264">
        <v>927625.03</v>
      </c>
      <c r="K2264">
        <v>168353</v>
      </c>
      <c r="L2264" t="s">
        <v>78</v>
      </c>
      <c r="M2264" t="s">
        <v>17</v>
      </c>
      <c r="N2264">
        <v>35</v>
      </c>
      <c r="O2264">
        <v>5.51</v>
      </c>
      <c r="P2264">
        <v>0.4</v>
      </c>
      <c r="Q2264" s="1">
        <v>0.7</v>
      </c>
      <c r="R2264" s="1">
        <v>0.2</v>
      </c>
      <c r="S2264" s="3">
        <v>0.18760257315729412</v>
      </c>
      <c r="T2264" s="3">
        <v>0.18022999104244541</v>
      </c>
    </row>
    <row r="2265" spans="1:20" x14ac:dyDescent="0.25">
      <c r="A2265" t="s">
        <v>783</v>
      </c>
      <c r="B2265" t="s">
        <v>2961</v>
      </c>
      <c r="C2265" t="s">
        <v>3483</v>
      </c>
      <c r="D2265" t="s">
        <v>3484</v>
      </c>
      <c r="E2265">
        <v>1.06</v>
      </c>
      <c r="F2265">
        <v>1.06</v>
      </c>
      <c r="G2265">
        <v>1.06</v>
      </c>
      <c r="H2265">
        <v>1.03</v>
      </c>
      <c r="I2265" s="1">
        <v>1.04</v>
      </c>
      <c r="J2265">
        <v>332883.86</v>
      </c>
      <c r="K2265">
        <v>318775</v>
      </c>
      <c r="L2265" t="s">
        <v>78</v>
      </c>
      <c r="M2265" t="s">
        <v>17</v>
      </c>
      <c r="N2265">
        <v>219</v>
      </c>
      <c r="O2265">
        <v>2.0499999999999998</v>
      </c>
      <c r="P2265">
        <v>0.95</v>
      </c>
      <c r="Q2265" s="1">
        <v>37</v>
      </c>
      <c r="R2265" s="1" t="str">
        <v/>
      </c>
      <c r="S2265" s="3">
        <v>-0.25743244797910347</v>
      </c>
      <c r="T2265" s="3">
        <v>0</v>
      </c>
    </row>
    <row r="2266" spans="1:20" x14ac:dyDescent="0.25">
      <c r="A2266" t="s">
        <v>78</v>
      </c>
      <c r="B2266" t="s">
        <v>2961</v>
      </c>
      <c r="C2266" t="s">
        <v>5071</v>
      </c>
      <c r="D2266" t="s">
        <v>5070</v>
      </c>
      <c r="E2266">
        <v>274.10000000000002</v>
      </c>
      <c r="F2266">
        <v>279.05</v>
      </c>
      <c r="G2266">
        <v>285</v>
      </c>
      <c r="H2266">
        <v>275.14999999999998</v>
      </c>
      <c r="I2266" s="1">
        <v>276.10000000000002</v>
      </c>
      <c r="J2266">
        <v>490188.75</v>
      </c>
      <c r="K2266">
        <v>1742</v>
      </c>
      <c r="L2266" t="s">
        <v>78</v>
      </c>
      <c r="M2266" t="s">
        <v>17</v>
      </c>
      <c r="N2266">
        <v>35</v>
      </c>
      <c r="O2266">
        <v>412.3</v>
      </c>
      <c r="P2266">
        <v>147.30000000000001</v>
      </c>
      <c r="Q2266" s="1" t="str">
        <v/>
      </c>
      <c r="R2266" s="1" t="str">
        <v/>
      </c>
      <c r="S2266" s="3">
        <v>0</v>
      </c>
      <c r="T2266" s="3">
        <v>0</v>
      </c>
    </row>
    <row r="2267" spans="1:20" x14ac:dyDescent="0.25">
      <c r="A2267" t="s">
        <v>783</v>
      </c>
      <c r="B2267" t="s">
        <v>2961</v>
      </c>
      <c r="C2267" t="s">
        <v>2551</v>
      </c>
      <c r="D2267" t="s">
        <v>2552</v>
      </c>
      <c r="E2267">
        <v>80.209999999999994</v>
      </c>
      <c r="F2267">
        <v>80.3</v>
      </c>
      <c r="G2267">
        <v>81.78</v>
      </c>
      <c r="H2267">
        <v>78.599999999999994</v>
      </c>
      <c r="I2267" s="1">
        <v>79.989999999999995</v>
      </c>
      <c r="J2267">
        <v>4264912.76</v>
      </c>
      <c r="K2267">
        <v>53309</v>
      </c>
      <c r="L2267" t="s">
        <v>78</v>
      </c>
      <c r="M2267" t="s">
        <v>17</v>
      </c>
      <c r="N2267">
        <v>76</v>
      </c>
      <c r="O2267">
        <v>91.16</v>
      </c>
      <c r="P2267">
        <v>27</v>
      </c>
      <c r="Q2267" s="1">
        <v>17.100000000000001</v>
      </c>
      <c r="R2267" s="1" t="str">
        <v/>
      </c>
      <c r="S2267" s="3">
        <v>0.13719942702340493</v>
      </c>
      <c r="T2267" s="3">
        <v>0</v>
      </c>
    </row>
    <row r="2268" spans="1:20" x14ac:dyDescent="0.25">
      <c r="A2268" t="s">
        <v>78</v>
      </c>
      <c r="B2268" t="s">
        <v>2961</v>
      </c>
      <c r="C2268" t="s">
        <v>3491</v>
      </c>
      <c r="D2268" t="s">
        <v>3492</v>
      </c>
      <c r="E2268">
        <v>3.35</v>
      </c>
      <c r="F2268">
        <v>3.28</v>
      </c>
      <c r="G2268">
        <v>3.43</v>
      </c>
      <c r="H2268">
        <v>3.22</v>
      </c>
      <c r="I2268" s="1">
        <v>3.28</v>
      </c>
      <c r="J2268">
        <v>7690228.8499999996</v>
      </c>
      <c r="K2268">
        <v>2331923</v>
      </c>
      <c r="L2268" t="s">
        <v>78</v>
      </c>
      <c r="M2268" t="s">
        <v>17</v>
      </c>
      <c r="N2268">
        <v>1756</v>
      </c>
      <c r="O2268">
        <v>4.2</v>
      </c>
      <c r="P2268">
        <v>2.5</v>
      </c>
      <c r="Q2268" s="1">
        <v>2.15</v>
      </c>
      <c r="R2268" s="1">
        <v>1.65</v>
      </c>
      <c r="S2268" s="3">
        <v>3.5824745571795269E-2</v>
      </c>
      <c r="T2268" s="3">
        <v>3.4930829671153685E-2</v>
      </c>
    </row>
    <row r="2269" spans="1:20" x14ac:dyDescent="0.25">
      <c r="A2269" t="s">
        <v>783</v>
      </c>
      <c r="B2269" t="s">
        <v>2961</v>
      </c>
      <c r="C2269" t="s">
        <v>3497</v>
      </c>
      <c r="D2269" t="s">
        <v>3498</v>
      </c>
      <c r="E2269">
        <v>1.61</v>
      </c>
      <c r="F2269">
        <v>1.64</v>
      </c>
      <c r="G2269">
        <v>1.64</v>
      </c>
      <c r="H2269">
        <v>1.64</v>
      </c>
      <c r="I2269" s="1">
        <v>1.64</v>
      </c>
      <c r="J2269">
        <v>6733523.4800000004</v>
      </c>
      <c r="K2269">
        <v>4105807</v>
      </c>
      <c r="L2269" t="s">
        <v>78</v>
      </c>
      <c r="M2269" t="s">
        <v>17</v>
      </c>
      <c r="N2269">
        <v>341</v>
      </c>
      <c r="O2269">
        <v>1.64</v>
      </c>
      <c r="P2269">
        <v>0.6</v>
      </c>
      <c r="Q2269" s="1">
        <v>33.35</v>
      </c>
      <c r="R2269" s="1">
        <v>37</v>
      </c>
      <c r="S2269" s="3">
        <v>-0.22200106799102459</v>
      </c>
      <c r="T2269" s="3">
        <v>-0.14420614407467269</v>
      </c>
    </row>
    <row r="2270" spans="1:20" x14ac:dyDescent="0.25">
      <c r="A2270" t="s">
        <v>78</v>
      </c>
      <c r="B2270" t="s">
        <v>2961</v>
      </c>
      <c r="C2270" t="s">
        <v>5069</v>
      </c>
      <c r="D2270" t="s">
        <v>5068</v>
      </c>
      <c r="E2270">
        <v>608.20000000000005</v>
      </c>
      <c r="F2270">
        <v>605</v>
      </c>
      <c r="G2270">
        <v>605</v>
      </c>
      <c r="H2270">
        <v>585</v>
      </c>
      <c r="I2270" s="1">
        <v>587.35</v>
      </c>
      <c r="J2270">
        <v>32353544.699999999</v>
      </c>
      <c r="K2270">
        <v>54619</v>
      </c>
      <c r="L2270" t="s">
        <v>78</v>
      </c>
      <c r="M2270" t="s">
        <v>17</v>
      </c>
      <c r="N2270">
        <v>1023</v>
      </c>
      <c r="O2270">
        <v>692</v>
      </c>
      <c r="P2270">
        <v>255.8</v>
      </c>
      <c r="Q2270" s="1" t="str">
        <v/>
      </c>
      <c r="R2270" s="1" t="str">
        <v/>
      </c>
      <c r="S2270" s="3">
        <v>0</v>
      </c>
      <c r="T2270" s="3">
        <v>0</v>
      </c>
    </row>
    <row r="2271" spans="1:20" x14ac:dyDescent="0.25">
      <c r="A2271" t="s">
        <v>78</v>
      </c>
      <c r="B2271" t="s">
        <v>2961</v>
      </c>
      <c r="C2271" t="s">
        <v>2579</v>
      </c>
      <c r="D2271" t="s">
        <v>2580</v>
      </c>
      <c r="E2271">
        <v>27.54</v>
      </c>
      <c r="F2271">
        <v>27.82</v>
      </c>
      <c r="G2271">
        <v>28.5</v>
      </c>
      <c r="H2271">
        <v>26.9</v>
      </c>
      <c r="I2271" s="1">
        <v>27.13</v>
      </c>
      <c r="J2271">
        <v>10204241.109999999</v>
      </c>
      <c r="K2271">
        <v>370644</v>
      </c>
      <c r="L2271" t="s">
        <v>78</v>
      </c>
      <c r="M2271" t="s">
        <v>17</v>
      </c>
      <c r="N2271">
        <v>2385</v>
      </c>
      <c r="O2271">
        <v>29.6</v>
      </c>
      <c r="P2271">
        <v>8.9</v>
      </c>
      <c r="Q2271" s="1">
        <v>7</v>
      </c>
      <c r="R2271" s="1">
        <v>4</v>
      </c>
      <c r="S2271" s="3">
        <v>0.11951344275081222</v>
      </c>
      <c r="T2271" s="3">
        <v>0.10039022750419235</v>
      </c>
    </row>
    <row r="2272" spans="1:20" x14ac:dyDescent="0.25">
      <c r="A2272" t="s">
        <v>78</v>
      </c>
      <c r="B2272" t="s">
        <v>2961</v>
      </c>
      <c r="C2272" t="s">
        <v>2587</v>
      </c>
      <c r="D2272" t="s">
        <v>2588</v>
      </c>
      <c r="E2272">
        <v>5.92</v>
      </c>
      <c r="F2272">
        <v>5.62</v>
      </c>
      <c r="G2272">
        <v>5.92</v>
      </c>
      <c r="H2272">
        <v>5.62</v>
      </c>
      <c r="I2272" s="1">
        <v>5.71</v>
      </c>
      <c r="J2272">
        <v>1455613.65</v>
      </c>
      <c r="K2272">
        <v>252243</v>
      </c>
      <c r="L2272" t="s">
        <v>78</v>
      </c>
      <c r="M2272" t="s">
        <v>17</v>
      </c>
      <c r="N2272">
        <v>466</v>
      </c>
      <c r="O2272">
        <v>11</v>
      </c>
      <c r="P2272">
        <v>5.34</v>
      </c>
      <c r="Q2272" s="1">
        <v>517</v>
      </c>
      <c r="R2272" s="1" t="str">
        <v/>
      </c>
      <c r="S2272" s="3">
        <v>-0.31304419613496959</v>
      </c>
      <c r="T2272" s="3">
        <v>0</v>
      </c>
    </row>
    <row r="2273" spans="1:20" x14ac:dyDescent="0.25">
      <c r="A2273" t="s">
        <v>78</v>
      </c>
      <c r="B2273" t="s">
        <v>2961</v>
      </c>
      <c r="C2273" t="s">
        <v>2611</v>
      </c>
      <c r="D2273" t="s">
        <v>2612</v>
      </c>
      <c r="E2273">
        <v>201.68</v>
      </c>
      <c r="F2273">
        <v>201.68</v>
      </c>
      <c r="G2273">
        <v>207.4</v>
      </c>
      <c r="H2273">
        <v>198</v>
      </c>
      <c r="I2273" s="1">
        <v>198.1</v>
      </c>
      <c r="J2273">
        <v>3905309.36</v>
      </c>
      <c r="K2273">
        <v>19104</v>
      </c>
      <c r="L2273" t="s">
        <v>78</v>
      </c>
      <c r="M2273" t="s">
        <v>17</v>
      </c>
      <c r="N2273">
        <v>140</v>
      </c>
      <c r="O2273">
        <v>217.95</v>
      </c>
      <c r="P2273">
        <v>112.1</v>
      </c>
      <c r="Q2273" s="1">
        <v>79.45</v>
      </c>
      <c r="R2273" s="1">
        <v>51</v>
      </c>
      <c r="S2273" s="3">
        <v>7.9110407616388878E-2</v>
      </c>
      <c r="T2273" s="3">
        <v>7.0162129397787876E-2</v>
      </c>
    </row>
    <row r="2274" spans="1:20" x14ac:dyDescent="0.25">
      <c r="A2274" t="s">
        <v>783</v>
      </c>
      <c r="B2274" t="s">
        <v>2961</v>
      </c>
      <c r="C2274" t="s">
        <v>3503</v>
      </c>
      <c r="D2274" t="s">
        <v>3504</v>
      </c>
      <c r="E2274">
        <v>12.01</v>
      </c>
      <c r="F2274">
        <v>12.01</v>
      </c>
      <c r="G2274">
        <v>12.01</v>
      </c>
      <c r="H2274">
        <v>11.8</v>
      </c>
      <c r="I2274" s="1">
        <v>11.8</v>
      </c>
      <c r="J2274">
        <v>300425.02</v>
      </c>
      <c r="K2274">
        <v>25186</v>
      </c>
      <c r="L2274" t="s">
        <v>78</v>
      </c>
      <c r="M2274" t="s">
        <v>17</v>
      </c>
      <c r="N2274">
        <v>68</v>
      </c>
      <c r="O2274">
        <v>14.88</v>
      </c>
      <c r="P2274">
        <v>4.3499999999999996</v>
      </c>
      <c r="Q2274" s="1">
        <v>5</v>
      </c>
      <c r="R2274" s="1">
        <v>6.1</v>
      </c>
      <c r="S2274" s="3">
        <v>7.4177373752015274E-2</v>
      </c>
      <c r="T2274" s="3">
        <v>3.3522086924305805E-2</v>
      </c>
    </row>
    <row r="2275" spans="1:20" x14ac:dyDescent="0.25">
      <c r="A2275" t="s">
        <v>78</v>
      </c>
      <c r="B2275" t="s">
        <v>2961</v>
      </c>
      <c r="C2275" t="s">
        <v>2619</v>
      </c>
      <c r="D2275" t="s">
        <v>2620</v>
      </c>
      <c r="E2275">
        <v>205.69</v>
      </c>
      <c r="F2275">
        <v>205.69</v>
      </c>
      <c r="G2275">
        <v>209.8</v>
      </c>
      <c r="H2275">
        <v>196</v>
      </c>
      <c r="I2275" s="1">
        <v>199.1</v>
      </c>
      <c r="J2275">
        <v>81142127.760000005</v>
      </c>
      <c r="K2275">
        <v>406143</v>
      </c>
      <c r="L2275" t="s">
        <v>78</v>
      </c>
      <c r="M2275" t="s">
        <v>17</v>
      </c>
      <c r="N2275">
        <v>2205</v>
      </c>
      <c r="O2275">
        <v>238.97</v>
      </c>
      <c r="P2275">
        <v>65.400000000000006</v>
      </c>
      <c r="Q2275" s="1">
        <v>45.2</v>
      </c>
      <c r="R2275" s="1" t="str">
        <v/>
      </c>
      <c r="S2275" s="3">
        <v>0.13151696236203159</v>
      </c>
      <c r="T2275" s="3">
        <v>0</v>
      </c>
    </row>
    <row r="2276" spans="1:20" x14ac:dyDescent="0.25">
      <c r="A2276" t="s">
        <v>78</v>
      </c>
      <c r="B2276" t="s">
        <v>2961</v>
      </c>
      <c r="C2276" t="s">
        <v>2621</v>
      </c>
      <c r="D2276" t="s">
        <v>2622</v>
      </c>
      <c r="E2276">
        <v>79.09</v>
      </c>
      <c r="F2276">
        <v>78.150000000000006</v>
      </c>
      <c r="G2276">
        <v>81.5</v>
      </c>
      <c r="H2276">
        <v>76.150000000000006</v>
      </c>
      <c r="I2276" s="1">
        <v>80.650000000000006</v>
      </c>
      <c r="J2276">
        <v>3103309.55</v>
      </c>
      <c r="K2276">
        <v>39121</v>
      </c>
      <c r="L2276" t="s">
        <v>78</v>
      </c>
      <c r="M2276" t="s">
        <v>17</v>
      </c>
      <c r="N2276">
        <v>227</v>
      </c>
      <c r="O2276">
        <v>153.9</v>
      </c>
      <c r="P2276">
        <v>57.35</v>
      </c>
      <c r="Q2276" s="1">
        <v>80.650000000000006</v>
      </c>
      <c r="R2276" s="1">
        <v>27.3</v>
      </c>
      <c r="S2276" s="3">
        <v>0</v>
      </c>
      <c r="T2276" s="3">
        <v>5.5623875971130277E-2</v>
      </c>
    </row>
    <row r="2277" spans="1:20" x14ac:dyDescent="0.25">
      <c r="A2277" t="s">
        <v>783</v>
      </c>
      <c r="B2277" t="s">
        <v>2961</v>
      </c>
      <c r="C2277" t="s">
        <v>2651</v>
      </c>
      <c r="D2277" t="s">
        <v>5067</v>
      </c>
      <c r="E2277">
        <v>15.22</v>
      </c>
      <c r="F2277">
        <v>14.91</v>
      </c>
      <c r="G2277">
        <v>14.91</v>
      </c>
      <c r="H2277">
        <v>14.91</v>
      </c>
      <c r="I2277" s="1">
        <v>14.91</v>
      </c>
      <c r="J2277">
        <v>146803.85999999999</v>
      </c>
      <c r="K2277">
        <v>9846</v>
      </c>
      <c r="L2277" t="s">
        <v>78</v>
      </c>
      <c r="M2277" t="s">
        <v>17</v>
      </c>
      <c r="N2277">
        <v>81</v>
      </c>
      <c r="O2277">
        <v>17.579999999999998</v>
      </c>
      <c r="P2277">
        <v>4.45</v>
      </c>
      <c r="Q2277" s="1">
        <v>5.55</v>
      </c>
      <c r="R2277" s="1">
        <v>11.2</v>
      </c>
      <c r="S2277" s="3">
        <v>8.5838880583457344E-2</v>
      </c>
      <c r="T2277" s="3">
        <v>1.4400789464158459E-2</v>
      </c>
    </row>
    <row r="2278" spans="1:20" x14ac:dyDescent="0.25">
      <c r="A2278" t="s">
        <v>78</v>
      </c>
      <c r="B2278" t="s">
        <v>2961</v>
      </c>
      <c r="C2278" t="s">
        <v>5066</v>
      </c>
      <c r="D2278" t="s">
        <v>5065</v>
      </c>
      <c r="E2278">
        <v>48.85</v>
      </c>
      <c r="F2278">
        <v>47.3</v>
      </c>
      <c r="G2278">
        <v>49.9</v>
      </c>
      <c r="H2278">
        <v>46.65</v>
      </c>
      <c r="I2278" s="1">
        <v>47.14</v>
      </c>
      <c r="J2278">
        <v>1016696.39</v>
      </c>
      <c r="K2278">
        <v>21376</v>
      </c>
      <c r="L2278" t="s">
        <v>78</v>
      </c>
      <c r="M2278" t="s">
        <v>17</v>
      </c>
      <c r="N2278">
        <v>215</v>
      </c>
      <c r="O2278">
        <v>61</v>
      </c>
      <c r="P2278">
        <v>18.25</v>
      </c>
      <c r="Q2278" s="1" t="str">
        <v/>
      </c>
      <c r="R2278" s="1" t="str">
        <v/>
      </c>
      <c r="S2278" s="3">
        <v>0</v>
      </c>
      <c r="T2278" s="3">
        <v>0</v>
      </c>
    </row>
    <row r="2279" spans="1:20" x14ac:dyDescent="0.25">
      <c r="A2279" t="s">
        <v>78</v>
      </c>
      <c r="B2279" t="s">
        <v>2961</v>
      </c>
      <c r="C2279" t="s">
        <v>3507</v>
      </c>
      <c r="D2279" t="s">
        <v>3508</v>
      </c>
      <c r="E2279">
        <v>26.17</v>
      </c>
      <c r="F2279">
        <v>25.99</v>
      </c>
      <c r="G2279">
        <v>26.16</v>
      </c>
      <c r="H2279">
        <v>25.5</v>
      </c>
      <c r="I2279" s="1">
        <v>25.53</v>
      </c>
      <c r="J2279">
        <v>74807.3</v>
      </c>
      <c r="K2279">
        <v>2906</v>
      </c>
      <c r="L2279" t="s">
        <v>78</v>
      </c>
      <c r="M2279" t="s">
        <v>17</v>
      </c>
      <c r="N2279">
        <v>42</v>
      </c>
      <c r="O2279">
        <v>44.95</v>
      </c>
      <c r="P2279">
        <v>11.3</v>
      </c>
      <c r="Q2279" s="1">
        <v>4.9000000000000004</v>
      </c>
      <c r="R2279" s="1">
        <v>3.05</v>
      </c>
      <c r="S2279" s="3">
        <v>0.1474608968025386</v>
      </c>
      <c r="T2279" s="3">
        <v>0.11201918970185298</v>
      </c>
    </row>
    <row r="2280" spans="1:20" x14ac:dyDescent="0.25">
      <c r="A2280" t="s">
        <v>78</v>
      </c>
      <c r="B2280" t="s">
        <v>2961</v>
      </c>
      <c r="C2280" t="s">
        <v>2661</v>
      </c>
      <c r="D2280" t="s">
        <v>2662</v>
      </c>
      <c r="E2280">
        <v>1495.7</v>
      </c>
      <c r="F2280">
        <v>1495.9</v>
      </c>
      <c r="G2280">
        <v>1559.8</v>
      </c>
      <c r="H2280">
        <v>1477.5</v>
      </c>
      <c r="I2280" s="1">
        <v>1505.1</v>
      </c>
      <c r="J2280">
        <v>343020133.55000001</v>
      </c>
      <c r="K2280">
        <v>225665</v>
      </c>
      <c r="L2280" t="s">
        <v>78</v>
      </c>
      <c r="M2280" t="s">
        <v>17</v>
      </c>
      <c r="N2280">
        <v>10224</v>
      </c>
      <c r="O2280">
        <v>1599.1</v>
      </c>
      <c r="P2280">
        <v>418.95</v>
      </c>
      <c r="Q2280" s="1">
        <v>305</v>
      </c>
      <c r="R2280" s="1">
        <v>259.55</v>
      </c>
      <c r="S2280" s="3">
        <v>0.14227882561510885</v>
      </c>
      <c r="T2280" s="3">
        <v>9.180810521281435E-2</v>
      </c>
    </row>
    <row r="2281" spans="1:20" x14ac:dyDescent="0.25">
      <c r="A2281" t="s">
        <v>78</v>
      </c>
      <c r="B2281" t="s">
        <v>2961</v>
      </c>
      <c r="C2281" t="s">
        <v>5064</v>
      </c>
      <c r="D2281" t="s">
        <v>5063</v>
      </c>
      <c r="E2281">
        <v>23.25</v>
      </c>
      <c r="F2281">
        <v>23.25</v>
      </c>
      <c r="G2281">
        <v>23.25</v>
      </c>
      <c r="H2281">
        <v>22.08</v>
      </c>
      <c r="I2281" s="1">
        <v>22.08</v>
      </c>
      <c r="J2281">
        <v>11407.65</v>
      </c>
      <c r="K2281">
        <v>506</v>
      </c>
      <c r="L2281" t="s">
        <v>78</v>
      </c>
      <c r="M2281" t="s">
        <v>17</v>
      </c>
      <c r="N2281">
        <v>10</v>
      </c>
      <c r="O2281">
        <v>39.08</v>
      </c>
      <c r="P2281">
        <v>16.3</v>
      </c>
      <c r="Q2281" s="1" t="str">
        <v/>
      </c>
      <c r="R2281" s="1" t="str">
        <v/>
      </c>
      <c r="S2281" s="3">
        <v>0</v>
      </c>
      <c r="T2281" s="3">
        <v>0</v>
      </c>
    </row>
    <row r="2282" spans="1:20" x14ac:dyDescent="0.25">
      <c r="A2282" t="s">
        <v>78</v>
      </c>
      <c r="B2282" t="s">
        <v>2961</v>
      </c>
      <c r="C2282" t="s">
        <v>2663</v>
      </c>
      <c r="D2282" t="s">
        <v>2664</v>
      </c>
      <c r="E2282">
        <v>75.12</v>
      </c>
      <c r="F2282">
        <v>76</v>
      </c>
      <c r="G2282">
        <v>76.739999999999995</v>
      </c>
      <c r="H2282">
        <v>73.599999999999994</v>
      </c>
      <c r="I2282" s="1">
        <v>74.099999999999994</v>
      </c>
      <c r="J2282">
        <v>1660941.07</v>
      </c>
      <c r="K2282">
        <v>22355</v>
      </c>
      <c r="L2282" t="s">
        <v>78</v>
      </c>
      <c r="M2282" t="s">
        <v>17</v>
      </c>
      <c r="N2282">
        <v>224</v>
      </c>
      <c r="O2282">
        <v>102.5</v>
      </c>
      <c r="P2282">
        <v>39.65</v>
      </c>
      <c r="Q2282" s="1">
        <v>75.099999999999994</v>
      </c>
      <c r="R2282" s="1">
        <v>29.3</v>
      </c>
      <c r="S2282" s="3">
        <v>-1.1164618312198282E-3</v>
      </c>
      <c r="T2282" s="3">
        <v>4.7457704872980289E-2</v>
      </c>
    </row>
    <row r="2283" spans="1:20" x14ac:dyDescent="0.25">
      <c r="A2283" t="s">
        <v>783</v>
      </c>
      <c r="B2283" t="s">
        <v>2961</v>
      </c>
      <c r="C2283" t="s">
        <v>3513</v>
      </c>
      <c r="D2283" t="s">
        <v>3514</v>
      </c>
      <c r="E2283">
        <v>24.73</v>
      </c>
      <c r="F2283">
        <v>24.5</v>
      </c>
      <c r="G2283">
        <v>24.6</v>
      </c>
      <c r="H2283">
        <v>24.26</v>
      </c>
      <c r="I2283" s="1">
        <v>24.52</v>
      </c>
      <c r="J2283">
        <v>296340.65999999997</v>
      </c>
      <c r="K2283">
        <v>12089</v>
      </c>
      <c r="L2283" t="s">
        <v>78</v>
      </c>
      <c r="M2283" t="s">
        <v>17</v>
      </c>
      <c r="N2283">
        <v>42</v>
      </c>
      <c r="O2283">
        <v>26.7</v>
      </c>
      <c r="P2283">
        <v>8.25</v>
      </c>
      <c r="Q2283" s="1">
        <v>6.45</v>
      </c>
      <c r="R2283" s="1">
        <v>5.05</v>
      </c>
      <c r="S2283" s="3">
        <v>0.11771238337866174</v>
      </c>
      <c r="T2283" s="3">
        <v>8.2162957399387171E-2</v>
      </c>
    </row>
    <row r="2284" spans="1:20" x14ac:dyDescent="0.25">
      <c r="A2284" t="s">
        <v>78</v>
      </c>
      <c r="B2284" t="s">
        <v>2961</v>
      </c>
      <c r="C2284" t="s">
        <v>2675</v>
      </c>
      <c r="D2284" t="s">
        <v>2676</v>
      </c>
      <c r="E2284">
        <v>180.74</v>
      </c>
      <c r="F2284">
        <v>176.5</v>
      </c>
      <c r="G2284">
        <v>180.7</v>
      </c>
      <c r="H2284">
        <v>173</v>
      </c>
      <c r="I2284" s="1">
        <v>177.83</v>
      </c>
      <c r="J2284">
        <v>2146270.63</v>
      </c>
      <c r="K2284">
        <v>12174</v>
      </c>
      <c r="L2284" t="s">
        <v>78</v>
      </c>
      <c r="M2284" t="s">
        <v>17</v>
      </c>
      <c r="N2284">
        <v>225</v>
      </c>
      <c r="O2284">
        <v>198.8</v>
      </c>
      <c r="P2284">
        <v>75.650000000000006</v>
      </c>
      <c r="Q2284" s="1">
        <v>108.1</v>
      </c>
      <c r="R2284" s="1">
        <v>121</v>
      </c>
      <c r="S2284" s="3">
        <v>4.2353297284407621E-2</v>
      </c>
      <c r="T2284" s="3">
        <v>1.942763884580323E-2</v>
      </c>
    </row>
    <row r="2285" spans="1:20" x14ac:dyDescent="0.25">
      <c r="A2285" t="s">
        <v>783</v>
      </c>
      <c r="B2285" t="s">
        <v>2961</v>
      </c>
      <c r="C2285" t="s">
        <v>3517</v>
      </c>
      <c r="D2285" t="s">
        <v>3518</v>
      </c>
      <c r="E2285">
        <v>259.7</v>
      </c>
      <c r="F2285">
        <v>254.5</v>
      </c>
      <c r="G2285">
        <v>254.5</v>
      </c>
      <c r="H2285">
        <v>254.5</v>
      </c>
      <c r="I2285" s="1">
        <v>254.5</v>
      </c>
      <c r="J2285">
        <v>1268937</v>
      </c>
      <c r="K2285">
        <v>4986</v>
      </c>
      <c r="L2285" t="s">
        <v>78</v>
      </c>
      <c r="M2285" t="s">
        <v>17</v>
      </c>
      <c r="N2285">
        <v>67</v>
      </c>
      <c r="O2285">
        <v>360.2</v>
      </c>
      <c r="P2285">
        <v>64.5</v>
      </c>
      <c r="Q2285" s="1">
        <v>17.850000000000001</v>
      </c>
      <c r="R2285" s="1" t="str">
        <v/>
      </c>
      <c r="S2285" s="3">
        <v>0.24787417553669533</v>
      </c>
      <c r="T2285" s="3">
        <v>0</v>
      </c>
    </row>
    <row r="2286" spans="1:20" x14ac:dyDescent="0.25">
      <c r="A2286" t="s">
        <v>78</v>
      </c>
      <c r="B2286" t="s">
        <v>2961</v>
      </c>
      <c r="C2286" t="s">
        <v>2693</v>
      </c>
      <c r="D2286" t="s">
        <v>2694</v>
      </c>
      <c r="E2286">
        <v>15.8</v>
      </c>
      <c r="F2286">
        <v>16.05</v>
      </c>
      <c r="G2286">
        <v>16.38</v>
      </c>
      <c r="H2286">
        <v>15.41</v>
      </c>
      <c r="I2286" s="1">
        <v>15.88</v>
      </c>
      <c r="J2286">
        <v>336971.11</v>
      </c>
      <c r="K2286">
        <v>21124</v>
      </c>
      <c r="L2286" t="s">
        <v>78</v>
      </c>
      <c r="M2286" t="s">
        <v>17</v>
      </c>
      <c r="N2286">
        <v>140</v>
      </c>
      <c r="O2286">
        <v>28.95</v>
      </c>
      <c r="P2286">
        <v>5.35</v>
      </c>
      <c r="Q2286" s="1">
        <v>8.5500000000000007</v>
      </c>
      <c r="R2286" s="1">
        <v>10.7</v>
      </c>
      <c r="S2286" s="3">
        <v>5.2948261681587061E-2</v>
      </c>
      <c r="T2286" s="3">
        <v>1.9925948086103373E-2</v>
      </c>
    </row>
    <row r="2287" spans="1:20" x14ac:dyDescent="0.25">
      <c r="A2287" t="s">
        <v>783</v>
      </c>
      <c r="B2287" t="s">
        <v>2961</v>
      </c>
      <c r="C2287" t="s">
        <v>3525</v>
      </c>
      <c r="D2287" t="s">
        <v>3526</v>
      </c>
      <c r="E2287">
        <v>32.06</v>
      </c>
      <c r="F2287">
        <v>31.41</v>
      </c>
      <c r="G2287">
        <v>31.41</v>
      </c>
      <c r="H2287">
        <v>31.41</v>
      </c>
      <c r="I2287" s="1">
        <v>31.41</v>
      </c>
      <c r="J2287">
        <v>2612463.9300000002</v>
      </c>
      <c r="K2287">
        <v>83173</v>
      </c>
      <c r="L2287" t="s">
        <v>78</v>
      </c>
      <c r="M2287" t="s">
        <v>17</v>
      </c>
      <c r="N2287">
        <v>730</v>
      </c>
      <c r="O2287">
        <v>32.72</v>
      </c>
      <c r="P2287">
        <v>10.15</v>
      </c>
      <c r="Q2287" s="1">
        <v>50.1</v>
      </c>
      <c r="R2287" s="1">
        <v>48.2</v>
      </c>
      <c r="S2287" s="3">
        <v>-3.8160701081270565E-2</v>
      </c>
      <c r="T2287" s="3">
        <v>-2.1172556005132348E-2</v>
      </c>
    </row>
    <row r="2288" spans="1:20" x14ac:dyDescent="0.25">
      <c r="A2288" t="s">
        <v>783</v>
      </c>
      <c r="B2288" t="s">
        <v>2961</v>
      </c>
      <c r="C2288" t="s">
        <v>3529</v>
      </c>
      <c r="D2288" t="s">
        <v>3530</v>
      </c>
      <c r="E2288">
        <v>9.85</v>
      </c>
      <c r="F2288">
        <v>10.039999999999999</v>
      </c>
      <c r="G2288">
        <v>10.039999999999999</v>
      </c>
      <c r="H2288">
        <v>10.039999999999999</v>
      </c>
      <c r="I2288" s="1">
        <v>10.039999999999999</v>
      </c>
      <c r="J2288">
        <v>73814.080000000002</v>
      </c>
      <c r="K2288">
        <v>7352</v>
      </c>
      <c r="L2288" t="s">
        <v>78</v>
      </c>
      <c r="M2288" t="s">
        <v>17</v>
      </c>
      <c r="N2288">
        <v>39</v>
      </c>
      <c r="O2288">
        <v>17.100000000000001</v>
      </c>
      <c r="P2288">
        <v>5.9</v>
      </c>
      <c r="Q2288" s="1">
        <v>10.8</v>
      </c>
      <c r="R2288" s="1">
        <v>1.7</v>
      </c>
      <c r="S2288" s="3">
        <v>-6.0623013014839966E-3</v>
      </c>
      <c r="T2288" s="3">
        <v>9.2806123892131387E-2</v>
      </c>
    </row>
    <row r="2289" spans="1:20" x14ac:dyDescent="0.25">
      <c r="A2289" t="s">
        <v>78</v>
      </c>
      <c r="B2289" t="s">
        <v>2961</v>
      </c>
      <c r="C2289" t="s">
        <v>2713</v>
      </c>
      <c r="D2289" t="s">
        <v>2714</v>
      </c>
      <c r="E2289">
        <v>114.35</v>
      </c>
      <c r="F2289">
        <v>114.5</v>
      </c>
      <c r="G2289">
        <v>115.1</v>
      </c>
      <c r="H2289">
        <v>111</v>
      </c>
      <c r="I2289" s="1">
        <v>111.08</v>
      </c>
      <c r="J2289">
        <v>1311439.6000000001</v>
      </c>
      <c r="K2289">
        <v>11672</v>
      </c>
      <c r="L2289" t="s">
        <v>78</v>
      </c>
      <c r="M2289" t="s">
        <v>17</v>
      </c>
      <c r="N2289">
        <v>119</v>
      </c>
      <c r="O2289">
        <v>150</v>
      </c>
      <c r="P2289">
        <v>88.15</v>
      </c>
      <c r="Q2289" s="1">
        <v>54.1</v>
      </c>
      <c r="R2289" s="1">
        <v>31.6</v>
      </c>
      <c r="S2289" s="3">
        <v>6.1784913926856699E-2</v>
      </c>
      <c r="T2289" s="3">
        <v>6.4835423222627142E-2</v>
      </c>
    </row>
    <row r="2290" spans="1:20" x14ac:dyDescent="0.25">
      <c r="A2290" t="s">
        <v>78</v>
      </c>
      <c r="B2290" t="s">
        <v>2961</v>
      </c>
      <c r="C2290" t="s">
        <v>5062</v>
      </c>
      <c r="D2290" t="s">
        <v>5061</v>
      </c>
      <c r="E2290">
        <v>1.7</v>
      </c>
      <c r="F2290">
        <v>1.64</v>
      </c>
      <c r="G2290">
        <v>1.78</v>
      </c>
      <c r="H2290">
        <v>1.61</v>
      </c>
      <c r="I2290" s="1">
        <v>1.61</v>
      </c>
      <c r="J2290">
        <v>11991775.93</v>
      </c>
      <c r="K2290">
        <v>7413984</v>
      </c>
      <c r="L2290" t="s">
        <v>78</v>
      </c>
      <c r="M2290" t="s">
        <v>17</v>
      </c>
      <c r="N2290">
        <v>2850</v>
      </c>
      <c r="O2290">
        <v>13</v>
      </c>
      <c r="P2290">
        <v>1</v>
      </c>
      <c r="Q2290" s="1" t="str">
        <v/>
      </c>
      <c r="R2290" s="1" t="str">
        <v/>
      </c>
      <c r="S2290" s="3">
        <v>0</v>
      </c>
      <c r="T2290" s="3">
        <v>0</v>
      </c>
    </row>
    <row r="2291" spans="1:20" x14ac:dyDescent="0.25">
      <c r="A2291" t="s">
        <v>783</v>
      </c>
      <c r="B2291" t="s">
        <v>2961</v>
      </c>
      <c r="C2291" t="s">
        <v>2721</v>
      </c>
      <c r="D2291" t="s">
        <v>2722</v>
      </c>
      <c r="E2291">
        <v>198.61</v>
      </c>
      <c r="F2291">
        <v>194.63</v>
      </c>
      <c r="G2291">
        <v>194.63</v>
      </c>
      <c r="H2291">
        <v>194.63</v>
      </c>
      <c r="I2291" s="1">
        <v>194.63</v>
      </c>
      <c r="J2291">
        <v>969452.03</v>
      </c>
      <c r="K2291">
        <v>4981</v>
      </c>
      <c r="L2291" t="s">
        <v>78</v>
      </c>
      <c r="M2291" t="s">
        <v>17</v>
      </c>
      <c r="N2291">
        <v>29</v>
      </c>
      <c r="O2291">
        <v>200.12</v>
      </c>
      <c r="P2291">
        <v>142.80000000000001</v>
      </c>
      <c r="Q2291" s="1">
        <v>59.5</v>
      </c>
      <c r="R2291" s="1">
        <v>14.05</v>
      </c>
      <c r="S2291" s="3">
        <v>0.10380172408393951</v>
      </c>
      <c r="T2291" s="3">
        <v>0.14036903230099473</v>
      </c>
    </row>
    <row r="2292" spans="1:20" x14ac:dyDescent="0.25">
      <c r="A2292" t="s">
        <v>783</v>
      </c>
      <c r="B2292" t="s">
        <v>2961</v>
      </c>
      <c r="C2292" t="s">
        <v>3533</v>
      </c>
      <c r="D2292" t="s">
        <v>3534</v>
      </c>
      <c r="E2292">
        <v>514.04999999999995</v>
      </c>
      <c r="F2292">
        <v>524.29999999999995</v>
      </c>
      <c r="G2292">
        <v>524.29999999999995</v>
      </c>
      <c r="H2292">
        <v>524.29999999999995</v>
      </c>
      <c r="I2292" s="1">
        <v>524.29999999999995</v>
      </c>
      <c r="J2292">
        <v>844647.3</v>
      </c>
      <c r="K2292">
        <v>1611</v>
      </c>
      <c r="L2292" t="s">
        <v>78</v>
      </c>
      <c r="M2292" t="s">
        <v>17</v>
      </c>
      <c r="N2292">
        <v>44</v>
      </c>
      <c r="O2292">
        <v>669</v>
      </c>
      <c r="P2292">
        <v>183.9</v>
      </c>
      <c r="Q2292" s="1">
        <v>126.5</v>
      </c>
      <c r="R2292" s="1">
        <v>100.7</v>
      </c>
      <c r="S2292" s="3">
        <v>0.12579014955929391</v>
      </c>
      <c r="T2292" s="3">
        <v>8.5945171412673327E-2</v>
      </c>
    </row>
    <row r="2293" spans="1:20" x14ac:dyDescent="0.25">
      <c r="A2293" t="s">
        <v>78</v>
      </c>
      <c r="B2293" t="s">
        <v>2961</v>
      </c>
      <c r="C2293" t="s">
        <v>2727</v>
      </c>
      <c r="D2293" t="s">
        <v>2728</v>
      </c>
      <c r="E2293">
        <v>138.69999999999999</v>
      </c>
      <c r="F2293">
        <v>139.87</v>
      </c>
      <c r="G2293">
        <v>142</v>
      </c>
      <c r="H2293">
        <v>136.25</v>
      </c>
      <c r="I2293" s="1">
        <v>137.88999999999999</v>
      </c>
      <c r="J2293">
        <v>8283702.6900000004</v>
      </c>
      <c r="K2293">
        <v>59627</v>
      </c>
      <c r="L2293" t="s">
        <v>78</v>
      </c>
      <c r="M2293" t="s">
        <v>17</v>
      </c>
      <c r="N2293">
        <v>473</v>
      </c>
      <c r="O2293">
        <v>168</v>
      </c>
      <c r="P2293">
        <v>92.1</v>
      </c>
      <c r="Q2293" s="1">
        <v>145.25</v>
      </c>
      <c r="R2293" s="1">
        <v>52</v>
      </c>
      <c r="S2293" s="3">
        <v>-4.3239687678922056E-3</v>
      </c>
      <c r="T2293" s="3">
        <v>4.9940949318508343E-2</v>
      </c>
    </row>
    <row r="2294" spans="1:20" x14ac:dyDescent="0.25">
      <c r="A2294" t="s">
        <v>78</v>
      </c>
      <c r="B2294" t="s">
        <v>2961</v>
      </c>
      <c r="C2294" t="s">
        <v>2729</v>
      </c>
      <c r="D2294" t="s">
        <v>2730</v>
      </c>
      <c r="E2294">
        <v>761.95</v>
      </c>
      <c r="F2294">
        <v>763</v>
      </c>
      <c r="G2294">
        <v>769</v>
      </c>
      <c r="H2294">
        <v>731.15</v>
      </c>
      <c r="I2294" s="1">
        <v>747.8</v>
      </c>
      <c r="J2294">
        <v>150244744.84999999</v>
      </c>
      <c r="K2294">
        <v>199962</v>
      </c>
      <c r="L2294" t="s">
        <v>78</v>
      </c>
      <c r="M2294" t="s">
        <v>17</v>
      </c>
      <c r="N2294">
        <v>5016</v>
      </c>
      <c r="O2294">
        <v>845.7</v>
      </c>
      <c r="P2294">
        <v>76</v>
      </c>
      <c r="Q2294" s="1">
        <v>32.549999999999997</v>
      </c>
      <c r="R2294" s="1">
        <v>9.9</v>
      </c>
      <c r="S2294" s="3">
        <v>0.2984828132154016</v>
      </c>
      <c r="T2294" s="3">
        <v>0.24124092223229709</v>
      </c>
    </row>
    <row r="2295" spans="1:20" x14ac:dyDescent="0.25">
      <c r="A2295" t="s">
        <v>783</v>
      </c>
      <c r="B2295" t="s">
        <v>2961</v>
      </c>
      <c r="C2295" t="s">
        <v>3539</v>
      </c>
      <c r="D2295" t="s">
        <v>3540</v>
      </c>
      <c r="E2295">
        <v>10.16</v>
      </c>
      <c r="F2295">
        <v>9.9499999999999993</v>
      </c>
      <c r="G2295">
        <v>9.9499999999999993</v>
      </c>
      <c r="H2295">
        <v>9.9499999999999993</v>
      </c>
      <c r="I2295" s="1">
        <v>9.9499999999999993</v>
      </c>
      <c r="J2295">
        <v>181517.85</v>
      </c>
      <c r="K2295">
        <v>18243</v>
      </c>
      <c r="L2295" t="s">
        <v>78</v>
      </c>
      <c r="M2295" t="s">
        <v>17</v>
      </c>
      <c r="N2295">
        <v>81</v>
      </c>
      <c r="O2295">
        <v>10.16</v>
      </c>
      <c r="P2295">
        <v>3.55</v>
      </c>
      <c r="Q2295" s="1">
        <v>2.1</v>
      </c>
      <c r="R2295" s="1">
        <v>2.0499999999999998</v>
      </c>
      <c r="S2295" s="3">
        <v>0.13841422941718395</v>
      </c>
      <c r="T2295" s="3">
        <v>8.2143050752978342E-2</v>
      </c>
    </row>
    <row r="2296" spans="1:20" x14ac:dyDescent="0.25">
      <c r="A2296" t="s">
        <v>78</v>
      </c>
      <c r="B2296" t="s">
        <v>2961</v>
      </c>
      <c r="C2296" t="s">
        <v>3543</v>
      </c>
      <c r="D2296" t="s">
        <v>3544</v>
      </c>
      <c r="E2296">
        <v>8.8800000000000008</v>
      </c>
      <c r="F2296">
        <v>9.32</v>
      </c>
      <c r="G2296">
        <v>9.32</v>
      </c>
      <c r="H2296">
        <v>9.32</v>
      </c>
      <c r="I2296" s="1">
        <v>9.32</v>
      </c>
      <c r="J2296">
        <v>925569.2</v>
      </c>
      <c r="K2296">
        <v>99310</v>
      </c>
      <c r="L2296" t="s">
        <v>78</v>
      </c>
      <c r="M2296" t="s">
        <v>17</v>
      </c>
      <c r="N2296">
        <v>243</v>
      </c>
      <c r="O2296">
        <v>9.32</v>
      </c>
      <c r="P2296">
        <v>4.55</v>
      </c>
      <c r="Q2296" s="1">
        <v>4.4000000000000004</v>
      </c>
      <c r="R2296" s="1">
        <v>1.25</v>
      </c>
      <c r="S2296" s="3">
        <v>6.4543966847611767E-2</v>
      </c>
      <c r="T2296" s="3">
        <v>0.10560858873506374</v>
      </c>
    </row>
    <row r="2297" spans="1:20" x14ac:dyDescent="0.25">
      <c r="A2297" t="s">
        <v>78</v>
      </c>
      <c r="B2297" t="s">
        <v>2961</v>
      </c>
      <c r="C2297" t="s">
        <v>2779</v>
      </c>
      <c r="D2297" t="s">
        <v>2780</v>
      </c>
      <c r="E2297">
        <v>178.16</v>
      </c>
      <c r="F2297">
        <v>181</v>
      </c>
      <c r="G2297">
        <v>182</v>
      </c>
      <c r="H2297">
        <v>176</v>
      </c>
      <c r="I2297" s="1">
        <v>176.61</v>
      </c>
      <c r="J2297">
        <v>879272.6</v>
      </c>
      <c r="K2297">
        <v>4940</v>
      </c>
      <c r="L2297" t="s">
        <v>78</v>
      </c>
      <c r="M2297" t="s">
        <v>17</v>
      </c>
      <c r="N2297">
        <v>71</v>
      </c>
      <c r="O2297">
        <v>223</v>
      </c>
      <c r="P2297">
        <v>90</v>
      </c>
      <c r="Q2297" s="1">
        <v>51.7</v>
      </c>
      <c r="R2297" s="1" t="str">
        <v/>
      </c>
      <c r="S2297" s="3">
        <v>0.10779753799030445</v>
      </c>
      <c r="T2297" s="3">
        <v>0</v>
      </c>
    </row>
    <row r="2298" spans="1:20" x14ac:dyDescent="0.25">
      <c r="A2298" t="s">
        <v>78</v>
      </c>
      <c r="B2298" t="s">
        <v>2961</v>
      </c>
      <c r="C2298" t="s">
        <v>5060</v>
      </c>
      <c r="D2298" t="s">
        <v>5059</v>
      </c>
      <c r="E2298">
        <v>78.61</v>
      </c>
      <c r="F2298">
        <v>79.599999999999994</v>
      </c>
      <c r="G2298">
        <v>79.8</v>
      </c>
      <c r="H2298">
        <v>74.67</v>
      </c>
      <c r="I2298" s="1">
        <v>75.67</v>
      </c>
      <c r="J2298">
        <v>17668451.329999998</v>
      </c>
      <c r="K2298">
        <v>233348</v>
      </c>
      <c r="L2298" t="s">
        <v>78</v>
      </c>
      <c r="M2298" t="s">
        <v>17</v>
      </c>
      <c r="N2298">
        <v>1634</v>
      </c>
      <c r="O2298">
        <v>88.5</v>
      </c>
      <c r="P2298">
        <v>29.05</v>
      </c>
      <c r="Q2298" s="1" t="str">
        <v/>
      </c>
      <c r="R2298" s="1" t="str">
        <v/>
      </c>
      <c r="S2298" s="3">
        <v>0</v>
      </c>
      <c r="T2298" s="3">
        <v>0</v>
      </c>
    </row>
    <row r="2299" spans="1:20" x14ac:dyDescent="0.25">
      <c r="A2299" t="s">
        <v>78</v>
      </c>
      <c r="B2299" t="s">
        <v>2961</v>
      </c>
      <c r="C2299" t="s">
        <v>2793</v>
      </c>
      <c r="D2299" t="s">
        <v>2794</v>
      </c>
      <c r="E2299">
        <v>782.4</v>
      </c>
      <c r="F2299">
        <v>770.05</v>
      </c>
      <c r="G2299">
        <v>793</v>
      </c>
      <c r="H2299">
        <v>756</v>
      </c>
      <c r="I2299" s="1">
        <v>766</v>
      </c>
      <c r="J2299">
        <v>16526821.75</v>
      </c>
      <c r="K2299">
        <v>21625</v>
      </c>
      <c r="L2299" t="s">
        <v>78</v>
      </c>
      <c r="M2299" t="s">
        <v>17</v>
      </c>
      <c r="N2299">
        <v>439</v>
      </c>
      <c r="O2299">
        <v>818.45</v>
      </c>
      <c r="P2299">
        <v>260.2</v>
      </c>
      <c r="Q2299" s="1">
        <v>125</v>
      </c>
      <c r="R2299" s="1">
        <v>140</v>
      </c>
      <c r="S2299" s="3">
        <v>0.16308082646268152</v>
      </c>
      <c r="T2299" s="3">
        <v>8.864134919409894E-2</v>
      </c>
    </row>
    <row r="2300" spans="1:20" x14ac:dyDescent="0.25">
      <c r="A2300" t="s">
        <v>78</v>
      </c>
      <c r="B2300" t="s">
        <v>2961</v>
      </c>
      <c r="C2300" t="s">
        <v>5058</v>
      </c>
      <c r="D2300" t="s">
        <v>5057</v>
      </c>
      <c r="E2300">
        <v>294.75</v>
      </c>
      <c r="F2300">
        <v>294.75</v>
      </c>
      <c r="G2300">
        <v>295</v>
      </c>
      <c r="H2300">
        <v>280.01</v>
      </c>
      <c r="I2300" s="1">
        <v>281.77</v>
      </c>
      <c r="J2300">
        <v>22778898.219999999</v>
      </c>
      <c r="K2300">
        <v>79700</v>
      </c>
      <c r="L2300" t="s">
        <v>78</v>
      </c>
      <c r="M2300" t="s">
        <v>17</v>
      </c>
      <c r="N2300">
        <v>643</v>
      </c>
      <c r="O2300">
        <v>336.9</v>
      </c>
      <c r="P2300">
        <v>135</v>
      </c>
      <c r="Q2300" s="1" t="str">
        <v/>
      </c>
      <c r="R2300" s="1" t="str">
        <v/>
      </c>
      <c r="S2300" s="3">
        <v>0</v>
      </c>
      <c r="T2300" s="3">
        <v>0</v>
      </c>
    </row>
    <row r="2301" spans="1:20" x14ac:dyDescent="0.25">
      <c r="A2301" t="s">
        <v>78</v>
      </c>
      <c r="B2301" t="s">
        <v>2961</v>
      </c>
      <c r="C2301" t="s">
        <v>2825</v>
      </c>
      <c r="D2301" t="s">
        <v>2826</v>
      </c>
      <c r="E2301">
        <v>38.35</v>
      </c>
      <c r="F2301">
        <v>37.35</v>
      </c>
      <c r="G2301">
        <v>38.700000000000003</v>
      </c>
      <c r="H2301">
        <v>36.9</v>
      </c>
      <c r="I2301" s="1">
        <v>37.049999999999997</v>
      </c>
      <c r="J2301">
        <v>22597244.25</v>
      </c>
      <c r="K2301">
        <v>603285</v>
      </c>
      <c r="L2301" t="s">
        <v>78</v>
      </c>
      <c r="M2301" t="s">
        <v>17</v>
      </c>
      <c r="N2301">
        <v>1650</v>
      </c>
      <c r="O2301">
        <v>905</v>
      </c>
      <c r="P2301">
        <v>36.049999999999997</v>
      </c>
      <c r="Q2301" s="1">
        <v>150</v>
      </c>
      <c r="R2301" s="1">
        <v>191.3</v>
      </c>
      <c r="S2301" s="3">
        <v>-0.10999711841880511</v>
      </c>
      <c r="T2301" s="3">
        <v>-7.8759157863277252E-2</v>
      </c>
    </row>
    <row r="2302" spans="1:20" x14ac:dyDescent="0.25">
      <c r="A2302" t="s">
        <v>783</v>
      </c>
      <c r="B2302" t="s">
        <v>2961</v>
      </c>
      <c r="C2302" t="s">
        <v>3547</v>
      </c>
      <c r="D2302" t="s">
        <v>3548</v>
      </c>
      <c r="E2302">
        <v>2.78</v>
      </c>
      <c r="F2302">
        <v>2.72</v>
      </c>
      <c r="G2302">
        <v>2.72</v>
      </c>
      <c r="H2302">
        <v>2.72</v>
      </c>
      <c r="I2302" s="1">
        <v>2.72</v>
      </c>
      <c r="J2302">
        <v>35525.919999999998</v>
      </c>
      <c r="K2302">
        <v>13061</v>
      </c>
      <c r="L2302" t="s">
        <v>78</v>
      </c>
      <c r="M2302" t="s">
        <v>17</v>
      </c>
      <c r="N2302">
        <v>56</v>
      </c>
      <c r="O2302">
        <v>4.2</v>
      </c>
      <c r="P2302">
        <v>1.6</v>
      </c>
      <c r="Q2302" s="1">
        <v>1.5</v>
      </c>
      <c r="R2302" s="1">
        <v>0.45</v>
      </c>
      <c r="S2302" s="3">
        <v>5.0847762243958261E-2</v>
      </c>
      <c r="T2302" s="3">
        <v>9.4073311752385536E-2</v>
      </c>
    </row>
    <row r="2303" spans="1:20" x14ac:dyDescent="0.25">
      <c r="A2303" t="s">
        <v>783</v>
      </c>
      <c r="B2303" t="s">
        <v>2961</v>
      </c>
      <c r="C2303" t="s">
        <v>3557</v>
      </c>
      <c r="D2303" t="s">
        <v>3558</v>
      </c>
      <c r="E2303">
        <v>1.1599999999999999</v>
      </c>
      <c r="F2303">
        <v>1.1399999999999999</v>
      </c>
      <c r="G2303">
        <v>1.1399999999999999</v>
      </c>
      <c r="H2303">
        <v>1.1299999999999999</v>
      </c>
      <c r="I2303" s="1">
        <v>1.1299999999999999</v>
      </c>
      <c r="J2303">
        <v>311534.71000000002</v>
      </c>
      <c r="K2303">
        <v>275182</v>
      </c>
      <c r="L2303" t="s">
        <v>78</v>
      </c>
      <c r="M2303" t="s">
        <v>17</v>
      </c>
      <c r="N2303">
        <v>325</v>
      </c>
      <c r="O2303">
        <v>2.1</v>
      </c>
      <c r="P2303">
        <v>0.8</v>
      </c>
      <c r="Q2303" s="1">
        <v>0.9</v>
      </c>
      <c r="R2303" s="1">
        <v>0.25</v>
      </c>
      <c r="S2303" s="3">
        <v>1.914582062821335E-2</v>
      </c>
      <c r="T2303" s="3">
        <v>7.8298454068572276E-2</v>
      </c>
    </row>
    <row r="2304" spans="1:20" x14ac:dyDescent="0.25">
      <c r="A2304" t="s">
        <v>78</v>
      </c>
      <c r="B2304" t="s">
        <v>2961</v>
      </c>
      <c r="C2304" t="s">
        <v>5056</v>
      </c>
      <c r="D2304" t="s">
        <v>5055</v>
      </c>
      <c r="E2304">
        <v>248.85</v>
      </c>
      <c r="F2304">
        <v>253.95</v>
      </c>
      <c r="G2304">
        <v>258</v>
      </c>
      <c r="H2304">
        <v>251.5</v>
      </c>
      <c r="I2304" s="1">
        <v>253.65</v>
      </c>
      <c r="J2304">
        <v>9518332.4499999993</v>
      </c>
      <c r="K2304">
        <v>37423</v>
      </c>
      <c r="L2304" t="s">
        <v>78</v>
      </c>
      <c r="M2304" t="s">
        <v>17</v>
      </c>
      <c r="N2304">
        <v>960</v>
      </c>
      <c r="O2304">
        <v>446.25</v>
      </c>
      <c r="P2304">
        <v>221.7</v>
      </c>
      <c r="Q2304" s="1" t="str">
        <v/>
      </c>
      <c r="R2304" s="1" t="str">
        <v/>
      </c>
      <c r="S2304" s="3">
        <v>0</v>
      </c>
      <c r="T2304" s="3">
        <v>0</v>
      </c>
    </row>
    <row r="2305" spans="1:20" x14ac:dyDescent="0.25">
      <c r="A2305" t="s">
        <v>78</v>
      </c>
      <c r="B2305" t="s">
        <v>2961</v>
      </c>
      <c r="C2305" t="s">
        <v>2895</v>
      </c>
      <c r="D2305" t="s">
        <v>2896</v>
      </c>
      <c r="E2305">
        <v>564.15</v>
      </c>
      <c r="F2305">
        <v>569</v>
      </c>
      <c r="G2305">
        <v>582</v>
      </c>
      <c r="H2305">
        <v>548</v>
      </c>
      <c r="I2305" s="1">
        <v>550.04999999999995</v>
      </c>
      <c r="J2305">
        <v>67338614.150000006</v>
      </c>
      <c r="K2305">
        <v>120345</v>
      </c>
      <c r="L2305" t="s">
        <v>78</v>
      </c>
      <c r="M2305" t="s">
        <v>17</v>
      </c>
      <c r="N2305">
        <v>3028</v>
      </c>
      <c r="O2305">
        <v>743.95</v>
      </c>
      <c r="P2305">
        <v>82.2</v>
      </c>
      <c r="Q2305" s="1">
        <v>69</v>
      </c>
      <c r="R2305" s="1">
        <v>22.45</v>
      </c>
      <c r="S2305" s="3">
        <v>0.18885646327914651</v>
      </c>
      <c r="T2305" s="3">
        <v>0.17333291020158037</v>
      </c>
    </row>
    <row r="2306" spans="1:20" x14ac:dyDescent="0.25">
      <c r="A2306" t="s">
        <v>78</v>
      </c>
      <c r="B2306" t="s">
        <v>2961</v>
      </c>
      <c r="C2306" t="s">
        <v>2897</v>
      </c>
      <c r="D2306" t="s">
        <v>2898</v>
      </c>
      <c r="E2306">
        <v>118.3</v>
      </c>
      <c r="F2306">
        <v>122</v>
      </c>
      <c r="G2306">
        <v>124.21</v>
      </c>
      <c r="H2306">
        <v>121.5</v>
      </c>
      <c r="I2306" s="1">
        <v>124.21</v>
      </c>
      <c r="J2306">
        <v>4044554.2400000002</v>
      </c>
      <c r="K2306">
        <v>32717</v>
      </c>
      <c r="L2306" t="s">
        <v>78</v>
      </c>
      <c r="M2306" t="s">
        <v>17</v>
      </c>
      <c r="N2306">
        <v>342</v>
      </c>
      <c r="O2306">
        <v>161.99</v>
      </c>
      <c r="P2306">
        <v>85.5</v>
      </c>
      <c r="Q2306" s="1">
        <v>60.3</v>
      </c>
      <c r="R2306" s="1">
        <v>30.75</v>
      </c>
      <c r="S2306" s="3">
        <v>6.2070315930497166E-2</v>
      </c>
      <c r="T2306" s="3">
        <v>7.2257196997234319E-2</v>
      </c>
    </row>
    <row r="2307" spans="1:20" x14ac:dyDescent="0.25">
      <c r="A2307" t="s">
        <v>783</v>
      </c>
      <c r="B2307" t="s">
        <v>2961</v>
      </c>
      <c r="C2307" t="s">
        <v>2911</v>
      </c>
      <c r="D2307" t="s">
        <v>2912</v>
      </c>
      <c r="E2307">
        <v>75.05</v>
      </c>
      <c r="F2307">
        <v>75</v>
      </c>
      <c r="G2307">
        <v>75</v>
      </c>
      <c r="H2307">
        <v>73.540000000000006</v>
      </c>
      <c r="I2307" s="1">
        <v>73.540000000000006</v>
      </c>
      <c r="J2307">
        <v>149063.64000000001</v>
      </c>
      <c r="K2307">
        <v>2015</v>
      </c>
      <c r="L2307" t="s">
        <v>78</v>
      </c>
      <c r="M2307" t="s">
        <v>17</v>
      </c>
      <c r="N2307">
        <v>20</v>
      </c>
      <c r="O2307">
        <v>114.7</v>
      </c>
      <c r="P2307">
        <v>57.85</v>
      </c>
      <c r="Q2307" s="1">
        <v>16.55</v>
      </c>
      <c r="R2307" s="1" t="str">
        <v/>
      </c>
      <c r="S2307" s="3">
        <v>0.13234074711439936</v>
      </c>
      <c r="T2307" s="3">
        <v>0</v>
      </c>
    </row>
    <row r="2308" spans="1:20" x14ac:dyDescent="0.25">
      <c r="A2308" t="s">
        <v>78</v>
      </c>
      <c r="B2308" t="s">
        <v>2961</v>
      </c>
      <c r="C2308" t="s">
        <v>5054</v>
      </c>
      <c r="D2308" t="s">
        <v>5053</v>
      </c>
      <c r="E2308">
        <v>3.86</v>
      </c>
      <c r="F2308">
        <v>3.86</v>
      </c>
      <c r="G2308">
        <v>3.93</v>
      </c>
      <c r="H2308">
        <v>3.86</v>
      </c>
      <c r="I2308" s="1">
        <v>3.93</v>
      </c>
      <c r="J2308">
        <v>451789.3</v>
      </c>
      <c r="K2308">
        <v>115416</v>
      </c>
      <c r="L2308" t="s">
        <v>78</v>
      </c>
      <c r="M2308" t="s">
        <v>17</v>
      </c>
      <c r="N2308">
        <v>95</v>
      </c>
      <c r="O2308">
        <v>3.93</v>
      </c>
      <c r="P2308">
        <v>3.35</v>
      </c>
      <c r="Q2308" s="1" t="str">
        <v/>
      </c>
      <c r="R2308" s="1" t="str">
        <v/>
      </c>
      <c r="S2308" s="3">
        <v>0</v>
      </c>
      <c r="T2308" s="3">
        <v>0</v>
      </c>
    </row>
    <row r="2309" spans="1:20" x14ac:dyDescent="0.25">
      <c r="A2309" t="s">
        <v>78</v>
      </c>
      <c r="B2309" t="s">
        <v>2961</v>
      </c>
      <c r="C2309" t="s">
        <v>2923</v>
      </c>
      <c r="D2309" t="s">
        <v>5052</v>
      </c>
      <c r="E2309">
        <v>844.6</v>
      </c>
      <c r="F2309">
        <v>844.6</v>
      </c>
      <c r="G2309">
        <v>846</v>
      </c>
      <c r="H2309">
        <v>807</v>
      </c>
      <c r="I2309" s="1">
        <v>809.2</v>
      </c>
      <c r="J2309">
        <v>177686095.84999999</v>
      </c>
      <c r="K2309">
        <v>217007</v>
      </c>
      <c r="L2309" t="s">
        <v>78</v>
      </c>
      <c r="M2309" t="s">
        <v>17</v>
      </c>
      <c r="N2309">
        <v>5388</v>
      </c>
      <c r="O2309">
        <v>995</v>
      </c>
      <c r="P2309">
        <v>213.25</v>
      </c>
      <c r="Q2309" s="1">
        <v>566.04999999999995</v>
      </c>
      <c r="R2309" s="1">
        <v>337.1</v>
      </c>
      <c r="S2309" s="3">
        <v>3.0228175838246774E-2</v>
      </c>
      <c r="T2309" s="3">
        <v>4.4730906409899296E-2</v>
      </c>
    </row>
    <row r="2310" spans="1:20" x14ac:dyDescent="0.25">
      <c r="A2310" t="s">
        <v>783</v>
      </c>
      <c r="B2310" t="s">
        <v>2961</v>
      </c>
      <c r="C2310" t="s">
        <v>2939</v>
      </c>
      <c r="D2310" t="s">
        <v>2940</v>
      </c>
      <c r="E2310">
        <v>8.6999999999999993</v>
      </c>
      <c r="F2310">
        <v>8.8699999999999992</v>
      </c>
      <c r="G2310">
        <v>8.8699999999999992</v>
      </c>
      <c r="H2310">
        <v>8.52</v>
      </c>
      <c r="I2310" s="1">
        <v>8.5500000000000007</v>
      </c>
      <c r="J2310">
        <v>10787912.029999999</v>
      </c>
      <c r="K2310">
        <v>1241623</v>
      </c>
      <c r="L2310" t="s">
        <v>78</v>
      </c>
      <c r="M2310" t="s">
        <v>17</v>
      </c>
      <c r="N2310">
        <v>895</v>
      </c>
      <c r="O2310">
        <v>8.8699999999999992</v>
      </c>
      <c r="P2310">
        <v>5.6</v>
      </c>
      <c r="Q2310" s="1">
        <v>15.55</v>
      </c>
      <c r="R2310" s="1">
        <v>21.25</v>
      </c>
      <c r="S2310" s="3">
        <v>-4.862227961394916E-2</v>
      </c>
      <c r="T2310" s="3">
        <v>-4.4476910839228778E-2</v>
      </c>
    </row>
    <row r="2311" spans="1:20" x14ac:dyDescent="0.25">
      <c r="A2311" t="s">
        <v>783</v>
      </c>
      <c r="B2311" t="s">
        <v>2961</v>
      </c>
      <c r="C2311" t="s">
        <v>3573</v>
      </c>
      <c r="D2311" t="s">
        <v>3574</v>
      </c>
      <c r="E2311">
        <v>328.05</v>
      </c>
      <c r="F2311">
        <v>321.5</v>
      </c>
      <c r="G2311">
        <v>321.5</v>
      </c>
      <c r="H2311">
        <v>321.5</v>
      </c>
      <c r="I2311" s="1">
        <v>321.5</v>
      </c>
      <c r="J2311">
        <v>3215</v>
      </c>
      <c r="K2311">
        <v>10</v>
      </c>
      <c r="L2311" t="s">
        <v>78</v>
      </c>
      <c r="M2311" t="s">
        <v>17</v>
      </c>
      <c r="N2311">
        <v>7</v>
      </c>
      <c r="O2311">
        <v>453.06</v>
      </c>
      <c r="P2311">
        <v>105</v>
      </c>
      <c r="Q2311" s="1">
        <v>83.4</v>
      </c>
      <c r="R2311" s="1">
        <v>45.7</v>
      </c>
      <c r="S2311" s="3">
        <v>0.11901157073947344</v>
      </c>
      <c r="T2311" s="3">
        <v>0.10240211769971164</v>
      </c>
    </row>
    <row r="2312" spans="1:20" x14ac:dyDescent="0.25">
      <c r="A2312" t="s">
        <v>78</v>
      </c>
      <c r="B2312" t="s">
        <v>2961</v>
      </c>
      <c r="C2312" t="s">
        <v>3575</v>
      </c>
      <c r="D2312" t="s">
        <v>3576</v>
      </c>
      <c r="E2312">
        <v>10.76</v>
      </c>
      <c r="F2312">
        <v>10.220000000000001</v>
      </c>
      <c r="G2312">
        <v>10.220000000000001</v>
      </c>
      <c r="H2312">
        <v>10.220000000000001</v>
      </c>
      <c r="I2312" s="1">
        <v>10.220000000000001</v>
      </c>
      <c r="J2312">
        <v>1266166.02</v>
      </c>
      <c r="K2312">
        <v>123891</v>
      </c>
      <c r="L2312" t="s">
        <v>78</v>
      </c>
      <c r="M2312" t="s">
        <v>17</v>
      </c>
      <c r="N2312">
        <v>497</v>
      </c>
      <c r="O2312">
        <v>15.45</v>
      </c>
      <c r="P2312">
        <v>3.9</v>
      </c>
      <c r="Q2312" s="1">
        <v>1.25</v>
      </c>
      <c r="R2312" s="1" t="str">
        <v/>
      </c>
      <c r="S2312" s="3">
        <v>0.19136564835388148</v>
      </c>
      <c r="T2312" s="3">
        <v>0</v>
      </c>
    </row>
    <row r="2313" spans="1:20" x14ac:dyDescent="0.25">
      <c r="A2313" t="s">
        <v>783</v>
      </c>
      <c r="B2313" t="s">
        <v>2961</v>
      </c>
      <c r="C2313" t="s">
        <v>2947</v>
      </c>
      <c r="D2313" t="s">
        <v>2948</v>
      </c>
      <c r="E2313">
        <v>700</v>
      </c>
      <c r="F2313">
        <v>714</v>
      </c>
      <c r="G2313">
        <v>714</v>
      </c>
      <c r="H2313">
        <v>691.2</v>
      </c>
      <c r="I2313" s="1">
        <v>694</v>
      </c>
      <c r="J2313">
        <v>6583253.2000000002</v>
      </c>
      <c r="K2313">
        <v>9342</v>
      </c>
      <c r="L2313" t="s">
        <v>78</v>
      </c>
      <c r="M2313" t="s">
        <v>17</v>
      </c>
      <c r="N2313">
        <v>438</v>
      </c>
      <c r="O2313">
        <v>816.5</v>
      </c>
      <c r="P2313">
        <v>130</v>
      </c>
      <c r="Q2313" s="1">
        <v>17.149999999999999</v>
      </c>
      <c r="R2313" s="1">
        <v>24.6</v>
      </c>
      <c r="S2313" s="3">
        <v>0.36120837403281669</v>
      </c>
      <c r="T2313" s="3">
        <v>0.18162998279897313</v>
      </c>
    </row>
    <row r="2314" spans="1:20" x14ac:dyDescent="0.25">
      <c r="A2314" t="s">
        <v>78</v>
      </c>
      <c r="B2314" t="s">
        <v>2961</v>
      </c>
      <c r="C2314" t="s">
        <v>2949</v>
      </c>
      <c r="D2314" t="s">
        <v>5051</v>
      </c>
      <c r="E2314">
        <v>141.9</v>
      </c>
      <c r="F2314">
        <v>143.80000000000001</v>
      </c>
      <c r="G2314">
        <v>143.80000000000001</v>
      </c>
      <c r="H2314">
        <v>134.80000000000001</v>
      </c>
      <c r="I2314" s="1">
        <v>135.05000000000001</v>
      </c>
      <c r="J2314">
        <v>4150549.97</v>
      </c>
      <c r="K2314">
        <v>30364</v>
      </c>
      <c r="L2314" t="s">
        <v>78</v>
      </c>
      <c r="M2314" t="s">
        <v>17</v>
      </c>
      <c r="N2314">
        <v>446</v>
      </c>
      <c r="O2314">
        <v>177.36</v>
      </c>
      <c r="P2314">
        <v>98.05</v>
      </c>
      <c r="Q2314" s="1">
        <v>133.85</v>
      </c>
      <c r="R2314" s="1">
        <v>221.05</v>
      </c>
      <c r="S2314" s="3">
        <v>7.4405252587306236E-4</v>
      </c>
      <c r="T2314" s="3">
        <v>-2.4323009364522585E-2</v>
      </c>
    </row>
    <row r="2315" spans="1:20" x14ac:dyDescent="0.25">
      <c r="A2315" t="s">
        <v>78</v>
      </c>
      <c r="B2315" t="s">
        <v>3579</v>
      </c>
      <c r="C2315" t="s">
        <v>3004</v>
      </c>
      <c r="D2315" t="s">
        <v>3005</v>
      </c>
      <c r="E2315">
        <v>10.95</v>
      </c>
      <c r="F2315">
        <v>10.95</v>
      </c>
      <c r="G2315">
        <v>11.22</v>
      </c>
      <c r="H2315">
        <v>10.95</v>
      </c>
      <c r="I2315" s="1">
        <v>11</v>
      </c>
      <c r="J2315">
        <v>1434984.92</v>
      </c>
      <c r="K2315">
        <v>129851</v>
      </c>
      <c r="L2315" t="s">
        <v>78</v>
      </c>
      <c r="M2315" t="s">
        <v>17</v>
      </c>
      <c r="N2315">
        <v>84</v>
      </c>
      <c r="O2315">
        <v>13</v>
      </c>
      <c r="P2315">
        <v>8.1</v>
      </c>
      <c r="Q2315" s="1">
        <v>9.3000000000000007</v>
      </c>
      <c r="R2315" s="1">
        <v>4.6500000000000004</v>
      </c>
      <c r="S2315" s="3">
        <v>1.4088391749041973E-2</v>
      </c>
      <c r="T2315" s="3">
        <v>4.3966943629603739E-2</v>
      </c>
    </row>
    <row r="2316" spans="1:20" x14ac:dyDescent="0.25">
      <c r="A2316" t="s">
        <v>78</v>
      </c>
      <c r="B2316" t="s">
        <v>3579</v>
      </c>
      <c r="C2316" t="s">
        <v>997</v>
      </c>
      <c r="D2316" t="s">
        <v>998</v>
      </c>
      <c r="E2316">
        <v>0.86</v>
      </c>
      <c r="F2316">
        <v>0.87</v>
      </c>
      <c r="G2316">
        <v>0.87</v>
      </c>
      <c r="H2316">
        <v>0.84</v>
      </c>
      <c r="I2316" s="1">
        <v>0.84</v>
      </c>
      <c r="J2316">
        <v>220869.35</v>
      </c>
      <c r="K2316">
        <v>257952</v>
      </c>
      <c r="L2316" t="s">
        <v>78</v>
      </c>
      <c r="M2316" t="s">
        <v>17</v>
      </c>
      <c r="N2316">
        <v>164</v>
      </c>
      <c r="O2316">
        <v>1.1000000000000001</v>
      </c>
      <c r="P2316">
        <v>0.6</v>
      </c>
      <c r="Q2316" s="1">
        <v>10.8</v>
      </c>
      <c r="R2316" s="1">
        <v>27.65</v>
      </c>
      <c r="S2316" s="3">
        <v>-0.19170239083786067</v>
      </c>
      <c r="T2316" s="3">
        <v>-0.16020988606067732</v>
      </c>
    </row>
    <row r="2317" spans="1:20" x14ac:dyDescent="0.25">
      <c r="A2317" t="s">
        <v>78</v>
      </c>
      <c r="B2317" t="s">
        <v>3579</v>
      </c>
      <c r="C2317" t="s">
        <v>1012</v>
      </c>
      <c r="D2317" t="s">
        <v>1013</v>
      </c>
      <c r="E2317">
        <v>2.46</v>
      </c>
      <c r="F2317">
        <v>2.5099999999999998</v>
      </c>
      <c r="G2317">
        <v>2.5099999999999998</v>
      </c>
      <c r="H2317">
        <v>2.4</v>
      </c>
      <c r="I2317" s="1">
        <v>2.4</v>
      </c>
      <c r="J2317">
        <v>195850.82</v>
      </c>
      <c r="K2317">
        <v>80478</v>
      </c>
      <c r="L2317" t="s">
        <v>78</v>
      </c>
      <c r="M2317" t="s">
        <v>17</v>
      </c>
      <c r="N2317">
        <v>158</v>
      </c>
      <c r="O2317">
        <v>6.35</v>
      </c>
      <c r="P2317">
        <v>1.8</v>
      </c>
      <c r="Q2317" s="1">
        <v>72</v>
      </c>
      <c r="R2317" s="1">
        <v>445</v>
      </c>
      <c r="S2317" s="3">
        <v>-0.24680650230186885</v>
      </c>
      <c r="T2317" s="3">
        <v>-0.22970927504467653</v>
      </c>
    </row>
    <row r="2318" spans="1:20" x14ac:dyDescent="0.25">
      <c r="A2318" t="s">
        <v>78</v>
      </c>
      <c r="B2318" t="s">
        <v>3579</v>
      </c>
      <c r="C2318" t="s">
        <v>1056</v>
      </c>
      <c r="D2318" t="s">
        <v>1057</v>
      </c>
      <c r="E2318">
        <v>7.12</v>
      </c>
      <c r="F2318">
        <v>7.01</v>
      </c>
      <c r="G2318">
        <v>7.42</v>
      </c>
      <c r="H2318">
        <v>7.01</v>
      </c>
      <c r="I2318" s="1">
        <v>7.17</v>
      </c>
      <c r="J2318">
        <v>674011.49</v>
      </c>
      <c r="K2318">
        <v>93803</v>
      </c>
      <c r="L2318" t="s">
        <v>78</v>
      </c>
      <c r="M2318" t="s">
        <v>17</v>
      </c>
      <c r="N2318">
        <v>144</v>
      </c>
      <c r="O2318">
        <v>10.25</v>
      </c>
      <c r="P2318">
        <v>5.2</v>
      </c>
      <c r="Q2318" s="1">
        <v>38.15</v>
      </c>
      <c r="R2318" s="1">
        <v>139.5</v>
      </c>
      <c r="S2318" s="3">
        <v>-0.13003445821355752</v>
      </c>
      <c r="T2318" s="3">
        <v>-0.1378505715255014</v>
      </c>
    </row>
    <row r="2319" spans="1:20" x14ac:dyDescent="0.25">
      <c r="A2319" t="s">
        <v>78</v>
      </c>
      <c r="B2319" t="s">
        <v>3579</v>
      </c>
      <c r="C2319" t="s">
        <v>3152</v>
      </c>
      <c r="D2319" t="s">
        <v>3153</v>
      </c>
      <c r="E2319">
        <v>42.06</v>
      </c>
      <c r="F2319">
        <v>43.3</v>
      </c>
      <c r="G2319">
        <v>43.5</v>
      </c>
      <c r="H2319">
        <v>42.1</v>
      </c>
      <c r="I2319" s="1">
        <v>43</v>
      </c>
      <c r="J2319">
        <v>60155.64</v>
      </c>
      <c r="K2319">
        <v>1397</v>
      </c>
      <c r="L2319" t="s">
        <v>78</v>
      </c>
      <c r="M2319" t="s">
        <v>17</v>
      </c>
      <c r="N2319">
        <v>42</v>
      </c>
      <c r="O2319">
        <v>63.5</v>
      </c>
      <c r="P2319">
        <v>36.9</v>
      </c>
      <c r="Q2319" s="1">
        <v>43.5</v>
      </c>
      <c r="R2319" s="1">
        <v>30.5</v>
      </c>
      <c r="S2319" s="3">
        <v>-9.6293794417112721E-4</v>
      </c>
      <c r="T2319" s="3">
        <v>1.7312418978062905E-2</v>
      </c>
    </row>
    <row r="2320" spans="1:20" x14ac:dyDescent="0.25">
      <c r="A2320" t="s">
        <v>78</v>
      </c>
      <c r="B2320" t="s">
        <v>3579</v>
      </c>
      <c r="C2320" t="s">
        <v>3618</v>
      </c>
      <c r="D2320" t="s">
        <v>3619</v>
      </c>
      <c r="E2320">
        <v>96.92</v>
      </c>
      <c r="F2320">
        <v>101.76</v>
      </c>
      <c r="G2320">
        <v>101.76</v>
      </c>
      <c r="H2320">
        <v>92.07</v>
      </c>
      <c r="I2320" s="1">
        <v>100.36</v>
      </c>
      <c r="J2320">
        <v>35581704.109999999</v>
      </c>
      <c r="K2320">
        <v>362410</v>
      </c>
      <c r="L2320" t="s">
        <v>78</v>
      </c>
      <c r="M2320" t="s">
        <v>17</v>
      </c>
      <c r="N2320">
        <v>3261</v>
      </c>
      <c r="O2320">
        <v>101.76</v>
      </c>
      <c r="P2320">
        <v>26.75</v>
      </c>
      <c r="Q2320" s="1">
        <v>36.299999999999997</v>
      </c>
      <c r="R2320" s="1">
        <v>14.3</v>
      </c>
      <c r="S2320" s="3">
        <v>8.8440021666732038E-2</v>
      </c>
      <c r="T2320" s="3">
        <v>0.10227018184737902</v>
      </c>
    </row>
    <row r="2321" spans="1:20" x14ac:dyDescent="0.25">
      <c r="A2321" t="s">
        <v>783</v>
      </c>
      <c r="B2321" t="s">
        <v>3579</v>
      </c>
      <c r="C2321" t="s">
        <v>3620</v>
      </c>
      <c r="D2321" t="s">
        <v>3621</v>
      </c>
      <c r="E2321">
        <v>26.15</v>
      </c>
      <c r="F2321">
        <v>26.67</v>
      </c>
      <c r="G2321">
        <v>26.67</v>
      </c>
      <c r="H2321">
        <v>26.67</v>
      </c>
      <c r="I2321" s="1">
        <v>26.67</v>
      </c>
      <c r="J2321">
        <v>1745951.55</v>
      </c>
      <c r="K2321">
        <v>65465</v>
      </c>
      <c r="L2321" t="s">
        <v>78</v>
      </c>
      <c r="M2321" t="s">
        <v>17</v>
      </c>
      <c r="N2321">
        <v>32</v>
      </c>
      <c r="O2321">
        <v>51.65</v>
      </c>
      <c r="P2321">
        <v>11</v>
      </c>
      <c r="Q2321" s="1">
        <v>6.1</v>
      </c>
      <c r="R2321" s="1">
        <v>5</v>
      </c>
      <c r="S2321" s="3">
        <v>0.13081379631222445</v>
      </c>
      <c r="T2321" s="3">
        <v>8.7258326320755142E-2</v>
      </c>
    </row>
    <row r="2322" spans="1:20" x14ac:dyDescent="0.25">
      <c r="A2322" t="s">
        <v>783</v>
      </c>
      <c r="B2322" t="s">
        <v>3579</v>
      </c>
      <c r="C2322" t="s">
        <v>3622</v>
      </c>
      <c r="D2322" t="s">
        <v>3623</v>
      </c>
      <c r="E2322">
        <v>7.77</v>
      </c>
      <c r="F2322">
        <v>7.61</v>
      </c>
      <c r="G2322">
        <v>7.61</v>
      </c>
      <c r="H2322">
        <v>7.61</v>
      </c>
      <c r="I2322" s="1">
        <v>7.61</v>
      </c>
      <c r="J2322">
        <v>187510.39999999999</v>
      </c>
      <c r="K2322">
        <v>24640</v>
      </c>
      <c r="L2322" t="s">
        <v>78</v>
      </c>
      <c r="M2322" t="s">
        <v>17</v>
      </c>
      <c r="N2322">
        <v>49</v>
      </c>
      <c r="O2322">
        <v>8.6199999999999992</v>
      </c>
      <c r="P2322">
        <v>2.7</v>
      </c>
      <c r="Q2322" s="1">
        <v>5.85</v>
      </c>
      <c r="R2322" s="1">
        <v>2.65</v>
      </c>
      <c r="S2322" s="3">
        <v>2.2160433312341299E-2</v>
      </c>
      <c r="T2322" s="3">
        <v>5.4130536323549139E-2</v>
      </c>
    </row>
    <row r="2323" spans="1:20" x14ac:dyDescent="0.25">
      <c r="A2323" t="s">
        <v>78</v>
      </c>
      <c r="B2323" t="s">
        <v>3579</v>
      </c>
      <c r="C2323" t="s">
        <v>3628</v>
      </c>
      <c r="D2323" t="s">
        <v>3629</v>
      </c>
      <c r="E2323">
        <v>42.65</v>
      </c>
      <c r="F2323">
        <v>43.35</v>
      </c>
      <c r="G2323">
        <v>43.35</v>
      </c>
      <c r="H2323">
        <v>41.52</v>
      </c>
      <c r="I2323" s="1">
        <v>41.6</v>
      </c>
      <c r="J2323">
        <v>1963027.89</v>
      </c>
      <c r="K2323">
        <v>46665</v>
      </c>
      <c r="L2323" t="s">
        <v>78</v>
      </c>
      <c r="M2323" t="s">
        <v>17</v>
      </c>
      <c r="N2323">
        <v>526</v>
      </c>
      <c r="O2323">
        <v>75</v>
      </c>
      <c r="P2323">
        <v>35.75</v>
      </c>
      <c r="Q2323" s="1">
        <v>68.5</v>
      </c>
      <c r="R2323" s="1">
        <v>42.7</v>
      </c>
      <c r="S2323" s="3">
        <v>-4.0709309329961418E-2</v>
      </c>
      <c r="T2323" s="3">
        <v>-1.3033728764272334E-3</v>
      </c>
    </row>
    <row r="2324" spans="1:20" x14ac:dyDescent="0.25">
      <c r="A2324" t="s">
        <v>78</v>
      </c>
      <c r="B2324" t="s">
        <v>3579</v>
      </c>
      <c r="C2324" t="s">
        <v>1991</v>
      </c>
      <c r="D2324" t="s">
        <v>1992</v>
      </c>
      <c r="E2324">
        <v>7.75</v>
      </c>
      <c r="F2324">
        <v>8.1300000000000008</v>
      </c>
      <c r="G2324">
        <v>8.1300000000000008</v>
      </c>
      <c r="H2324">
        <v>8.1300000000000008</v>
      </c>
      <c r="I2324" s="1">
        <v>8.1300000000000008</v>
      </c>
      <c r="J2324">
        <v>83495.100000000006</v>
      </c>
      <c r="K2324">
        <v>10270</v>
      </c>
      <c r="L2324" t="s">
        <v>78</v>
      </c>
      <c r="M2324" t="s">
        <v>17</v>
      </c>
      <c r="N2324">
        <v>16</v>
      </c>
      <c r="O2324">
        <v>11.9</v>
      </c>
      <c r="P2324">
        <v>5.65</v>
      </c>
      <c r="Q2324" s="1">
        <v>10.65</v>
      </c>
      <c r="R2324" s="1">
        <v>6.3</v>
      </c>
      <c r="S2324" s="3">
        <v>-2.2248678768592045E-2</v>
      </c>
      <c r="T2324" s="3">
        <v>1.2825127186766316E-2</v>
      </c>
    </row>
    <row r="2325" spans="1:20" x14ac:dyDescent="0.25">
      <c r="A2325" t="s">
        <v>78</v>
      </c>
      <c r="B2325" t="s">
        <v>3579</v>
      </c>
      <c r="C2325" t="s">
        <v>2101</v>
      </c>
      <c r="D2325" t="s">
        <v>2102</v>
      </c>
      <c r="E2325">
        <v>91.5</v>
      </c>
      <c r="F2325">
        <v>91.5</v>
      </c>
      <c r="G2325">
        <v>91.5</v>
      </c>
      <c r="H2325">
        <v>87.45</v>
      </c>
      <c r="I2325" s="1">
        <v>90.49</v>
      </c>
      <c r="J2325">
        <v>21915.89</v>
      </c>
      <c r="K2325">
        <v>246</v>
      </c>
      <c r="L2325" t="s">
        <v>78</v>
      </c>
      <c r="M2325" t="s">
        <v>17</v>
      </c>
      <c r="N2325">
        <v>14</v>
      </c>
      <c r="O2325">
        <v>161</v>
      </c>
      <c r="P2325">
        <v>85</v>
      </c>
      <c r="Q2325" s="1">
        <v>224.2</v>
      </c>
      <c r="R2325" s="1" t="str">
        <v/>
      </c>
      <c r="S2325" s="3">
        <v>-7.282065467950205E-2</v>
      </c>
      <c r="T2325" s="3">
        <v>0</v>
      </c>
    </row>
    <row r="2326" spans="1:20" x14ac:dyDescent="0.25">
      <c r="A2326" t="s">
        <v>783</v>
      </c>
      <c r="B2326" t="s">
        <v>3579</v>
      </c>
      <c r="C2326" t="s">
        <v>3662</v>
      </c>
      <c r="D2326" t="s">
        <v>3663</v>
      </c>
      <c r="E2326">
        <v>95.51</v>
      </c>
      <c r="F2326">
        <v>93.59</v>
      </c>
      <c r="G2326">
        <v>93.59</v>
      </c>
      <c r="H2326">
        <v>93.59</v>
      </c>
      <c r="I2326" s="1">
        <v>93.59</v>
      </c>
      <c r="J2326">
        <v>1497.44</v>
      </c>
      <c r="K2326">
        <v>16</v>
      </c>
      <c r="L2326" t="s">
        <v>78</v>
      </c>
      <c r="M2326" t="s">
        <v>17</v>
      </c>
      <c r="N2326">
        <v>4</v>
      </c>
      <c r="O2326">
        <v>117.02</v>
      </c>
      <c r="P2326">
        <v>21</v>
      </c>
      <c r="Q2326" s="1">
        <v>20.399999999999999</v>
      </c>
      <c r="R2326" s="1">
        <v>27.35</v>
      </c>
      <c r="S2326" s="3">
        <v>0.1353591734782198</v>
      </c>
      <c r="T2326" s="3">
        <v>6.3405681371401013E-2</v>
      </c>
    </row>
    <row r="2327" spans="1:20" x14ac:dyDescent="0.25">
      <c r="A2327" t="s">
        <v>783</v>
      </c>
      <c r="B2327" t="s">
        <v>3579</v>
      </c>
      <c r="C2327" t="s">
        <v>3521</v>
      </c>
      <c r="D2327" t="s">
        <v>3522</v>
      </c>
      <c r="E2327">
        <v>283.85000000000002</v>
      </c>
      <c r="F2327">
        <v>289.5</v>
      </c>
      <c r="G2327">
        <v>289.5</v>
      </c>
      <c r="H2327">
        <v>289.5</v>
      </c>
      <c r="I2327" s="1">
        <v>289.5</v>
      </c>
      <c r="J2327">
        <v>2141431.5</v>
      </c>
      <c r="K2327">
        <v>7397</v>
      </c>
      <c r="L2327" t="s">
        <v>78</v>
      </c>
      <c r="M2327" t="s">
        <v>17</v>
      </c>
      <c r="N2327">
        <v>38</v>
      </c>
      <c r="O2327">
        <v>588.85</v>
      </c>
      <c r="P2327">
        <v>157.15</v>
      </c>
      <c r="Q2327" s="1">
        <v>185.2</v>
      </c>
      <c r="R2327" s="1">
        <v>214</v>
      </c>
      <c r="S2327" s="3">
        <v>3.7928169241825627E-2</v>
      </c>
      <c r="T2327" s="3">
        <v>1.5215281241411249E-2</v>
      </c>
    </row>
    <row r="2328" spans="1:20" x14ac:dyDescent="0.25">
      <c r="A2328" t="s">
        <v>78</v>
      </c>
      <c r="B2328" t="s">
        <v>3579</v>
      </c>
      <c r="C2328" t="s">
        <v>3668</v>
      </c>
      <c r="D2328" t="s">
        <v>3669</v>
      </c>
      <c r="E2328">
        <v>11.09</v>
      </c>
      <c r="F2328">
        <v>11.05</v>
      </c>
      <c r="G2328">
        <v>11.09</v>
      </c>
      <c r="H2328">
        <v>10.66</v>
      </c>
      <c r="I2328" s="1">
        <v>10.78</v>
      </c>
      <c r="J2328">
        <v>39572594.07</v>
      </c>
      <c r="K2328">
        <v>3637625</v>
      </c>
      <c r="L2328" t="s">
        <v>78</v>
      </c>
      <c r="M2328" t="s">
        <v>17</v>
      </c>
      <c r="N2328">
        <v>4853</v>
      </c>
      <c r="O2328">
        <v>19.8</v>
      </c>
      <c r="P2328">
        <v>1.3</v>
      </c>
      <c r="Q2328" s="1">
        <v>1.9</v>
      </c>
      <c r="R2328" s="1">
        <v>1</v>
      </c>
      <c r="S2328" s="3">
        <v>0.15563875215390133</v>
      </c>
      <c r="T2328" s="3">
        <v>0.12616665128867433</v>
      </c>
    </row>
    <row r="2329" spans="1:20" x14ac:dyDescent="0.25">
      <c r="A2329" t="s">
        <v>78</v>
      </c>
      <c r="B2329" t="s">
        <v>3674</v>
      </c>
      <c r="C2329" t="s">
        <v>5050</v>
      </c>
      <c r="D2329" t="s">
        <v>5049</v>
      </c>
      <c r="E2329">
        <v>82.2</v>
      </c>
      <c r="F2329">
        <v>83</v>
      </c>
      <c r="G2329">
        <v>83</v>
      </c>
      <c r="H2329">
        <v>81</v>
      </c>
      <c r="I2329" s="1">
        <v>82.3</v>
      </c>
      <c r="J2329">
        <v>2952900</v>
      </c>
      <c r="K2329">
        <v>36000</v>
      </c>
      <c r="L2329" t="s">
        <v>78</v>
      </c>
      <c r="M2329" t="s">
        <v>17</v>
      </c>
      <c r="N2329">
        <v>12</v>
      </c>
      <c r="O2329">
        <v>85.4</v>
      </c>
      <c r="P2329">
        <v>33</v>
      </c>
      <c r="Q2329" s="1" t="str">
        <v/>
      </c>
      <c r="R2329" s="1" t="str">
        <v/>
      </c>
      <c r="S2329" s="3">
        <v>0</v>
      </c>
      <c r="T2329" s="3">
        <v>0</v>
      </c>
    </row>
    <row r="2330" spans="1:20" x14ac:dyDescent="0.25">
      <c r="A2330" t="s">
        <v>78</v>
      </c>
      <c r="B2330" t="s">
        <v>3674</v>
      </c>
      <c r="C2330" t="s">
        <v>350</v>
      </c>
      <c r="D2330" t="s">
        <v>351</v>
      </c>
      <c r="E2330">
        <v>92.7</v>
      </c>
      <c r="F2330">
        <v>97.3</v>
      </c>
      <c r="G2330">
        <v>97.3</v>
      </c>
      <c r="H2330">
        <v>95.95</v>
      </c>
      <c r="I2330" s="1">
        <v>95.95</v>
      </c>
      <c r="J2330">
        <v>1453650</v>
      </c>
      <c r="K2330">
        <v>15000</v>
      </c>
      <c r="L2330" t="s">
        <v>78</v>
      </c>
      <c r="M2330" t="s">
        <v>17</v>
      </c>
      <c r="N2330">
        <v>5</v>
      </c>
      <c r="O2330">
        <v>97.3</v>
      </c>
      <c r="P2330">
        <v>26.05</v>
      </c>
      <c r="Q2330" s="1">
        <v>30.2</v>
      </c>
      <c r="R2330" s="1" t="str">
        <v/>
      </c>
      <c r="S2330" s="3">
        <v>0.10112469578664207</v>
      </c>
      <c r="T2330" s="3">
        <v>0</v>
      </c>
    </row>
    <row r="2331" spans="1:20" x14ac:dyDescent="0.25">
      <c r="A2331" t="s">
        <v>78</v>
      </c>
      <c r="B2331" t="s">
        <v>3674</v>
      </c>
      <c r="C2331" t="s">
        <v>5048</v>
      </c>
      <c r="D2331" t="s">
        <v>5047</v>
      </c>
      <c r="E2331">
        <v>562.20000000000005</v>
      </c>
      <c r="F2331">
        <v>543</v>
      </c>
      <c r="G2331">
        <v>568</v>
      </c>
      <c r="H2331">
        <v>536.1</v>
      </c>
      <c r="I2331" s="1">
        <v>550</v>
      </c>
      <c r="J2331">
        <v>36071800</v>
      </c>
      <c r="K2331">
        <v>65600</v>
      </c>
      <c r="L2331" t="s">
        <v>78</v>
      </c>
      <c r="M2331" t="s">
        <v>17</v>
      </c>
      <c r="N2331">
        <v>80</v>
      </c>
      <c r="O2331">
        <v>729.95</v>
      </c>
      <c r="P2331">
        <v>240.1</v>
      </c>
      <c r="Q2331" s="1" t="str">
        <v/>
      </c>
      <c r="R2331" s="1" t="str">
        <v/>
      </c>
      <c r="S2331" s="3">
        <v>0</v>
      </c>
      <c r="T2331" s="3">
        <v>0</v>
      </c>
    </row>
    <row r="2332" spans="1:20" x14ac:dyDescent="0.25">
      <c r="A2332" t="s">
        <v>78</v>
      </c>
      <c r="B2332" t="s">
        <v>3674</v>
      </c>
      <c r="C2332" t="s">
        <v>5046</v>
      </c>
      <c r="D2332" t="s">
        <v>5045</v>
      </c>
      <c r="E2332">
        <v>153.69999999999999</v>
      </c>
      <c r="F2332">
        <v>154</v>
      </c>
      <c r="G2332">
        <v>154</v>
      </c>
      <c r="H2332">
        <v>146.05000000000001</v>
      </c>
      <c r="I2332" s="1">
        <v>146.05000000000001</v>
      </c>
      <c r="J2332">
        <v>9113400</v>
      </c>
      <c r="K2332">
        <v>62000</v>
      </c>
      <c r="L2332" t="s">
        <v>78</v>
      </c>
      <c r="M2332" t="s">
        <v>17</v>
      </c>
      <c r="N2332">
        <v>29</v>
      </c>
      <c r="O2332">
        <v>191.9</v>
      </c>
      <c r="P2332">
        <v>62</v>
      </c>
      <c r="Q2332" s="1" t="str">
        <v/>
      </c>
      <c r="R2332" s="1" t="str">
        <v/>
      </c>
      <c r="S2332" s="3">
        <v>0</v>
      </c>
      <c r="T2332" s="3">
        <v>0</v>
      </c>
    </row>
    <row r="2333" spans="1:20" x14ac:dyDescent="0.25">
      <c r="A2333" t="s">
        <v>78</v>
      </c>
      <c r="B2333" t="s">
        <v>3674</v>
      </c>
      <c r="C2333" t="s">
        <v>5044</v>
      </c>
      <c r="D2333" t="s">
        <v>5043</v>
      </c>
      <c r="E2333">
        <v>901.75</v>
      </c>
      <c r="F2333">
        <v>895</v>
      </c>
      <c r="G2333">
        <v>899.9</v>
      </c>
      <c r="H2333">
        <v>857</v>
      </c>
      <c r="I2333" s="1">
        <v>863.4</v>
      </c>
      <c r="J2333">
        <v>62539160</v>
      </c>
      <c r="K2333">
        <v>71600</v>
      </c>
      <c r="L2333" t="s">
        <v>78</v>
      </c>
      <c r="M2333" t="s">
        <v>17</v>
      </c>
      <c r="N2333">
        <v>171</v>
      </c>
      <c r="O2333">
        <v>1131.7</v>
      </c>
      <c r="P2333">
        <v>235</v>
      </c>
      <c r="Q2333" s="1" t="str">
        <v/>
      </c>
      <c r="R2333" s="1" t="str">
        <v/>
      </c>
      <c r="S2333" s="3">
        <v>0</v>
      </c>
      <c r="T2333" s="3">
        <v>0</v>
      </c>
    </row>
    <row r="2334" spans="1:20" x14ac:dyDescent="0.25">
      <c r="A2334" t="s">
        <v>78</v>
      </c>
      <c r="B2334" t="s">
        <v>3674</v>
      </c>
      <c r="C2334" t="s">
        <v>5042</v>
      </c>
      <c r="D2334" t="s">
        <v>5041</v>
      </c>
      <c r="E2334">
        <v>68.599999999999994</v>
      </c>
      <c r="F2334">
        <v>65.599999999999994</v>
      </c>
      <c r="G2334">
        <v>66.25</v>
      </c>
      <c r="H2334">
        <v>65.2</v>
      </c>
      <c r="I2334" s="1">
        <v>65.5</v>
      </c>
      <c r="J2334">
        <v>3535800</v>
      </c>
      <c r="K2334">
        <v>54000</v>
      </c>
      <c r="L2334" t="s">
        <v>78</v>
      </c>
      <c r="M2334" t="s">
        <v>17</v>
      </c>
      <c r="N2334">
        <v>18</v>
      </c>
      <c r="O2334">
        <v>82.4</v>
      </c>
      <c r="P2334">
        <v>39.5</v>
      </c>
      <c r="Q2334" s="1" t="str">
        <v/>
      </c>
      <c r="R2334" s="1" t="str">
        <v/>
      </c>
      <c r="S2334" s="3">
        <v>0</v>
      </c>
      <c r="T2334" s="3">
        <v>0</v>
      </c>
    </row>
    <row r="2335" spans="1:20" x14ac:dyDescent="0.25">
      <c r="A2335" t="s">
        <v>78</v>
      </c>
      <c r="B2335" t="s">
        <v>3674</v>
      </c>
      <c r="C2335" t="s">
        <v>5040</v>
      </c>
      <c r="D2335" t="s">
        <v>5039</v>
      </c>
      <c r="E2335">
        <v>92.65</v>
      </c>
      <c r="F2335">
        <v>88.05</v>
      </c>
      <c r="G2335">
        <v>88.05</v>
      </c>
      <c r="H2335">
        <v>88.05</v>
      </c>
      <c r="I2335" s="1">
        <v>88.05</v>
      </c>
      <c r="J2335">
        <v>8452800</v>
      </c>
      <c r="K2335">
        <v>96000</v>
      </c>
      <c r="L2335" t="s">
        <v>78</v>
      </c>
      <c r="M2335" t="s">
        <v>17</v>
      </c>
      <c r="N2335">
        <v>46</v>
      </c>
      <c r="O2335">
        <v>97.2</v>
      </c>
      <c r="P2335">
        <v>85</v>
      </c>
      <c r="Q2335" s="1" t="str">
        <v/>
      </c>
      <c r="R2335" s="1" t="str">
        <v/>
      </c>
      <c r="S2335" s="3">
        <v>0</v>
      </c>
      <c r="T2335" s="3">
        <v>0</v>
      </c>
    </row>
    <row r="2336" spans="1:20" x14ac:dyDescent="0.25">
      <c r="A2336" t="s">
        <v>78</v>
      </c>
      <c r="B2336" t="s">
        <v>3674</v>
      </c>
      <c r="C2336" t="s">
        <v>5038</v>
      </c>
      <c r="D2336" t="s">
        <v>5037</v>
      </c>
      <c r="E2336">
        <v>529.15</v>
      </c>
      <c r="F2336">
        <v>505</v>
      </c>
      <c r="G2336">
        <v>522</v>
      </c>
      <c r="H2336">
        <v>505</v>
      </c>
      <c r="I2336" s="1">
        <v>506.65</v>
      </c>
      <c r="J2336">
        <v>4517400</v>
      </c>
      <c r="K2336">
        <v>8800</v>
      </c>
      <c r="L2336" t="s">
        <v>78</v>
      </c>
      <c r="M2336" t="s">
        <v>17</v>
      </c>
      <c r="N2336">
        <v>22</v>
      </c>
      <c r="O2336">
        <v>607</v>
      </c>
      <c r="P2336">
        <v>208</v>
      </c>
      <c r="Q2336" s="1" t="str">
        <v/>
      </c>
      <c r="R2336" s="1" t="str">
        <v/>
      </c>
      <c r="S2336" s="3">
        <v>0</v>
      </c>
      <c r="T2336" s="3">
        <v>0</v>
      </c>
    </row>
    <row r="2337" spans="1:20" x14ac:dyDescent="0.25">
      <c r="A2337" t="s">
        <v>78</v>
      </c>
      <c r="B2337" t="s">
        <v>3674</v>
      </c>
      <c r="C2337" t="s">
        <v>5036</v>
      </c>
      <c r="D2337" t="s">
        <v>5035</v>
      </c>
      <c r="E2337">
        <v>534</v>
      </c>
      <c r="F2337">
        <v>540</v>
      </c>
      <c r="G2337">
        <v>551.5</v>
      </c>
      <c r="H2337">
        <v>508</v>
      </c>
      <c r="I2337" s="1">
        <v>519.5</v>
      </c>
      <c r="J2337">
        <v>29168725</v>
      </c>
      <c r="K2337">
        <v>55500</v>
      </c>
      <c r="L2337" t="s">
        <v>78</v>
      </c>
      <c r="M2337" t="s">
        <v>17</v>
      </c>
      <c r="N2337">
        <v>87</v>
      </c>
      <c r="O2337">
        <v>669.9</v>
      </c>
      <c r="P2337">
        <v>140</v>
      </c>
      <c r="Q2337" s="1" t="str">
        <v/>
      </c>
      <c r="R2337" s="1" t="str">
        <v/>
      </c>
      <c r="S2337" s="3">
        <v>0</v>
      </c>
      <c r="T2337" s="3">
        <v>0</v>
      </c>
    </row>
    <row r="2338" spans="1:20" x14ac:dyDescent="0.25">
      <c r="A2338" t="s">
        <v>78</v>
      </c>
      <c r="B2338" t="s">
        <v>3674</v>
      </c>
      <c r="C2338" t="s">
        <v>5034</v>
      </c>
      <c r="D2338" t="s">
        <v>5033</v>
      </c>
      <c r="E2338">
        <v>311</v>
      </c>
      <c r="F2338">
        <v>303.2</v>
      </c>
      <c r="G2338">
        <v>310.5</v>
      </c>
      <c r="H2338">
        <v>295.45</v>
      </c>
      <c r="I2338" s="1">
        <v>296.45</v>
      </c>
      <c r="J2338">
        <v>22968680</v>
      </c>
      <c r="K2338">
        <v>76800</v>
      </c>
      <c r="L2338" t="s">
        <v>78</v>
      </c>
      <c r="M2338" t="s">
        <v>17</v>
      </c>
      <c r="N2338">
        <v>94</v>
      </c>
      <c r="O2338">
        <v>393.9</v>
      </c>
      <c r="P2338">
        <v>90.05</v>
      </c>
      <c r="Q2338" s="1" t="str">
        <v/>
      </c>
      <c r="R2338" s="1" t="str">
        <v/>
      </c>
      <c r="S2338" s="3">
        <v>0</v>
      </c>
      <c r="T2338" s="3">
        <v>0</v>
      </c>
    </row>
    <row r="2339" spans="1:20" x14ac:dyDescent="0.25">
      <c r="A2339" t="s">
        <v>78</v>
      </c>
      <c r="B2339" t="s">
        <v>3674</v>
      </c>
      <c r="C2339" t="s">
        <v>5032</v>
      </c>
      <c r="D2339" t="s">
        <v>5031</v>
      </c>
      <c r="E2339">
        <v>610.5</v>
      </c>
      <c r="F2339">
        <v>610</v>
      </c>
      <c r="G2339">
        <v>613</v>
      </c>
      <c r="H2339">
        <v>591</v>
      </c>
      <c r="I2339" s="1">
        <v>596.70000000000005</v>
      </c>
      <c r="J2339">
        <v>27891630</v>
      </c>
      <c r="K2339">
        <v>46500</v>
      </c>
      <c r="L2339" t="s">
        <v>78</v>
      </c>
      <c r="M2339" t="s">
        <v>17</v>
      </c>
      <c r="N2339">
        <v>132</v>
      </c>
      <c r="O2339">
        <v>645</v>
      </c>
      <c r="P2339">
        <v>252.1</v>
      </c>
      <c r="Q2339" s="1" t="str">
        <v/>
      </c>
      <c r="R2339" s="1" t="str">
        <v/>
      </c>
      <c r="S2339" s="3">
        <v>0</v>
      </c>
      <c r="T2339" s="3">
        <v>0</v>
      </c>
    </row>
    <row r="2340" spans="1:20" x14ac:dyDescent="0.25">
      <c r="A2340" t="s">
        <v>78</v>
      </c>
      <c r="B2340" t="s">
        <v>3674</v>
      </c>
      <c r="C2340" t="s">
        <v>5030</v>
      </c>
      <c r="D2340" t="s">
        <v>5029</v>
      </c>
      <c r="E2340">
        <v>84.15</v>
      </c>
      <c r="F2340">
        <v>80</v>
      </c>
      <c r="G2340">
        <v>80</v>
      </c>
      <c r="H2340">
        <v>79.95</v>
      </c>
      <c r="I2340" s="1">
        <v>79.95</v>
      </c>
      <c r="J2340">
        <v>191940</v>
      </c>
      <c r="K2340">
        <v>2400</v>
      </c>
      <c r="L2340" t="s">
        <v>78</v>
      </c>
      <c r="M2340" t="s">
        <v>17</v>
      </c>
      <c r="N2340">
        <v>2</v>
      </c>
      <c r="O2340">
        <v>133.69999999999999</v>
      </c>
      <c r="P2340">
        <v>57.25</v>
      </c>
      <c r="Q2340" s="1" t="str">
        <v/>
      </c>
      <c r="R2340" s="1" t="str">
        <v/>
      </c>
      <c r="S2340" s="3">
        <v>0</v>
      </c>
      <c r="T2340" s="3">
        <v>0</v>
      </c>
    </row>
    <row r="2341" spans="1:20" x14ac:dyDescent="0.25">
      <c r="A2341" t="s">
        <v>78</v>
      </c>
      <c r="B2341" t="s">
        <v>3674</v>
      </c>
      <c r="C2341" t="s">
        <v>5028</v>
      </c>
      <c r="D2341" t="s">
        <v>5027</v>
      </c>
      <c r="E2341">
        <v>55.4</v>
      </c>
      <c r="F2341">
        <v>55</v>
      </c>
      <c r="G2341">
        <v>55</v>
      </c>
      <c r="H2341">
        <v>52.65</v>
      </c>
      <c r="I2341" s="1">
        <v>52.85</v>
      </c>
      <c r="J2341">
        <v>8071400</v>
      </c>
      <c r="K2341">
        <v>152000</v>
      </c>
      <c r="L2341" t="s">
        <v>78</v>
      </c>
      <c r="M2341" t="s">
        <v>17</v>
      </c>
      <c r="N2341">
        <v>38</v>
      </c>
      <c r="O2341">
        <v>68.7</v>
      </c>
      <c r="P2341">
        <v>27</v>
      </c>
      <c r="Q2341" s="1" t="str">
        <v/>
      </c>
      <c r="R2341" s="1" t="str">
        <v/>
      </c>
      <c r="S2341" s="3">
        <v>0</v>
      </c>
      <c r="T2341" s="3">
        <v>0</v>
      </c>
    </row>
    <row r="2342" spans="1:20" x14ac:dyDescent="0.25">
      <c r="A2342" t="s">
        <v>78</v>
      </c>
      <c r="B2342" t="s">
        <v>3674</v>
      </c>
      <c r="C2342" t="s">
        <v>5026</v>
      </c>
      <c r="D2342" t="s">
        <v>5025</v>
      </c>
      <c r="E2342">
        <v>26.45</v>
      </c>
      <c r="F2342">
        <v>25.15</v>
      </c>
      <c r="G2342">
        <v>25.15</v>
      </c>
      <c r="H2342">
        <v>25.15</v>
      </c>
      <c r="I2342" s="1">
        <v>25.15</v>
      </c>
      <c r="J2342">
        <v>1559300</v>
      </c>
      <c r="K2342">
        <v>62000</v>
      </c>
      <c r="L2342" t="s">
        <v>78</v>
      </c>
      <c r="M2342" t="s">
        <v>17</v>
      </c>
      <c r="N2342">
        <v>45</v>
      </c>
      <c r="O2342">
        <v>239.95</v>
      </c>
      <c r="P2342">
        <v>13.8</v>
      </c>
      <c r="Q2342" s="1" t="str">
        <v/>
      </c>
      <c r="R2342" s="1" t="str">
        <v/>
      </c>
      <c r="S2342" s="3">
        <v>0</v>
      </c>
      <c r="T2342" s="3">
        <v>0</v>
      </c>
    </row>
    <row r="2343" spans="1:20" x14ac:dyDescent="0.25">
      <c r="A2343" t="s">
        <v>78</v>
      </c>
      <c r="B2343" t="s">
        <v>3674</v>
      </c>
      <c r="C2343" t="s">
        <v>5024</v>
      </c>
      <c r="D2343" t="s">
        <v>5023</v>
      </c>
      <c r="E2343">
        <v>2.2999999999999998</v>
      </c>
      <c r="F2343">
        <v>2.25</v>
      </c>
      <c r="G2343">
        <v>2.2999999999999998</v>
      </c>
      <c r="H2343">
        <v>2.25</v>
      </c>
      <c r="I2343" s="1">
        <v>2.25</v>
      </c>
      <c r="J2343">
        <v>441900</v>
      </c>
      <c r="K2343">
        <v>195000</v>
      </c>
      <c r="L2343" t="s">
        <v>78</v>
      </c>
      <c r="M2343" t="s">
        <v>17</v>
      </c>
      <c r="N2343">
        <v>27</v>
      </c>
      <c r="O2343">
        <v>5.5</v>
      </c>
      <c r="P2343">
        <v>1.6</v>
      </c>
      <c r="Q2343" s="1" t="str">
        <v/>
      </c>
      <c r="R2343" s="1" t="str">
        <v/>
      </c>
      <c r="S2343" s="3">
        <v>0</v>
      </c>
      <c r="T2343" s="3">
        <v>0</v>
      </c>
    </row>
    <row r="2344" spans="1:20" x14ac:dyDescent="0.25">
      <c r="A2344" t="s">
        <v>78</v>
      </c>
      <c r="B2344" t="s">
        <v>3674</v>
      </c>
      <c r="C2344" t="s">
        <v>5022</v>
      </c>
      <c r="D2344" t="s">
        <v>5021</v>
      </c>
      <c r="E2344">
        <v>142.80000000000001</v>
      </c>
      <c r="F2344">
        <v>140</v>
      </c>
      <c r="G2344">
        <v>149.9</v>
      </c>
      <c r="H2344">
        <v>135.69999999999999</v>
      </c>
      <c r="I2344" s="1">
        <v>149.30000000000001</v>
      </c>
      <c r="J2344">
        <v>26338080</v>
      </c>
      <c r="K2344">
        <v>184800</v>
      </c>
      <c r="L2344" t="s">
        <v>78</v>
      </c>
      <c r="M2344" t="s">
        <v>17</v>
      </c>
      <c r="N2344">
        <v>152</v>
      </c>
      <c r="O2344">
        <v>182.5</v>
      </c>
      <c r="P2344">
        <v>77</v>
      </c>
      <c r="Q2344" s="1" t="str">
        <v/>
      </c>
      <c r="R2344" s="1" t="str">
        <v/>
      </c>
      <c r="S2344" s="3">
        <v>0</v>
      </c>
      <c r="T2344" s="3">
        <v>0</v>
      </c>
    </row>
    <row r="2345" spans="1:20" x14ac:dyDescent="0.25">
      <c r="A2345" t="s">
        <v>78</v>
      </c>
      <c r="B2345" t="s">
        <v>3674</v>
      </c>
      <c r="C2345" t="s">
        <v>5020</v>
      </c>
      <c r="D2345" t="s">
        <v>5019</v>
      </c>
      <c r="E2345">
        <v>532.35</v>
      </c>
      <c r="F2345">
        <v>532</v>
      </c>
      <c r="G2345">
        <v>532</v>
      </c>
      <c r="H2345">
        <v>510</v>
      </c>
      <c r="I2345" s="1">
        <v>513.25</v>
      </c>
      <c r="J2345">
        <v>5053720</v>
      </c>
      <c r="K2345">
        <v>9800</v>
      </c>
      <c r="L2345" t="s">
        <v>78</v>
      </c>
      <c r="M2345" t="s">
        <v>17</v>
      </c>
      <c r="N2345">
        <v>46</v>
      </c>
      <c r="O2345">
        <v>666</v>
      </c>
      <c r="P2345">
        <v>255.9</v>
      </c>
      <c r="Q2345" s="1" t="str">
        <v/>
      </c>
      <c r="R2345" s="1" t="str">
        <v/>
      </c>
      <c r="S2345" s="3">
        <v>0</v>
      </c>
      <c r="T2345" s="3">
        <v>0</v>
      </c>
    </row>
    <row r="2346" spans="1:20" x14ac:dyDescent="0.25">
      <c r="A2346" t="s">
        <v>78</v>
      </c>
      <c r="B2346" t="s">
        <v>3674</v>
      </c>
      <c r="C2346" t="s">
        <v>5018</v>
      </c>
      <c r="D2346" t="s">
        <v>5017</v>
      </c>
      <c r="E2346">
        <v>382.15</v>
      </c>
      <c r="F2346">
        <v>387</v>
      </c>
      <c r="G2346">
        <v>387</v>
      </c>
      <c r="H2346">
        <v>363.55</v>
      </c>
      <c r="I2346" s="1">
        <v>367.05</v>
      </c>
      <c r="J2346">
        <v>17422950</v>
      </c>
      <c r="K2346">
        <v>47000</v>
      </c>
      <c r="L2346" t="s">
        <v>78</v>
      </c>
      <c r="M2346" t="s">
        <v>17</v>
      </c>
      <c r="N2346">
        <v>43</v>
      </c>
      <c r="O2346">
        <v>462</v>
      </c>
      <c r="P2346">
        <v>112.2</v>
      </c>
      <c r="Q2346" s="1" t="str">
        <v/>
      </c>
      <c r="R2346" s="1" t="str">
        <v/>
      </c>
      <c r="S2346" s="3">
        <v>0</v>
      </c>
      <c r="T2346" s="3">
        <v>0</v>
      </c>
    </row>
    <row r="2347" spans="1:20" x14ac:dyDescent="0.25">
      <c r="A2347" t="s">
        <v>78</v>
      </c>
      <c r="B2347" t="s">
        <v>3674</v>
      </c>
      <c r="C2347" t="s">
        <v>5016</v>
      </c>
      <c r="D2347" t="s">
        <v>5015</v>
      </c>
      <c r="E2347">
        <v>139</v>
      </c>
      <c r="F2347">
        <v>133.1</v>
      </c>
      <c r="G2347">
        <v>139.9</v>
      </c>
      <c r="H2347">
        <v>132.05000000000001</v>
      </c>
      <c r="I2347" s="1">
        <v>139.80000000000001</v>
      </c>
      <c r="J2347">
        <v>3435880</v>
      </c>
      <c r="K2347">
        <v>25600</v>
      </c>
      <c r="L2347" t="s">
        <v>78</v>
      </c>
      <c r="M2347" t="s">
        <v>17</v>
      </c>
      <c r="N2347">
        <v>29</v>
      </c>
      <c r="O2347">
        <v>209</v>
      </c>
      <c r="P2347">
        <v>85.05</v>
      </c>
      <c r="Q2347" s="1" t="str">
        <v/>
      </c>
      <c r="R2347" s="1" t="str">
        <v/>
      </c>
      <c r="S2347" s="3">
        <v>0</v>
      </c>
      <c r="T2347" s="3">
        <v>0</v>
      </c>
    </row>
    <row r="2348" spans="1:20" x14ac:dyDescent="0.25">
      <c r="A2348" t="s">
        <v>78</v>
      </c>
      <c r="B2348" t="s">
        <v>3674</v>
      </c>
      <c r="C2348" t="s">
        <v>5014</v>
      </c>
      <c r="D2348" t="s">
        <v>5013</v>
      </c>
      <c r="E2348">
        <v>180.25</v>
      </c>
      <c r="F2348">
        <v>189.25</v>
      </c>
      <c r="G2348">
        <v>189.25</v>
      </c>
      <c r="H2348">
        <v>189.25</v>
      </c>
      <c r="I2348" s="1">
        <v>189.25</v>
      </c>
      <c r="J2348">
        <v>15442800</v>
      </c>
      <c r="K2348">
        <v>81600</v>
      </c>
      <c r="L2348" t="s">
        <v>78</v>
      </c>
      <c r="M2348" t="s">
        <v>17</v>
      </c>
      <c r="N2348">
        <v>44</v>
      </c>
      <c r="O2348">
        <v>189.25</v>
      </c>
      <c r="P2348">
        <v>155.80000000000001</v>
      </c>
      <c r="Q2348" s="1" t="str">
        <v/>
      </c>
      <c r="R2348" s="1" t="str">
        <v/>
      </c>
      <c r="S2348" s="3">
        <v>0</v>
      </c>
      <c r="T2348" s="3">
        <v>0</v>
      </c>
    </row>
    <row r="2349" spans="1:20" x14ac:dyDescent="0.25">
      <c r="A2349" t="s">
        <v>78</v>
      </c>
      <c r="B2349" t="s">
        <v>3674</v>
      </c>
      <c r="C2349" t="s">
        <v>5012</v>
      </c>
      <c r="D2349" t="s">
        <v>5011</v>
      </c>
      <c r="E2349">
        <v>207.7</v>
      </c>
      <c r="F2349">
        <v>205</v>
      </c>
      <c r="G2349">
        <v>214</v>
      </c>
      <c r="H2349">
        <v>197.35</v>
      </c>
      <c r="I2349" s="1">
        <v>205</v>
      </c>
      <c r="J2349">
        <v>6541380</v>
      </c>
      <c r="K2349">
        <v>32400</v>
      </c>
      <c r="L2349" t="s">
        <v>78</v>
      </c>
      <c r="M2349" t="s">
        <v>17</v>
      </c>
      <c r="N2349">
        <v>21</v>
      </c>
      <c r="O2349">
        <v>232.5</v>
      </c>
      <c r="P2349">
        <v>97.5</v>
      </c>
      <c r="Q2349" s="1" t="str">
        <v/>
      </c>
      <c r="R2349" s="1" t="str">
        <v/>
      </c>
      <c r="S2349" s="3">
        <v>0</v>
      </c>
      <c r="T2349" s="3">
        <v>0</v>
      </c>
    </row>
    <row r="2350" spans="1:20" x14ac:dyDescent="0.25">
      <c r="A2350" t="s">
        <v>78</v>
      </c>
      <c r="B2350" t="s">
        <v>3674</v>
      </c>
      <c r="C2350" t="s">
        <v>5010</v>
      </c>
      <c r="D2350" t="s">
        <v>5009</v>
      </c>
      <c r="E2350">
        <v>305.5</v>
      </c>
      <c r="F2350">
        <v>295.5</v>
      </c>
      <c r="G2350">
        <v>310</v>
      </c>
      <c r="H2350">
        <v>295</v>
      </c>
      <c r="I2350" s="1">
        <v>306.85000000000002</v>
      </c>
      <c r="J2350">
        <v>12517480</v>
      </c>
      <c r="K2350">
        <v>41600</v>
      </c>
      <c r="L2350" t="s">
        <v>78</v>
      </c>
      <c r="M2350" t="s">
        <v>17</v>
      </c>
      <c r="N2350">
        <v>39</v>
      </c>
      <c r="O2350">
        <v>377.8</v>
      </c>
      <c r="P2350">
        <v>142</v>
      </c>
      <c r="Q2350" s="1" t="str">
        <v/>
      </c>
      <c r="R2350" s="1" t="str">
        <v/>
      </c>
      <c r="S2350" s="3">
        <v>0</v>
      </c>
      <c r="T2350" s="3">
        <v>0</v>
      </c>
    </row>
    <row r="2351" spans="1:20" x14ac:dyDescent="0.25">
      <c r="A2351" t="s">
        <v>78</v>
      </c>
      <c r="B2351" t="s">
        <v>3674</v>
      </c>
      <c r="C2351" t="s">
        <v>5008</v>
      </c>
      <c r="D2351" t="s">
        <v>5007</v>
      </c>
      <c r="E2351">
        <v>417.9</v>
      </c>
      <c r="F2351">
        <v>438.75</v>
      </c>
      <c r="G2351">
        <v>438.75</v>
      </c>
      <c r="H2351">
        <v>438.75</v>
      </c>
      <c r="I2351" s="1">
        <v>438.75</v>
      </c>
      <c r="J2351">
        <v>120042000</v>
      </c>
      <c r="K2351">
        <v>273600</v>
      </c>
      <c r="L2351" t="s">
        <v>78</v>
      </c>
      <c r="M2351" t="s">
        <v>17</v>
      </c>
      <c r="N2351">
        <v>254</v>
      </c>
      <c r="O2351">
        <v>438.75</v>
      </c>
      <c r="P2351">
        <v>361</v>
      </c>
      <c r="Q2351" s="1" t="str">
        <v/>
      </c>
      <c r="R2351" s="1" t="str">
        <v/>
      </c>
      <c r="S2351" s="3">
        <v>0</v>
      </c>
      <c r="T2351" s="3">
        <v>0</v>
      </c>
    </row>
    <row r="2352" spans="1:20" x14ac:dyDescent="0.25">
      <c r="A2352" t="s">
        <v>78</v>
      </c>
      <c r="B2352" t="s">
        <v>3674</v>
      </c>
      <c r="C2352" t="s">
        <v>5006</v>
      </c>
      <c r="D2352" t="s">
        <v>5005</v>
      </c>
      <c r="E2352">
        <v>121.2</v>
      </c>
      <c r="F2352">
        <v>116</v>
      </c>
      <c r="G2352">
        <v>116</v>
      </c>
      <c r="H2352">
        <v>116</v>
      </c>
      <c r="I2352" s="1">
        <v>116</v>
      </c>
      <c r="J2352">
        <v>145000</v>
      </c>
      <c r="K2352">
        <v>1250</v>
      </c>
      <c r="L2352" t="s">
        <v>78</v>
      </c>
      <c r="M2352" t="s">
        <v>17</v>
      </c>
      <c r="N2352">
        <v>1</v>
      </c>
      <c r="O2352">
        <v>121.5</v>
      </c>
      <c r="P2352">
        <v>41.25</v>
      </c>
      <c r="Q2352" s="1" t="str">
        <v/>
      </c>
      <c r="R2352" s="1" t="str">
        <v/>
      </c>
      <c r="S2352" s="3">
        <v>0</v>
      </c>
      <c r="T2352" s="3">
        <v>0</v>
      </c>
    </row>
    <row r="2353" spans="1:20" x14ac:dyDescent="0.25">
      <c r="A2353" t="s">
        <v>78</v>
      </c>
      <c r="B2353" t="s">
        <v>3674</v>
      </c>
      <c r="C2353" t="s">
        <v>5004</v>
      </c>
      <c r="D2353" t="s">
        <v>5003</v>
      </c>
      <c r="E2353">
        <v>132.5</v>
      </c>
      <c r="F2353">
        <v>133</v>
      </c>
      <c r="G2353">
        <v>135</v>
      </c>
      <c r="H2353">
        <v>133</v>
      </c>
      <c r="I2353" s="1">
        <v>135</v>
      </c>
      <c r="J2353">
        <v>1614000</v>
      </c>
      <c r="K2353">
        <v>12000</v>
      </c>
      <c r="L2353" t="s">
        <v>78</v>
      </c>
      <c r="M2353" t="s">
        <v>17</v>
      </c>
      <c r="N2353">
        <v>2</v>
      </c>
      <c r="O2353">
        <v>140.35</v>
      </c>
      <c r="P2353">
        <v>37.35</v>
      </c>
      <c r="Q2353" s="1" t="str">
        <v/>
      </c>
      <c r="R2353" s="1" t="str">
        <v/>
      </c>
      <c r="S2353" s="3">
        <v>0</v>
      </c>
      <c r="T2353" s="3">
        <v>0</v>
      </c>
    </row>
    <row r="2354" spans="1:20" x14ac:dyDescent="0.25">
      <c r="A2354" t="s">
        <v>78</v>
      </c>
      <c r="B2354" t="s">
        <v>3674</v>
      </c>
      <c r="C2354" t="s">
        <v>5002</v>
      </c>
      <c r="D2354" t="s">
        <v>5001</v>
      </c>
      <c r="E2354">
        <v>45.35</v>
      </c>
      <c r="F2354">
        <v>45.35</v>
      </c>
      <c r="G2354">
        <v>45.35</v>
      </c>
      <c r="H2354">
        <v>43.2</v>
      </c>
      <c r="I2354" s="1">
        <v>44</v>
      </c>
      <c r="J2354">
        <v>2463000</v>
      </c>
      <c r="K2354">
        <v>56000</v>
      </c>
      <c r="L2354" t="s">
        <v>78</v>
      </c>
      <c r="M2354" t="s">
        <v>17</v>
      </c>
      <c r="N2354">
        <v>14</v>
      </c>
      <c r="O2354">
        <v>65.3</v>
      </c>
      <c r="P2354">
        <v>30.5</v>
      </c>
      <c r="Q2354" s="1" t="str">
        <v/>
      </c>
      <c r="R2354" s="1" t="str">
        <v/>
      </c>
      <c r="S2354" s="3">
        <v>0</v>
      </c>
      <c r="T2354" s="3">
        <v>0</v>
      </c>
    </row>
    <row r="2355" spans="1:20" x14ac:dyDescent="0.25">
      <c r="A2355" t="s">
        <v>78</v>
      </c>
      <c r="B2355" t="s">
        <v>3674</v>
      </c>
      <c r="C2355" t="s">
        <v>5000</v>
      </c>
      <c r="D2355" t="s">
        <v>4999</v>
      </c>
      <c r="E2355">
        <v>256</v>
      </c>
      <c r="F2355">
        <v>255</v>
      </c>
      <c r="G2355">
        <v>261</v>
      </c>
      <c r="H2355">
        <v>255</v>
      </c>
      <c r="I2355" s="1">
        <v>260.95</v>
      </c>
      <c r="J2355">
        <v>3322080</v>
      </c>
      <c r="K2355">
        <v>12800</v>
      </c>
      <c r="L2355" t="s">
        <v>78</v>
      </c>
      <c r="M2355" t="s">
        <v>17</v>
      </c>
      <c r="N2355">
        <v>16</v>
      </c>
      <c r="O2355">
        <v>331.65</v>
      </c>
      <c r="P2355">
        <v>153</v>
      </c>
      <c r="Q2355" s="1" t="str">
        <v/>
      </c>
      <c r="R2355" s="1" t="str">
        <v/>
      </c>
      <c r="S2355" s="3">
        <v>0</v>
      </c>
      <c r="T2355" s="3">
        <v>0</v>
      </c>
    </row>
    <row r="2356" spans="1:20" x14ac:dyDescent="0.25">
      <c r="A2356" t="s">
        <v>78</v>
      </c>
      <c r="B2356" t="s">
        <v>3674</v>
      </c>
      <c r="C2356" t="s">
        <v>4998</v>
      </c>
      <c r="D2356" t="s">
        <v>4997</v>
      </c>
      <c r="E2356">
        <v>55.95</v>
      </c>
      <c r="F2356">
        <v>57.5</v>
      </c>
      <c r="G2356">
        <v>57.5</v>
      </c>
      <c r="H2356">
        <v>53.75</v>
      </c>
      <c r="I2356" s="1">
        <v>56.5</v>
      </c>
      <c r="J2356">
        <v>1330200</v>
      </c>
      <c r="K2356">
        <v>24000</v>
      </c>
      <c r="L2356" t="s">
        <v>78</v>
      </c>
      <c r="M2356" t="s">
        <v>17</v>
      </c>
      <c r="N2356">
        <v>12</v>
      </c>
      <c r="O2356">
        <v>63.85</v>
      </c>
      <c r="P2356">
        <v>36.049999999999997</v>
      </c>
      <c r="Q2356" s="1" t="str">
        <v/>
      </c>
      <c r="R2356" s="1" t="str">
        <v/>
      </c>
      <c r="S2356" s="3">
        <v>0</v>
      </c>
      <c r="T2356" s="3">
        <v>0</v>
      </c>
    </row>
    <row r="2357" spans="1:20" x14ac:dyDescent="0.25">
      <c r="A2357" t="s">
        <v>78</v>
      </c>
      <c r="B2357" t="s">
        <v>3674</v>
      </c>
      <c r="C2357" t="s">
        <v>4996</v>
      </c>
      <c r="D2357" t="s">
        <v>4995</v>
      </c>
      <c r="E2357">
        <v>269.75</v>
      </c>
      <c r="F2357">
        <v>283.2</v>
      </c>
      <c r="G2357">
        <v>283.2</v>
      </c>
      <c r="H2357">
        <v>275</v>
      </c>
      <c r="I2357" s="1">
        <v>283.2</v>
      </c>
      <c r="J2357">
        <v>38902680</v>
      </c>
      <c r="K2357">
        <v>138000</v>
      </c>
      <c r="L2357" t="s">
        <v>78</v>
      </c>
      <c r="M2357" t="s">
        <v>17</v>
      </c>
      <c r="N2357">
        <v>102</v>
      </c>
      <c r="O2357">
        <v>329</v>
      </c>
      <c r="P2357">
        <v>134.75</v>
      </c>
      <c r="Q2357" s="1" t="str">
        <v/>
      </c>
      <c r="R2357" s="1" t="str">
        <v/>
      </c>
      <c r="S2357" s="3">
        <v>0</v>
      </c>
      <c r="T2357" s="3">
        <v>0</v>
      </c>
    </row>
    <row r="2358" spans="1:20" x14ac:dyDescent="0.25">
      <c r="A2358" t="s">
        <v>78</v>
      </c>
      <c r="B2358" t="s">
        <v>3674</v>
      </c>
      <c r="C2358" t="s">
        <v>4994</v>
      </c>
      <c r="D2358" t="s">
        <v>4993</v>
      </c>
      <c r="E2358">
        <v>360</v>
      </c>
      <c r="F2358">
        <v>372</v>
      </c>
      <c r="G2358">
        <v>372</v>
      </c>
      <c r="H2358">
        <v>342</v>
      </c>
      <c r="I2358" s="1">
        <v>343.4</v>
      </c>
      <c r="J2358">
        <v>11663375</v>
      </c>
      <c r="K2358">
        <v>33500</v>
      </c>
      <c r="L2358" t="s">
        <v>78</v>
      </c>
      <c r="M2358" t="s">
        <v>17</v>
      </c>
      <c r="N2358">
        <v>62</v>
      </c>
      <c r="O2358">
        <v>424.5</v>
      </c>
      <c r="P2358">
        <v>171.4</v>
      </c>
      <c r="Q2358" s="1" t="str">
        <v/>
      </c>
      <c r="R2358" s="1" t="str">
        <v/>
      </c>
      <c r="S2358" s="3">
        <v>0</v>
      </c>
      <c r="T2358" s="3">
        <v>0</v>
      </c>
    </row>
    <row r="2359" spans="1:20" x14ac:dyDescent="0.25">
      <c r="A2359" t="s">
        <v>78</v>
      </c>
      <c r="B2359" t="s">
        <v>3674</v>
      </c>
      <c r="C2359" t="s">
        <v>4992</v>
      </c>
      <c r="D2359" t="s">
        <v>4991</v>
      </c>
      <c r="E2359">
        <v>1548.55</v>
      </c>
      <c r="F2359">
        <v>1589.9</v>
      </c>
      <c r="G2359">
        <v>1615</v>
      </c>
      <c r="H2359">
        <v>1540</v>
      </c>
      <c r="I2359" s="1">
        <v>1570.55</v>
      </c>
      <c r="J2359">
        <v>9888465</v>
      </c>
      <c r="K2359">
        <v>6300</v>
      </c>
      <c r="L2359" t="s">
        <v>78</v>
      </c>
      <c r="M2359" t="s">
        <v>17</v>
      </c>
      <c r="N2359">
        <v>52</v>
      </c>
      <c r="O2359">
        <v>1888.05</v>
      </c>
      <c r="P2359">
        <v>200</v>
      </c>
      <c r="Q2359" s="1" t="str">
        <v/>
      </c>
      <c r="R2359" s="1" t="str">
        <v/>
      </c>
      <c r="S2359" s="3">
        <v>0</v>
      </c>
      <c r="T2359" s="3">
        <v>0</v>
      </c>
    </row>
    <row r="2360" spans="1:20" x14ac:dyDescent="0.25">
      <c r="A2360" t="s">
        <v>78</v>
      </c>
      <c r="B2360" t="s">
        <v>3674</v>
      </c>
      <c r="C2360" t="s">
        <v>4990</v>
      </c>
      <c r="D2360" t="s">
        <v>4989</v>
      </c>
      <c r="E2360">
        <v>257.55</v>
      </c>
      <c r="F2360">
        <v>247</v>
      </c>
      <c r="G2360">
        <v>252</v>
      </c>
      <c r="H2360">
        <v>244.7</v>
      </c>
      <c r="I2360" s="1">
        <v>250.15</v>
      </c>
      <c r="J2360">
        <v>8682720</v>
      </c>
      <c r="K2360">
        <v>35200</v>
      </c>
      <c r="L2360" t="s">
        <v>78</v>
      </c>
      <c r="M2360" t="s">
        <v>17</v>
      </c>
      <c r="N2360">
        <v>39</v>
      </c>
      <c r="O2360">
        <v>296.8</v>
      </c>
      <c r="P2360">
        <v>112</v>
      </c>
      <c r="Q2360" s="1" t="str">
        <v/>
      </c>
      <c r="R2360" s="1" t="str">
        <v/>
      </c>
      <c r="S2360" s="3">
        <v>0</v>
      </c>
      <c r="T2360" s="3">
        <v>0</v>
      </c>
    </row>
    <row r="2361" spans="1:20" x14ac:dyDescent="0.25">
      <c r="A2361" t="s">
        <v>78</v>
      </c>
      <c r="B2361" t="s">
        <v>3674</v>
      </c>
      <c r="C2361" t="s">
        <v>4988</v>
      </c>
      <c r="D2361" t="s">
        <v>4987</v>
      </c>
      <c r="E2361">
        <v>775</v>
      </c>
      <c r="F2361">
        <v>740.1</v>
      </c>
      <c r="G2361">
        <v>750</v>
      </c>
      <c r="H2361">
        <v>736.25</v>
      </c>
      <c r="I2361" s="1">
        <v>740</v>
      </c>
      <c r="J2361">
        <v>4068100</v>
      </c>
      <c r="K2361">
        <v>5500</v>
      </c>
      <c r="L2361" t="s">
        <v>78</v>
      </c>
      <c r="M2361" t="s">
        <v>17</v>
      </c>
      <c r="N2361">
        <v>11</v>
      </c>
      <c r="O2361">
        <v>873</v>
      </c>
      <c r="P2361">
        <v>176</v>
      </c>
      <c r="Q2361" s="1" t="str">
        <v/>
      </c>
      <c r="R2361" s="1" t="str">
        <v/>
      </c>
      <c r="S2361" s="3">
        <v>0</v>
      </c>
      <c r="T2361" s="3">
        <v>0</v>
      </c>
    </row>
    <row r="2362" spans="1:20" x14ac:dyDescent="0.25">
      <c r="A2362" t="s">
        <v>78</v>
      </c>
      <c r="B2362" t="s">
        <v>3674</v>
      </c>
      <c r="C2362" t="s">
        <v>4986</v>
      </c>
      <c r="D2362" t="s">
        <v>4985</v>
      </c>
      <c r="E2362">
        <v>354.7</v>
      </c>
      <c r="F2362">
        <v>359.95</v>
      </c>
      <c r="G2362">
        <v>360</v>
      </c>
      <c r="H2362">
        <v>350</v>
      </c>
      <c r="I2362" s="1">
        <v>353.9</v>
      </c>
      <c r="J2362">
        <v>6027275</v>
      </c>
      <c r="K2362">
        <v>17000</v>
      </c>
      <c r="L2362" t="s">
        <v>78</v>
      </c>
      <c r="M2362" t="s">
        <v>17</v>
      </c>
      <c r="N2362">
        <v>33</v>
      </c>
      <c r="O2362">
        <v>429.2</v>
      </c>
      <c r="P2362">
        <v>151.55000000000001</v>
      </c>
      <c r="Q2362" s="1" t="str">
        <v/>
      </c>
      <c r="R2362" s="1" t="str">
        <v/>
      </c>
      <c r="S2362" s="3">
        <v>0</v>
      </c>
      <c r="T2362" s="3">
        <v>0</v>
      </c>
    </row>
    <row r="2363" spans="1:20" x14ac:dyDescent="0.25">
      <c r="A2363" t="s">
        <v>78</v>
      </c>
      <c r="B2363" t="s">
        <v>3674</v>
      </c>
      <c r="C2363" t="s">
        <v>4984</v>
      </c>
      <c r="D2363" t="s">
        <v>4983</v>
      </c>
      <c r="E2363">
        <v>800</v>
      </c>
      <c r="F2363">
        <v>828</v>
      </c>
      <c r="G2363">
        <v>828</v>
      </c>
      <c r="H2363">
        <v>770</v>
      </c>
      <c r="I2363" s="1">
        <v>781.8</v>
      </c>
      <c r="J2363">
        <v>44623425</v>
      </c>
      <c r="K2363">
        <v>56000</v>
      </c>
      <c r="L2363" t="s">
        <v>78</v>
      </c>
      <c r="M2363" t="s">
        <v>17</v>
      </c>
      <c r="N2363">
        <v>111</v>
      </c>
      <c r="O2363">
        <v>1130</v>
      </c>
      <c r="P2363">
        <v>184.05</v>
      </c>
      <c r="Q2363" s="1" t="str">
        <v/>
      </c>
      <c r="R2363" s="1" t="str">
        <v/>
      </c>
      <c r="S2363" s="3">
        <v>0</v>
      </c>
      <c r="T2363" s="3">
        <v>0</v>
      </c>
    </row>
    <row r="2364" spans="1:20" x14ac:dyDescent="0.25">
      <c r="A2364" t="s">
        <v>78</v>
      </c>
      <c r="B2364" t="s">
        <v>3674</v>
      </c>
      <c r="C2364" t="s">
        <v>4982</v>
      </c>
      <c r="D2364" t="s">
        <v>4981</v>
      </c>
      <c r="E2364">
        <v>60</v>
      </c>
      <c r="F2364">
        <v>57</v>
      </c>
      <c r="G2364">
        <v>62.9</v>
      </c>
      <c r="H2364">
        <v>57</v>
      </c>
      <c r="I2364" s="1">
        <v>62.9</v>
      </c>
      <c r="J2364">
        <v>813375</v>
      </c>
      <c r="K2364">
        <v>13500</v>
      </c>
      <c r="L2364" t="s">
        <v>78</v>
      </c>
      <c r="M2364" t="s">
        <v>17</v>
      </c>
      <c r="N2364">
        <v>9</v>
      </c>
      <c r="O2364">
        <v>118</v>
      </c>
      <c r="P2364">
        <v>28.05</v>
      </c>
      <c r="Q2364" s="1" t="str">
        <v/>
      </c>
      <c r="R2364" s="1" t="str">
        <v/>
      </c>
      <c r="S2364" s="3">
        <v>0</v>
      </c>
      <c r="T2364" s="3">
        <v>0</v>
      </c>
    </row>
    <row r="2365" spans="1:20" x14ac:dyDescent="0.25">
      <c r="A2365" t="s">
        <v>78</v>
      </c>
      <c r="B2365" t="s">
        <v>3674</v>
      </c>
      <c r="C2365" t="s">
        <v>4980</v>
      </c>
      <c r="D2365" t="s">
        <v>4979</v>
      </c>
      <c r="E2365">
        <v>62.05</v>
      </c>
      <c r="F2365">
        <v>62.3</v>
      </c>
      <c r="G2365">
        <v>62.9</v>
      </c>
      <c r="H2365">
        <v>61.45</v>
      </c>
      <c r="I2365" s="1">
        <v>62.3</v>
      </c>
      <c r="J2365">
        <v>1869800</v>
      </c>
      <c r="K2365">
        <v>30000</v>
      </c>
      <c r="L2365" t="s">
        <v>78</v>
      </c>
      <c r="M2365" t="s">
        <v>17</v>
      </c>
      <c r="N2365">
        <v>15</v>
      </c>
      <c r="O2365">
        <v>74.400000000000006</v>
      </c>
      <c r="P2365">
        <v>49.25</v>
      </c>
      <c r="Q2365" s="1" t="str">
        <v/>
      </c>
      <c r="R2365" s="1" t="str">
        <v/>
      </c>
      <c r="S2365" s="3">
        <v>0</v>
      </c>
      <c r="T2365" s="3">
        <v>0</v>
      </c>
    </row>
    <row r="2366" spans="1:20" x14ac:dyDescent="0.25">
      <c r="A2366" t="s">
        <v>78</v>
      </c>
      <c r="B2366" t="s">
        <v>3674</v>
      </c>
      <c r="C2366" t="s">
        <v>4978</v>
      </c>
      <c r="D2366" t="s">
        <v>4977</v>
      </c>
      <c r="E2366">
        <v>314</v>
      </c>
      <c r="F2366">
        <v>329</v>
      </c>
      <c r="G2366">
        <v>329</v>
      </c>
      <c r="H2366">
        <v>324.8</v>
      </c>
      <c r="I2366" s="1">
        <v>325</v>
      </c>
      <c r="J2366">
        <v>978800</v>
      </c>
      <c r="K2366">
        <v>3000</v>
      </c>
      <c r="L2366" t="s">
        <v>78</v>
      </c>
      <c r="M2366" t="s">
        <v>17</v>
      </c>
      <c r="N2366">
        <v>3</v>
      </c>
      <c r="O2366">
        <v>374.75</v>
      </c>
      <c r="P2366">
        <v>130</v>
      </c>
      <c r="Q2366" s="1" t="str">
        <v/>
      </c>
      <c r="R2366" s="1" t="str">
        <v/>
      </c>
      <c r="S2366" s="3">
        <v>0</v>
      </c>
      <c r="T2366" s="3">
        <v>0</v>
      </c>
    </row>
    <row r="2367" spans="1:20" x14ac:dyDescent="0.25">
      <c r="A2367" t="s">
        <v>78</v>
      </c>
      <c r="B2367" t="s">
        <v>3674</v>
      </c>
      <c r="C2367" t="s">
        <v>4976</v>
      </c>
      <c r="D2367" t="s">
        <v>4975</v>
      </c>
      <c r="E2367">
        <v>181.5</v>
      </c>
      <c r="F2367">
        <v>178</v>
      </c>
      <c r="G2367">
        <v>190.55</v>
      </c>
      <c r="H2367">
        <v>172.45</v>
      </c>
      <c r="I2367" s="1">
        <v>190.55</v>
      </c>
      <c r="J2367">
        <v>9984050</v>
      </c>
      <c r="K2367">
        <v>56000</v>
      </c>
      <c r="L2367" t="s">
        <v>78</v>
      </c>
      <c r="M2367" t="s">
        <v>17</v>
      </c>
      <c r="N2367">
        <v>44</v>
      </c>
      <c r="O2367">
        <v>244.35</v>
      </c>
      <c r="P2367">
        <v>105.35</v>
      </c>
      <c r="Q2367" s="1" t="str">
        <v/>
      </c>
      <c r="R2367" s="1" t="str">
        <v/>
      </c>
      <c r="S2367" s="3">
        <v>0</v>
      </c>
      <c r="T2367" s="3">
        <v>0</v>
      </c>
    </row>
    <row r="2368" spans="1:20" x14ac:dyDescent="0.25">
      <c r="A2368" t="s">
        <v>78</v>
      </c>
      <c r="B2368" t="s">
        <v>3674</v>
      </c>
      <c r="C2368" t="s">
        <v>4974</v>
      </c>
      <c r="D2368" t="s">
        <v>4973</v>
      </c>
      <c r="E2368">
        <v>394.7</v>
      </c>
      <c r="F2368">
        <v>393</v>
      </c>
      <c r="G2368">
        <v>396</v>
      </c>
      <c r="H2368">
        <v>378</v>
      </c>
      <c r="I2368" s="1">
        <v>383.55</v>
      </c>
      <c r="J2368">
        <v>17466480</v>
      </c>
      <c r="K2368">
        <v>45200</v>
      </c>
      <c r="L2368" t="s">
        <v>78</v>
      </c>
      <c r="M2368" t="s">
        <v>17</v>
      </c>
      <c r="N2368">
        <v>111</v>
      </c>
      <c r="O2368">
        <v>490</v>
      </c>
      <c r="P2368">
        <v>195</v>
      </c>
      <c r="Q2368" s="1" t="str">
        <v/>
      </c>
      <c r="R2368" s="1" t="str">
        <v/>
      </c>
      <c r="S2368" s="3">
        <v>0</v>
      </c>
      <c r="T2368" s="3">
        <v>0</v>
      </c>
    </row>
    <row r="2369" spans="1:20" x14ac:dyDescent="0.25">
      <c r="A2369" t="s">
        <v>78</v>
      </c>
      <c r="B2369" t="s">
        <v>3674</v>
      </c>
      <c r="C2369" t="s">
        <v>4972</v>
      </c>
      <c r="D2369" t="s">
        <v>4971</v>
      </c>
      <c r="E2369">
        <v>179</v>
      </c>
      <c r="F2369">
        <v>180</v>
      </c>
      <c r="G2369">
        <v>180</v>
      </c>
      <c r="H2369">
        <v>173</v>
      </c>
      <c r="I2369" s="1">
        <v>175</v>
      </c>
      <c r="J2369">
        <v>422400</v>
      </c>
      <c r="K2369">
        <v>2400</v>
      </c>
      <c r="L2369" t="s">
        <v>78</v>
      </c>
      <c r="M2369" t="s">
        <v>17</v>
      </c>
      <c r="N2369">
        <v>3</v>
      </c>
      <c r="O2369">
        <v>207.35</v>
      </c>
      <c r="P2369">
        <v>100.1</v>
      </c>
      <c r="Q2369" s="1" t="str">
        <v/>
      </c>
      <c r="R2369" s="1" t="str">
        <v/>
      </c>
      <c r="S2369" s="3">
        <v>0</v>
      </c>
      <c r="T2369" s="3">
        <v>0</v>
      </c>
    </row>
    <row r="2370" spans="1:20" x14ac:dyDescent="0.25">
      <c r="A2370" t="s">
        <v>78</v>
      </c>
      <c r="B2370" t="s">
        <v>3674</v>
      </c>
      <c r="C2370" t="s">
        <v>4970</v>
      </c>
      <c r="D2370" t="s">
        <v>4969</v>
      </c>
      <c r="E2370">
        <v>252.45</v>
      </c>
      <c r="F2370">
        <v>265.05</v>
      </c>
      <c r="G2370">
        <v>265.05</v>
      </c>
      <c r="H2370">
        <v>260</v>
      </c>
      <c r="I2370" s="1">
        <v>265.05</v>
      </c>
      <c r="J2370">
        <v>403586880</v>
      </c>
      <c r="K2370">
        <v>1523200</v>
      </c>
      <c r="L2370" t="s">
        <v>78</v>
      </c>
      <c r="M2370" t="s">
        <v>17</v>
      </c>
      <c r="N2370">
        <v>442</v>
      </c>
      <c r="O2370">
        <v>265.05</v>
      </c>
      <c r="P2370">
        <v>171</v>
      </c>
      <c r="Q2370" s="1" t="str">
        <v/>
      </c>
      <c r="R2370" s="1" t="str">
        <v/>
      </c>
      <c r="S2370" s="3">
        <v>0</v>
      </c>
      <c r="T2370" s="3">
        <v>0</v>
      </c>
    </row>
    <row r="2371" spans="1:20" x14ac:dyDescent="0.25">
      <c r="A2371" t="s">
        <v>78</v>
      </c>
      <c r="B2371" t="s">
        <v>3674</v>
      </c>
      <c r="C2371" t="s">
        <v>4968</v>
      </c>
      <c r="D2371" t="s">
        <v>4967</v>
      </c>
      <c r="E2371">
        <v>417.8</v>
      </c>
      <c r="F2371">
        <v>426</v>
      </c>
      <c r="G2371">
        <v>438.65</v>
      </c>
      <c r="H2371">
        <v>420</v>
      </c>
      <c r="I2371" s="1">
        <v>438.65</v>
      </c>
      <c r="J2371">
        <v>19652310</v>
      </c>
      <c r="K2371">
        <v>45600</v>
      </c>
      <c r="L2371" t="s">
        <v>78</v>
      </c>
      <c r="M2371" t="s">
        <v>17</v>
      </c>
      <c r="N2371">
        <v>75</v>
      </c>
      <c r="O2371">
        <v>451</v>
      </c>
      <c r="P2371">
        <v>133</v>
      </c>
      <c r="Q2371" s="1" t="str">
        <v/>
      </c>
      <c r="R2371" s="1" t="str">
        <v/>
      </c>
      <c r="S2371" s="3">
        <v>0</v>
      </c>
      <c r="T2371" s="3">
        <v>0</v>
      </c>
    </row>
    <row r="2372" spans="1:20" x14ac:dyDescent="0.25">
      <c r="A2372" t="s">
        <v>78</v>
      </c>
      <c r="B2372" t="s">
        <v>3674</v>
      </c>
      <c r="C2372" t="s">
        <v>4966</v>
      </c>
      <c r="D2372" t="s">
        <v>4965</v>
      </c>
      <c r="E2372">
        <v>104.3</v>
      </c>
      <c r="F2372">
        <v>99.6</v>
      </c>
      <c r="G2372">
        <v>99.6</v>
      </c>
      <c r="H2372">
        <v>99.1</v>
      </c>
      <c r="I2372" s="1">
        <v>99.1</v>
      </c>
      <c r="J2372">
        <v>357360</v>
      </c>
      <c r="K2372">
        <v>3600</v>
      </c>
      <c r="L2372" t="s">
        <v>78</v>
      </c>
      <c r="M2372" t="s">
        <v>17</v>
      </c>
      <c r="N2372">
        <v>3</v>
      </c>
      <c r="O2372">
        <v>140</v>
      </c>
      <c r="P2372">
        <v>54.1</v>
      </c>
      <c r="Q2372" s="1" t="str">
        <v/>
      </c>
      <c r="R2372" s="1" t="str">
        <v/>
      </c>
      <c r="S2372" s="3">
        <v>0</v>
      </c>
      <c r="T2372" s="3">
        <v>0</v>
      </c>
    </row>
    <row r="2373" spans="1:20" x14ac:dyDescent="0.25">
      <c r="A2373" t="s">
        <v>78</v>
      </c>
      <c r="B2373" t="s">
        <v>3674</v>
      </c>
      <c r="C2373" t="s">
        <v>4964</v>
      </c>
      <c r="D2373" t="s">
        <v>4963</v>
      </c>
      <c r="E2373">
        <v>247.45</v>
      </c>
      <c r="F2373">
        <v>235.1</v>
      </c>
      <c r="G2373">
        <v>235.1</v>
      </c>
      <c r="H2373">
        <v>235.1</v>
      </c>
      <c r="I2373" s="1">
        <v>235.1</v>
      </c>
      <c r="J2373">
        <v>3761600</v>
      </c>
      <c r="K2373">
        <v>16000</v>
      </c>
      <c r="L2373" t="s">
        <v>78</v>
      </c>
      <c r="M2373" t="s">
        <v>17</v>
      </c>
      <c r="N2373">
        <v>4</v>
      </c>
      <c r="O2373">
        <v>283</v>
      </c>
      <c r="P2373">
        <v>75</v>
      </c>
      <c r="Q2373" s="1" t="str">
        <v/>
      </c>
      <c r="R2373" s="1" t="str">
        <v/>
      </c>
      <c r="S2373" s="3">
        <v>0</v>
      </c>
      <c r="T2373" s="3">
        <v>0</v>
      </c>
    </row>
    <row r="2374" spans="1:20" x14ac:dyDescent="0.25">
      <c r="A2374" t="s">
        <v>78</v>
      </c>
      <c r="B2374" t="s">
        <v>3674</v>
      </c>
      <c r="C2374" t="s">
        <v>4962</v>
      </c>
      <c r="D2374" t="s">
        <v>4961</v>
      </c>
      <c r="E2374">
        <v>65.900000000000006</v>
      </c>
      <c r="F2374">
        <v>62.6</v>
      </c>
      <c r="G2374">
        <v>62.6</v>
      </c>
      <c r="H2374">
        <v>62.6</v>
      </c>
      <c r="I2374" s="1">
        <v>62.6</v>
      </c>
      <c r="J2374">
        <v>801280</v>
      </c>
      <c r="K2374">
        <v>12800</v>
      </c>
      <c r="L2374" t="s">
        <v>78</v>
      </c>
      <c r="M2374" t="s">
        <v>17</v>
      </c>
      <c r="N2374">
        <v>61</v>
      </c>
      <c r="O2374">
        <v>142.65</v>
      </c>
      <c r="P2374">
        <v>27</v>
      </c>
      <c r="Q2374" s="1" t="str">
        <v/>
      </c>
      <c r="R2374" s="1" t="str">
        <v/>
      </c>
      <c r="S2374" s="3">
        <v>0</v>
      </c>
      <c r="T2374" s="3">
        <v>0</v>
      </c>
    </row>
    <row r="2375" spans="1:20" x14ac:dyDescent="0.25">
      <c r="A2375" t="s">
        <v>78</v>
      </c>
      <c r="B2375" t="s">
        <v>3674</v>
      </c>
      <c r="C2375" t="s">
        <v>4960</v>
      </c>
      <c r="D2375" t="s">
        <v>4959</v>
      </c>
      <c r="E2375">
        <v>562.04999999999995</v>
      </c>
      <c r="F2375">
        <v>563</v>
      </c>
      <c r="G2375">
        <v>590.15</v>
      </c>
      <c r="H2375">
        <v>563</v>
      </c>
      <c r="I2375" s="1">
        <v>568</v>
      </c>
      <c r="J2375">
        <v>19672740</v>
      </c>
      <c r="K2375">
        <v>34200</v>
      </c>
      <c r="L2375" t="s">
        <v>78</v>
      </c>
      <c r="M2375" t="s">
        <v>17</v>
      </c>
      <c r="N2375">
        <v>54</v>
      </c>
      <c r="O2375">
        <v>666.6</v>
      </c>
      <c r="P2375">
        <v>326.75</v>
      </c>
      <c r="Q2375" s="1" t="str">
        <v/>
      </c>
      <c r="R2375" s="1" t="str">
        <v/>
      </c>
      <c r="S2375" s="3">
        <v>0</v>
      </c>
      <c r="T2375" s="3">
        <v>0</v>
      </c>
    </row>
    <row r="2376" spans="1:20" x14ac:dyDescent="0.25">
      <c r="A2376" t="s">
        <v>78</v>
      </c>
      <c r="B2376" t="s">
        <v>3674</v>
      </c>
      <c r="C2376" t="s">
        <v>4958</v>
      </c>
      <c r="D2376" t="s">
        <v>4957</v>
      </c>
      <c r="E2376">
        <v>288.39999999999998</v>
      </c>
      <c r="F2376">
        <v>290</v>
      </c>
      <c r="G2376">
        <v>292</v>
      </c>
      <c r="H2376">
        <v>274</v>
      </c>
      <c r="I2376" s="1">
        <v>274.55</v>
      </c>
      <c r="J2376">
        <v>7321920</v>
      </c>
      <c r="K2376">
        <v>26400</v>
      </c>
      <c r="L2376" t="s">
        <v>78</v>
      </c>
      <c r="M2376" t="s">
        <v>17</v>
      </c>
      <c r="N2376">
        <v>43</v>
      </c>
      <c r="O2376">
        <v>369</v>
      </c>
      <c r="P2376">
        <v>146</v>
      </c>
      <c r="Q2376" s="1" t="str">
        <v/>
      </c>
      <c r="R2376" s="1" t="str">
        <v/>
      </c>
      <c r="S2376" s="3">
        <v>0</v>
      </c>
      <c r="T2376" s="3">
        <v>0</v>
      </c>
    </row>
    <row r="2377" spans="1:20" x14ac:dyDescent="0.25">
      <c r="A2377" t="s">
        <v>78</v>
      </c>
      <c r="B2377" t="s">
        <v>3674</v>
      </c>
      <c r="C2377" t="s">
        <v>4956</v>
      </c>
      <c r="D2377" t="s">
        <v>4955</v>
      </c>
      <c r="E2377">
        <v>755</v>
      </c>
      <c r="F2377">
        <v>760</v>
      </c>
      <c r="G2377">
        <v>764</v>
      </c>
      <c r="H2377">
        <v>751</v>
      </c>
      <c r="I2377" s="1">
        <v>752.05</v>
      </c>
      <c r="J2377">
        <v>3642090</v>
      </c>
      <c r="K2377">
        <v>4800</v>
      </c>
      <c r="L2377" t="s">
        <v>78</v>
      </c>
      <c r="M2377" t="s">
        <v>17</v>
      </c>
      <c r="N2377">
        <v>8</v>
      </c>
      <c r="O2377">
        <v>835</v>
      </c>
      <c r="P2377">
        <v>260</v>
      </c>
      <c r="Q2377" s="1" t="str">
        <v/>
      </c>
      <c r="R2377" s="1" t="str">
        <v/>
      </c>
      <c r="S2377" s="3">
        <v>0</v>
      </c>
      <c r="T2377" s="3">
        <v>0</v>
      </c>
    </row>
    <row r="2378" spans="1:20" x14ac:dyDescent="0.25">
      <c r="A2378" t="s">
        <v>78</v>
      </c>
      <c r="B2378" t="s">
        <v>3674</v>
      </c>
      <c r="C2378" t="s">
        <v>4954</v>
      </c>
      <c r="D2378" t="s">
        <v>4953</v>
      </c>
      <c r="E2378">
        <v>160</v>
      </c>
      <c r="F2378">
        <v>160</v>
      </c>
      <c r="G2378">
        <v>168</v>
      </c>
      <c r="H2378">
        <v>160</v>
      </c>
      <c r="I2378" s="1">
        <v>164.8</v>
      </c>
      <c r="J2378">
        <v>11394640</v>
      </c>
      <c r="K2378">
        <v>68800</v>
      </c>
      <c r="L2378" t="s">
        <v>78</v>
      </c>
      <c r="M2378" t="s">
        <v>17</v>
      </c>
      <c r="N2378">
        <v>42</v>
      </c>
      <c r="O2378">
        <v>177</v>
      </c>
      <c r="P2378">
        <v>80.25</v>
      </c>
      <c r="Q2378" s="1" t="str">
        <v/>
      </c>
      <c r="R2378" s="1" t="str">
        <v/>
      </c>
      <c r="S2378" s="3">
        <v>0</v>
      </c>
      <c r="T2378" s="3">
        <v>0</v>
      </c>
    </row>
    <row r="2379" spans="1:20" x14ac:dyDescent="0.25">
      <c r="A2379" t="s">
        <v>78</v>
      </c>
      <c r="B2379" t="s">
        <v>3674</v>
      </c>
      <c r="C2379" t="s">
        <v>4952</v>
      </c>
      <c r="D2379" t="s">
        <v>4951</v>
      </c>
      <c r="E2379">
        <v>77.2</v>
      </c>
      <c r="F2379">
        <v>73.650000000000006</v>
      </c>
      <c r="G2379">
        <v>78.55</v>
      </c>
      <c r="H2379">
        <v>73.400000000000006</v>
      </c>
      <c r="I2379" s="1">
        <v>78.55</v>
      </c>
      <c r="J2379">
        <v>1127850</v>
      </c>
      <c r="K2379">
        <v>15000</v>
      </c>
      <c r="L2379" t="s">
        <v>78</v>
      </c>
      <c r="M2379" t="s">
        <v>17</v>
      </c>
      <c r="N2379">
        <v>5</v>
      </c>
      <c r="O2379">
        <v>86.5</v>
      </c>
      <c r="P2379">
        <v>38.65</v>
      </c>
      <c r="Q2379" s="1" t="str">
        <v/>
      </c>
      <c r="R2379" s="1" t="str">
        <v/>
      </c>
      <c r="S2379" s="3">
        <v>0</v>
      </c>
      <c r="T2379" s="3">
        <v>0</v>
      </c>
    </row>
    <row r="2380" spans="1:20" x14ac:dyDescent="0.25">
      <c r="A2380" t="s">
        <v>78</v>
      </c>
      <c r="B2380" t="s">
        <v>3674</v>
      </c>
      <c r="C2380" t="s">
        <v>4950</v>
      </c>
      <c r="D2380" t="s">
        <v>4949</v>
      </c>
      <c r="E2380">
        <v>189.05</v>
      </c>
      <c r="F2380">
        <v>180</v>
      </c>
      <c r="G2380">
        <v>180</v>
      </c>
      <c r="H2380">
        <v>179.6</v>
      </c>
      <c r="I2380" s="1">
        <v>179.6</v>
      </c>
      <c r="J2380">
        <v>1078080</v>
      </c>
      <c r="K2380">
        <v>6000</v>
      </c>
      <c r="L2380" t="s">
        <v>78</v>
      </c>
      <c r="M2380" t="s">
        <v>17</v>
      </c>
      <c r="N2380">
        <v>5</v>
      </c>
      <c r="O2380">
        <v>202.8</v>
      </c>
      <c r="P2380">
        <v>87.1</v>
      </c>
      <c r="Q2380" s="1" t="str">
        <v/>
      </c>
      <c r="R2380" s="1" t="str">
        <v/>
      </c>
      <c r="S2380" s="3">
        <v>0</v>
      </c>
      <c r="T2380" s="3">
        <v>0</v>
      </c>
    </row>
    <row r="2381" spans="1:20" x14ac:dyDescent="0.25">
      <c r="A2381" t="s">
        <v>78</v>
      </c>
      <c r="B2381" t="s">
        <v>3674</v>
      </c>
      <c r="C2381" t="s">
        <v>4948</v>
      </c>
      <c r="D2381" t="s">
        <v>4947</v>
      </c>
      <c r="E2381">
        <v>253</v>
      </c>
      <c r="F2381">
        <v>255</v>
      </c>
      <c r="G2381">
        <v>256</v>
      </c>
      <c r="H2381">
        <v>242</v>
      </c>
      <c r="I2381" s="1">
        <v>253</v>
      </c>
      <c r="J2381">
        <v>2818360</v>
      </c>
      <c r="K2381">
        <v>11200</v>
      </c>
      <c r="L2381" t="s">
        <v>78</v>
      </c>
      <c r="M2381" t="s">
        <v>17</v>
      </c>
      <c r="N2381">
        <v>6</v>
      </c>
      <c r="O2381">
        <v>380</v>
      </c>
      <c r="P2381">
        <v>80</v>
      </c>
      <c r="Q2381" s="1" t="str">
        <v/>
      </c>
      <c r="R2381" s="1" t="str">
        <v/>
      </c>
      <c r="S2381" s="3">
        <v>0</v>
      </c>
      <c r="T2381" s="3">
        <v>0</v>
      </c>
    </row>
    <row r="2382" spans="1:20" x14ac:dyDescent="0.25">
      <c r="A2382" t="s">
        <v>78</v>
      </c>
      <c r="B2382" t="s">
        <v>3674</v>
      </c>
      <c r="C2382" t="s">
        <v>4946</v>
      </c>
      <c r="D2382" t="s">
        <v>4945</v>
      </c>
      <c r="E2382">
        <v>345.1</v>
      </c>
      <c r="F2382">
        <v>340</v>
      </c>
      <c r="G2382">
        <v>340</v>
      </c>
      <c r="H2382">
        <v>327.85</v>
      </c>
      <c r="I2382" s="1">
        <v>327.85</v>
      </c>
      <c r="J2382">
        <v>13498150</v>
      </c>
      <c r="K2382">
        <v>41000</v>
      </c>
      <c r="L2382" t="s">
        <v>78</v>
      </c>
      <c r="M2382" t="s">
        <v>17</v>
      </c>
      <c r="N2382">
        <v>41</v>
      </c>
      <c r="O2382">
        <v>420</v>
      </c>
      <c r="P2382">
        <v>95</v>
      </c>
      <c r="Q2382" s="1" t="str">
        <v/>
      </c>
      <c r="R2382" s="1" t="str">
        <v/>
      </c>
      <c r="S2382" s="3">
        <v>0</v>
      </c>
      <c r="T2382" s="3">
        <v>0</v>
      </c>
    </row>
    <row r="2383" spans="1:20" x14ac:dyDescent="0.25">
      <c r="A2383" t="s">
        <v>78</v>
      </c>
      <c r="B2383" t="s">
        <v>3674</v>
      </c>
      <c r="C2383" t="s">
        <v>4944</v>
      </c>
      <c r="D2383" t="s">
        <v>4943</v>
      </c>
      <c r="E2383">
        <v>313.10000000000002</v>
      </c>
      <c r="F2383">
        <v>313.10000000000002</v>
      </c>
      <c r="G2383">
        <v>313.10000000000002</v>
      </c>
      <c r="H2383">
        <v>297.45</v>
      </c>
      <c r="I2383" s="1">
        <v>297.45</v>
      </c>
      <c r="J2383">
        <v>12191820</v>
      </c>
      <c r="K2383">
        <v>40800</v>
      </c>
      <c r="L2383" t="s">
        <v>78</v>
      </c>
      <c r="M2383" t="s">
        <v>17</v>
      </c>
      <c r="N2383">
        <v>33</v>
      </c>
      <c r="O2383">
        <v>399.3</v>
      </c>
      <c r="P2383">
        <v>198</v>
      </c>
      <c r="Q2383" s="1" t="str">
        <v/>
      </c>
      <c r="R2383" s="1" t="str">
        <v/>
      </c>
      <c r="S2383" s="3">
        <v>0</v>
      </c>
      <c r="T2383" s="3">
        <v>0</v>
      </c>
    </row>
    <row r="2384" spans="1:20" x14ac:dyDescent="0.25">
      <c r="A2384" t="s">
        <v>78</v>
      </c>
      <c r="B2384" t="s">
        <v>3674</v>
      </c>
      <c r="C2384" t="s">
        <v>4942</v>
      </c>
      <c r="D2384" t="s">
        <v>4941</v>
      </c>
      <c r="E2384">
        <v>796</v>
      </c>
      <c r="F2384">
        <v>790</v>
      </c>
      <c r="G2384">
        <v>794</v>
      </c>
      <c r="H2384">
        <v>756.2</v>
      </c>
      <c r="I2384" s="1">
        <v>757</v>
      </c>
      <c r="J2384">
        <v>22540650</v>
      </c>
      <c r="K2384">
        <v>29500</v>
      </c>
      <c r="L2384" t="s">
        <v>78</v>
      </c>
      <c r="M2384" t="s">
        <v>17</v>
      </c>
      <c r="N2384">
        <v>58</v>
      </c>
      <c r="O2384">
        <v>998</v>
      </c>
      <c r="P2384">
        <v>93.25</v>
      </c>
      <c r="Q2384" s="1" t="str">
        <v/>
      </c>
      <c r="R2384" s="1" t="str">
        <v/>
      </c>
      <c r="S2384" s="3">
        <v>0</v>
      </c>
      <c r="T2384" s="3">
        <v>0</v>
      </c>
    </row>
    <row r="2385" spans="1:20" x14ac:dyDescent="0.25">
      <c r="A2385" t="s">
        <v>78</v>
      </c>
      <c r="B2385" t="s">
        <v>3674</v>
      </c>
      <c r="C2385" t="s">
        <v>4940</v>
      </c>
      <c r="D2385" t="s">
        <v>4939</v>
      </c>
      <c r="E2385">
        <v>427.8</v>
      </c>
      <c r="F2385">
        <v>406.45</v>
      </c>
      <c r="G2385">
        <v>425</v>
      </c>
      <c r="H2385">
        <v>406.45</v>
      </c>
      <c r="I2385" s="1">
        <v>410.6</v>
      </c>
      <c r="J2385">
        <v>50786940</v>
      </c>
      <c r="K2385">
        <v>123600</v>
      </c>
      <c r="L2385" t="s">
        <v>78</v>
      </c>
      <c r="M2385" t="s">
        <v>17</v>
      </c>
      <c r="N2385">
        <v>91</v>
      </c>
      <c r="O2385">
        <v>609.9</v>
      </c>
      <c r="P2385">
        <v>123</v>
      </c>
      <c r="Q2385" s="1" t="str">
        <v/>
      </c>
      <c r="R2385" s="1" t="str">
        <v/>
      </c>
      <c r="S2385" s="3">
        <v>0</v>
      </c>
      <c r="T2385" s="3">
        <v>0</v>
      </c>
    </row>
    <row r="2386" spans="1:20" x14ac:dyDescent="0.25">
      <c r="A2386" t="s">
        <v>78</v>
      </c>
      <c r="B2386" t="s">
        <v>3674</v>
      </c>
      <c r="C2386" t="s">
        <v>4938</v>
      </c>
      <c r="D2386" t="s">
        <v>4937</v>
      </c>
      <c r="E2386">
        <v>200.7</v>
      </c>
      <c r="F2386">
        <v>201.1</v>
      </c>
      <c r="G2386">
        <v>202</v>
      </c>
      <c r="H2386">
        <v>193.5</v>
      </c>
      <c r="I2386" s="1">
        <v>194.95</v>
      </c>
      <c r="J2386">
        <v>8722920</v>
      </c>
      <c r="K2386">
        <v>44400</v>
      </c>
      <c r="L2386" t="s">
        <v>78</v>
      </c>
      <c r="M2386" t="s">
        <v>17</v>
      </c>
      <c r="N2386">
        <v>37</v>
      </c>
      <c r="O2386">
        <v>316</v>
      </c>
      <c r="P2386">
        <v>136.19999999999999</v>
      </c>
      <c r="Q2386" s="1" t="str">
        <v/>
      </c>
      <c r="R2386" s="1" t="str">
        <v/>
      </c>
      <c r="S2386" s="3">
        <v>0</v>
      </c>
      <c r="T2386" s="3">
        <v>0</v>
      </c>
    </row>
    <row r="2387" spans="1:20" x14ac:dyDescent="0.25">
      <c r="A2387" t="s">
        <v>78</v>
      </c>
      <c r="B2387" t="s">
        <v>3674</v>
      </c>
      <c r="C2387" t="s">
        <v>4936</v>
      </c>
      <c r="D2387" t="s">
        <v>4935</v>
      </c>
      <c r="E2387">
        <v>180.5</v>
      </c>
      <c r="F2387">
        <v>186.8</v>
      </c>
      <c r="G2387">
        <v>186.8</v>
      </c>
      <c r="H2387">
        <v>186.8</v>
      </c>
      <c r="I2387" s="1">
        <v>186.8</v>
      </c>
      <c r="J2387">
        <v>112080</v>
      </c>
      <c r="K2387">
        <v>600</v>
      </c>
      <c r="L2387" t="s">
        <v>78</v>
      </c>
      <c r="M2387" t="s">
        <v>17</v>
      </c>
      <c r="N2387">
        <v>1</v>
      </c>
      <c r="O2387">
        <v>239.9</v>
      </c>
      <c r="P2387">
        <v>111.15</v>
      </c>
      <c r="Q2387" s="1" t="str">
        <v/>
      </c>
      <c r="R2387" s="1" t="str">
        <v/>
      </c>
      <c r="S2387" s="3">
        <v>0</v>
      </c>
      <c r="T2387" s="3">
        <v>0</v>
      </c>
    </row>
    <row r="2388" spans="1:20" x14ac:dyDescent="0.25">
      <c r="A2388" t="s">
        <v>78</v>
      </c>
      <c r="B2388" t="s">
        <v>3674</v>
      </c>
      <c r="C2388" t="s">
        <v>4934</v>
      </c>
      <c r="D2388" t="s">
        <v>4933</v>
      </c>
      <c r="E2388">
        <v>505.1</v>
      </c>
      <c r="F2388">
        <v>500</v>
      </c>
      <c r="G2388">
        <v>505</v>
      </c>
      <c r="H2388">
        <v>479.85</v>
      </c>
      <c r="I2388" s="1">
        <v>479.85</v>
      </c>
      <c r="J2388">
        <v>34500900</v>
      </c>
      <c r="K2388">
        <v>71000</v>
      </c>
      <c r="L2388" t="s">
        <v>78</v>
      </c>
      <c r="M2388" t="s">
        <v>17</v>
      </c>
      <c r="N2388">
        <v>70</v>
      </c>
      <c r="O2388">
        <v>555</v>
      </c>
      <c r="P2388">
        <v>203.8</v>
      </c>
      <c r="Q2388" s="1" t="str">
        <v/>
      </c>
      <c r="R2388" s="1" t="str">
        <v/>
      </c>
      <c r="S2388" s="3">
        <v>0</v>
      </c>
      <c r="T2388" s="3">
        <v>0</v>
      </c>
    </row>
    <row r="2389" spans="1:20" x14ac:dyDescent="0.25">
      <c r="A2389" t="s">
        <v>78</v>
      </c>
      <c r="B2389" t="s">
        <v>3674</v>
      </c>
      <c r="C2389" t="s">
        <v>4932</v>
      </c>
      <c r="D2389" t="s">
        <v>4931</v>
      </c>
      <c r="E2389">
        <v>1173.4000000000001</v>
      </c>
      <c r="F2389">
        <v>1222</v>
      </c>
      <c r="G2389">
        <v>1229</v>
      </c>
      <c r="H2389">
        <v>1151.55</v>
      </c>
      <c r="I2389" s="1">
        <v>1181.5</v>
      </c>
      <c r="J2389">
        <v>20862190</v>
      </c>
      <c r="K2389">
        <v>17400</v>
      </c>
      <c r="L2389" t="s">
        <v>78</v>
      </c>
      <c r="M2389" t="s">
        <v>17</v>
      </c>
      <c r="N2389">
        <v>74</v>
      </c>
      <c r="O2389">
        <v>1442.5</v>
      </c>
      <c r="P2389">
        <v>313.5</v>
      </c>
      <c r="Q2389" s="1" t="str">
        <v/>
      </c>
      <c r="R2389" s="1" t="str">
        <v/>
      </c>
      <c r="S2389" s="3">
        <v>0</v>
      </c>
      <c r="T2389" s="3">
        <v>0</v>
      </c>
    </row>
    <row r="2390" spans="1:20" x14ac:dyDescent="0.25">
      <c r="A2390" t="s">
        <v>78</v>
      </c>
      <c r="B2390" t="s">
        <v>3674</v>
      </c>
      <c r="C2390" t="s">
        <v>4930</v>
      </c>
      <c r="D2390" t="s">
        <v>4929</v>
      </c>
      <c r="E2390">
        <v>105.65</v>
      </c>
      <c r="F2390">
        <v>105</v>
      </c>
      <c r="G2390">
        <v>105</v>
      </c>
      <c r="H2390">
        <v>100.4</v>
      </c>
      <c r="I2390" s="1">
        <v>100.4</v>
      </c>
      <c r="J2390">
        <v>3641700</v>
      </c>
      <c r="K2390">
        <v>36000</v>
      </c>
      <c r="L2390" t="s">
        <v>78</v>
      </c>
      <c r="M2390" t="s">
        <v>17</v>
      </c>
      <c r="N2390">
        <v>29</v>
      </c>
      <c r="O2390">
        <v>117.95</v>
      </c>
      <c r="P2390">
        <v>67.05</v>
      </c>
      <c r="Q2390" s="1" t="str">
        <v/>
      </c>
      <c r="R2390" s="1" t="str">
        <v/>
      </c>
      <c r="S2390" s="3">
        <v>0</v>
      </c>
      <c r="T2390" s="3">
        <v>0</v>
      </c>
    </row>
    <row r="2391" spans="1:20" x14ac:dyDescent="0.25">
      <c r="A2391" t="s">
        <v>78</v>
      </c>
      <c r="B2391" t="s">
        <v>3674</v>
      </c>
      <c r="C2391" t="s">
        <v>4928</v>
      </c>
      <c r="D2391" t="s">
        <v>4927</v>
      </c>
      <c r="E2391">
        <v>865.75</v>
      </c>
      <c r="F2391">
        <v>904.7</v>
      </c>
      <c r="G2391">
        <v>904.7</v>
      </c>
      <c r="H2391">
        <v>840</v>
      </c>
      <c r="I2391" s="1">
        <v>897</v>
      </c>
      <c r="J2391">
        <v>10212550</v>
      </c>
      <c r="K2391">
        <v>11500</v>
      </c>
      <c r="L2391" t="s">
        <v>78</v>
      </c>
      <c r="M2391" t="s">
        <v>17</v>
      </c>
      <c r="N2391">
        <v>23</v>
      </c>
      <c r="O2391">
        <v>1097.1500000000001</v>
      </c>
      <c r="P2391">
        <v>130.75</v>
      </c>
      <c r="Q2391" s="1" t="str">
        <v/>
      </c>
      <c r="R2391" s="1" t="str">
        <v/>
      </c>
      <c r="S2391" s="3">
        <v>0</v>
      </c>
      <c r="T2391" s="3">
        <v>0</v>
      </c>
    </row>
    <row r="2392" spans="1:20" x14ac:dyDescent="0.25">
      <c r="A2392" t="s">
        <v>78</v>
      </c>
      <c r="B2392" t="s">
        <v>3674</v>
      </c>
      <c r="C2392" t="s">
        <v>4926</v>
      </c>
      <c r="D2392" t="s">
        <v>4925</v>
      </c>
      <c r="E2392">
        <v>242</v>
      </c>
      <c r="F2392">
        <v>254.1</v>
      </c>
      <c r="G2392">
        <v>254.1</v>
      </c>
      <c r="H2392">
        <v>252</v>
      </c>
      <c r="I2392" s="1">
        <v>254.1</v>
      </c>
      <c r="J2392">
        <v>4468800</v>
      </c>
      <c r="K2392">
        <v>17600</v>
      </c>
      <c r="L2392" t="s">
        <v>78</v>
      </c>
      <c r="M2392" t="s">
        <v>17</v>
      </c>
      <c r="N2392">
        <v>11</v>
      </c>
      <c r="O2392">
        <v>254.1</v>
      </c>
      <c r="P2392">
        <v>99</v>
      </c>
      <c r="Q2392" s="1" t="str">
        <v/>
      </c>
      <c r="R2392" s="1" t="str">
        <v/>
      </c>
      <c r="S2392" s="3">
        <v>0</v>
      </c>
      <c r="T2392" s="3">
        <v>0</v>
      </c>
    </row>
    <row r="2393" spans="1:20" x14ac:dyDescent="0.25">
      <c r="A2393" t="s">
        <v>78</v>
      </c>
      <c r="B2393" t="s">
        <v>3674</v>
      </c>
      <c r="C2393" t="s">
        <v>4924</v>
      </c>
      <c r="D2393" t="s">
        <v>4923</v>
      </c>
      <c r="E2393">
        <v>68.7</v>
      </c>
      <c r="F2393">
        <v>69.05</v>
      </c>
      <c r="G2393">
        <v>70.900000000000006</v>
      </c>
      <c r="H2393">
        <v>68.099999999999994</v>
      </c>
      <c r="I2393" s="1">
        <v>68.099999999999994</v>
      </c>
      <c r="J2393">
        <v>443800</v>
      </c>
      <c r="K2393">
        <v>6400</v>
      </c>
      <c r="L2393" t="s">
        <v>78</v>
      </c>
      <c r="M2393" t="s">
        <v>17</v>
      </c>
      <c r="N2393">
        <v>8</v>
      </c>
      <c r="O2393">
        <v>213.8</v>
      </c>
      <c r="P2393">
        <v>50.35</v>
      </c>
      <c r="Q2393" s="1" t="str">
        <v/>
      </c>
      <c r="R2393" s="1" t="str">
        <v/>
      </c>
      <c r="S2393" s="3">
        <v>0</v>
      </c>
      <c r="T2393" s="3">
        <v>0</v>
      </c>
    </row>
    <row r="2394" spans="1:20" x14ac:dyDescent="0.25">
      <c r="A2394" t="s">
        <v>78</v>
      </c>
      <c r="B2394" t="s">
        <v>3677</v>
      </c>
      <c r="C2394" t="s">
        <v>653</v>
      </c>
      <c r="D2394" t="s">
        <v>654</v>
      </c>
      <c r="E2394">
        <v>6.95</v>
      </c>
      <c r="F2394">
        <v>6.9</v>
      </c>
      <c r="G2394">
        <v>6.9</v>
      </c>
      <c r="H2394">
        <v>6.6</v>
      </c>
      <c r="I2394" s="1">
        <v>6.7</v>
      </c>
      <c r="J2394">
        <v>1185000</v>
      </c>
      <c r="K2394">
        <v>177000</v>
      </c>
      <c r="L2394" t="s">
        <v>78</v>
      </c>
      <c r="M2394" t="s">
        <v>17</v>
      </c>
      <c r="N2394">
        <v>51</v>
      </c>
      <c r="O2394">
        <v>12.5</v>
      </c>
      <c r="P2394">
        <v>4.6500000000000004</v>
      </c>
      <c r="Q2394" s="1">
        <v>6.3</v>
      </c>
      <c r="R2394" s="1">
        <v>13.35</v>
      </c>
      <c r="S2394" s="3">
        <v>5.143004493414427E-3</v>
      </c>
      <c r="T2394" s="3">
        <v>-3.3864867032036727E-2</v>
      </c>
    </row>
    <row r="2395" spans="1:20" x14ac:dyDescent="0.25">
      <c r="A2395" t="s">
        <v>17</v>
      </c>
      <c r="B2395" t="s">
        <v>3680</v>
      </c>
      <c r="D2395" t="s">
        <v>17</v>
      </c>
      <c r="E2395" t="s">
        <v>17</v>
      </c>
      <c r="F2395" t="s">
        <v>17</v>
      </c>
      <c r="G2395" t="s">
        <v>17</v>
      </c>
      <c r="H2395" t="s">
        <v>17</v>
      </c>
      <c r="I2395" s="1" t="s">
        <v>17</v>
      </c>
      <c r="J2395" t="s">
        <v>17</v>
      </c>
      <c r="K2395" t="s">
        <v>17</v>
      </c>
      <c r="L2395" t="s">
        <v>78</v>
      </c>
      <c r="M2395" t="s">
        <v>17</v>
      </c>
      <c r="N2395" t="s">
        <v>17</v>
      </c>
      <c r="O2395" t="s">
        <v>17</v>
      </c>
      <c r="P2395" t="s">
        <v>17</v>
      </c>
      <c r="Q2395" s="1" t="str">
        <v/>
      </c>
      <c r="R2395" s="1" t="str">
        <v/>
      </c>
      <c r="S2395" s="3">
        <v>0</v>
      </c>
      <c r="T2395" s="3">
        <v>0</v>
      </c>
    </row>
    <row r="2396" spans="1:20" x14ac:dyDescent="0.25">
      <c r="A2396" t="s">
        <v>17</v>
      </c>
      <c r="B2396" t="s">
        <v>3680</v>
      </c>
      <c r="D2396" t="s">
        <v>3681</v>
      </c>
      <c r="E2396" t="s">
        <v>17</v>
      </c>
      <c r="F2396" t="s">
        <v>17</v>
      </c>
      <c r="G2396" t="s">
        <v>17</v>
      </c>
      <c r="H2396" t="s">
        <v>17</v>
      </c>
      <c r="I2396" s="1" t="s">
        <v>17</v>
      </c>
      <c r="J2396" t="s">
        <v>17</v>
      </c>
      <c r="K2396" t="s">
        <v>17</v>
      </c>
      <c r="L2396" t="s">
        <v>78</v>
      </c>
      <c r="M2396" t="s">
        <v>17</v>
      </c>
      <c r="N2396" t="s">
        <v>17</v>
      </c>
      <c r="O2396" t="s">
        <v>17</v>
      </c>
      <c r="P2396" t="s">
        <v>17</v>
      </c>
      <c r="Q2396" s="1" t="str">
        <v/>
      </c>
      <c r="R2396" s="1" t="str">
        <v/>
      </c>
      <c r="S2396" s="3">
        <v>0</v>
      </c>
      <c r="T2396" s="3">
        <v>0</v>
      </c>
    </row>
    <row r="2397" spans="1:20" x14ac:dyDescent="0.25">
      <c r="A2397" t="s">
        <v>78</v>
      </c>
      <c r="B2397" t="s">
        <v>4922</v>
      </c>
      <c r="C2397" t="s">
        <v>4921</v>
      </c>
      <c r="D2397" t="s">
        <v>4920</v>
      </c>
      <c r="E2397">
        <v>950</v>
      </c>
      <c r="F2397">
        <v>898.5</v>
      </c>
      <c r="G2397">
        <v>898.5</v>
      </c>
      <c r="H2397">
        <v>898.5</v>
      </c>
      <c r="I2397" s="1">
        <v>898.5</v>
      </c>
      <c r="J2397">
        <v>40432.5</v>
      </c>
      <c r="K2397">
        <v>45</v>
      </c>
      <c r="L2397" t="s">
        <v>78</v>
      </c>
      <c r="M2397" t="s">
        <v>17</v>
      </c>
      <c r="N2397">
        <v>5</v>
      </c>
      <c r="O2397">
        <v>1020</v>
      </c>
      <c r="P2397">
        <v>820</v>
      </c>
      <c r="Q2397" s="1" t="str">
        <v/>
      </c>
      <c r="R2397" s="1" t="str">
        <v/>
      </c>
      <c r="S2397" s="3">
        <v>0</v>
      </c>
      <c r="T2397" s="3">
        <v>0</v>
      </c>
    </row>
    <row r="2398" spans="1:20" x14ac:dyDescent="0.25">
      <c r="A2398" t="s">
        <v>78</v>
      </c>
      <c r="B2398" t="s">
        <v>3682</v>
      </c>
      <c r="C2398" t="s">
        <v>3683</v>
      </c>
      <c r="D2398" t="s">
        <v>3684</v>
      </c>
      <c r="E2398">
        <v>7876.73</v>
      </c>
      <c r="F2398">
        <v>7999.99</v>
      </c>
      <c r="G2398">
        <v>8000</v>
      </c>
      <c r="H2398">
        <v>7861</v>
      </c>
      <c r="I2398" s="1">
        <v>7985.6</v>
      </c>
      <c r="J2398">
        <v>1636892.59</v>
      </c>
      <c r="K2398">
        <v>206</v>
      </c>
      <c r="L2398" t="s">
        <v>78</v>
      </c>
      <c r="M2398" t="s">
        <v>17</v>
      </c>
      <c r="N2398">
        <v>67</v>
      </c>
      <c r="O2398">
        <v>8196.2999999999993</v>
      </c>
      <c r="P2398">
        <v>5811</v>
      </c>
      <c r="Q2398" s="1">
        <v>4700</v>
      </c>
      <c r="R2398" s="1" t="str">
        <v/>
      </c>
      <c r="S2398" s="3">
        <v>4.5163275369652034E-2</v>
      </c>
      <c r="T2398" s="3">
        <v>0</v>
      </c>
    </row>
    <row r="2399" spans="1:20" x14ac:dyDescent="0.25">
      <c r="A2399" t="s">
        <v>78</v>
      </c>
      <c r="B2399" t="s">
        <v>3682</v>
      </c>
      <c r="C2399" t="s">
        <v>3685</v>
      </c>
      <c r="D2399" t="s">
        <v>3686</v>
      </c>
      <c r="E2399">
        <v>7451.14</v>
      </c>
      <c r="F2399">
        <v>7470</v>
      </c>
      <c r="G2399">
        <v>7510</v>
      </c>
      <c r="H2399">
        <v>7455</v>
      </c>
      <c r="I2399" s="1">
        <v>7480.75</v>
      </c>
      <c r="J2399">
        <v>1775138.38</v>
      </c>
      <c r="K2399">
        <v>237</v>
      </c>
      <c r="L2399" t="s">
        <v>78</v>
      </c>
      <c r="M2399" t="s">
        <v>17</v>
      </c>
      <c r="N2399">
        <v>70</v>
      </c>
      <c r="O2399">
        <v>7745</v>
      </c>
      <c r="P2399">
        <v>5811</v>
      </c>
      <c r="Q2399" s="1">
        <v>4731</v>
      </c>
      <c r="R2399" s="1">
        <v>3293</v>
      </c>
      <c r="S2399" s="3">
        <v>3.8921377713590388E-2</v>
      </c>
      <c r="T2399" s="3">
        <v>4.1856517250041358E-2</v>
      </c>
    </row>
    <row r="2400" spans="1:20" x14ac:dyDescent="0.25">
      <c r="A2400" t="s">
        <v>78</v>
      </c>
      <c r="B2400" t="s">
        <v>3682</v>
      </c>
      <c r="C2400" t="s">
        <v>3687</v>
      </c>
      <c r="D2400" t="s">
        <v>3688</v>
      </c>
      <c r="E2400">
        <v>7900</v>
      </c>
      <c r="F2400">
        <v>7900</v>
      </c>
      <c r="G2400">
        <v>7999</v>
      </c>
      <c r="H2400">
        <v>7815</v>
      </c>
      <c r="I2400" s="1">
        <v>7830</v>
      </c>
      <c r="J2400">
        <v>773753.05</v>
      </c>
      <c r="K2400">
        <v>98</v>
      </c>
      <c r="L2400" t="s">
        <v>78</v>
      </c>
      <c r="M2400" t="s">
        <v>17</v>
      </c>
      <c r="N2400">
        <v>18</v>
      </c>
      <c r="O2400">
        <v>8090</v>
      </c>
      <c r="P2400">
        <v>5825</v>
      </c>
      <c r="Q2400" s="1">
        <v>4702</v>
      </c>
      <c r="R2400" s="1" t="str">
        <v/>
      </c>
      <c r="S2400" s="3">
        <v>4.3413844323969553E-2</v>
      </c>
      <c r="T2400" s="3">
        <v>0</v>
      </c>
    </row>
    <row r="2401" spans="1:20" x14ac:dyDescent="0.25">
      <c r="A2401" t="s">
        <v>78</v>
      </c>
      <c r="B2401" t="s">
        <v>3682</v>
      </c>
      <c r="C2401" t="s">
        <v>3689</v>
      </c>
      <c r="D2401" t="s">
        <v>3690</v>
      </c>
      <c r="E2401">
        <v>7889.83</v>
      </c>
      <c r="F2401">
        <v>7950</v>
      </c>
      <c r="G2401">
        <v>7999.98</v>
      </c>
      <c r="H2401">
        <v>7900</v>
      </c>
      <c r="I2401" s="1">
        <v>7990.79</v>
      </c>
      <c r="J2401">
        <v>5506884.96</v>
      </c>
      <c r="K2401">
        <v>692</v>
      </c>
      <c r="L2401" t="s">
        <v>78</v>
      </c>
      <c r="M2401" t="s">
        <v>17</v>
      </c>
      <c r="N2401">
        <v>125</v>
      </c>
      <c r="O2401">
        <v>7999.98</v>
      </c>
      <c r="P2401">
        <v>5771</v>
      </c>
      <c r="Q2401" s="1">
        <v>4794.5</v>
      </c>
      <c r="R2401" s="1" t="str">
        <v/>
      </c>
      <c r="S2401" s="3">
        <v>4.3487376374193421E-2</v>
      </c>
      <c r="T2401" s="3">
        <v>0</v>
      </c>
    </row>
    <row r="2402" spans="1:20" x14ac:dyDescent="0.25">
      <c r="A2402" t="s">
        <v>78</v>
      </c>
      <c r="B2402" t="s">
        <v>3682</v>
      </c>
      <c r="C2402" t="s">
        <v>4919</v>
      </c>
      <c r="D2402" t="s">
        <v>4918</v>
      </c>
      <c r="E2402">
        <v>7795.2</v>
      </c>
      <c r="F2402">
        <v>7815</v>
      </c>
      <c r="G2402">
        <v>7925</v>
      </c>
      <c r="H2402">
        <v>7815</v>
      </c>
      <c r="I2402" s="1">
        <v>7910</v>
      </c>
      <c r="J2402">
        <v>765048.91</v>
      </c>
      <c r="K2402">
        <v>97</v>
      </c>
      <c r="L2402" t="s">
        <v>78</v>
      </c>
      <c r="M2402" t="s">
        <v>17</v>
      </c>
      <c r="N2402">
        <v>35</v>
      </c>
      <c r="O2402">
        <v>8250</v>
      </c>
      <c r="P2402">
        <v>5807</v>
      </c>
      <c r="Q2402" s="1" t="str">
        <v/>
      </c>
      <c r="R2402" s="1" t="str">
        <v/>
      </c>
      <c r="S2402" s="3">
        <v>0</v>
      </c>
      <c r="T2402" s="3">
        <v>0</v>
      </c>
    </row>
    <row r="2403" spans="1:20" x14ac:dyDescent="0.25">
      <c r="A2403" t="s">
        <v>78</v>
      </c>
      <c r="B2403" t="s">
        <v>3682</v>
      </c>
      <c r="C2403" t="s">
        <v>4917</v>
      </c>
      <c r="D2403" t="s">
        <v>4916</v>
      </c>
      <c r="E2403">
        <v>7979.5</v>
      </c>
      <c r="F2403">
        <v>7960</v>
      </c>
      <c r="G2403">
        <v>8045</v>
      </c>
      <c r="H2403">
        <v>7881</v>
      </c>
      <c r="I2403" s="1">
        <v>8026.53</v>
      </c>
      <c r="J2403">
        <v>729036.08</v>
      </c>
      <c r="K2403">
        <v>91</v>
      </c>
      <c r="L2403" t="s">
        <v>78</v>
      </c>
      <c r="M2403" t="s">
        <v>17</v>
      </c>
      <c r="N2403">
        <v>32</v>
      </c>
      <c r="O2403">
        <v>8199</v>
      </c>
      <c r="P2403">
        <v>5750</v>
      </c>
      <c r="Q2403" s="1" t="str">
        <v/>
      </c>
      <c r="R2403" s="1" t="str">
        <v/>
      </c>
      <c r="S2403" s="3">
        <v>0</v>
      </c>
      <c r="T2403" s="3">
        <v>0</v>
      </c>
    </row>
    <row r="2404" spans="1:20" x14ac:dyDescent="0.25">
      <c r="A2404" t="s">
        <v>78</v>
      </c>
      <c r="B2404" t="s">
        <v>3682</v>
      </c>
      <c r="C2404" t="s">
        <v>4915</v>
      </c>
      <c r="D2404" t="s">
        <v>4914</v>
      </c>
      <c r="E2404">
        <v>7835</v>
      </c>
      <c r="F2404">
        <v>7840</v>
      </c>
      <c r="G2404">
        <v>7960</v>
      </c>
      <c r="H2404">
        <v>7840</v>
      </c>
      <c r="I2404" s="1">
        <v>7940</v>
      </c>
      <c r="J2404">
        <v>467433</v>
      </c>
      <c r="K2404">
        <v>59</v>
      </c>
      <c r="L2404" t="s">
        <v>78</v>
      </c>
      <c r="M2404" t="s">
        <v>17</v>
      </c>
      <c r="N2404">
        <v>23</v>
      </c>
      <c r="O2404">
        <v>7960</v>
      </c>
      <c r="P2404">
        <v>5750</v>
      </c>
      <c r="Q2404" s="1" t="str">
        <v/>
      </c>
      <c r="R2404" s="1" t="str">
        <v/>
      </c>
      <c r="S2404" s="3">
        <v>0</v>
      </c>
      <c r="T2404" s="3">
        <v>0</v>
      </c>
    </row>
    <row r="2405" spans="1:20" x14ac:dyDescent="0.25">
      <c r="A2405" t="s">
        <v>78</v>
      </c>
      <c r="B2405" t="s">
        <v>3682</v>
      </c>
      <c r="C2405" t="s">
        <v>3691</v>
      </c>
      <c r="D2405" t="s">
        <v>3692</v>
      </c>
      <c r="E2405">
        <v>8000</v>
      </c>
      <c r="F2405">
        <v>7980</v>
      </c>
      <c r="G2405">
        <v>7980</v>
      </c>
      <c r="H2405">
        <v>7950</v>
      </c>
      <c r="I2405" s="1">
        <v>7950</v>
      </c>
      <c r="J2405">
        <v>119625</v>
      </c>
      <c r="K2405">
        <v>15</v>
      </c>
      <c r="L2405" t="s">
        <v>78</v>
      </c>
      <c r="M2405" t="s">
        <v>17</v>
      </c>
      <c r="N2405">
        <v>6</v>
      </c>
      <c r="O2405">
        <v>8000</v>
      </c>
      <c r="P2405">
        <v>5750</v>
      </c>
      <c r="Q2405" s="1">
        <v>4675.01</v>
      </c>
      <c r="R2405" s="1" t="str">
        <v/>
      </c>
      <c r="S2405" s="3">
        <v>4.5238461534651275E-2</v>
      </c>
      <c r="T2405" s="3">
        <v>0</v>
      </c>
    </row>
    <row r="2406" spans="1:20" x14ac:dyDescent="0.25">
      <c r="A2406" t="s">
        <v>78</v>
      </c>
      <c r="B2406" t="s">
        <v>3682</v>
      </c>
      <c r="C2406" t="s">
        <v>4913</v>
      </c>
      <c r="D2406" t="s">
        <v>4912</v>
      </c>
      <c r="E2406">
        <v>7961.86</v>
      </c>
      <c r="F2406">
        <v>7961.86</v>
      </c>
      <c r="G2406">
        <v>8120</v>
      </c>
      <c r="H2406">
        <v>7961.86</v>
      </c>
      <c r="I2406" s="1">
        <v>8011.53</v>
      </c>
      <c r="J2406">
        <v>2560351.88</v>
      </c>
      <c r="K2406">
        <v>318</v>
      </c>
      <c r="L2406" t="s">
        <v>78</v>
      </c>
      <c r="M2406" t="s">
        <v>17</v>
      </c>
      <c r="N2406">
        <v>93</v>
      </c>
      <c r="O2406">
        <v>8141.39</v>
      </c>
      <c r="P2406">
        <v>5756</v>
      </c>
      <c r="Q2406" s="1" t="str">
        <v/>
      </c>
      <c r="R2406" s="1" t="str">
        <v/>
      </c>
      <c r="S2406" s="3">
        <v>0</v>
      </c>
      <c r="T2406" s="3">
        <v>0</v>
      </c>
    </row>
    <row r="2407" spans="1:20" x14ac:dyDescent="0.25">
      <c r="A2407" t="s">
        <v>78</v>
      </c>
      <c r="B2407" t="s">
        <v>3682</v>
      </c>
      <c r="C2407" t="s">
        <v>4911</v>
      </c>
      <c r="D2407" t="s">
        <v>4910</v>
      </c>
      <c r="E2407">
        <v>8066.27</v>
      </c>
      <c r="F2407">
        <v>8085</v>
      </c>
      <c r="G2407">
        <v>8225</v>
      </c>
      <c r="H2407">
        <v>7912.01</v>
      </c>
      <c r="I2407" s="1">
        <v>8024.74</v>
      </c>
      <c r="J2407">
        <v>32125744.93</v>
      </c>
      <c r="K2407">
        <v>3968</v>
      </c>
      <c r="L2407" t="s">
        <v>78</v>
      </c>
      <c r="M2407" t="s">
        <v>17</v>
      </c>
      <c r="N2407">
        <v>539</v>
      </c>
      <c r="O2407">
        <v>8225</v>
      </c>
      <c r="P2407">
        <v>6021</v>
      </c>
      <c r="Q2407" s="1" t="str">
        <v/>
      </c>
      <c r="R2407" s="1" t="str">
        <v/>
      </c>
      <c r="S2407" s="3">
        <v>0</v>
      </c>
      <c r="T2407" s="3">
        <v>0</v>
      </c>
    </row>
    <row r="2408" spans="1:20" x14ac:dyDescent="0.25">
      <c r="A2408" t="s">
        <v>78</v>
      </c>
      <c r="B2408" t="s">
        <v>3682</v>
      </c>
      <c r="C2408" t="s">
        <v>4909</v>
      </c>
      <c r="D2408" t="s">
        <v>4908</v>
      </c>
      <c r="E2408">
        <v>7697.9</v>
      </c>
      <c r="F2408">
        <v>7729</v>
      </c>
      <c r="G2408">
        <v>7747</v>
      </c>
      <c r="H2408">
        <v>7550</v>
      </c>
      <c r="I2408" s="1">
        <v>7747</v>
      </c>
      <c r="J2408">
        <v>108079.3</v>
      </c>
      <c r="K2408">
        <v>14</v>
      </c>
      <c r="L2408" t="s">
        <v>78</v>
      </c>
      <c r="M2408" t="s">
        <v>17</v>
      </c>
      <c r="N2408">
        <v>10</v>
      </c>
      <c r="O2408">
        <v>7747</v>
      </c>
      <c r="P2408">
        <v>5800</v>
      </c>
      <c r="Q2408" s="1" t="str">
        <v/>
      </c>
      <c r="R2408" s="1">
        <v>3269.99</v>
      </c>
      <c r="S2408" s="3">
        <v>0</v>
      </c>
      <c r="T2408" s="3">
        <v>4.4044715553458902E-2</v>
      </c>
    </row>
    <row r="2409" spans="1:20" x14ac:dyDescent="0.25">
      <c r="A2409" t="s">
        <v>78</v>
      </c>
      <c r="B2409" t="s">
        <v>3682</v>
      </c>
      <c r="C2409" t="s">
        <v>4907</v>
      </c>
      <c r="D2409" t="s">
        <v>4906</v>
      </c>
      <c r="E2409">
        <v>7531.99</v>
      </c>
      <c r="F2409">
        <v>7531.99</v>
      </c>
      <c r="G2409">
        <v>7531.99</v>
      </c>
      <c r="H2409">
        <v>7455</v>
      </c>
      <c r="I2409" s="1">
        <v>7455</v>
      </c>
      <c r="J2409">
        <v>14986.99</v>
      </c>
      <c r="K2409">
        <v>2</v>
      </c>
      <c r="L2409" t="s">
        <v>78</v>
      </c>
      <c r="M2409" t="s">
        <v>17</v>
      </c>
      <c r="N2409">
        <v>2</v>
      </c>
      <c r="O2409">
        <v>7533</v>
      </c>
      <c r="P2409">
        <v>5800</v>
      </c>
      <c r="Q2409" s="1" t="str">
        <v/>
      </c>
      <c r="R2409" s="1" t="str">
        <v/>
      </c>
      <c r="S2409" s="3">
        <v>0</v>
      </c>
      <c r="T2409" s="3">
        <v>0</v>
      </c>
    </row>
    <row r="2410" spans="1:20" x14ac:dyDescent="0.25">
      <c r="A2410" t="s">
        <v>78</v>
      </c>
      <c r="B2410" t="s">
        <v>3682</v>
      </c>
      <c r="C2410" t="s">
        <v>3697</v>
      </c>
      <c r="D2410" t="s">
        <v>3698</v>
      </c>
      <c r="E2410">
        <v>7558</v>
      </c>
      <c r="F2410">
        <v>7958</v>
      </c>
      <c r="G2410">
        <v>7958</v>
      </c>
      <c r="H2410">
        <v>7505.05</v>
      </c>
      <c r="I2410" s="1">
        <v>7505.05</v>
      </c>
      <c r="J2410">
        <v>320630.05</v>
      </c>
      <c r="K2410">
        <v>42</v>
      </c>
      <c r="L2410" t="s">
        <v>78</v>
      </c>
      <c r="M2410" t="s">
        <v>17</v>
      </c>
      <c r="N2410">
        <v>15</v>
      </c>
      <c r="O2410">
        <v>7958</v>
      </c>
      <c r="P2410">
        <v>5800</v>
      </c>
      <c r="Q2410" s="1">
        <v>4700</v>
      </c>
      <c r="R2410" s="1">
        <v>3180</v>
      </c>
      <c r="S2410" s="3">
        <v>3.9771663666628543E-2</v>
      </c>
      <c r="T2410" s="3">
        <v>4.3845232271228829E-2</v>
      </c>
    </row>
    <row r="2411" spans="1:20" x14ac:dyDescent="0.25">
      <c r="A2411" t="s">
        <v>78</v>
      </c>
      <c r="B2411" t="s">
        <v>3682</v>
      </c>
      <c r="C2411" t="s">
        <v>3701</v>
      </c>
      <c r="D2411" t="s">
        <v>3702</v>
      </c>
      <c r="E2411">
        <v>7475</v>
      </c>
      <c r="F2411">
        <v>7700</v>
      </c>
      <c r="G2411">
        <v>7700</v>
      </c>
      <c r="H2411">
        <v>7700</v>
      </c>
      <c r="I2411" s="1">
        <v>7700</v>
      </c>
      <c r="J2411">
        <v>7700</v>
      </c>
      <c r="K2411">
        <v>1</v>
      </c>
      <c r="L2411" t="s">
        <v>78</v>
      </c>
      <c r="M2411" t="s">
        <v>17</v>
      </c>
      <c r="N2411">
        <v>1</v>
      </c>
      <c r="O2411">
        <v>7700</v>
      </c>
      <c r="P2411">
        <v>5752.6</v>
      </c>
      <c r="Q2411" s="1">
        <v>4671</v>
      </c>
      <c r="R2411" s="1" t="str">
        <v/>
      </c>
      <c r="S2411" s="3">
        <v>4.2533625602235725E-2</v>
      </c>
      <c r="T2411" s="3">
        <v>0</v>
      </c>
    </row>
    <row r="2412" spans="1:20" x14ac:dyDescent="0.25">
      <c r="A2412" t="s">
        <v>78</v>
      </c>
      <c r="B2412" t="s">
        <v>3682</v>
      </c>
      <c r="C2412" t="s">
        <v>3705</v>
      </c>
      <c r="D2412" t="s">
        <v>3706</v>
      </c>
      <c r="E2412">
        <v>7808.66</v>
      </c>
      <c r="F2412">
        <v>7790.5</v>
      </c>
      <c r="G2412">
        <v>7888.99</v>
      </c>
      <c r="H2412">
        <v>7790.01</v>
      </c>
      <c r="I2412" s="1">
        <v>7871.67</v>
      </c>
      <c r="J2412">
        <v>2907751.94</v>
      </c>
      <c r="K2412">
        <v>371</v>
      </c>
      <c r="L2412" t="s">
        <v>78</v>
      </c>
      <c r="M2412" t="s">
        <v>17</v>
      </c>
      <c r="N2412">
        <v>46</v>
      </c>
      <c r="O2412">
        <v>7888.99</v>
      </c>
      <c r="P2412">
        <v>5762.1</v>
      </c>
      <c r="Q2412" s="1">
        <v>4716</v>
      </c>
      <c r="R2412" s="1" t="str">
        <v/>
      </c>
      <c r="S2412" s="3">
        <v>4.3616868547487808E-2</v>
      </c>
      <c r="T2412" s="3">
        <v>0</v>
      </c>
    </row>
    <row r="2413" spans="1:20" x14ac:dyDescent="0.25">
      <c r="A2413" t="s">
        <v>78</v>
      </c>
      <c r="B2413" t="s">
        <v>3682</v>
      </c>
      <c r="C2413" t="s">
        <v>4905</v>
      </c>
      <c r="D2413" t="s">
        <v>4904</v>
      </c>
      <c r="E2413">
        <v>8021.4</v>
      </c>
      <c r="F2413">
        <v>8060</v>
      </c>
      <c r="G2413">
        <v>8210</v>
      </c>
      <c r="H2413">
        <v>8025</v>
      </c>
      <c r="I2413" s="1">
        <v>8176</v>
      </c>
      <c r="J2413">
        <v>16859739.850000001</v>
      </c>
      <c r="K2413">
        <v>2069</v>
      </c>
      <c r="L2413" t="s">
        <v>78</v>
      </c>
      <c r="M2413" t="s">
        <v>17</v>
      </c>
      <c r="N2413">
        <v>385</v>
      </c>
      <c r="O2413">
        <v>8210</v>
      </c>
      <c r="P2413">
        <v>6161</v>
      </c>
      <c r="Q2413" s="1" t="str">
        <v/>
      </c>
      <c r="R2413" s="1" t="str">
        <v/>
      </c>
      <c r="S2413" s="3">
        <v>0</v>
      </c>
      <c r="T2413" s="3">
        <v>0</v>
      </c>
    </row>
    <row r="2414" spans="1:20" x14ac:dyDescent="0.25">
      <c r="A2414" t="s">
        <v>78</v>
      </c>
      <c r="B2414" t="s">
        <v>3682</v>
      </c>
      <c r="C2414" t="s">
        <v>4903</v>
      </c>
      <c r="D2414" t="s">
        <v>4902</v>
      </c>
      <c r="E2414">
        <v>7790</v>
      </c>
      <c r="F2414">
        <v>7790</v>
      </c>
      <c r="G2414">
        <v>7999</v>
      </c>
      <c r="H2414">
        <v>7790</v>
      </c>
      <c r="I2414" s="1">
        <v>7984.99</v>
      </c>
      <c r="J2414">
        <v>246477.36</v>
      </c>
      <c r="K2414">
        <v>31</v>
      </c>
      <c r="L2414" t="s">
        <v>78</v>
      </c>
      <c r="M2414" t="s">
        <v>17</v>
      </c>
      <c r="N2414">
        <v>9</v>
      </c>
      <c r="O2414">
        <v>7999</v>
      </c>
      <c r="P2414">
        <v>5752.05</v>
      </c>
      <c r="Q2414" s="1" t="str">
        <v/>
      </c>
      <c r="R2414" s="1" t="str">
        <v/>
      </c>
      <c r="S2414" s="3">
        <v>0</v>
      </c>
      <c r="T2414" s="3">
        <v>0</v>
      </c>
    </row>
    <row r="2415" spans="1:20" x14ac:dyDescent="0.25">
      <c r="A2415" t="s">
        <v>78</v>
      </c>
      <c r="B2415" t="s">
        <v>3682</v>
      </c>
      <c r="C2415" t="s">
        <v>3707</v>
      </c>
      <c r="D2415" t="s">
        <v>3708</v>
      </c>
      <c r="E2415">
        <v>7680</v>
      </c>
      <c r="F2415">
        <v>7725</v>
      </c>
      <c r="G2415">
        <v>7725</v>
      </c>
      <c r="H2415">
        <v>7725</v>
      </c>
      <c r="I2415" s="1">
        <v>7725</v>
      </c>
      <c r="J2415">
        <v>131325</v>
      </c>
      <c r="K2415">
        <v>17</v>
      </c>
      <c r="L2415" t="s">
        <v>78</v>
      </c>
      <c r="M2415" t="s">
        <v>17</v>
      </c>
      <c r="N2415">
        <v>4</v>
      </c>
      <c r="O2415">
        <v>7725</v>
      </c>
      <c r="P2415">
        <v>5800</v>
      </c>
      <c r="Q2415" s="1">
        <v>4729.3999999999996</v>
      </c>
      <c r="R2415" s="1">
        <v>3200</v>
      </c>
      <c r="S2415" s="3">
        <v>4.1736073838037457E-2</v>
      </c>
      <c r="T2415" s="3">
        <v>4.5025637245238226E-2</v>
      </c>
    </row>
    <row r="2416" spans="1:20" x14ac:dyDescent="0.25">
      <c r="A2416" t="s">
        <v>78</v>
      </c>
      <c r="B2416" t="s">
        <v>3682</v>
      </c>
      <c r="C2416" t="s">
        <v>4901</v>
      </c>
      <c r="D2416" t="s">
        <v>4879</v>
      </c>
      <c r="E2416">
        <v>7656</v>
      </c>
      <c r="F2416">
        <v>7793.8</v>
      </c>
      <c r="G2416">
        <v>7999</v>
      </c>
      <c r="H2416">
        <v>7790</v>
      </c>
      <c r="I2416" s="1">
        <v>7998.99</v>
      </c>
      <c r="J2416">
        <v>187899.78</v>
      </c>
      <c r="K2416">
        <v>24</v>
      </c>
      <c r="L2416" t="s">
        <v>78</v>
      </c>
      <c r="M2416" t="s">
        <v>17</v>
      </c>
      <c r="N2416">
        <v>6</v>
      </c>
      <c r="O2416">
        <v>7999</v>
      </c>
      <c r="P2416">
        <v>5758.11</v>
      </c>
      <c r="Q2416" s="1" t="str">
        <v/>
      </c>
      <c r="R2416" s="1">
        <v>3280</v>
      </c>
      <c r="S2416" s="3">
        <v>0</v>
      </c>
      <c r="T2416" s="3">
        <v>4.5556398580670621E-2</v>
      </c>
    </row>
    <row r="2417" spans="1:20" x14ac:dyDescent="0.25">
      <c r="A2417" t="s">
        <v>78</v>
      </c>
      <c r="B2417" t="s">
        <v>3682</v>
      </c>
      <c r="C2417" t="s">
        <v>3709</v>
      </c>
      <c r="D2417" t="s">
        <v>3710</v>
      </c>
      <c r="E2417">
        <v>7843.97</v>
      </c>
      <c r="F2417">
        <v>7770</v>
      </c>
      <c r="G2417">
        <v>7858</v>
      </c>
      <c r="H2417">
        <v>7766</v>
      </c>
      <c r="I2417" s="1">
        <v>7845.36</v>
      </c>
      <c r="J2417">
        <v>2223335.6800000002</v>
      </c>
      <c r="K2417">
        <v>284</v>
      </c>
      <c r="L2417" t="s">
        <v>78</v>
      </c>
      <c r="M2417" t="s">
        <v>17</v>
      </c>
      <c r="N2417">
        <v>41</v>
      </c>
      <c r="O2417">
        <v>7895</v>
      </c>
      <c r="P2417">
        <v>5800</v>
      </c>
      <c r="Q2417" s="1">
        <v>4707.09</v>
      </c>
      <c r="R2417" s="1" t="str">
        <v/>
      </c>
      <c r="S2417" s="3">
        <v>4.3490175590875202E-2</v>
      </c>
      <c r="T2417" s="3">
        <v>0</v>
      </c>
    </row>
    <row r="2418" spans="1:20" x14ac:dyDescent="0.25">
      <c r="A2418" t="s">
        <v>78</v>
      </c>
      <c r="B2418" t="s">
        <v>3682</v>
      </c>
      <c r="C2418" t="s">
        <v>3711</v>
      </c>
      <c r="D2418" t="s">
        <v>3712</v>
      </c>
      <c r="E2418">
        <v>7900</v>
      </c>
      <c r="F2418">
        <v>7799.9</v>
      </c>
      <c r="G2418">
        <v>7920</v>
      </c>
      <c r="H2418">
        <v>7770</v>
      </c>
      <c r="I2418" s="1">
        <v>7916.06</v>
      </c>
      <c r="J2418">
        <v>519857.6</v>
      </c>
      <c r="K2418">
        <v>66</v>
      </c>
      <c r="L2418" t="s">
        <v>78</v>
      </c>
      <c r="M2418" t="s">
        <v>17</v>
      </c>
      <c r="N2418">
        <v>26</v>
      </c>
      <c r="O2418">
        <v>8100</v>
      </c>
      <c r="P2418">
        <v>5780</v>
      </c>
      <c r="Q2418" s="1">
        <v>4711</v>
      </c>
      <c r="R2418" s="1" t="str">
        <v/>
      </c>
      <c r="S2418" s="3">
        <v>4.4198338300387441E-2</v>
      </c>
      <c r="T2418" s="3">
        <v>0</v>
      </c>
    </row>
    <row r="2419" spans="1:20" x14ac:dyDescent="0.25">
      <c r="A2419" t="s">
        <v>78</v>
      </c>
      <c r="B2419" t="s">
        <v>3682</v>
      </c>
      <c r="C2419" t="s">
        <v>4900</v>
      </c>
      <c r="D2419" t="s">
        <v>4899</v>
      </c>
      <c r="E2419">
        <v>7829.93</v>
      </c>
      <c r="F2419">
        <v>7890</v>
      </c>
      <c r="G2419">
        <v>7990</v>
      </c>
      <c r="H2419">
        <v>7835</v>
      </c>
      <c r="I2419" s="1">
        <v>7950</v>
      </c>
      <c r="J2419">
        <v>1210483.72</v>
      </c>
      <c r="K2419">
        <v>153</v>
      </c>
      <c r="L2419" t="s">
        <v>78</v>
      </c>
      <c r="M2419" t="s">
        <v>17</v>
      </c>
      <c r="N2419">
        <v>38</v>
      </c>
      <c r="O2419">
        <v>7990</v>
      </c>
      <c r="P2419">
        <v>5693</v>
      </c>
      <c r="Q2419" s="1" t="str">
        <v/>
      </c>
      <c r="R2419" s="1" t="str">
        <v/>
      </c>
      <c r="S2419" s="3">
        <v>0</v>
      </c>
      <c r="T2419" s="3">
        <v>0</v>
      </c>
    </row>
    <row r="2420" spans="1:20" x14ac:dyDescent="0.25">
      <c r="A2420" t="s">
        <v>78</v>
      </c>
      <c r="B2420" t="s">
        <v>3682</v>
      </c>
      <c r="C2420" t="s">
        <v>3713</v>
      </c>
      <c r="D2420" t="s">
        <v>3714</v>
      </c>
      <c r="E2420">
        <v>7875</v>
      </c>
      <c r="F2420">
        <v>7811.1</v>
      </c>
      <c r="G2420">
        <v>7944</v>
      </c>
      <c r="H2420">
        <v>7796</v>
      </c>
      <c r="I2420" s="1">
        <v>7857</v>
      </c>
      <c r="J2420">
        <v>605191.19999999995</v>
      </c>
      <c r="K2420">
        <v>77</v>
      </c>
      <c r="L2420" t="s">
        <v>78</v>
      </c>
      <c r="M2420" t="s">
        <v>17</v>
      </c>
      <c r="N2420">
        <v>22</v>
      </c>
      <c r="O2420">
        <v>8000</v>
      </c>
      <c r="P2420">
        <v>5722</v>
      </c>
      <c r="Q2420" s="1">
        <v>4723</v>
      </c>
      <c r="R2420" s="1" t="str">
        <v/>
      </c>
      <c r="S2420" s="3">
        <v>4.3325688568680798E-2</v>
      </c>
      <c r="T2420" s="3">
        <v>0</v>
      </c>
    </row>
    <row r="2421" spans="1:20" x14ac:dyDescent="0.25">
      <c r="A2421" t="s">
        <v>78</v>
      </c>
      <c r="B2421" t="s">
        <v>3682</v>
      </c>
      <c r="C2421" t="s">
        <v>3715</v>
      </c>
      <c r="D2421" t="s">
        <v>3716</v>
      </c>
      <c r="E2421">
        <v>7699.14</v>
      </c>
      <c r="F2421">
        <v>7700</v>
      </c>
      <c r="G2421">
        <v>7845</v>
      </c>
      <c r="H2421">
        <v>7699.1</v>
      </c>
      <c r="I2421" s="1">
        <v>7758.63</v>
      </c>
      <c r="J2421">
        <v>779264.28</v>
      </c>
      <c r="K2421">
        <v>101</v>
      </c>
      <c r="L2421" t="s">
        <v>78</v>
      </c>
      <c r="M2421" t="s">
        <v>17</v>
      </c>
      <c r="N2421">
        <v>25</v>
      </c>
      <c r="O2421">
        <v>7845</v>
      </c>
      <c r="P2421">
        <v>5681</v>
      </c>
      <c r="Q2421" s="1">
        <v>4662</v>
      </c>
      <c r="R2421" s="1">
        <v>3280</v>
      </c>
      <c r="S2421" s="3">
        <v>4.3360516085161782E-2</v>
      </c>
      <c r="T2421" s="3">
        <v>4.3963515905706796E-2</v>
      </c>
    </row>
    <row r="2422" spans="1:20" x14ac:dyDescent="0.25">
      <c r="A2422" t="s">
        <v>78</v>
      </c>
      <c r="B2422" t="s">
        <v>3682</v>
      </c>
      <c r="C2422" t="s">
        <v>3717</v>
      </c>
      <c r="D2422" t="s">
        <v>3718</v>
      </c>
      <c r="E2422">
        <v>7783.3</v>
      </c>
      <c r="F2422">
        <v>7610</v>
      </c>
      <c r="G2422">
        <v>7890</v>
      </c>
      <c r="H2422">
        <v>7610</v>
      </c>
      <c r="I2422" s="1">
        <v>7890</v>
      </c>
      <c r="J2422">
        <v>546519.1</v>
      </c>
      <c r="K2422">
        <v>70</v>
      </c>
      <c r="L2422" t="s">
        <v>78</v>
      </c>
      <c r="M2422" t="s">
        <v>17</v>
      </c>
      <c r="N2422">
        <v>8</v>
      </c>
      <c r="O2422">
        <v>7890</v>
      </c>
      <c r="P2422">
        <v>5770.03</v>
      </c>
      <c r="Q2422" s="1">
        <v>4799.99</v>
      </c>
      <c r="R2422" s="1" t="str">
        <v/>
      </c>
      <c r="S2422" s="3">
        <v>4.2284763693681171E-2</v>
      </c>
      <c r="T2422" s="3">
        <v>0</v>
      </c>
    </row>
    <row r="2423" spans="1:20" x14ac:dyDescent="0.25">
      <c r="A2423" t="s">
        <v>78</v>
      </c>
      <c r="B2423" t="s">
        <v>3682</v>
      </c>
      <c r="C2423" t="s">
        <v>3719</v>
      </c>
      <c r="D2423" t="s">
        <v>3720</v>
      </c>
      <c r="E2423">
        <v>7796.98</v>
      </c>
      <c r="F2423">
        <v>7601</v>
      </c>
      <c r="G2423">
        <v>7880</v>
      </c>
      <c r="H2423">
        <v>7601</v>
      </c>
      <c r="I2423" s="1">
        <v>7841.41</v>
      </c>
      <c r="J2423">
        <v>6486678.6600000001</v>
      </c>
      <c r="K2423">
        <v>829</v>
      </c>
      <c r="L2423" t="s">
        <v>78</v>
      </c>
      <c r="M2423" t="s">
        <v>17</v>
      </c>
      <c r="N2423">
        <v>155</v>
      </c>
      <c r="O2423">
        <v>8000</v>
      </c>
      <c r="P2423">
        <v>5780</v>
      </c>
      <c r="Q2423" s="1">
        <v>4690</v>
      </c>
      <c r="R2423" s="1" t="str">
        <v/>
      </c>
      <c r="S2423" s="3">
        <v>4.3762709166802471E-2</v>
      </c>
      <c r="T2423" s="3">
        <v>0</v>
      </c>
    </row>
    <row r="2424" spans="1:20" x14ac:dyDescent="0.25">
      <c r="A2424" t="s">
        <v>78</v>
      </c>
      <c r="B2424" t="s">
        <v>3682</v>
      </c>
      <c r="C2424" t="s">
        <v>4898</v>
      </c>
      <c r="D2424" t="s">
        <v>4897</v>
      </c>
      <c r="E2424">
        <v>7790.05</v>
      </c>
      <c r="F2424">
        <v>7800</v>
      </c>
      <c r="G2424">
        <v>7909.5</v>
      </c>
      <c r="H2424">
        <v>7800</v>
      </c>
      <c r="I2424" s="1">
        <v>7881.51</v>
      </c>
      <c r="J2424">
        <v>2156737.85</v>
      </c>
      <c r="K2424">
        <v>274</v>
      </c>
      <c r="L2424" t="s">
        <v>78</v>
      </c>
      <c r="M2424" t="s">
        <v>17</v>
      </c>
      <c r="N2424">
        <v>40</v>
      </c>
      <c r="O2424">
        <v>7909.5</v>
      </c>
      <c r="P2424">
        <v>5783</v>
      </c>
      <c r="Q2424" s="1" t="str">
        <v/>
      </c>
      <c r="R2424" s="1" t="str">
        <v/>
      </c>
      <c r="S2424" s="3">
        <v>0</v>
      </c>
      <c r="T2424" s="3">
        <v>0</v>
      </c>
    </row>
    <row r="2425" spans="1:20" x14ac:dyDescent="0.25">
      <c r="A2425" t="s">
        <v>78</v>
      </c>
      <c r="B2425" t="s">
        <v>3682</v>
      </c>
      <c r="C2425" t="s">
        <v>3721</v>
      </c>
      <c r="D2425" t="s">
        <v>3722</v>
      </c>
      <c r="E2425">
        <v>7660</v>
      </c>
      <c r="F2425">
        <v>7850</v>
      </c>
      <c r="G2425">
        <v>7850</v>
      </c>
      <c r="H2425">
        <v>7712</v>
      </c>
      <c r="I2425" s="1">
        <v>7712</v>
      </c>
      <c r="J2425">
        <v>541282</v>
      </c>
      <c r="K2425">
        <v>69</v>
      </c>
      <c r="L2425" t="s">
        <v>78</v>
      </c>
      <c r="M2425" t="s">
        <v>17</v>
      </c>
      <c r="N2425">
        <v>7</v>
      </c>
      <c r="O2425">
        <v>7850</v>
      </c>
      <c r="P2425">
        <v>5775</v>
      </c>
      <c r="Q2425" s="1">
        <v>4725</v>
      </c>
      <c r="R2425" s="1">
        <v>3162</v>
      </c>
      <c r="S2425" s="3">
        <v>4.1670665122212069E-2</v>
      </c>
      <c r="T2425" s="3">
        <v>4.5561673526311131E-2</v>
      </c>
    </row>
    <row r="2426" spans="1:20" x14ac:dyDescent="0.25">
      <c r="A2426" t="s">
        <v>78</v>
      </c>
      <c r="B2426" t="s">
        <v>3682</v>
      </c>
      <c r="C2426" t="s">
        <v>3723</v>
      </c>
      <c r="D2426" t="s">
        <v>3724</v>
      </c>
      <c r="E2426">
        <v>7787.91</v>
      </c>
      <c r="F2426">
        <v>7800</v>
      </c>
      <c r="G2426">
        <v>7850</v>
      </c>
      <c r="H2426">
        <v>7800</v>
      </c>
      <c r="I2426" s="1">
        <v>7811</v>
      </c>
      <c r="J2426">
        <v>1629550.84</v>
      </c>
      <c r="K2426">
        <v>208</v>
      </c>
      <c r="L2426" t="s">
        <v>78</v>
      </c>
      <c r="M2426" t="s">
        <v>17</v>
      </c>
      <c r="N2426">
        <v>30</v>
      </c>
      <c r="O2426">
        <v>7850</v>
      </c>
      <c r="P2426">
        <v>5800</v>
      </c>
      <c r="Q2426" s="1">
        <v>4692.01</v>
      </c>
      <c r="R2426" s="1" t="str">
        <v/>
      </c>
      <c r="S2426" s="3">
        <v>4.3387531033930449E-2</v>
      </c>
      <c r="T2426" s="3">
        <v>0</v>
      </c>
    </row>
    <row r="2427" spans="1:20" x14ac:dyDescent="0.25">
      <c r="A2427" t="s">
        <v>78</v>
      </c>
      <c r="B2427" t="s">
        <v>3682</v>
      </c>
      <c r="C2427" t="s">
        <v>3725</v>
      </c>
      <c r="D2427" t="s">
        <v>3726</v>
      </c>
      <c r="E2427">
        <v>7784</v>
      </c>
      <c r="F2427">
        <v>7880</v>
      </c>
      <c r="G2427">
        <v>7930</v>
      </c>
      <c r="H2427">
        <v>7800</v>
      </c>
      <c r="I2427" s="1">
        <v>7880.05</v>
      </c>
      <c r="J2427">
        <v>4580066.33</v>
      </c>
      <c r="K2427">
        <v>581</v>
      </c>
      <c r="L2427" t="s">
        <v>78</v>
      </c>
      <c r="M2427" t="s">
        <v>17</v>
      </c>
      <c r="N2427">
        <v>50</v>
      </c>
      <c r="O2427">
        <v>7930</v>
      </c>
      <c r="P2427">
        <v>5751</v>
      </c>
      <c r="Q2427" s="1">
        <v>4698</v>
      </c>
      <c r="R2427" s="1" t="str">
        <v/>
      </c>
      <c r="S2427" s="3">
        <v>4.4042064413473803E-2</v>
      </c>
      <c r="T2427" s="3">
        <v>0</v>
      </c>
    </row>
    <row r="2428" spans="1:20" x14ac:dyDescent="0.25">
      <c r="A2428" t="s">
        <v>78</v>
      </c>
      <c r="B2428" t="s">
        <v>3682</v>
      </c>
      <c r="C2428" t="s">
        <v>4896</v>
      </c>
      <c r="D2428" t="s">
        <v>4895</v>
      </c>
      <c r="E2428">
        <v>7810</v>
      </c>
      <c r="F2428">
        <v>7810</v>
      </c>
      <c r="G2428">
        <v>8030</v>
      </c>
      <c r="H2428">
        <v>7810</v>
      </c>
      <c r="I2428" s="1">
        <v>8018.82</v>
      </c>
      <c r="J2428">
        <v>2420170.85</v>
      </c>
      <c r="K2428">
        <v>304</v>
      </c>
      <c r="L2428" t="s">
        <v>78</v>
      </c>
      <c r="M2428" t="s">
        <v>17</v>
      </c>
      <c r="N2428">
        <v>52</v>
      </c>
      <c r="O2428">
        <v>8030</v>
      </c>
      <c r="P2428">
        <v>5751</v>
      </c>
      <c r="Q2428" s="1" t="str">
        <v/>
      </c>
      <c r="R2428" s="1" t="str">
        <v/>
      </c>
      <c r="S2428" s="3">
        <v>0</v>
      </c>
      <c r="T2428" s="3">
        <v>0</v>
      </c>
    </row>
    <row r="2429" spans="1:20" x14ac:dyDescent="0.25">
      <c r="A2429" t="s">
        <v>78</v>
      </c>
      <c r="B2429" t="s">
        <v>3682</v>
      </c>
      <c r="C2429" t="s">
        <v>4894</v>
      </c>
      <c r="D2429" t="s">
        <v>4893</v>
      </c>
      <c r="E2429">
        <v>7965.85</v>
      </c>
      <c r="F2429">
        <v>7822.47</v>
      </c>
      <c r="G2429">
        <v>8200</v>
      </c>
      <c r="H2429">
        <v>7822.47</v>
      </c>
      <c r="I2429" s="1">
        <v>8036.2</v>
      </c>
      <c r="J2429">
        <v>7855700.25</v>
      </c>
      <c r="K2429">
        <v>973</v>
      </c>
      <c r="L2429" t="s">
        <v>78</v>
      </c>
      <c r="M2429" t="s">
        <v>17</v>
      </c>
      <c r="N2429">
        <v>229</v>
      </c>
      <c r="O2429">
        <v>8200</v>
      </c>
      <c r="P2429">
        <v>5750</v>
      </c>
      <c r="Q2429" s="1" t="str">
        <v/>
      </c>
      <c r="R2429" s="1" t="str">
        <v/>
      </c>
      <c r="S2429" s="3">
        <v>0</v>
      </c>
      <c r="T2429" s="3">
        <v>0</v>
      </c>
    </row>
    <row r="2430" spans="1:20" x14ac:dyDescent="0.25">
      <c r="A2430" t="s">
        <v>78</v>
      </c>
      <c r="B2430" t="s">
        <v>3682</v>
      </c>
      <c r="C2430" t="s">
        <v>3729</v>
      </c>
      <c r="D2430" t="s">
        <v>3730</v>
      </c>
      <c r="E2430">
        <v>7704.5</v>
      </c>
      <c r="F2430">
        <v>7704</v>
      </c>
      <c r="G2430">
        <v>8188</v>
      </c>
      <c r="H2430">
        <v>7687.05</v>
      </c>
      <c r="I2430" s="1">
        <v>7979.71</v>
      </c>
      <c r="J2430">
        <v>493923.6</v>
      </c>
      <c r="K2430">
        <v>62</v>
      </c>
      <c r="L2430" t="s">
        <v>78</v>
      </c>
      <c r="M2430" t="s">
        <v>17</v>
      </c>
      <c r="N2430">
        <v>28</v>
      </c>
      <c r="O2430">
        <v>8188</v>
      </c>
      <c r="P2430">
        <v>5751</v>
      </c>
      <c r="Q2430" s="1">
        <v>4685</v>
      </c>
      <c r="R2430" s="1">
        <v>3259</v>
      </c>
      <c r="S2430" s="3">
        <v>4.5377446321855919E-2</v>
      </c>
      <c r="T2430" s="3">
        <v>4.5765928834640368E-2</v>
      </c>
    </row>
    <row r="2431" spans="1:20" x14ac:dyDescent="0.25">
      <c r="A2431" t="s">
        <v>78</v>
      </c>
      <c r="B2431" t="s">
        <v>3682</v>
      </c>
      <c r="C2431" t="s">
        <v>3731</v>
      </c>
      <c r="D2431" t="s">
        <v>3732</v>
      </c>
      <c r="E2431">
        <v>7848.99</v>
      </c>
      <c r="F2431">
        <v>7770.99</v>
      </c>
      <c r="G2431">
        <v>7899</v>
      </c>
      <c r="H2431">
        <v>7770.99</v>
      </c>
      <c r="I2431" s="1">
        <v>7898.5</v>
      </c>
      <c r="J2431">
        <v>619785.80000000005</v>
      </c>
      <c r="K2431">
        <v>79</v>
      </c>
      <c r="L2431" t="s">
        <v>78</v>
      </c>
      <c r="M2431" t="s">
        <v>17</v>
      </c>
      <c r="N2431">
        <v>17</v>
      </c>
      <c r="O2431">
        <v>7899</v>
      </c>
      <c r="P2431">
        <v>5724</v>
      </c>
      <c r="Q2431" s="1">
        <v>4710</v>
      </c>
      <c r="R2431" s="1" t="str">
        <v/>
      </c>
      <c r="S2431" s="3">
        <v>4.402358478957491E-2</v>
      </c>
      <c r="T2431" s="3">
        <v>0</v>
      </c>
    </row>
    <row r="2432" spans="1:20" x14ac:dyDescent="0.25">
      <c r="A2432" t="s">
        <v>78</v>
      </c>
      <c r="B2432" t="s">
        <v>3682</v>
      </c>
      <c r="C2432" t="s">
        <v>4892</v>
      </c>
      <c r="D2432" t="s">
        <v>4891</v>
      </c>
      <c r="E2432">
        <v>7897.6</v>
      </c>
      <c r="F2432">
        <v>8039.75</v>
      </c>
      <c r="G2432">
        <v>8039.75</v>
      </c>
      <c r="H2432">
        <v>7805</v>
      </c>
      <c r="I2432" s="1">
        <v>7943.33</v>
      </c>
      <c r="J2432">
        <v>413056.5</v>
      </c>
      <c r="K2432">
        <v>52</v>
      </c>
      <c r="L2432" t="s">
        <v>78</v>
      </c>
      <c r="M2432" t="s">
        <v>17</v>
      </c>
      <c r="N2432">
        <v>16</v>
      </c>
      <c r="O2432">
        <v>8039.75</v>
      </c>
      <c r="P2432">
        <v>5725</v>
      </c>
      <c r="Q2432" s="1" t="str">
        <v/>
      </c>
      <c r="R2432" s="1" t="str">
        <v/>
      </c>
      <c r="S2432" s="3">
        <v>0</v>
      </c>
      <c r="T2432" s="3">
        <v>0</v>
      </c>
    </row>
    <row r="2433" spans="1:20" x14ac:dyDescent="0.25">
      <c r="A2433" t="s">
        <v>78</v>
      </c>
      <c r="B2433" t="s">
        <v>3682</v>
      </c>
      <c r="C2433" t="s">
        <v>4890</v>
      </c>
      <c r="D2433" t="s">
        <v>4889</v>
      </c>
      <c r="E2433">
        <v>7948.01</v>
      </c>
      <c r="F2433">
        <v>7948.01</v>
      </c>
      <c r="G2433">
        <v>8199</v>
      </c>
      <c r="H2433">
        <v>7945</v>
      </c>
      <c r="I2433" s="1">
        <v>7974.74</v>
      </c>
      <c r="J2433">
        <v>2551393.86</v>
      </c>
      <c r="K2433">
        <v>318</v>
      </c>
      <c r="L2433" t="s">
        <v>78</v>
      </c>
      <c r="M2433" t="s">
        <v>17</v>
      </c>
      <c r="N2433">
        <v>66</v>
      </c>
      <c r="O2433">
        <v>8199</v>
      </c>
      <c r="P2433">
        <v>5801</v>
      </c>
      <c r="Q2433" s="1" t="str">
        <v/>
      </c>
      <c r="R2433" s="1" t="str">
        <v/>
      </c>
      <c r="S2433" s="3">
        <v>0</v>
      </c>
      <c r="T2433" s="3">
        <v>0</v>
      </c>
    </row>
    <row r="2434" spans="1:20" x14ac:dyDescent="0.25">
      <c r="A2434" t="s">
        <v>78</v>
      </c>
      <c r="B2434" t="s">
        <v>3682</v>
      </c>
      <c r="C2434" t="s">
        <v>3733</v>
      </c>
      <c r="D2434" t="s">
        <v>3734</v>
      </c>
      <c r="E2434">
        <v>7709.95</v>
      </c>
      <c r="F2434">
        <v>7709.01</v>
      </c>
      <c r="G2434">
        <v>7710</v>
      </c>
      <c r="H2434">
        <v>7709</v>
      </c>
      <c r="I2434" s="1">
        <v>7709</v>
      </c>
      <c r="J2434">
        <v>200444.15</v>
      </c>
      <c r="K2434">
        <v>26</v>
      </c>
      <c r="L2434" t="s">
        <v>78</v>
      </c>
      <c r="M2434" t="s">
        <v>17</v>
      </c>
      <c r="N2434">
        <v>5</v>
      </c>
      <c r="O2434">
        <v>7759.98</v>
      </c>
      <c r="P2434">
        <v>5751</v>
      </c>
      <c r="Q2434" s="1">
        <v>4683</v>
      </c>
      <c r="R2434" s="1">
        <v>3250.2</v>
      </c>
      <c r="S2434" s="3">
        <v>4.2412212250860115E-2</v>
      </c>
      <c r="T2434" s="3">
        <v>4.4104883922709393E-2</v>
      </c>
    </row>
    <row r="2435" spans="1:20" x14ac:dyDescent="0.25">
      <c r="A2435" t="s">
        <v>78</v>
      </c>
      <c r="B2435" t="s">
        <v>3682</v>
      </c>
      <c r="C2435" t="s">
        <v>3735</v>
      </c>
      <c r="D2435" t="s">
        <v>3736</v>
      </c>
      <c r="E2435">
        <v>7729.92</v>
      </c>
      <c r="F2435">
        <v>7800</v>
      </c>
      <c r="G2435">
        <v>7800</v>
      </c>
      <c r="H2435">
        <v>7655.1</v>
      </c>
      <c r="I2435" s="1">
        <v>7749.85</v>
      </c>
      <c r="J2435">
        <v>619467.6</v>
      </c>
      <c r="K2435">
        <v>80</v>
      </c>
      <c r="L2435" t="s">
        <v>78</v>
      </c>
      <c r="M2435" t="s">
        <v>17</v>
      </c>
      <c r="N2435">
        <v>17</v>
      </c>
      <c r="O2435">
        <v>7800</v>
      </c>
      <c r="P2435">
        <v>5800</v>
      </c>
      <c r="Q2435" s="1">
        <v>4661.05</v>
      </c>
      <c r="R2435" s="1">
        <v>3230</v>
      </c>
      <c r="S2435" s="3">
        <v>4.3279790239563631E-2</v>
      </c>
      <c r="T2435" s="3">
        <v>4.4706101044944768E-2</v>
      </c>
    </row>
    <row r="2436" spans="1:20" x14ac:dyDescent="0.25">
      <c r="A2436" t="s">
        <v>78</v>
      </c>
      <c r="B2436" t="s">
        <v>3682</v>
      </c>
      <c r="C2436" t="s">
        <v>3737</v>
      </c>
      <c r="D2436" t="s">
        <v>3738</v>
      </c>
      <c r="E2436">
        <v>7775.06</v>
      </c>
      <c r="F2436">
        <v>7780</v>
      </c>
      <c r="G2436">
        <v>7859.99</v>
      </c>
      <c r="H2436">
        <v>7777</v>
      </c>
      <c r="I2436" s="1">
        <v>7810.23</v>
      </c>
      <c r="J2436">
        <v>3825408</v>
      </c>
      <c r="K2436">
        <v>490</v>
      </c>
      <c r="L2436" t="s">
        <v>78</v>
      </c>
      <c r="M2436" t="s">
        <v>17</v>
      </c>
      <c r="N2436">
        <v>35</v>
      </c>
      <c r="O2436">
        <v>7859.99</v>
      </c>
      <c r="P2436">
        <v>5800</v>
      </c>
      <c r="Q2436" s="1">
        <v>4694</v>
      </c>
      <c r="R2436" s="1" t="str">
        <v/>
      </c>
      <c r="S2436" s="3">
        <v>4.3342090832345637E-2</v>
      </c>
      <c r="T2436" s="3">
        <v>0</v>
      </c>
    </row>
    <row r="2437" spans="1:20" x14ac:dyDescent="0.25">
      <c r="A2437" t="s">
        <v>78</v>
      </c>
      <c r="B2437" t="s">
        <v>3682</v>
      </c>
      <c r="C2437" t="s">
        <v>3739</v>
      </c>
      <c r="D2437" t="s">
        <v>3740</v>
      </c>
      <c r="E2437">
        <v>7774.93</v>
      </c>
      <c r="F2437">
        <v>7774.93</v>
      </c>
      <c r="G2437">
        <v>7935.05</v>
      </c>
      <c r="H2437">
        <v>7774.93</v>
      </c>
      <c r="I2437" s="1">
        <v>7913.26</v>
      </c>
      <c r="J2437">
        <v>7911637.1200000001</v>
      </c>
      <c r="K2437">
        <v>1009</v>
      </c>
      <c r="L2437" t="s">
        <v>78</v>
      </c>
      <c r="M2437" t="s">
        <v>17</v>
      </c>
      <c r="N2437">
        <v>131</v>
      </c>
      <c r="O2437">
        <v>7935.05</v>
      </c>
      <c r="P2437">
        <v>5700</v>
      </c>
      <c r="Q2437" s="1">
        <v>4680.04</v>
      </c>
      <c r="R2437" s="1" t="str">
        <v/>
      </c>
      <c r="S2437" s="3">
        <v>4.4741442519002694E-2</v>
      </c>
      <c r="T2437" s="3">
        <v>0</v>
      </c>
    </row>
    <row r="2438" spans="1:20" x14ac:dyDescent="0.25">
      <c r="A2438" t="s">
        <v>78</v>
      </c>
      <c r="B2438" t="s">
        <v>3682</v>
      </c>
      <c r="C2438" t="s">
        <v>3741</v>
      </c>
      <c r="D2438" t="s">
        <v>3742</v>
      </c>
      <c r="E2438">
        <v>7777.54</v>
      </c>
      <c r="F2438">
        <v>7828</v>
      </c>
      <c r="G2438">
        <v>7898.99</v>
      </c>
      <c r="H2438">
        <v>7815</v>
      </c>
      <c r="I2438" s="1">
        <v>7832.32</v>
      </c>
      <c r="J2438">
        <v>2270872.91</v>
      </c>
      <c r="K2438">
        <v>290</v>
      </c>
      <c r="L2438" t="s">
        <v>78</v>
      </c>
      <c r="M2438" t="s">
        <v>17</v>
      </c>
      <c r="N2438">
        <v>61</v>
      </c>
      <c r="O2438">
        <v>7898.99</v>
      </c>
      <c r="P2438">
        <v>5712</v>
      </c>
      <c r="Q2438" s="1">
        <v>4703.01</v>
      </c>
      <c r="R2438" s="1" t="str">
        <v/>
      </c>
      <c r="S2438" s="3">
        <v>4.3420928542325932E-2</v>
      </c>
      <c r="T2438" s="3">
        <v>0</v>
      </c>
    </row>
    <row r="2439" spans="1:20" x14ac:dyDescent="0.25">
      <c r="A2439" t="s">
        <v>78</v>
      </c>
      <c r="B2439" t="s">
        <v>3682</v>
      </c>
      <c r="C2439" t="s">
        <v>3743</v>
      </c>
      <c r="D2439" t="s">
        <v>3744</v>
      </c>
      <c r="E2439">
        <v>7809.91</v>
      </c>
      <c r="F2439">
        <v>7809</v>
      </c>
      <c r="G2439">
        <v>7985</v>
      </c>
      <c r="H2439">
        <v>7809</v>
      </c>
      <c r="I2439" s="1">
        <v>7890</v>
      </c>
      <c r="J2439">
        <v>828967.98</v>
      </c>
      <c r="K2439">
        <v>105</v>
      </c>
      <c r="L2439" t="s">
        <v>78</v>
      </c>
      <c r="M2439" t="s">
        <v>17</v>
      </c>
      <c r="N2439">
        <v>31</v>
      </c>
      <c r="O2439">
        <v>7985</v>
      </c>
      <c r="P2439">
        <v>5801</v>
      </c>
      <c r="Q2439" s="1">
        <v>4701</v>
      </c>
      <c r="R2439" s="1" t="str">
        <v/>
      </c>
      <c r="S2439" s="3">
        <v>4.4096314250730906E-2</v>
      </c>
      <c r="T2439" s="3">
        <v>0</v>
      </c>
    </row>
    <row r="2440" spans="1:20" x14ac:dyDescent="0.25">
      <c r="A2440" t="s">
        <v>78</v>
      </c>
      <c r="B2440" t="s">
        <v>3682</v>
      </c>
      <c r="C2440" t="s">
        <v>3747</v>
      </c>
      <c r="D2440" t="s">
        <v>3748</v>
      </c>
      <c r="E2440">
        <v>7530.33</v>
      </c>
      <c r="F2440">
        <v>7575</v>
      </c>
      <c r="G2440">
        <v>7588.99</v>
      </c>
      <c r="H2440">
        <v>7491.05</v>
      </c>
      <c r="I2440" s="1">
        <v>7501.93</v>
      </c>
      <c r="J2440">
        <v>1563141.89</v>
      </c>
      <c r="K2440">
        <v>208</v>
      </c>
      <c r="L2440" t="s">
        <v>78</v>
      </c>
      <c r="M2440" t="s">
        <v>17</v>
      </c>
      <c r="N2440">
        <v>32</v>
      </c>
      <c r="O2440">
        <v>7588.99</v>
      </c>
      <c r="P2440">
        <v>5800</v>
      </c>
      <c r="Q2440" s="1">
        <v>4734</v>
      </c>
      <c r="R2440" s="1">
        <v>3265</v>
      </c>
      <c r="S2440" s="3">
        <v>3.9111288424759527E-2</v>
      </c>
      <c r="T2440" s="3">
        <v>4.2448474561003424E-2</v>
      </c>
    </row>
    <row r="2441" spans="1:20" x14ac:dyDescent="0.25">
      <c r="A2441" t="s">
        <v>78</v>
      </c>
      <c r="B2441" t="s">
        <v>3682</v>
      </c>
      <c r="C2441" t="s">
        <v>3749</v>
      </c>
      <c r="D2441" t="s">
        <v>3750</v>
      </c>
      <c r="E2441">
        <v>7500</v>
      </c>
      <c r="F2441">
        <v>7500</v>
      </c>
      <c r="G2441">
        <v>7500</v>
      </c>
      <c r="H2441">
        <v>7500</v>
      </c>
      <c r="I2441" s="1">
        <v>7500</v>
      </c>
      <c r="J2441">
        <v>112500</v>
      </c>
      <c r="K2441">
        <v>15</v>
      </c>
      <c r="L2441" t="s">
        <v>78</v>
      </c>
      <c r="M2441" t="s">
        <v>17</v>
      </c>
      <c r="N2441">
        <v>1</v>
      </c>
      <c r="O2441">
        <v>7650</v>
      </c>
      <c r="P2441">
        <v>5805</v>
      </c>
      <c r="Q2441" s="1">
        <v>4700</v>
      </c>
      <c r="R2441" s="1">
        <v>3240</v>
      </c>
      <c r="S2441" s="3">
        <v>3.9713342192228662E-2</v>
      </c>
      <c r="T2441" s="3">
        <v>4.2835558750404346E-2</v>
      </c>
    </row>
    <row r="2442" spans="1:20" x14ac:dyDescent="0.25">
      <c r="A2442" t="s">
        <v>78</v>
      </c>
      <c r="B2442" t="s">
        <v>3682</v>
      </c>
      <c r="C2442" t="s">
        <v>4888</v>
      </c>
      <c r="D2442" t="s">
        <v>4887</v>
      </c>
      <c r="E2442">
        <v>7425</v>
      </c>
      <c r="F2442">
        <v>7507</v>
      </c>
      <c r="G2442">
        <v>7507</v>
      </c>
      <c r="H2442">
        <v>7507</v>
      </c>
      <c r="I2442" s="1">
        <v>7507</v>
      </c>
      <c r="J2442">
        <v>7507</v>
      </c>
      <c r="K2442">
        <v>1</v>
      </c>
      <c r="L2442" t="s">
        <v>78</v>
      </c>
      <c r="M2442" t="s">
        <v>17</v>
      </c>
      <c r="N2442">
        <v>1</v>
      </c>
      <c r="O2442">
        <v>7600</v>
      </c>
      <c r="P2442">
        <v>5501</v>
      </c>
      <c r="Q2442" s="1" t="str">
        <v/>
      </c>
      <c r="R2442" s="1" t="str">
        <v/>
      </c>
      <c r="S2442" s="3">
        <v>0</v>
      </c>
      <c r="T2442" s="3">
        <v>0</v>
      </c>
    </row>
    <row r="2443" spans="1:20" x14ac:dyDescent="0.25">
      <c r="A2443" t="s">
        <v>78</v>
      </c>
      <c r="B2443" t="s">
        <v>3682</v>
      </c>
      <c r="C2443" t="s">
        <v>4886</v>
      </c>
      <c r="D2443" t="s">
        <v>4885</v>
      </c>
      <c r="E2443">
        <v>7783.95</v>
      </c>
      <c r="F2443">
        <v>7806</v>
      </c>
      <c r="G2443">
        <v>7900</v>
      </c>
      <c r="H2443">
        <v>7675</v>
      </c>
      <c r="I2443" s="1">
        <v>7880.2</v>
      </c>
      <c r="J2443">
        <v>1991360.95</v>
      </c>
      <c r="K2443">
        <v>254</v>
      </c>
      <c r="L2443" t="s">
        <v>78</v>
      </c>
      <c r="M2443" t="s">
        <v>17</v>
      </c>
      <c r="N2443">
        <v>55</v>
      </c>
      <c r="O2443">
        <v>7900</v>
      </c>
      <c r="P2443">
        <v>5790</v>
      </c>
      <c r="Q2443" s="1" t="str">
        <v/>
      </c>
      <c r="R2443" s="1" t="str">
        <v/>
      </c>
      <c r="S2443" s="3">
        <v>0</v>
      </c>
      <c r="T2443" s="3">
        <v>0</v>
      </c>
    </row>
    <row r="2444" spans="1:20" x14ac:dyDescent="0.25">
      <c r="A2444" t="s">
        <v>78</v>
      </c>
      <c r="B2444" t="s">
        <v>3682</v>
      </c>
      <c r="C2444" t="s">
        <v>3753</v>
      </c>
      <c r="D2444" t="s">
        <v>3754</v>
      </c>
      <c r="E2444">
        <v>7750</v>
      </c>
      <c r="F2444">
        <v>7750</v>
      </c>
      <c r="G2444">
        <v>7850</v>
      </c>
      <c r="H2444">
        <v>7750</v>
      </c>
      <c r="I2444" s="1">
        <v>7843.46</v>
      </c>
      <c r="J2444">
        <v>1998063.5</v>
      </c>
      <c r="K2444">
        <v>255</v>
      </c>
      <c r="L2444" t="s">
        <v>78</v>
      </c>
      <c r="M2444" t="s">
        <v>17</v>
      </c>
      <c r="N2444">
        <v>27</v>
      </c>
      <c r="O2444">
        <v>7850</v>
      </c>
      <c r="P2444">
        <v>5800</v>
      </c>
      <c r="Q2444" s="1">
        <v>4711.1099999999997</v>
      </c>
      <c r="R2444" s="1" t="str">
        <v/>
      </c>
      <c r="S2444" s="3">
        <v>4.3394885197093558E-2</v>
      </c>
      <c r="T2444" s="3">
        <v>0</v>
      </c>
    </row>
    <row r="2445" spans="1:20" x14ac:dyDescent="0.25">
      <c r="A2445" t="s">
        <v>78</v>
      </c>
      <c r="B2445" t="s">
        <v>3682</v>
      </c>
      <c r="C2445" t="s">
        <v>3755</v>
      </c>
      <c r="D2445" t="s">
        <v>3756</v>
      </c>
      <c r="E2445">
        <v>7646.76</v>
      </c>
      <c r="F2445">
        <v>7645</v>
      </c>
      <c r="G2445">
        <v>7645</v>
      </c>
      <c r="H2445">
        <v>7645</v>
      </c>
      <c r="I2445" s="1">
        <v>7645</v>
      </c>
      <c r="J2445">
        <v>15290</v>
      </c>
      <c r="K2445">
        <v>2</v>
      </c>
      <c r="L2445" t="s">
        <v>78</v>
      </c>
      <c r="M2445" t="s">
        <v>17</v>
      </c>
      <c r="N2445">
        <v>1</v>
      </c>
      <c r="O2445">
        <v>8188.95</v>
      </c>
      <c r="P2445">
        <v>5820</v>
      </c>
      <c r="Q2445" s="1">
        <v>4724</v>
      </c>
      <c r="R2445" s="1">
        <v>3211</v>
      </c>
      <c r="S2445" s="3">
        <v>4.0931857108337244E-2</v>
      </c>
      <c r="T2445" s="3">
        <v>4.4303042510043911E-2</v>
      </c>
    </row>
    <row r="2446" spans="1:20" x14ac:dyDescent="0.25">
      <c r="A2446" t="s">
        <v>78</v>
      </c>
      <c r="B2446" t="s">
        <v>3682</v>
      </c>
      <c r="C2446" t="s">
        <v>4884</v>
      </c>
      <c r="D2446" t="s">
        <v>4883</v>
      </c>
      <c r="E2446">
        <v>7878.78</v>
      </c>
      <c r="F2446">
        <v>7640.01</v>
      </c>
      <c r="G2446">
        <v>7640.01</v>
      </c>
      <c r="H2446">
        <v>7625</v>
      </c>
      <c r="I2446" s="1">
        <v>7640</v>
      </c>
      <c r="J2446">
        <v>168050.15</v>
      </c>
      <c r="K2446">
        <v>22</v>
      </c>
      <c r="L2446" t="s">
        <v>78</v>
      </c>
      <c r="M2446" t="s">
        <v>17</v>
      </c>
      <c r="N2446">
        <v>7</v>
      </c>
      <c r="O2446">
        <v>7878.78</v>
      </c>
      <c r="P2446">
        <v>5800</v>
      </c>
      <c r="Q2446" s="1" t="str">
        <v/>
      </c>
      <c r="R2446" s="1">
        <v>3206</v>
      </c>
      <c r="S2446" s="3">
        <v>0</v>
      </c>
      <c r="T2446" s="3">
        <v>4.4350226731838749E-2</v>
      </c>
    </row>
    <row r="2447" spans="1:20" x14ac:dyDescent="0.25">
      <c r="A2447" t="s">
        <v>78</v>
      </c>
      <c r="B2447" t="s">
        <v>3682</v>
      </c>
      <c r="C2447" t="s">
        <v>3757</v>
      </c>
      <c r="D2447" t="s">
        <v>3758</v>
      </c>
      <c r="E2447">
        <v>7698.9</v>
      </c>
      <c r="F2447">
        <v>7700</v>
      </c>
      <c r="G2447">
        <v>7700</v>
      </c>
      <c r="H2447">
        <v>7700</v>
      </c>
      <c r="I2447" s="1">
        <v>7700</v>
      </c>
      <c r="J2447">
        <v>100100</v>
      </c>
      <c r="K2447">
        <v>13</v>
      </c>
      <c r="L2447" t="s">
        <v>78</v>
      </c>
      <c r="M2447" t="s">
        <v>17</v>
      </c>
      <c r="N2447">
        <v>1</v>
      </c>
      <c r="O2447">
        <v>7700</v>
      </c>
      <c r="P2447">
        <v>5741</v>
      </c>
      <c r="Q2447" s="1">
        <v>4702.05</v>
      </c>
      <c r="R2447" s="1" t="str">
        <v/>
      </c>
      <c r="S2447" s="3">
        <v>4.1958184081025474E-2</v>
      </c>
      <c r="T2447" s="3">
        <v>0</v>
      </c>
    </row>
    <row r="2448" spans="1:20" x14ac:dyDescent="0.25">
      <c r="A2448" t="s">
        <v>78</v>
      </c>
      <c r="B2448" t="s">
        <v>3682</v>
      </c>
      <c r="C2448" t="s">
        <v>4882</v>
      </c>
      <c r="D2448" t="s">
        <v>4881</v>
      </c>
      <c r="E2448">
        <v>7750</v>
      </c>
      <c r="F2448">
        <v>7750</v>
      </c>
      <c r="G2448">
        <v>7850</v>
      </c>
      <c r="H2448">
        <v>7745</v>
      </c>
      <c r="I2448" s="1">
        <v>7850</v>
      </c>
      <c r="J2448">
        <v>77590</v>
      </c>
      <c r="K2448">
        <v>10</v>
      </c>
      <c r="L2448" t="s">
        <v>78</v>
      </c>
      <c r="M2448" t="s">
        <v>17</v>
      </c>
      <c r="N2448">
        <v>6</v>
      </c>
      <c r="O2448">
        <v>7850</v>
      </c>
      <c r="P2448">
        <v>5722</v>
      </c>
      <c r="Q2448" s="1" t="str">
        <v/>
      </c>
      <c r="R2448" s="1" t="str">
        <v/>
      </c>
      <c r="S2448" s="3">
        <v>0</v>
      </c>
      <c r="T2448" s="3">
        <v>0</v>
      </c>
    </row>
    <row r="2449" spans="1:20" x14ac:dyDescent="0.25">
      <c r="A2449" t="s">
        <v>78</v>
      </c>
      <c r="B2449" t="s">
        <v>3682</v>
      </c>
      <c r="C2449" t="s">
        <v>4880</v>
      </c>
      <c r="D2449" t="s">
        <v>4879</v>
      </c>
      <c r="E2449">
        <v>7505</v>
      </c>
      <c r="F2449">
        <v>7750</v>
      </c>
      <c r="G2449">
        <v>7765</v>
      </c>
      <c r="H2449">
        <v>7750</v>
      </c>
      <c r="I2449" s="1">
        <v>7765</v>
      </c>
      <c r="J2449">
        <v>232815</v>
      </c>
      <c r="K2449">
        <v>30</v>
      </c>
      <c r="L2449" t="s">
        <v>78</v>
      </c>
      <c r="M2449" t="s">
        <v>17</v>
      </c>
      <c r="N2449">
        <v>4</v>
      </c>
      <c r="O2449">
        <v>7795.55</v>
      </c>
      <c r="P2449">
        <v>5767</v>
      </c>
      <c r="Q2449" s="1" t="str">
        <v/>
      </c>
      <c r="R2449" s="1" t="str">
        <v/>
      </c>
      <c r="S2449" s="3">
        <v>0</v>
      </c>
      <c r="T2449" s="3">
        <v>0</v>
      </c>
    </row>
    <row r="2450" spans="1:20" x14ac:dyDescent="0.25">
      <c r="A2450" t="s">
        <v>78</v>
      </c>
      <c r="B2450" t="s">
        <v>3682</v>
      </c>
      <c r="C2450" t="s">
        <v>3759</v>
      </c>
      <c r="D2450" t="s">
        <v>3702</v>
      </c>
      <c r="E2450">
        <v>7600</v>
      </c>
      <c r="F2450">
        <v>7600</v>
      </c>
      <c r="G2450">
        <v>7799</v>
      </c>
      <c r="H2450">
        <v>7600</v>
      </c>
      <c r="I2450" s="1">
        <v>7799</v>
      </c>
      <c r="J2450">
        <v>115990</v>
      </c>
      <c r="K2450">
        <v>15</v>
      </c>
      <c r="L2450" t="s">
        <v>78</v>
      </c>
      <c r="M2450" t="s">
        <v>17</v>
      </c>
      <c r="N2450">
        <v>5</v>
      </c>
      <c r="O2450">
        <v>7799</v>
      </c>
      <c r="P2450">
        <v>5750.01</v>
      </c>
      <c r="Q2450" s="1">
        <v>4690</v>
      </c>
      <c r="R2450" s="1" t="str">
        <v/>
      </c>
      <c r="S2450" s="3">
        <v>4.3291109382068704E-2</v>
      </c>
      <c r="T2450" s="3">
        <v>0</v>
      </c>
    </row>
    <row r="2451" spans="1:20" x14ac:dyDescent="0.25">
      <c r="A2451" t="s">
        <v>78</v>
      </c>
      <c r="B2451" t="s">
        <v>3682</v>
      </c>
      <c r="C2451" t="s">
        <v>3760</v>
      </c>
      <c r="D2451" t="s">
        <v>3761</v>
      </c>
      <c r="E2451">
        <v>7522.26</v>
      </c>
      <c r="F2451">
        <v>7540</v>
      </c>
      <c r="G2451">
        <v>7540</v>
      </c>
      <c r="H2451">
        <v>7500</v>
      </c>
      <c r="I2451" s="1">
        <v>7507.85</v>
      </c>
      <c r="J2451">
        <v>1381952.17</v>
      </c>
      <c r="K2451">
        <v>184</v>
      </c>
      <c r="L2451" t="s">
        <v>78</v>
      </c>
      <c r="M2451" t="s">
        <v>17</v>
      </c>
      <c r="N2451">
        <v>30</v>
      </c>
      <c r="O2451">
        <v>7550</v>
      </c>
      <c r="P2451">
        <v>5762</v>
      </c>
      <c r="Q2451" s="1">
        <v>4750</v>
      </c>
      <c r="R2451" s="1">
        <v>3306</v>
      </c>
      <c r="S2451" s="3">
        <v>3.8887445718795766E-2</v>
      </c>
      <c r="T2451" s="3">
        <v>4.1839653213433303E-2</v>
      </c>
    </row>
    <row r="2452" spans="1:20" x14ac:dyDescent="0.25">
      <c r="A2452" t="s">
        <v>78</v>
      </c>
      <c r="B2452" t="s">
        <v>3682</v>
      </c>
      <c r="C2452" t="s">
        <v>3762</v>
      </c>
      <c r="D2452" t="s">
        <v>3763</v>
      </c>
      <c r="E2452">
        <v>7610</v>
      </c>
      <c r="F2452">
        <v>7700.01</v>
      </c>
      <c r="G2452">
        <v>7800</v>
      </c>
      <c r="H2452">
        <v>7700.01</v>
      </c>
      <c r="I2452" s="1">
        <v>7797.84</v>
      </c>
      <c r="J2452">
        <v>566530.04</v>
      </c>
      <c r="K2452">
        <v>73</v>
      </c>
      <c r="L2452" t="s">
        <v>78</v>
      </c>
      <c r="M2452" t="s">
        <v>17</v>
      </c>
      <c r="N2452">
        <v>6</v>
      </c>
      <c r="O2452">
        <v>7800</v>
      </c>
      <c r="P2452">
        <v>5811.4</v>
      </c>
      <c r="Q2452" s="1">
        <v>4661</v>
      </c>
      <c r="R2452" s="1" t="str">
        <v/>
      </c>
      <c r="S2452" s="3">
        <v>4.3817566619139825E-2</v>
      </c>
      <c r="T2452" s="3">
        <v>0</v>
      </c>
    </row>
    <row r="2453" spans="1:20" x14ac:dyDescent="0.25">
      <c r="A2453" t="s">
        <v>78</v>
      </c>
      <c r="B2453" t="s">
        <v>3682</v>
      </c>
      <c r="C2453" t="s">
        <v>3764</v>
      </c>
      <c r="D2453" t="s">
        <v>3765</v>
      </c>
      <c r="E2453">
        <v>7764.27</v>
      </c>
      <c r="F2453">
        <v>7764.27</v>
      </c>
      <c r="G2453">
        <v>7940</v>
      </c>
      <c r="H2453">
        <v>7764.27</v>
      </c>
      <c r="I2453" s="1">
        <v>7909.04</v>
      </c>
      <c r="J2453">
        <v>3267929.85</v>
      </c>
      <c r="K2453">
        <v>414</v>
      </c>
      <c r="L2453" t="s">
        <v>78</v>
      </c>
      <c r="M2453" t="s">
        <v>17</v>
      </c>
      <c r="N2453">
        <v>44</v>
      </c>
      <c r="O2453">
        <v>7940</v>
      </c>
      <c r="P2453">
        <v>5808</v>
      </c>
      <c r="Q2453" s="1">
        <v>4705.5</v>
      </c>
      <c r="R2453" s="1" t="str">
        <v/>
      </c>
      <c r="S2453" s="3">
        <v>4.4222787112166317E-2</v>
      </c>
      <c r="T2453" s="3">
        <v>0</v>
      </c>
    </row>
    <row r="2454" spans="1:20" x14ac:dyDescent="0.25">
      <c r="A2454" t="s">
        <v>78</v>
      </c>
      <c r="B2454" t="s">
        <v>3682</v>
      </c>
      <c r="C2454" t="s">
        <v>4878</v>
      </c>
      <c r="D2454" t="s">
        <v>4877</v>
      </c>
      <c r="E2454">
        <v>7806.42</v>
      </c>
      <c r="F2454">
        <v>7800</v>
      </c>
      <c r="G2454">
        <v>7885</v>
      </c>
      <c r="H2454">
        <v>7716</v>
      </c>
      <c r="I2454" s="1">
        <v>7855.62</v>
      </c>
      <c r="J2454">
        <v>2125643.0299999998</v>
      </c>
      <c r="K2454">
        <v>271</v>
      </c>
      <c r="L2454" t="s">
        <v>78</v>
      </c>
      <c r="M2454" t="s">
        <v>17</v>
      </c>
      <c r="N2454">
        <v>48</v>
      </c>
      <c r="O2454">
        <v>7885</v>
      </c>
      <c r="P2454">
        <v>5652</v>
      </c>
      <c r="Q2454" s="1" t="str">
        <v/>
      </c>
      <c r="R2454" s="1" t="str">
        <v/>
      </c>
      <c r="S2454" s="3">
        <v>0</v>
      </c>
      <c r="T2454" s="3">
        <v>0</v>
      </c>
    </row>
    <row r="2455" spans="1:20" x14ac:dyDescent="0.25">
      <c r="A2455" t="s">
        <v>78</v>
      </c>
      <c r="B2455" t="s">
        <v>3682</v>
      </c>
      <c r="C2455" t="s">
        <v>4876</v>
      </c>
      <c r="D2455" t="s">
        <v>4875</v>
      </c>
      <c r="E2455">
        <v>7987.75</v>
      </c>
      <c r="F2455">
        <v>7987.75</v>
      </c>
      <c r="G2455">
        <v>8099.89</v>
      </c>
      <c r="H2455">
        <v>7987.75</v>
      </c>
      <c r="I2455" s="1">
        <v>8079.89</v>
      </c>
      <c r="J2455">
        <v>12513870.060000001</v>
      </c>
      <c r="K2455">
        <v>1553</v>
      </c>
      <c r="L2455" t="s">
        <v>78</v>
      </c>
      <c r="M2455" t="s">
        <v>17</v>
      </c>
      <c r="N2455">
        <v>310</v>
      </c>
      <c r="O2455">
        <v>8099.89</v>
      </c>
      <c r="P2455">
        <v>5813</v>
      </c>
      <c r="Q2455" s="1" t="str">
        <v/>
      </c>
      <c r="R2455" s="1" t="str">
        <v/>
      </c>
      <c r="S2455" s="3">
        <v>0</v>
      </c>
      <c r="T2455" s="3">
        <v>0</v>
      </c>
    </row>
    <row r="2456" spans="1:20" x14ac:dyDescent="0.25">
      <c r="A2456" t="s">
        <v>78</v>
      </c>
      <c r="B2456" t="s">
        <v>3766</v>
      </c>
      <c r="C2456" t="s">
        <v>4874</v>
      </c>
      <c r="D2456" t="s">
        <v>4873</v>
      </c>
      <c r="E2456">
        <v>115.9</v>
      </c>
      <c r="F2456">
        <v>116</v>
      </c>
      <c r="G2456">
        <v>118</v>
      </c>
      <c r="H2456">
        <v>115.85</v>
      </c>
      <c r="I2456" s="1">
        <v>116.79</v>
      </c>
      <c r="J2456">
        <v>622820.19999999995</v>
      </c>
      <c r="K2456">
        <v>5365</v>
      </c>
      <c r="L2456" t="s">
        <v>78</v>
      </c>
      <c r="M2456" t="s">
        <v>17</v>
      </c>
      <c r="N2456">
        <v>9</v>
      </c>
      <c r="O2456">
        <v>138.07</v>
      </c>
      <c r="P2456">
        <v>107</v>
      </c>
      <c r="Q2456" s="1" t="str">
        <v/>
      </c>
      <c r="R2456" s="1" t="str">
        <v/>
      </c>
      <c r="S2456" s="3">
        <v>0</v>
      </c>
      <c r="T2456" s="3">
        <v>0</v>
      </c>
    </row>
    <row r="2457" spans="1:20" x14ac:dyDescent="0.25">
      <c r="A2457" t="s">
        <v>78</v>
      </c>
      <c r="B2457" t="s">
        <v>3766</v>
      </c>
      <c r="C2457" t="s">
        <v>4872</v>
      </c>
      <c r="D2457" t="s">
        <v>4871</v>
      </c>
      <c r="E2457">
        <v>98.7</v>
      </c>
      <c r="F2457">
        <v>98.15</v>
      </c>
      <c r="G2457">
        <v>99</v>
      </c>
      <c r="H2457">
        <v>98.15</v>
      </c>
      <c r="I2457" s="1">
        <v>99</v>
      </c>
      <c r="J2457">
        <v>491347.74</v>
      </c>
      <c r="K2457">
        <v>5002</v>
      </c>
      <c r="L2457" t="s">
        <v>78</v>
      </c>
      <c r="M2457" t="s">
        <v>17</v>
      </c>
      <c r="N2457">
        <v>4</v>
      </c>
      <c r="O2457">
        <v>100.2</v>
      </c>
      <c r="P2457">
        <v>96.35</v>
      </c>
      <c r="Q2457" s="1" t="str">
        <v/>
      </c>
      <c r="R2457" s="1" t="str">
        <v/>
      </c>
      <c r="S2457" s="3">
        <v>0</v>
      </c>
      <c r="T2457" s="3">
        <v>0</v>
      </c>
    </row>
    <row r="2458" spans="1:20" x14ac:dyDescent="0.25">
      <c r="A2458" t="s">
        <v>78</v>
      </c>
      <c r="B2458" t="s">
        <v>3766</v>
      </c>
      <c r="C2458" t="s">
        <v>4870</v>
      </c>
      <c r="D2458" t="s">
        <v>4869</v>
      </c>
      <c r="E2458">
        <v>99.3</v>
      </c>
      <c r="F2458">
        <v>99.39</v>
      </c>
      <c r="G2458">
        <v>99.39</v>
      </c>
      <c r="H2458">
        <v>99.39</v>
      </c>
      <c r="I2458" s="1">
        <v>99.39</v>
      </c>
      <c r="J2458">
        <v>99.39</v>
      </c>
      <c r="K2458">
        <v>1</v>
      </c>
      <c r="L2458" t="s">
        <v>78</v>
      </c>
      <c r="M2458" t="s">
        <v>17</v>
      </c>
      <c r="N2458">
        <v>1</v>
      </c>
      <c r="O2458">
        <v>117</v>
      </c>
      <c r="P2458">
        <v>94.71</v>
      </c>
      <c r="Q2458" s="1" t="str">
        <v/>
      </c>
      <c r="R2458" s="1" t="str">
        <v/>
      </c>
      <c r="S2458" s="3">
        <v>0</v>
      </c>
      <c r="T2458" s="3">
        <v>0</v>
      </c>
    </row>
    <row r="2459" spans="1:20" x14ac:dyDescent="0.25">
      <c r="A2459" t="s">
        <v>78</v>
      </c>
      <c r="B2459" t="s">
        <v>3766</v>
      </c>
      <c r="C2459" t="s">
        <v>4868</v>
      </c>
      <c r="D2459" t="s">
        <v>4867</v>
      </c>
      <c r="E2459">
        <v>97.61</v>
      </c>
      <c r="F2459">
        <v>97.62</v>
      </c>
      <c r="G2459">
        <v>97.62</v>
      </c>
      <c r="H2459">
        <v>97.62</v>
      </c>
      <c r="I2459" s="1">
        <v>97.62</v>
      </c>
      <c r="J2459">
        <v>195.24</v>
      </c>
      <c r="K2459">
        <v>2</v>
      </c>
      <c r="L2459" t="s">
        <v>78</v>
      </c>
      <c r="M2459" t="s">
        <v>17</v>
      </c>
      <c r="N2459">
        <v>1</v>
      </c>
      <c r="O2459">
        <v>116.25</v>
      </c>
      <c r="P2459">
        <v>93.11</v>
      </c>
      <c r="Q2459" s="1" t="str">
        <v/>
      </c>
      <c r="R2459" s="1" t="str">
        <v/>
      </c>
      <c r="S2459" s="3">
        <v>0</v>
      </c>
      <c r="T2459" s="3">
        <v>0</v>
      </c>
    </row>
    <row r="2460" spans="1:20" x14ac:dyDescent="0.25">
      <c r="A2460" t="s">
        <v>78</v>
      </c>
      <c r="B2460" t="s">
        <v>3766</v>
      </c>
      <c r="C2460" t="s">
        <v>4866</v>
      </c>
      <c r="D2460" t="s">
        <v>4865</v>
      </c>
      <c r="E2460">
        <v>94.8</v>
      </c>
      <c r="F2460">
        <v>93.56</v>
      </c>
      <c r="G2460">
        <v>93.56</v>
      </c>
      <c r="H2460">
        <v>93.56</v>
      </c>
      <c r="I2460" s="1">
        <v>93.56</v>
      </c>
      <c r="J2460">
        <v>93560</v>
      </c>
      <c r="K2460">
        <v>1000</v>
      </c>
      <c r="L2460" t="s">
        <v>78</v>
      </c>
      <c r="M2460" t="s">
        <v>17</v>
      </c>
      <c r="N2460">
        <v>1</v>
      </c>
      <c r="O2460">
        <v>100</v>
      </c>
      <c r="P2460">
        <v>91.14</v>
      </c>
      <c r="Q2460" s="1" t="str">
        <v/>
      </c>
      <c r="R2460" s="1" t="str">
        <v/>
      </c>
      <c r="S2460" s="3">
        <v>0</v>
      </c>
      <c r="T2460" s="3">
        <v>0</v>
      </c>
    </row>
    <row r="2461" spans="1:20" x14ac:dyDescent="0.25">
      <c r="A2461" t="s">
        <v>78</v>
      </c>
      <c r="B2461" t="s">
        <v>3766</v>
      </c>
      <c r="C2461" t="s">
        <v>4864</v>
      </c>
      <c r="D2461" t="s">
        <v>4863</v>
      </c>
      <c r="E2461">
        <v>100.6</v>
      </c>
      <c r="F2461">
        <v>97.03</v>
      </c>
      <c r="G2461">
        <v>97.11</v>
      </c>
      <c r="H2461">
        <v>97.03</v>
      </c>
      <c r="I2461" s="1">
        <v>97.05</v>
      </c>
      <c r="J2461">
        <v>291326.96999999997</v>
      </c>
      <c r="K2461">
        <v>3001</v>
      </c>
      <c r="L2461" t="s">
        <v>78</v>
      </c>
      <c r="M2461" t="s">
        <v>17</v>
      </c>
      <c r="N2461">
        <v>4</v>
      </c>
      <c r="O2461">
        <v>101.5</v>
      </c>
      <c r="P2461">
        <v>94.51</v>
      </c>
      <c r="Q2461" s="1" t="str">
        <v/>
      </c>
      <c r="R2461" s="1" t="str">
        <v/>
      </c>
      <c r="S2461" s="3">
        <v>0</v>
      </c>
      <c r="T2461" s="3">
        <v>0</v>
      </c>
    </row>
    <row r="2462" spans="1:20" x14ac:dyDescent="0.25">
      <c r="A2462" t="s">
        <v>78</v>
      </c>
      <c r="B2462" t="s">
        <v>3766</v>
      </c>
      <c r="C2462" t="s">
        <v>3771</v>
      </c>
      <c r="D2462" t="s">
        <v>3772</v>
      </c>
      <c r="E2462">
        <v>96.23</v>
      </c>
      <c r="F2462">
        <v>96.23</v>
      </c>
      <c r="G2462">
        <v>96.23</v>
      </c>
      <c r="H2462">
        <v>95.55</v>
      </c>
      <c r="I2462" s="1">
        <v>95.55</v>
      </c>
      <c r="J2462">
        <v>238912</v>
      </c>
      <c r="K2462">
        <v>2500</v>
      </c>
      <c r="L2462" t="s">
        <v>78</v>
      </c>
      <c r="M2462" t="s">
        <v>17</v>
      </c>
      <c r="N2462">
        <v>4</v>
      </c>
      <c r="O2462">
        <v>102.8</v>
      </c>
      <c r="P2462">
        <v>90.21</v>
      </c>
      <c r="Q2462" s="1">
        <v>96</v>
      </c>
      <c r="R2462" s="1" t="str">
        <v/>
      </c>
      <c r="S2462" s="3">
        <v>-3.9146675534973419E-4</v>
      </c>
      <c r="T2462" s="3">
        <v>0</v>
      </c>
    </row>
    <row r="2463" spans="1:20" x14ac:dyDescent="0.25">
      <c r="A2463" t="s">
        <v>78</v>
      </c>
      <c r="B2463" t="s">
        <v>3766</v>
      </c>
      <c r="C2463" t="s">
        <v>3773</v>
      </c>
      <c r="D2463" t="s">
        <v>3774</v>
      </c>
      <c r="E2463">
        <v>98.65</v>
      </c>
      <c r="F2463">
        <v>96.77</v>
      </c>
      <c r="G2463">
        <v>97.55</v>
      </c>
      <c r="H2463">
        <v>96.77</v>
      </c>
      <c r="I2463" s="1">
        <v>97.55</v>
      </c>
      <c r="J2463">
        <v>194.32</v>
      </c>
      <c r="K2463">
        <v>2</v>
      </c>
      <c r="L2463" t="s">
        <v>78</v>
      </c>
      <c r="M2463" t="s">
        <v>17</v>
      </c>
      <c r="N2463">
        <v>2</v>
      </c>
      <c r="O2463">
        <v>101.42</v>
      </c>
      <c r="P2463">
        <v>89.17</v>
      </c>
      <c r="Q2463" s="1">
        <v>98</v>
      </c>
      <c r="R2463" s="1" t="str">
        <v/>
      </c>
      <c r="S2463" s="3">
        <v>-3.8346076024331488E-4</v>
      </c>
      <c r="T2463" s="3">
        <v>0</v>
      </c>
    </row>
    <row r="2464" spans="1:20" x14ac:dyDescent="0.25">
      <c r="A2464" t="s">
        <v>78</v>
      </c>
      <c r="B2464" t="s">
        <v>3766</v>
      </c>
      <c r="C2464" t="s">
        <v>4862</v>
      </c>
      <c r="D2464" t="s">
        <v>4861</v>
      </c>
      <c r="E2464">
        <v>99.8</v>
      </c>
      <c r="F2464">
        <v>100.05</v>
      </c>
      <c r="G2464">
        <v>100.05</v>
      </c>
      <c r="H2464">
        <v>100.05</v>
      </c>
      <c r="I2464" s="1">
        <v>100.05</v>
      </c>
      <c r="J2464">
        <v>40220.1</v>
      </c>
      <c r="K2464">
        <v>402</v>
      </c>
      <c r="L2464" t="s">
        <v>78</v>
      </c>
      <c r="M2464" t="s">
        <v>17</v>
      </c>
      <c r="N2464">
        <v>3</v>
      </c>
      <c r="O2464">
        <v>105</v>
      </c>
      <c r="P2464">
        <v>98.58</v>
      </c>
      <c r="Q2464" s="1" t="str">
        <v/>
      </c>
      <c r="R2464" s="1" t="str">
        <v/>
      </c>
      <c r="S2464" s="3">
        <v>0</v>
      </c>
      <c r="T2464" s="3">
        <v>0</v>
      </c>
    </row>
    <row r="2465" spans="1:20" x14ac:dyDescent="0.25">
      <c r="A2465" t="s">
        <v>78</v>
      </c>
      <c r="B2465" t="s">
        <v>3766</v>
      </c>
      <c r="C2465" t="s">
        <v>4860</v>
      </c>
      <c r="D2465" t="s">
        <v>4859</v>
      </c>
      <c r="E2465">
        <v>98.75</v>
      </c>
      <c r="F2465">
        <v>97.25</v>
      </c>
      <c r="G2465">
        <v>97.25</v>
      </c>
      <c r="H2465">
        <v>97.25</v>
      </c>
      <c r="I2465" s="1">
        <v>97.25</v>
      </c>
      <c r="J2465">
        <v>97.25</v>
      </c>
      <c r="K2465">
        <v>1</v>
      </c>
      <c r="L2465" t="s">
        <v>78</v>
      </c>
      <c r="M2465" t="s">
        <v>17</v>
      </c>
      <c r="N2465">
        <v>1</v>
      </c>
      <c r="O2465">
        <v>103.16</v>
      </c>
      <c r="P2465">
        <v>92.8</v>
      </c>
      <c r="Q2465" s="1" t="str">
        <v/>
      </c>
      <c r="R2465" s="1" t="str">
        <v/>
      </c>
      <c r="S2465" s="3">
        <v>0</v>
      </c>
      <c r="T2465" s="3">
        <v>0</v>
      </c>
    </row>
    <row r="2466" spans="1:20" x14ac:dyDescent="0.25">
      <c r="A2466" t="s">
        <v>78</v>
      </c>
      <c r="B2466" t="s">
        <v>3766</v>
      </c>
      <c r="C2466" t="s">
        <v>4858</v>
      </c>
      <c r="D2466" t="s">
        <v>4857</v>
      </c>
      <c r="E2466">
        <v>101.39</v>
      </c>
      <c r="F2466">
        <v>101.5</v>
      </c>
      <c r="G2466">
        <v>101.51</v>
      </c>
      <c r="H2466">
        <v>101.5</v>
      </c>
      <c r="I2466" s="1">
        <v>101.5</v>
      </c>
      <c r="J2466">
        <v>5278100</v>
      </c>
      <c r="K2466">
        <v>52000</v>
      </c>
      <c r="L2466" t="s">
        <v>78</v>
      </c>
      <c r="M2466" t="s">
        <v>17</v>
      </c>
      <c r="N2466">
        <v>7</v>
      </c>
      <c r="O2466">
        <v>103.5</v>
      </c>
      <c r="P2466">
        <v>98.5</v>
      </c>
      <c r="Q2466" s="1" t="str">
        <v/>
      </c>
      <c r="R2466" s="1" t="str">
        <v/>
      </c>
      <c r="S2466" s="3">
        <v>0</v>
      </c>
      <c r="T2466" s="3">
        <v>0</v>
      </c>
    </row>
    <row r="2467" spans="1:20" x14ac:dyDescent="0.25">
      <c r="A2467" t="s">
        <v>78</v>
      </c>
      <c r="B2467" t="s">
        <v>3766</v>
      </c>
      <c r="C2467" t="s">
        <v>4856</v>
      </c>
      <c r="D2467" t="s">
        <v>4855</v>
      </c>
      <c r="E2467">
        <v>100.43</v>
      </c>
      <c r="F2467">
        <v>98.43</v>
      </c>
      <c r="G2467">
        <v>101.85</v>
      </c>
      <c r="H2467">
        <v>98.43</v>
      </c>
      <c r="I2467" s="1">
        <v>101.85</v>
      </c>
      <c r="J2467">
        <v>101948.43</v>
      </c>
      <c r="K2467">
        <v>1001</v>
      </c>
      <c r="L2467" t="s">
        <v>78</v>
      </c>
      <c r="M2467" t="s">
        <v>17</v>
      </c>
      <c r="N2467">
        <v>3</v>
      </c>
      <c r="O2467">
        <v>104.94</v>
      </c>
      <c r="P2467">
        <v>93.61</v>
      </c>
      <c r="Q2467" s="1" t="str">
        <v/>
      </c>
      <c r="R2467" s="1" t="str">
        <v/>
      </c>
      <c r="S2467" s="3">
        <v>0</v>
      </c>
      <c r="T2467" s="3">
        <v>0</v>
      </c>
    </row>
    <row r="2468" spans="1:20" x14ac:dyDescent="0.25">
      <c r="A2468" t="s">
        <v>78</v>
      </c>
      <c r="B2468" t="s">
        <v>3766</v>
      </c>
      <c r="C2468" t="s">
        <v>4854</v>
      </c>
      <c r="D2468" t="s">
        <v>4853</v>
      </c>
      <c r="E2468">
        <v>100.46</v>
      </c>
      <c r="F2468">
        <v>100.46</v>
      </c>
      <c r="G2468">
        <v>100.46</v>
      </c>
      <c r="H2468">
        <v>100.46</v>
      </c>
      <c r="I2468" s="1">
        <v>100.46</v>
      </c>
      <c r="J2468">
        <v>10046</v>
      </c>
      <c r="K2468">
        <v>100</v>
      </c>
      <c r="L2468" t="s">
        <v>78</v>
      </c>
      <c r="M2468" t="s">
        <v>17</v>
      </c>
      <c r="N2468">
        <v>1</v>
      </c>
      <c r="O2468">
        <v>101</v>
      </c>
      <c r="P2468">
        <v>98</v>
      </c>
      <c r="Q2468" s="1" t="str">
        <v/>
      </c>
      <c r="R2468" s="1" t="str">
        <v/>
      </c>
      <c r="S2468" s="3">
        <v>0</v>
      </c>
      <c r="T2468" s="3">
        <v>0</v>
      </c>
    </row>
    <row r="2469" spans="1:20" x14ac:dyDescent="0.25">
      <c r="A2469" t="s">
        <v>78</v>
      </c>
      <c r="B2469" t="s">
        <v>3766</v>
      </c>
      <c r="C2469" t="s">
        <v>4852</v>
      </c>
      <c r="D2469" t="s">
        <v>4851</v>
      </c>
      <c r="E2469">
        <v>100.5</v>
      </c>
      <c r="F2469">
        <v>100.5</v>
      </c>
      <c r="G2469">
        <v>100.5</v>
      </c>
      <c r="H2469">
        <v>100.03</v>
      </c>
      <c r="I2469" s="1">
        <v>100.03</v>
      </c>
      <c r="J2469">
        <v>30009.47</v>
      </c>
      <c r="K2469">
        <v>300</v>
      </c>
      <c r="L2469" t="s">
        <v>78</v>
      </c>
      <c r="M2469" t="s">
        <v>17</v>
      </c>
      <c r="N2469">
        <v>6</v>
      </c>
      <c r="O2469">
        <v>100.85</v>
      </c>
      <c r="P2469">
        <v>98.75</v>
      </c>
      <c r="Q2469" s="1" t="str">
        <v/>
      </c>
      <c r="R2469" s="1" t="str">
        <v/>
      </c>
      <c r="S2469" s="3">
        <v>0</v>
      </c>
      <c r="T2469" s="3">
        <v>0</v>
      </c>
    </row>
    <row r="2470" spans="1:20" x14ac:dyDescent="0.25">
      <c r="A2470" t="s">
        <v>78</v>
      </c>
      <c r="B2470" t="s">
        <v>3766</v>
      </c>
      <c r="C2470" t="s">
        <v>4850</v>
      </c>
      <c r="D2470" t="s">
        <v>4849</v>
      </c>
      <c r="E2470">
        <v>100.3</v>
      </c>
      <c r="F2470">
        <v>100.3</v>
      </c>
      <c r="G2470">
        <v>100.3</v>
      </c>
      <c r="H2470">
        <v>100.3</v>
      </c>
      <c r="I2470" s="1">
        <v>100.3</v>
      </c>
      <c r="J2470">
        <v>70210</v>
      </c>
      <c r="K2470">
        <v>700</v>
      </c>
      <c r="L2470" t="s">
        <v>78</v>
      </c>
      <c r="M2470" t="s">
        <v>17</v>
      </c>
      <c r="N2470">
        <v>3</v>
      </c>
      <c r="O2470">
        <v>103</v>
      </c>
      <c r="P2470">
        <v>98</v>
      </c>
      <c r="Q2470" s="1" t="str">
        <v/>
      </c>
      <c r="R2470" s="1" t="str">
        <v/>
      </c>
      <c r="S2470" s="3">
        <v>0</v>
      </c>
      <c r="T2470" s="3">
        <v>0</v>
      </c>
    </row>
    <row r="2471" spans="1:20" x14ac:dyDescent="0.25">
      <c r="A2471" t="s">
        <v>78</v>
      </c>
      <c r="B2471" t="s">
        <v>3766</v>
      </c>
      <c r="C2471" t="s">
        <v>4848</v>
      </c>
      <c r="D2471" t="s">
        <v>4847</v>
      </c>
      <c r="E2471">
        <v>102.05</v>
      </c>
      <c r="F2471">
        <v>102.05</v>
      </c>
      <c r="G2471">
        <v>102.25</v>
      </c>
      <c r="H2471">
        <v>102.03</v>
      </c>
      <c r="I2471" s="1">
        <v>102.22</v>
      </c>
      <c r="J2471">
        <v>10759696.800000001</v>
      </c>
      <c r="K2471">
        <v>105304</v>
      </c>
      <c r="L2471" t="s">
        <v>78</v>
      </c>
      <c r="M2471" t="s">
        <v>17</v>
      </c>
      <c r="N2471">
        <v>21</v>
      </c>
      <c r="O2471">
        <v>104.94</v>
      </c>
      <c r="P2471">
        <v>99</v>
      </c>
      <c r="Q2471" s="1" t="str">
        <v/>
      </c>
      <c r="R2471" s="1" t="str">
        <v/>
      </c>
      <c r="S2471" s="3">
        <v>0</v>
      </c>
      <c r="T2471" s="3">
        <v>0</v>
      </c>
    </row>
    <row r="2472" spans="1:20" x14ac:dyDescent="0.25">
      <c r="A2472" t="s">
        <v>78</v>
      </c>
      <c r="B2472" t="s">
        <v>3766</v>
      </c>
      <c r="C2472" t="s">
        <v>4846</v>
      </c>
      <c r="D2472" t="s">
        <v>4845</v>
      </c>
      <c r="E2472">
        <v>102.48</v>
      </c>
      <c r="F2472">
        <v>102.5</v>
      </c>
      <c r="G2472">
        <v>102.55</v>
      </c>
      <c r="H2472">
        <v>102.3</v>
      </c>
      <c r="I2472" s="1">
        <v>102.46</v>
      </c>
      <c r="J2472">
        <v>1302238.1100000001</v>
      </c>
      <c r="K2472">
        <v>12710</v>
      </c>
      <c r="L2472" t="s">
        <v>78</v>
      </c>
      <c r="M2472" t="s">
        <v>17</v>
      </c>
      <c r="N2472">
        <v>14</v>
      </c>
      <c r="O2472">
        <v>108.95</v>
      </c>
      <c r="P2472">
        <v>98.35</v>
      </c>
      <c r="Q2472" s="1" t="str">
        <v/>
      </c>
      <c r="R2472" s="1" t="str">
        <v/>
      </c>
      <c r="S2472" s="3">
        <v>0</v>
      </c>
      <c r="T2472" s="3">
        <v>0</v>
      </c>
    </row>
    <row r="2473" spans="1:20" x14ac:dyDescent="0.25">
      <c r="A2473" t="s">
        <v>78</v>
      </c>
      <c r="B2473" t="s">
        <v>3766</v>
      </c>
      <c r="C2473" t="s">
        <v>4844</v>
      </c>
      <c r="D2473" t="s">
        <v>4843</v>
      </c>
      <c r="E2473">
        <v>103.59</v>
      </c>
      <c r="F2473">
        <v>101</v>
      </c>
      <c r="G2473">
        <v>103.5</v>
      </c>
      <c r="H2473">
        <v>101</v>
      </c>
      <c r="I2473" s="1">
        <v>101.05</v>
      </c>
      <c r="J2473">
        <v>54559.45</v>
      </c>
      <c r="K2473">
        <v>540</v>
      </c>
      <c r="L2473" t="s">
        <v>78</v>
      </c>
      <c r="M2473" t="s">
        <v>17</v>
      </c>
      <c r="N2473">
        <v>3</v>
      </c>
      <c r="O2473">
        <v>110.7</v>
      </c>
      <c r="P2473">
        <v>96.76</v>
      </c>
      <c r="Q2473" s="1" t="str">
        <v/>
      </c>
      <c r="R2473" s="1" t="str">
        <v/>
      </c>
      <c r="S2473" s="3">
        <v>0</v>
      </c>
      <c r="T2473" s="3">
        <v>0</v>
      </c>
    </row>
    <row r="2474" spans="1:20" x14ac:dyDescent="0.25">
      <c r="A2474" t="s">
        <v>78</v>
      </c>
      <c r="B2474" t="s">
        <v>3766</v>
      </c>
      <c r="C2474" t="s">
        <v>4842</v>
      </c>
      <c r="D2474" t="s">
        <v>4841</v>
      </c>
      <c r="E2474">
        <v>102</v>
      </c>
      <c r="F2474">
        <v>101.91</v>
      </c>
      <c r="G2474">
        <v>102.62</v>
      </c>
      <c r="H2474">
        <v>101.91</v>
      </c>
      <c r="I2474" s="1">
        <v>102.61</v>
      </c>
      <c r="J2474">
        <v>699466.58</v>
      </c>
      <c r="K2474">
        <v>6829</v>
      </c>
      <c r="L2474" t="s">
        <v>78</v>
      </c>
      <c r="M2474" t="s">
        <v>17</v>
      </c>
      <c r="N2474">
        <v>8</v>
      </c>
      <c r="O2474">
        <v>106.71</v>
      </c>
      <c r="P2474">
        <v>97.33</v>
      </c>
      <c r="Q2474" s="1" t="str">
        <v/>
      </c>
      <c r="R2474" s="1" t="str">
        <v/>
      </c>
      <c r="S2474" s="3">
        <v>0</v>
      </c>
      <c r="T2474" s="3">
        <v>0</v>
      </c>
    </row>
    <row r="2475" spans="1:20" x14ac:dyDescent="0.25">
      <c r="A2475" t="s">
        <v>78</v>
      </c>
      <c r="B2475" t="s">
        <v>3766</v>
      </c>
      <c r="C2475" t="s">
        <v>4840</v>
      </c>
      <c r="D2475" t="s">
        <v>4839</v>
      </c>
      <c r="E2475">
        <v>103.5</v>
      </c>
      <c r="F2475">
        <v>104</v>
      </c>
      <c r="G2475">
        <v>104</v>
      </c>
      <c r="H2475">
        <v>104</v>
      </c>
      <c r="I2475" s="1">
        <v>104</v>
      </c>
      <c r="J2475">
        <v>299936</v>
      </c>
      <c r="K2475">
        <v>2884</v>
      </c>
      <c r="L2475" t="s">
        <v>78</v>
      </c>
      <c r="M2475" t="s">
        <v>17</v>
      </c>
      <c r="N2475">
        <v>1</v>
      </c>
      <c r="O2475">
        <v>104.45</v>
      </c>
      <c r="P2475">
        <v>98.6</v>
      </c>
      <c r="Q2475" s="1" t="str">
        <v/>
      </c>
      <c r="R2475" s="1" t="str">
        <v/>
      </c>
      <c r="S2475" s="3">
        <v>0</v>
      </c>
      <c r="T2475" s="3">
        <v>0</v>
      </c>
    </row>
    <row r="2476" spans="1:20" x14ac:dyDescent="0.25">
      <c r="A2476" t="s">
        <v>78</v>
      </c>
      <c r="B2476" t="s">
        <v>3766</v>
      </c>
      <c r="C2476" t="s">
        <v>4838</v>
      </c>
      <c r="D2476" t="s">
        <v>4837</v>
      </c>
      <c r="E2476">
        <v>104.62</v>
      </c>
      <c r="F2476">
        <v>104.07</v>
      </c>
      <c r="G2476">
        <v>104.66</v>
      </c>
      <c r="H2476">
        <v>104</v>
      </c>
      <c r="I2476" s="1">
        <v>104.62</v>
      </c>
      <c r="J2476">
        <v>18005362.140000001</v>
      </c>
      <c r="K2476">
        <v>172606</v>
      </c>
      <c r="L2476" t="s">
        <v>78</v>
      </c>
      <c r="M2476" t="s">
        <v>17</v>
      </c>
      <c r="N2476">
        <v>20</v>
      </c>
      <c r="O2476">
        <v>105.5</v>
      </c>
      <c r="P2476">
        <v>98</v>
      </c>
      <c r="Q2476" s="1" t="str">
        <v/>
      </c>
      <c r="R2476" s="1" t="str">
        <v/>
      </c>
      <c r="S2476" s="3">
        <v>0</v>
      </c>
      <c r="T2476" s="3">
        <v>0</v>
      </c>
    </row>
    <row r="2477" spans="1:20" x14ac:dyDescent="0.25">
      <c r="A2477" t="s">
        <v>78</v>
      </c>
      <c r="B2477" t="s">
        <v>3766</v>
      </c>
      <c r="C2477" t="s">
        <v>4836</v>
      </c>
      <c r="D2477" t="s">
        <v>4835</v>
      </c>
      <c r="E2477">
        <v>102.65</v>
      </c>
      <c r="F2477">
        <v>102.65</v>
      </c>
      <c r="G2477">
        <v>102.65</v>
      </c>
      <c r="H2477">
        <v>102.65</v>
      </c>
      <c r="I2477" s="1">
        <v>102.65</v>
      </c>
      <c r="J2477">
        <v>20530</v>
      </c>
      <c r="K2477">
        <v>200</v>
      </c>
      <c r="L2477" t="s">
        <v>78</v>
      </c>
      <c r="M2477" t="s">
        <v>17</v>
      </c>
      <c r="N2477">
        <v>3</v>
      </c>
      <c r="O2477">
        <v>102.95</v>
      </c>
      <c r="P2477">
        <v>98.9</v>
      </c>
      <c r="Q2477" s="1" t="str">
        <v/>
      </c>
      <c r="R2477" s="1" t="str">
        <v/>
      </c>
      <c r="S2477" s="3">
        <v>0</v>
      </c>
      <c r="T2477" s="3">
        <v>0</v>
      </c>
    </row>
    <row r="2478" spans="1:20" x14ac:dyDescent="0.25">
      <c r="A2478" t="s">
        <v>78</v>
      </c>
      <c r="B2478" t="s">
        <v>3766</v>
      </c>
      <c r="C2478" t="s">
        <v>4834</v>
      </c>
      <c r="D2478" t="s">
        <v>4833</v>
      </c>
      <c r="E2478">
        <v>103</v>
      </c>
      <c r="F2478">
        <v>103</v>
      </c>
      <c r="G2478">
        <v>103</v>
      </c>
      <c r="H2478">
        <v>103</v>
      </c>
      <c r="I2478" s="1">
        <v>103</v>
      </c>
      <c r="J2478">
        <v>1030</v>
      </c>
      <c r="K2478">
        <v>10</v>
      </c>
      <c r="L2478" t="s">
        <v>78</v>
      </c>
      <c r="M2478" t="s">
        <v>17</v>
      </c>
      <c r="N2478">
        <v>1</v>
      </c>
      <c r="O2478">
        <v>105</v>
      </c>
      <c r="P2478">
        <v>99</v>
      </c>
      <c r="Q2478" s="1" t="str">
        <v/>
      </c>
      <c r="R2478" s="1" t="str">
        <v/>
      </c>
      <c r="S2478" s="3">
        <v>0</v>
      </c>
      <c r="T2478" s="3">
        <v>0</v>
      </c>
    </row>
    <row r="2479" spans="1:20" x14ac:dyDescent="0.25">
      <c r="A2479" t="s">
        <v>78</v>
      </c>
      <c r="B2479" t="s">
        <v>3766</v>
      </c>
      <c r="C2479" t="s">
        <v>4832</v>
      </c>
      <c r="D2479" t="s">
        <v>4831</v>
      </c>
      <c r="E2479">
        <v>103</v>
      </c>
      <c r="F2479">
        <v>102.8</v>
      </c>
      <c r="G2479">
        <v>103.05</v>
      </c>
      <c r="H2479">
        <v>102.8</v>
      </c>
      <c r="I2479" s="1">
        <v>103</v>
      </c>
      <c r="J2479">
        <v>1247545.06</v>
      </c>
      <c r="K2479">
        <v>12126</v>
      </c>
      <c r="L2479" t="s">
        <v>78</v>
      </c>
      <c r="M2479" t="s">
        <v>17</v>
      </c>
      <c r="N2479">
        <v>10</v>
      </c>
      <c r="O2479">
        <v>105.15</v>
      </c>
      <c r="P2479">
        <v>97.5</v>
      </c>
      <c r="Q2479" s="1" t="str">
        <v/>
      </c>
      <c r="R2479" s="1" t="str">
        <v/>
      </c>
      <c r="S2479" s="3">
        <v>0</v>
      </c>
      <c r="T2479" s="3">
        <v>0</v>
      </c>
    </row>
    <row r="2480" spans="1:20" x14ac:dyDescent="0.25">
      <c r="A2480" t="s">
        <v>78</v>
      </c>
      <c r="B2480" t="s">
        <v>3766</v>
      </c>
      <c r="C2480" t="s">
        <v>4830</v>
      </c>
      <c r="D2480" t="s">
        <v>4829</v>
      </c>
      <c r="E2480">
        <v>104.55</v>
      </c>
      <c r="F2480">
        <v>104.55</v>
      </c>
      <c r="G2480">
        <v>104.55</v>
      </c>
      <c r="H2480">
        <v>104.25</v>
      </c>
      <c r="I2480" s="1">
        <v>104.25</v>
      </c>
      <c r="J2480">
        <v>334604.55</v>
      </c>
      <c r="K2480">
        <v>3201</v>
      </c>
      <c r="L2480" t="s">
        <v>78</v>
      </c>
      <c r="M2480" t="s">
        <v>17</v>
      </c>
      <c r="N2480">
        <v>5</v>
      </c>
      <c r="O2480">
        <v>106</v>
      </c>
      <c r="P2480">
        <v>98.75</v>
      </c>
      <c r="Q2480" s="1" t="str">
        <v/>
      </c>
      <c r="R2480" s="1" t="str">
        <v/>
      </c>
      <c r="S2480" s="3">
        <v>0</v>
      </c>
      <c r="T2480" s="3">
        <v>0</v>
      </c>
    </row>
    <row r="2481" spans="1:20" x14ac:dyDescent="0.25">
      <c r="A2481" t="s">
        <v>78</v>
      </c>
      <c r="B2481" t="s">
        <v>3766</v>
      </c>
      <c r="C2481" t="s">
        <v>4828</v>
      </c>
      <c r="D2481" t="s">
        <v>4827</v>
      </c>
      <c r="E2481">
        <v>104.3</v>
      </c>
      <c r="F2481">
        <v>104.3</v>
      </c>
      <c r="G2481">
        <v>104.5</v>
      </c>
      <c r="H2481">
        <v>104.3</v>
      </c>
      <c r="I2481" s="1">
        <v>104.5</v>
      </c>
      <c r="J2481">
        <v>730500</v>
      </c>
      <c r="K2481">
        <v>7000</v>
      </c>
      <c r="L2481" t="s">
        <v>78</v>
      </c>
      <c r="M2481" t="s">
        <v>17</v>
      </c>
      <c r="N2481">
        <v>3</v>
      </c>
      <c r="O2481">
        <v>106.69</v>
      </c>
      <c r="P2481">
        <v>99.43</v>
      </c>
      <c r="Q2481" s="1" t="str">
        <v/>
      </c>
      <c r="R2481" s="1" t="str">
        <v/>
      </c>
      <c r="S2481" s="3">
        <v>0</v>
      </c>
      <c r="T2481" s="3">
        <v>0</v>
      </c>
    </row>
    <row r="2482" spans="1:20" x14ac:dyDescent="0.25">
      <c r="A2482" t="s">
        <v>78</v>
      </c>
      <c r="B2482" t="s">
        <v>3766</v>
      </c>
      <c r="C2482" t="s">
        <v>4826</v>
      </c>
      <c r="D2482" t="s">
        <v>4825</v>
      </c>
      <c r="E2482">
        <v>101.5</v>
      </c>
      <c r="F2482">
        <v>104</v>
      </c>
      <c r="G2482">
        <v>104</v>
      </c>
      <c r="H2482">
        <v>102</v>
      </c>
      <c r="I2482" s="1">
        <v>102</v>
      </c>
      <c r="J2482">
        <v>37846</v>
      </c>
      <c r="K2482">
        <v>371</v>
      </c>
      <c r="L2482" t="s">
        <v>78</v>
      </c>
      <c r="M2482" t="s">
        <v>17</v>
      </c>
      <c r="N2482">
        <v>4</v>
      </c>
      <c r="O2482">
        <v>112</v>
      </c>
      <c r="P2482">
        <v>97.7</v>
      </c>
      <c r="Q2482" s="1" t="str">
        <v/>
      </c>
      <c r="R2482" s="1" t="str">
        <v/>
      </c>
      <c r="S2482" s="3">
        <v>0</v>
      </c>
      <c r="T2482" s="3">
        <v>0</v>
      </c>
    </row>
    <row r="2483" spans="1:20" x14ac:dyDescent="0.25">
      <c r="A2483" t="s">
        <v>78</v>
      </c>
      <c r="B2483" t="s">
        <v>3766</v>
      </c>
      <c r="C2483" t="s">
        <v>4824</v>
      </c>
      <c r="D2483" t="s">
        <v>4823</v>
      </c>
      <c r="E2483">
        <v>103.34</v>
      </c>
      <c r="F2483">
        <v>102.34</v>
      </c>
      <c r="G2483">
        <v>103</v>
      </c>
      <c r="H2483">
        <v>102.34</v>
      </c>
      <c r="I2483" s="1">
        <v>102.5</v>
      </c>
      <c r="J2483">
        <v>71739</v>
      </c>
      <c r="K2483">
        <v>700</v>
      </c>
      <c r="L2483" t="s">
        <v>78</v>
      </c>
      <c r="M2483" t="s">
        <v>17</v>
      </c>
      <c r="N2483">
        <v>6</v>
      </c>
      <c r="O2483">
        <v>108.66</v>
      </c>
      <c r="P2483">
        <v>98</v>
      </c>
      <c r="Q2483" s="1" t="str">
        <v/>
      </c>
      <c r="R2483" s="1" t="str">
        <v/>
      </c>
      <c r="S2483" s="3">
        <v>0</v>
      </c>
      <c r="T2483" s="3">
        <v>0</v>
      </c>
    </row>
    <row r="2484" spans="1:20" x14ac:dyDescent="0.25">
      <c r="A2484" t="s">
        <v>78</v>
      </c>
      <c r="B2484" t="s">
        <v>3766</v>
      </c>
      <c r="C2484" t="s">
        <v>4822</v>
      </c>
      <c r="D2484" t="s">
        <v>4821</v>
      </c>
      <c r="E2484">
        <v>102.39</v>
      </c>
      <c r="F2484">
        <v>101.8</v>
      </c>
      <c r="G2484">
        <v>102.2</v>
      </c>
      <c r="H2484">
        <v>101.8</v>
      </c>
      <c r="I2484" s="1">
        <v>102</v>
      </c>
      <c r="J2484">
        <v>5212305.5999999996</v>
      </c>
      <c r="K2484">
        <v>51103</v>
      </c>
      <c r="L2484" t="s">
        <v>78</v>
      </c>
      <c r="M2484" t="s">
        <v>17</v>
      </c>
      <c r="N2484">
        <v>10</v>
      </c>
      <c r="O2484">
        <v>104.7</v>
      </c>
      <c r="P2484">
        <v>99</v>
      </c>
      <c r="Q2484" s="1" t="str">
        <v/>
      </c>
      <c r="R2484" s="1" t="str">
        <v/>
      </c>
      <c r="S2484" s="3">
        <v>0</v>
      </c>
      <c r="T2484" s="3">
        <v>0</v>
      </c>
    </row>
    <row r="2485" spans="1:20" x14ac:dyDescent="0.25">
      <c r="A2485" t="s">
        <v>78</v>
      </c>
      <c r="B2485" t="s">
        <v>3766</v>
      </c>
      <c r="C2485" t="s">
        <v>4820</v>
      </c>
      <c r="D2485" t="s">
        <v>4819</v>
      </c>
      <c r="E2485">
        <v>104.55</v>
      </c>
      <c r="F2485">
        <v>103.56</v>
      </c>
      <c r="G2485">
        <v>105</v>
      </c>
      <c r="H2485">
        <v>103.56</v>
      </c>
      <c r="I2485" s="1">
        <v>105</v>
      </c>
      <c r="J2485">
        <v>63086</v>
      </c>
      <c r="K2485">
        <v>606</v>
      </c>
      <c r="L2485" t="s">
        <v>78</v>
      </c>
      <c r="M2485" t="s">
        <v>17</v>
      </c>
      <c r="N2485">
        <v>7</v>
      </c>
      <c r="O2485">
        <v>105.5</v>
      </c>
      <c r="P2485">
        <v>98</v>
      </c>
      <c r="Q2485" s="1" t="str">
        <v/>
      </c>
      <c r="R2485" s="1" t="str">
        <v/>
      </c>
      <c r="S2485" s="3">
        <v>0</v>
      </c>
      <c r="T2485" s="3">
        <v>0</v>
      </c>
    </row>
    <row r="2486" spans="1:20" x14ac:dyDescent="0.25">
      <c r="A2486" t="s">
        <v>78</v>
      </c>
      <c r="B2486" t="s">
        <v>3766</v>
      </c>
      <c r="C2486" t="s">
        <v>4818</v>
      </c>
      <c r="D2486" t="s">
        <v>4817</v>
      </c>
      <c r="E2486">
        <v>105.51</v>
      </c>
      <c r="F2486">
        <v>105.01</v>
      </c>
      <c r="G2486">
        <v>106.52</v>
      </c>
      <c r="H2486">
        <v>105.01</v>
      </c>
      <c r="I2486" s="1">
        <v>105.51</v>
      </c>
      <c r="J2486">
        <v>11506254.84</v>
      </c>
      <c r="K2486">
        <v>109113</v>
      </c>
      <c r="L2486" t="s">
        <v>78</v>
      </c>
      <c r="M2486" t="s">
        <v>17</v>
      </c>
      <c r="N2486">
        <v>21</v>
      </c>
      <c r="O2486">
        <v>107.65</v>
      </c>
      <c r="P2486">
        <v>97.5</v>
      </c>
      <c r="Q2486" s="1" t="str">
        <v/>
      </c>
      <c r="R2486" s="1" t="str">
        <v/>
      </c>
      <c r="S2486" s="3">
        <v>0</v>
      </c>
      <c r="T2486" s="3">
        <v>0</v>
      </c>
    </row>
    <row r="2487" spans="1:20" x14ac:dyDescent="0.25">
      <c r="A2487" t="s">
        <v>78</v>
      </c>
      <c r="B2487" t="s">
        <v>3766</v>
      </c>
      <c r="C2487" t="s">
        <v>4816</v>
      </c>
      <c r="D2487" t="s">
        <v>4815</v>
      </c>
      <c r="E2487">
        <v>102.64</v>
      </c>
      <c r="F2487">
        <v>102.55</v>
      </c>
      <c r="G2487">
        <v>103.35</v>
      </c>
      <c r="H2487">
        <v>102.55</v>
      </c>
      <c r="I2487" s="1">
        <v>103.33</v>
      </c>
      <c r="J2487">
        <v>295293.75</v>
      </c>
      <c r="K2487">
        <v>2863</v>
      </c>
      <c r="L2487" t="s">
        <v>78</v>
      </c>
      <c r="M2487" t="s">
        <v>17</v>
      </c>
      <c r="N2487">
        <v>12</v>
      </c>
      <c r="O2487">
        <v>108.31</v>
      </c>
      <c r="P2487">
        <v>99</v>
      </c>
      <c r="Q2487" s="1" t="str">
        <v/>
      </c>
      <c r="R2487" s="1" t="str">
        <v/>
      </c>
      <c r="S2487" s="3">
        <v>0</v>
      </c>
      <c r="T2487" s="3">
        <v>0</v>
      </c>
    </row>
    <row r="2488" spans="1:20" x14ac:dyDescent="0.25">
      <c r="A2488" t="s">
        <v>78</v>
      </c>
      <c r="B2488" t="s">
        <v>3766</v>
      </c>
      <c r="C2488" t="s">
        <v>4814</v>
      </c>
      <c r="D2488" t="s">
        <v>4813</v>
      </c>
      <c r="E2488">
        <v>101.92</v>
      </c>
      <c r="F2488">
        <v>101.92</v>
      </c>
      <c r="G2488">
        <v>102.05</v>
      </c>
      <c r="H2488">
        <v>101.81</v>
      </c>
      <c r="I2488" s="1">
        <v>101.94</v>
      </c>
      <c r="J2488">
        <v>27326884.739999998</v>
      </c>
      <c r="K2488">
        <v>268021</v>
      </c>
      <c r="L2488" t="s">
        <v>78</v>
      </c>
      <c r="M2488" t="s">
        <v>17</v>
      </c>
      <c r="N2488">
        <v>69</v>
      </c>
      <c r="O2488">
        <v>108.28</v>
      </c>
      <c r="P2488">
        <v>97.36</v>
      </c>
      <c r="Q2488" s="1" t="str">
        <v/>
      </c>
      <c r="R2488" s="1" t="str">
        <v/>
      </c>
      <c r="S2488" s="3">
        <v>0</v>
      </c>
      <c r="T2488" s="3">
        <v>0</v>
      </c>
    </row>
    <row r="2489" spans="1:20" x14ac:dyDescent="0.25">
      <c r="A2489" t="s">
        <v>78</v>
      </c>
      <c r="B2489" t="s">
        <v>3766</v>
      </c>
      <c r="C2489" t="s">
        <v>4812</v>
      </c>
      <c r="D2489" t="s">
        <v>4811</v>
      </c>
      <c r="E2489">
        <v>103.28</v>
      </c>
      <c r="F2489">
        <v>102.81</v>
      </c>
      <c r="G2489">
        <v>103.9</v>
      </c>
      <c r="H2489">
        <v>102.81</v>
      </c>
      <c r="I2489" s="1">
        <v>103.89</v>
      </c>
      <c r="J2489">
        <v>104205477.90000001</v>
      </c>
      <c r="K2489">
        <v>1002950</v>
      </c>
      <c r="L2489" t="s">
        <v>78</v>
      </c>
      <c r="M2489" t="s">
        <v>17</v>
      </c>
      <c r="N2489">
        <v>17</v>
      </c>
      <c r="O2489">
        <v>105.8</v>
      </c>
      <c r="P2489">
        <v>98.02</v>
      </c>
      <c r="Q2489" s="1" t="str">
        <v/>
      </c>
      <c r="R2489" s="1" t="str">
        <v/>
      </c>
      <c r="S2489" s="3">
        <v>0</v>
      </c>
      <c r="T2489" s="3">
        <v>0</v>
      </c>
    </row>
    <row r="2490" spans="1:20" x14ac:dyDescent="0.25">
      <c r="A2490" t="s">
        <v>78</v>
      </c>
      <c r="B2490" t="s">
        <v>3766</v>
      </c>
      <c r="C2490" t="s">
        <v>4810</v>
      </c>
      <c r="D2490" t="s">
        <v>4809</v>
      </c>
      <c r="E2490">
        <v>103.4</v>
      </c>
      <c r="F2490">
        <v>103.4</v>
      </c>
      <c r="G2490">
        <v>103.9</v>
      </c>
      <c r="H2490">
        <v>103.3</v>
      </c>
      <c r="I2490" s="1">
        <v>103.65</v>
      </c>
      <c r="J2490">
        <v>24981762</v>
      </c>
      <c r="K2490">
        <v>241400</v>
      </c>
      <c r="L2490" t="s">
        <v>78</v>
      </c>
      <c r="M2490" t="s">
        <v>17</v>
      </c>
      <c r="N2490">
        <v>37</v>
      </c>
      <c r="O2490">
        <v>108.75</v>
      </c>
      <c r="P2490">
        <v>99.43</v>
      </c>
      <c r="Q2490" s="1" t="str">
        <v/>
      </c>
      <c r="R2490" s="1" t="str">
        <v/>
      </c>
      <c r="S2490" s="3">
        <v>0</v>
      </c>
      <c r="T2490" s="3">
        <v>0</v>
      </c>
    </row>
    <row r="2491" spans="1:20" x14ac:dyDescent="0.25">
      <c r="A2491" t="s">
        <v>78</v>
      </c>
      <c r="B2491" t="s">
        <v>3766</v>
      </c>
      <c r="C2491" t="s">
        <v>4808</v>
      </c>
      <c r="D2491" t="s">
        <v>4807</v>
      </c>
      <c r="E2491">
        <v>106.05</v>
      </c>
      <c r="F2491">
        <v>106.5</v>
      </c>
      <c r="G2491">
        <v>106.95</v>
      </c>
      <c r="H2491">
        <v>106.5</v>
      </c>
      <c r="I2491" s="1">
        <v>106.5</v>
      </c>
      <c r="J2491">
        <v>111079.95</v>
      </c>
      <c r="K2491">
        <v>1043</v>
      </c>
      <c r="L2491" t="s">
        <v>78</v>
      </c>
      <c r="M2491" t="s">
        <v>17</v>
      </c>
      <c r="N2491">
        <v>6</v>
      </c>
      <c r="O2491">
        <v>108</v>
      </c>
      <c r="P2491">
        <v>98.84</v>
      </c>
      <c r="Q2491" s="1" t="str">
        <v/>
      </c>
      <c r="R2491" s="1" t="str">
        <v/>
      </c>
      <c r="S2491" s="3">
        <v>0</v>
      </c>
      <c r="T2491" s="3">
        <v>0</v>
      </c>
    </row>
    <row r="2492" spans="1:20" x14ac:dyDescent="0.25">
      <c r="A2492" t="s">
        <v>78</v>
      </c>
      <c r="B2492" t="s">
        <v>3766</v>
      </c>
      <c r="C2492" t="s">
        <v>4806</v>
      </c>
      <c r="D2492" t="s">
        <v>4805</v>
      </c>
      <c r="E2492">
        <v>106.35</v>
      </c>
      <c r="F2492">
        <v>106.64</v>
      </c>
      <c r="G2492">
        <v>106.64</v>
      </c>
      <c r="H2492">
        <v>105.03</v>
      </c>
      <c r="I2492" s="1">
        <v>105.03</v>
      </c>
      <c r="J2492">
        <v>526.76</v>
      </c>
      <c r="K2492">
        <v>5</v>
      </c>
      <c r="L2492" t="s">
        <v>78</v>
      </c>
      <c r="M2492" t="s">
        <v>17</v>
      </c>
      <c r="N2492">
        <v>2</v>
      </c>
      <c r="O2492">
        <v>111</v>
      </c>
      <c r="P2492">
        <v>96.59</v>
      </c>
      <c r="Q2492" s="1" t="str">
        <v/>
      </c>
      <c r="R2492" s="1" t="str">
        <v/>
      </c>
      <c r="S2492" s="3">
        <v>0</v>
      </c>
      <c r="T2492" s="3">
        <v>0</v>
      </c>
    </row>
    <row r="2493" spans="1:20" x14ac:dyDescent="0.25">
      <c r="A2493" t="s">
        <v>78</v>
      </c>
      <c r="B2493" t="s">
        <v>3766</v>
      </c>
      <c r="C2493" t="s">
        <v>4804</v>
      </c>
      <c r="D2493" t="s">
        <v>4803</v>
      </c>
      <c r="E2493">
        <v>105.38</v>
      </c>
      <c r="F2493">
        <v>106</v>
      </c>
      <c r="G2493">
        <v>106</v>
      </c>
      <c r="H2493">
        <v>105.16</v>
      </c>
      <c r="I2493" s="1">
        <v>105.54</v>
      </c>
      <c r="J2493">
        <v>58789160.780000001</v>
      </c>
      <c r="K2493">
        <v>557667</v>
      </c>
      <c r="L2493" t="s">
        <v>78</v>
      </c>
      <c r="M2493" t="s">
        <v>17</v>
      </c>
      <c r="N2493">
        <v>239</v>
      </c>
      <c r="O2493">
        <v>108.96</v>
      </c>
      <c r="P2493">
        <v>101.35</v>
      </c>
      <c r="Q2493" s="1" t="str">
        <v/>
      </c>
      <c r="R2493" s="1" t="str">
        <v/>
      </c>
      <c r="S2493" s="3">
        <v>0</v>
      </c>
      <c r="T2493" s="3">
        <v>0</v>
      </c>
    </row>
    <row r="2494" spans="1:20" x14ac:dyDescent="0.25">
      <c r="A2494" t="s">
        <v>78</v>
      </c>
      <c r="B2494" t="s">
        <v>3766</v>
      </c>
      <c r="C2494" t="s">
        <v>4802</v>
      </c>
      <c r="D2494" t="s">
        <v>4801</v>
      </c>
      <c r="E2494">
        <v>106.1</v>
      </c>
      <c r="F2494">
        <v>106</v>
      </c>
      <c r="G2494">
        <v>106</v>
      </c>
      <c r="H2494">
        <v>106</v>
      </c>
      <c r="I2494" s="1">
        <v>106</v>
      </c>
      <c r="J2494">
        <v>106848</v>
      </c>
      <c r="K2494">
        <v>1008</v>
      </c>
      <c r="L2494" t="s">
        <v>78</v>
      </c>
      <c r="M2494" t="s">
        <v>17</v>
      </c>
      <c r="N2494">
        <v>2</v>
      </c>
      <c r="O2494">
        <v>109</v>
      </c>
      <c r="P2494">
        <v>101.3</v>
      </c>
      <c r="Q2494" s="1" t="str">
        <v/>
      </c>
      <c r="R2494" s="1" t="str">
        <v/>
      </c>
      <c r="S2494" s="3">
        <v>0</v>
      </c>
      <c r="T2494" s="3">
        <v>0</v>
      </c>
    </row>
    <row r="2495" spans="1:20" x14ac:dyDescent="0.25">
      <c r="A2495" t="s">
        <v>78</v>
      </c>
      <c r="B2495" t="s">
        <v>3766</v>
      </c>
      <c r="C2495" t="s">
        <v>3779</v>
      </c>
      <c r="D2495" t="s">
        <v>3780</v>
      </c>
      <c r="E2495">
        <v>108.1</v>
      </c>
      <c r="F2495">
        <v>107.16</v>
      </c>
      <c r="G2495">
        <v>107.16</v>
      </c>
      <c r="H2495">
        <v>107.16</v>
      </c>
      <c r="I2495" s="1">
        <v>107.16</v>
      </c>
      <c r="J2495">
        <v>107.16</v>
      </c>
      <c r="K2495">
        <v>1</v>
      </c>
      <c r="L2495" t="s">
        <v>78</v>
      </c>
      <c r="M2495" t="s">
        <v>17</v>
      </c>
      <c r="N2495">
        <v>1</v>
      </c>
      <c r="O2495">
        <v>116</v>
      </c>
      <c r="P2495">
        <v>103.25</v>
      </c>
      <c r="Q2495" s="1">
        <v>114</v>
      </c>
      <c r="R2495" s="1" t="str">
        <v/>
      </c>
      <c r="S2495" s="3">
        <v>-5.1430128318229462E-3</v>
      </c>
      <c r="T2495" s="3">
        <v>0</v>
      </c>
    </row>
    <row r="2496" spans="1:20" x14ac:dyDescent="0.25">
      <c r="A2496" t="s">
        <v>78</v>
      </c>
      <c r="B2496" t="s">
        <v>3766</v>
      </c>
      <c r="C2496" t="s">
        <v>4800</v>
      </c>
      <c r="D2496" t="s">
        <v>4799</v>
      </c>
      <c r="E2496">
        <v>106.9</v>
      </c>
      <c r="F2496">
        <v>107</v>
      </c>
      <c r="G2496">
        <v>107</v>
      </c>
      <c r="H2496">
        <v>107</v>
      </c>
      <c r="I2496" s="1">
        <v>107</v>
      </c>
      <c r="J2496">
        <v>10700</v>
      </c>
      <c r="K2496">
        <v>100</v>
      </c>
      <c r="L2496" t="s">
        <v>78</v>
      </c>
      <c r="M2496" t="s">
        <v>17</v>
      </c>
      <c r="N2496">
        <v>1</v>
      </c>
      <c r="O2496">
        <v>112</v>
      </c>
      <c r="P2496">
        <v>102.75</v>
      </c>
      <c r="Q2496" s="1" t="str">
        <v/>
      </c>
      <c r="R2496" s="1" t="str">
        <v/>
      </c>
      <c r="S2496" s="3">
        <v>0</v>
      </c>
      <c r="T2496" s="3">
        <v>0</v>
      </c>
    </row>
    <row r="2497" spans="1:20" x14ac:dyDescent="0.25">
      <c r="A2497" t="s">
        <v>78</v>
      </c>
      <c r="B2497" t="s">
        <v>3766</v>
      </c>
      <c r="C2497" t="s">
        <v>4798</v>
      </c>
      <c r="D2497" t="s">
        <v>4797</v>
      </c>
      <c r="E2497">
        <v>113.5</v>
      </c>
      <c r="F2497">
        <v>110.2</v>
      </c>
      <c r="G2497">
        <v>110.2</v>
      </c>
      <c r="H2497">
        <v>110.2</v>
      </c>
      <c r="I2497" s="1">
        <v>110.2</v>
      </c>
      <c r="J2497">
        <v>220400</v>
      </c>
      <c r="K2497">
        <v>2000</v>
      </c>
      <c r="L2497" t="s">
        <v>78</v>
      </c>
      <c r="M2497" t="s">
        <v>17</v>
      </c>
      <c r="N2497">
        <v>1</v>
      </c>
      <c r="O2497">
        <v>115</v>
      </c>
      <c r="P2497">
        <v>110</v>
      </c>
      <c r="Q2497" s="1" t="str">
        <v/>
      </c>
      <c r="R2497" s="1" t="str">
        <v/>
      </c>
      <c r="S2497" s="3">
        <v>0</v>
      </c>
      <c r="T2497" s="3">
        <v>0</v>
      </c>
    </row>
    <row r="2498" spans="1:20" x14ac:dyDescent="0.25">
      <c r="A2498" t="s">
        <v>78</v>
      </c>
      <c r="B2498" t="s">
        <v>3766</v>
      </c>
      <c r="C2498" t="s">
        <v>4796</v>
      </c>
      <c r="D2498" t="s">
        <v>4795</v>
      </c>
      <c r="E2498">
        <v>114.51</v>
      </c>
      <c r="F2498">
        <v>114.51</v>
      </c>
      <c r="G2498">
        <v>116</v>
      </c>
      <c r="H2498">
        <v>114.51</v>
      </c>
      <c r="I2498" s="1">
        <v>116</v>
      </c>
      <c r="J2498">
        <v>160910</v>
      </c>
      <c r="K2498">
        <v>1400</v>
      </c>
      <c r="L2498" t="s">
        <v>78</v>
      </c>
      <c r="M2498" t="s">
        <v>17</v>
      </c>
      <c r="N2498">
        <v>2</v>
      </c>
      <c r="O2498">
        <v>125</v>
      </c>
      <c r="P2498">
        <v>107.82</v>
      </c>
      <c r="Q2498" s="1" t="str">
        <v/>
      </c>
      <c r="R2498" s="1" t="str">
        <v/>
      </c>
      <c r="S2498" s="3">
        <v>0</v>
      </c>
      <c r="T2498" s="3">
        <v>0</v>
      </c>
    </row>
    <row r="2499" spans="1:20" x14ac:dyDescent="0.25">
      <c r="A2499" t="s">
        <v>78</v>
      </c>
      <c r="B2499" t="s">
        <v>4784</v>
      </c>
      <c r="C2499" t="s">
        <v>4794</v>
      </c>
      <c r="D2499" t="s">
        <v>4793</v>
      </c>
      <c r="E2499">
        <v>993.06</v>
      </c>
      <c r="F2499">
        <v>993.2</v>
      </c>
      <c r="G2499">
        <v>993.2</v>
      </c>
      <c r="H2499">
        <v>993.2</v>
      </c>
      <c r="I2499" s="1">
        <v>993.2</v>
      </c>
      <c r="J2499">
        <v>29796</v>
      </c>
      <c r="K2499">
        <v>30</v>
      </c>
      <c r="L2499" t="s">
        <v>78</v>
      </c>
      <c r="M2499" t="s">
        <v>17</v>
      </c>
      <c r="N2499">
        <v>2</v>
      </c>
      <c r="O2499">
        <v>1002</v>
      </c>
      <c r="P2499">
        <v>950</v>
      </c>
      <c r="Q2499" s="1" t="str">
        <v/>
      </c>
      <c r="R2499" s="1" t="str">
        <v/>
      </c>
      <c r="S2499" s="3">
        <v>0</v>
      </c>
      <c r="T2499" s="3">
        <v>0</v>
      </c>
    </row>
    <row r="2500" spans="1:20" x14ac:dyDescent="0.25">
      <c r="A2500" t="s">
        <v>78</v>
      </c>
      <c r="B2500" t="s">
        <v>4784</v>
      </c>
      <c r="C2500" t="s">
        <v>4792</v>
      </c>
      <c r="D2500" t="s">
        <v>4791</v>
      </c>
      <c r="E2500">
        <v>970</v>
      </c>
      <c r="F2500">
        <v>937.1</v>
      </c>
      <c r="G2500">
        <v>975</v>
      </c>
      <c r="H2500">
        <v>937</v>
      </c>
      <c r="I2500" s="1">
        <v>975</v>
      </c>
      <c r="J2500">
        <v>360066.62</v>
      </c>
      <c r="K2500">
        <v>382</v>
      </c>
      <c r="L2500" t="s">
        <v>78</v>
      </c>
      <c r="M2500" t="s">
        <v>17</v>
      </c>
      <c r="N2500">
        <v>10</v>
      </c>
      <c r="O2500">
        <v>1050</v>
      </c>
      <c r="P2500">
        <v>933.01</v>
      </c>
      <c r="Q2500" s="1" t="str">
        <v/>
      </c>
      <c r="R2500" s="1" t="str">
        <v/>
      </c>
      <c r="S2500" s="3">
        <v>0</v>
      </c>
      <c r="T2500" s="3">
        <v>0</v>
      </c>
    </row>
    <row r="2501" spans="1:20" x14ac:dyDescent="0.25">
      <c r="A2501" t="s">
        <v>78</v>
      </c>
      <c r="B2501" t="s">
        <v>4784</v>
      </c>
      <c r="C2501" t="s">
        <v>4790</v>
      </c>
      <c r="D2501" t="s">
        <v>4789</v>
      </c>
      <c r="E2501">
        <v>930</v>
      </c>
      <c r="F2501">
        <v>930</v>
      </c>
      <c r="G2501">
        <v>930</v>
      </c>
      <c r="H2501">
        <v>930</v>
      </c>
      <c r="I2501" s="1">
        <v>930</v>
      </c>
      <c r="J2501">
        <v>19530</v>
      </c>
      <c r="K2501">
        <v>21</v>
      </c>
      <c r="L2501" t="s">
        <v>78</v>
      </c>
      <c r="M2501" t="s">
        <v>17</v>
      </c>
      <c r="N2501">
        <v>1</v>
      </c>
      <c r="O2501">
        <v>1038</v>
      </c>
      <c r="P2501">
        <v>815</v>
      </c>
      <c r="Q2501" s="1" t="str">
        <v/>
      </c>
      <c r="R2501" s="1" t="str">
        <v/>
      </c>
      <c r="S2501" s="3">
        <v>0</v>
      </c>
      <c r="T2501" s="3">
        <v>0</v>
      </c>
    </row>
    <row r="2502" spans="1:20" x14ac:dyDescent="0.25">
      <c r="A2502" t="s">
        <v>78</v>
      </c>
      <c r="B2502" t="s">
        <v>4784</v>
      </c>
      <c r="C2502" t="s">
        <v>4788</v>
      </c>
      <c r="D2502" t="s">
        <v>4787</v>
      </c>
      <c r="E2502">
        <v>985.01</v>
      </c>
      <c r="F2502">
        <v>990</v>
      </c>
      <c r="G2502">
        <v>995</v>
      </c>
      <c r="H2502">
        <v>976.01</v>
      </c>
      <c r="I2502" s="1">
        <v>985</v>
      </c>
      <c r="J2502">
        <v>205924.09</v>
      </c>
      <c r="K2502">
        <v>208</v>
      </c>
      <c r="L2502" t="s">
        <v>78</v>
      </c>
      <c r="M2502" t="s">
        <v>17</v>
      </c>
      <c r="N2502">
        <v>6</v>
      </c>
      <c r="O2502">
        <v>1010</v>
      </c>
      <c r="P2502">
        <v>960.49</v>
      </c>
      <c r="Q2502" s="1" t="str">
        <v/>
      </c>
      <c r="R2502" s="1" t="str">
        <v/>
      </c>
      <c r="S2502" s="3">
        <v>0</v>
      </c>
      <c r="T2502" s="3">
        <v>0</v>
      </c>
    </row>
    <row r="2503" spans="1:20" x14ac:dyDescent="0.25">
      <c r="A2503" t="s">
        <v>78</v>
      </c>
      <c r="B2503" t="s">
        <v>4784</v>
      </c>
      <c r="C2503" t="s">
        <v>4786</v>
      </c>
      <c r="D2503" t="s">
        <v>4785</v>
      </c>
      <c r="E2503">
        <v>1045</v>
      </c>
      <c r="F2503">
        <v>1050</v>
      </c>
      <c r="G2503">
        <v>1050</v>
      </c>
      <c r="H2503">
        <v>1040.01</v>
      </c>
      <c r="I2503" s="1">
        <v>1040.01</v>
      </c>
      <c r="J2503">
        <v>261001.5</v>
      </c>
      <c r="K2503">
        <v>250</v>
      </c>
      <c r="L2503" t="s">
        <v>78</v>
      </c>
      <c r="M2503" t="s">
        <v>17</v>
      </c>
      <c r="N2503">
        <v>2</v>
      </c>
      <c r="O2503">
        <v>1050</v>
      </c>
      <c r="P2503">
        <v>985</v>
      </c>
      <c r="Q2503" s="1" t="str">
        <v/>
      </c>
      <c r="R2503" s="1" t="str">
        <v/>
      </c>
      <c r="S2503" s="3">
        <v>0</v>
      </c>
      <c r="T2503" s="3">
        <v>0</v>
      </c>
    </row>
    <row r="2504" spans="1:20" x14ac:dyDescent="0.25">
      <c r="A2504" t="s">
        <v>78</v>
      </c>
      <c r="B2504" t="s">
        <v>4784</v>
      </c>
      <c r="C2504" t="s">
        <v>4754</v>
      </c>
      <c r="D2504" t="s">
        <v>4783</v>
      </c>
      <c r="E2504">
        <v>253</v>
      </c>
      <c r="F2504">
        <v>250</v>
      </c>
      <c r="G2504">
        <v>250</v>
      </c>
      <c r="H2504">
        <v>250</v>
      </c>
      <c r="I2504" s="1">
        <v>250</v>
      </c>
      <c r="J2504">
        <v>2500</v>
      </c>
      <c r="K2504">
        <v>10</v>
      </c>
      <c r="L2504" t="s">
        <v>78</v>
      </c>
      <c r="M2504" t="s">
        <v>17</v>
      </c>
      <c r="N2504">
        <v>1</v>
      </c>
      <c r="O2504">
        <v>262.16000000000003</v>
      </c>
      <c r="P2504">
        <v>241</v>
      </c>
      <c r="Q2504" s="1" t="str">
        <v/>
      </c>
      <c r="R2504" s="1" t="str">
        <v/>
      </c>
      <c r="S2504" s="3">
        <v>0</v>
      </c>
      <c r="T2504" s="3">
        <v>0</v>
      </c>
    </row>
    <row r="2505" spans="1:20" x14ac:dyDescent="0.25">
      <c r="A2505" t="s">
        <v>78</v>
      </c>
      <c r="B2505" t="s">
        <v>3680</v>
      </c>
      <c r="C2505" t="s">
        <v>4782</v>
      </c>
      <c r="D2505" t="s">
        <v>4781</v>
      </c>
      <c r="E2505">
        <v>1000</v>
      </c>
      <c r="F2505">
        <v>975.4</v>
      </c>
      <c r="G2505">
        <v>975.4</v>
      </c>
      <c r="H2505">
        <v>975.4</v>
      </c>
      <c r="I2505" s="1">
        <v>975.4</v>
      </c>
      <c r="J2505">
        <v>8778.6</v>
      </c>
      <c r="K2505">
        <v>9</v>
      </c>
      <c r="L2505" t="s">
        <v>78</v>
      </c>
      <c r="M2505" t="s">
        <v>17</v>
      </c>
      <c r="N2505">
        <v>1</v>
      </c>
      <c r="O2505">
        <v>1006.65</v>
      </c>
      <c r="P2505">
        <v>860</v>
      </c>
      <c r="Q2505" s="1" t="str">
        <v/>
      </c>
      <c r="R2505" s="1" t="str">
        <v/>
      </c>
      <c r="S2505" s="3">
        <v>0</v>
      </c>
      <c r="T2505" s="3">
        <v>0</v>
      </c>
    </row>
    <row r="2506" spans="1:20" x14ac:dyDescent="0.25">
      <c r="A2506" t="s">
        <v>78</v>
      </c>
      <c r="B2506" t="s">
        <v>3680</v>
      </c>
      <c r="C2506" t="s">
        <v>4780</v>
      </c>
      <c r="D2506" t="s">
        <v>4779</v>
      </c>
      <c r="E2506">
        <v>306.13</v>
      </c>
      <c r="F2506">
        <v>305.8</v>
      </c>
      <c r="G2506">
        <v>307</v>
      </c>
      <c r="H2506">
        <v>305.8</v>
      </c>
      <c r="I2506" s="1">
        <v>305.91000000000003</v>
      </c>
      <c r="J2506">
        <v>480056.19</v>
      </c>
      <c r="K2506">
        <v>1567</v>
      </c>
      <c r="L2506" t="s">
        <v>78</v>
      </c>
      <c r="M2506" t="s">
        <v>17</v>
      </c>
      <c r="N2506">
        <v>20</v>
      </c>
      <c r="O2506">
        <v>316.89999999999998</v>
      </c>
      <c r="P2506">
        <v>295</v>
      </c>
      <c r="Q2506" s="1" t="str">
        <v/>
      </c>
      <c r="R2506" s="1" t="str">
        <v/>
      </c>
      <c r="S2506" s="3">
        <v>0</v>
      </c>
      <c r="T2506" s="3">
        <v>0</v>
      </c>
    </row>
    <row r="2507" spans="1:20" x14ac:dyDescent="0.25">
      <c r="A2507" t="s">
        <v>78</v>
      </c>
      <c r="B2507" t="s">
        <v>3680</v>
      </c>
      <c r="C2507" t="s">
        <v>4778</v>
      </c>
      <c r="D2507" t="s">
        <v>4777</v>
      </c>
      <c r="E2507">
        <v>1015</v>
      </c>
      <c r="F2507">
        <v>1012</v>
      </c>
      <c r="G2507">
        <v>1012</v>
      </c>
      <c r="H2507">
        <v>1011</v>
      </c>
      <c r="I2507" s="1">
        <v>1011</v>
      </c>
      <c r="J2507">
        <v>50592.4</v>
      </c>
      <c r="K2507">
        <v>50</v>
      </c>
      <c r="L2507" t="s">
        <v>78</v>
      </c>
      <c r="M2507" t="s">
        <v>17</v>
      </c>
      <c r="N2507">
        <v>3</v>
      </c>
      <c r="O2507">
        <v>1145</v>
      </c>
      <c r="P2507">
        <v>972</v>
      </c>
      <c r="Q2507" s="1" t="str">
        <v/>
      </c>
      <c r="R2507" s="1" t="str">
        <v/>
      </c>
      <c r="S2507" s="3">
        <v>0</v>
      </c>
      <c r="T2507" s="3">
        <v>0</v>
      </c>
    </row>
    <row r="2508" spans="1:20" x14ac:dyDescent="0.25">
      <c r="A2508" t="s">
        <v>78</v>
      </c>
      <c r="B2508" t="s">
        <v>3680</v>
      </c>
      <c r="C2508" t="s">
        <v>4776</v>
      </c>
      <c r="D2508" t="s">
        <v>4775</v>
      </c>
      <c r="E2508">
        <v>1050</v>
      </c>
      <c r="F2508">
        <v>1061</v>
      </c>
      <c r="G2508">
        <v>1061</v>
      </c>
      <c r="H2508">
        <v>1061</v>
      </c>
      <c r="I2508" s="1">
        <v>1061</v>
      </c>
      <c r="J2508">
        <v>1061</v>
      </c>
      <c r="K2508">
        <v>1</v>
      </c>
      <c r="L2508" t="s">
        <v>78</v>
      </c>
      <c r="M2508" t="s">
        <v>17</v>
      </c>
      <c r="N2508">
        <v>1</v>
      </c>
      <c r="O2508">
        <v>1061</v>
      </c>
      <c r="P2508">
        <v>983.87</v>
      </c>
      <c r="Q2508" s="1" t="str">
        <v/>
      </c>
      <c r="R2508" s="1" t="str">
        <v/>
      </c>
      <c r="S2508" s="3">
        <v>0</v>
      </c>
      <c r="T2508" s="3">
        <v>0</v>
      </c>
    </row>
    <row r="2509" spans="1:20" x14ac:dyDescent="0.25">
      <c r="A2509" t="s">
        <v>78</v>
      </c>
      <c r="B2509" t="s">
        <v>3680</v>
      </c>
      <c r="C2509" t="s">
        <v>4754</v>
      </c>
      <c r="D2509" t="s">
        <v>4774</v>
      </c>
      <c r="E2509">
        <v>255.6</v>
      </c>
      <c r="F2509">
        <v>256</v>
      </c>
      <c r="G2509">
        <v>256</v>
      </c>
      <c r="H2509">
        <v>251</v>
      </c>
      <c r="I2509" s="1">
        <v>252</v>
      </c>
      <c r="J2509">
        <v>2520</v>
      </c>
      <c r="K2509">
        <v>10</v>
      </c>
      <c r="L2509" t="s">
        <v>78</v>
      </c>
      <c r="M2509" t="s">
        <v>17</v>
      </c>
      <c r="N2509">
        <v>2</v>
      </c>
      <c r="O2509">
        <v>263.74</v>
      </c>
      <c r="P2509">
        <v>240</v>
      </c>
      <c r="Q2509" s="1" t="str">
        <v/>
      </c>
      <c r="R2509" s="1" t="str">
        <v/>
      </c>
      <c r="S2509" s="3">
        <v>0</v>
      </c>
      <c r="T2509" s="3">
        <v>0</v>
      </c>
    </row>
    <row r="2510" spans="1:20" x14ac:dyDescent="0.25">
      <c r="A2510" t="s">
        <v>78</v>
      </c>
      <c r="B2510" t="s">
        <v>3802</v>
      </c>
      <c r="C2510" t="s">
        <v>4773</v>
      </c>
      <c r="D2510" t="s">
        <v>4772</v>
      </c>
      <c r="E2510">
        <v>1029.05</v>
      </c>
      <c r="F2510">
        <v>1010</v>
      </c>
      <c r="G2510">
        <v>1025</v>
      </c>
      <c r="H2510">
        <v>1010</v>
      </c>
      <c r="I2510" s="1">
        <v>1025</v>
      </c>
      <c r="J2510">
        <v>154760</v>
      </c>
      <c r="K2510">
        <v>151</v>
      </c>
      <c r="L2510" t="s">
        <v>78</v>
      </c>
      <c r="M2510" t="s">
        <v>17</v>
      </c>
      <c r="N2510">
        <v>4</v>
      </c>
      <c r="O2510">
        <v>1200</v>
      </c>
      <c r="P2510">
        <v>912.2</v>
      </c>
      <c r="Q2510" s="1" t="str">
        <v/>
      </c>
      <c r="R2510" s="1" t="str">
        <v/>
      </c>
      <c r="S2510" s="3">
        <v>0</v>
      </c>
      <c r="T2510" s="3">
        <v>0</v>
      </c>
    </row>
    <row r="2511" spans="1:20" x14ac:dyDescent="0.25">
      <c r="A2511" t="s">
        <v>78</v>
      </c>
      <c r="B2511" t="s">
        <v>3802</v>
      </c>
      <c r="C2511" t="s">
        <v>4771</v>
      </c>
      <c r="D2511" t="s">
        <v>3812</v>
      </c>
      <c r="E2511">
        <v>1142.06</v>
      </c>
      <c r="F2511">
        <v>1131.3</v>
      </c>
      <c r="G2511">
        <v>1139.9000000000001</v>
      </c>
      <c r="H2511">
        <v>1131.25</v>
      </c>
      <c r="I2511" s="1">
        <v>1139</v>
      </c>
      <c r="J2511">
        <v>778422.6</v>
      </c>
      <c r="K2511">
        <v>684</v>
      </c>
      <c r="L2511" t="s">
        <v>78</v>
      </c>
      <c r="M2511" t="s">
        <v>17</v>
      </c>
      <c r="N2511">
        <v>16</v>
      </c>
      <c r="O2511">
        <v>1330</v>
      </c>
      <c r="P2511">
        <v>1062.3</v>
      </c>
      <c r="Q2511" s="1" t="str">
        <v/>
      </c>
      <c r="R2511" s="1" t="str">
        <v/>
      </c>
      <c r="S2511" s="3">
        <v>0</v>
      </c>
      <c r="T2511" s="3">
        <v>0</v>
      </c>
    </row>
    <row r="2512" spans="1:20" x14ac:dyDescent="0.25">
      <c r="A2512" t="s">
        <v>78</v>
      </c>
      <c r="B2512" t="s">
        <v>3802</v>
      </c>
      <c r="C2512" t="s">
        <v>4770</v>
      </c>
      <c r="D2512" t="s">
        <v>4769</v>
      </c>
      <c r="E2512">
        <v>306.14</v>
      </c>
      <c r="F2512">
        <v>306.39999999999998</v>
      </c>
      <c r="G2512">
        <v>307</v>
      </c>
      <c r="H2512">
        <v>306.10000000000002</v>
      </c>
      <c r="I2512" s="1">
        <v>306.10000000000002</v>
      </c>
      <c r="J2512">
        <v>118410.65</v>
      </c>
      <c r="K2512">
        <v>386</v>
      </c>
      <c r="L2512" t="s">
        <v>78</v>
      </c>
      <c r="M2512" t="s">
        <v>17</v>
      </c>
      <c r="N2512">
        <v>11</v>
      </c>
      <c r="O2512">
        <v>320</v>
      </c>
      <c r="P2512">
        <v>298.45</v>
      </c>
      <c r="Q2512" s="1" t="str">
        <v/>
      </c>
      <c r="R2512" s="1" t="str">
        <v/>
      </c>
      <c r="S2512" s="3">
        <v>0</v>
      </c>
      <c r="T2512" s="3">
        <v>0</v>
      </c>
    </row>
    <row r="2513" spans="1:20" x14ac:dyDescent="0.25">
      <c r="A2513" t="s">
        <v>78</v>
      </c>
      <c r="B2513" t="s">
        <v>3802</v>
      </c>
      <c r="C2513" t="s">
        <v>4768</v>
      </c>
      <c r="D2513" t="s">
        <v>4767</v>
      </c>
      <c r="E2513">
        <v>1020</v>
      </c>
      <c r="F2513">
        <v>1020.11</v>
      </c>
      <c r="G2513">
        <v>1020.11</v>
      </c>
      <c r="H2513">
        <v>1020.11</v>
      </c>
      <c r="I2513" s="1">
        <v>1020.11</v>
      </c>
      <c r="J2513">
        <v>1020.11</v>
      </c>
      <c r="K2513">
        <v>1</v>
      </c>
      <c r="L2513" t="s">
        <v>78</v>
      </c>
      <c r="M2513" t="s">
        <v>17</v>
      </c>
      <c r="N2513">
        <v>1</v>
      </c>
      <c r="O2513">
        <v>1099</v>
      </c>
      <c r="P2513">
        <v>840</v>
      </c>
      <c r="Q2513" s="1" t="str">
        <v/>
      </c>
      <c r="R2513" s="1" t="str">
        <v/>
      </c>
      <c r="S2513" s="3">
        <v>0</v>
      </c>
      <c r="T2513" s="3">
        <v>0</v>
      </c>
    </row>
    <row r="2514" spans="1:20" x14ac:dyDescent="0.25">
      <c r="A2514" t="s">
        <v>78</v>
      </c>
      <c r="B2514" t="s">
        <v>3802</v>
      </c>
      <c r="C2514" t="s">
        <v>4766</v>
      </c>
      <c r="D2514" t="s">
        <v>3810</v>
      </c>
      <c r="E2514">
        <v>1117.8599999999999</v>
      </c>
      <c r="F2514">
        <v>1118.01</v>
      </c>
      <c r="G2514">
        <v>1124</v>
      </c>
      <c r="H2514">
        <v>1118</v>
      </c>
      <c r="I2514" s="1">
        <v>1123.72</v>
      </c>
      <c r="J2514">
        <v>1288709.6000000001</v>
      </c>
      <c r="K2514">
        <v>1150</v>
      </c>
      <c r="L2514" t="s">
        <v>78</v>
      </c>
      <c r="M2514" t="s">
        <v>17</v>
      </c>
      <c r="N2514">
        <v>7</v>
      </c>
      <c r="O2514">
        <v>1180</v>
      </c>
      <c r="P2514">
        <v>1065</v>
      </c>
      <c r="Q2514" s="1" t="str">
        <v/>
      </c>
      <c r="R2514" s="1" t="str">
        <v/>
      </c>
      <c r="S2514" s="3">
        <v>0</v>
      </c>
      <c r="T2514" s="3">
        <v>0</v>
      </c>
    </row>
    <row r="2515" spans="1:20" x14ac:dyDescent="0.25">
      <c r="A2515" t="s">
        <v>78</v>
      </c>
      <c r="B2515" t="s">
        <v>3802</v>
      </c>
      <c r="C2515" t="s">
        <v>4765</v>
      </c>
      <c r="D2515" t="s">
        <v>3804</v>
      </c>
      <c r="E2515">
        <v>1093</v>
      </c>
      <c r="F2515">
        <v>1090</v>
      </c>
      <c r="G2515">
        <v>1094</v>
      </c>
      <c r="H2515">
        <v>1090</v>
      </c>
      <c r="I2515" s="1">
        <v>1091.82</v>
      </c>
      <c r="J2515">
        <v>8669210.3900000006</v>
      </c>
      <c r="K2515">
        <v>7943</v>
      </c>
      <c r="L2515" t="s">
        <v>78</v>
      </c>
      <c r="M2515" t="s">
        <v>17</v>
      </c>
      <c r="N2515">
        <v>31</v>
      </c>
      <c r="O2515">
        <v>1209.99</v>
      </c>
      <c r="P2515">
        <v>1060</v>
      </c>
      <c r="Q2515" s="1" t="str">
        <v/>
      </c>
      <c r="R2515" s="1" t="str">
        <v/>
      </c>
      <c r="S2515" s="3">
        <v>0</v>
      </c>
      <c r="T2515" s="3">
        <v>0</v>
      </c>
    </row>
    <row r="2516" spans="1:20" x14ac:dyDescent="0.25">
      <c r="A2516" t="s">
        <v>78</v>
      </c>
      <c r="B2516" t="s">
        <v>3802</v>
      </c>
      <c r="C2516" t="s">
        <v>4764</v>
      </c>
      <c r="D2516" t="s">
        <v>3813</v>
      </c>
      <c r="E2516">
        <v>1131.92</v>
      </c>
      <c r="F2516">
        <v>1136</v>
      </c>
      <c r="G2516">
        <v>1136</v>
      </c>
      <c r="H2516">
        <v>1130.0999999999999</v>
      </c>
      <c r="I2516" s="1">
        <v>1132</v>
      </c>
      <c r="J2516">
        <v>3039345.43</v>
      </c>
      <c r="K2516">
        <v>2686</v>
      </c>
      <c r="L2516" t="s">
        <v>78</v>
      </c>
      <c r="M2516" t="s">
        <v>17</v>
      </c>
      <c r="N2516">
        <v>39</v>
      </c>
      <c r="O2516">
        <v>1177</v>
      </c>
      <c r="P2516">
        <v>1062.2</v>
      </c>
      <c r="Q2516" s="1" t="str">
        <v/>
      </c>
      <c r="R2516" s="1" t="str">
        <v/>
      </c>
      <c r="S2516" s="3">
        <v>0</v>
      </c>
      <c r="T2516" s="3">
        <v>0</v>
      </c>
    </row>
    <row r="2517" spans="1:20" x14ac:dyDescent="0.25">
      <c r="A2517" t="s">
        <v>78</v>
      </c>
      <c r="B2517" t="s">
        <v>3802</v>
      </c>
      <c r="C2517" t="s">
        <v>4754</v>
      </c>
      <c r="D2517" t="s">
        <v>4763</v>
      </c>
      <c r="E2517">
        <v>254.98</v>
      </c>
      <c r="F2517">
        <v>254</v>
      </c>
      <c r="G2517">
        <v>254</v>
      </c>
      <c r="H2517">
        <v>254</v>
      </c>
      <c r="I2517" s="1">
        <v>254</v>
      </c>
      <c r="J2517">
        <v>55118</v>
      </c>
      <c r="K2517">
        <v>217</v>
      </c>
      <c r="L2517" t="s">
        <v>78</v>
      </c>
      <c r="M2517" t="s">
        <v>17</v>
      </c>
      <c r="N2517">
        <v>3</v>
      </c>
      <c r="O2517">
        <v>262</v>
      </c>
      <c r="P2517">
        <v>240</v>
      </c>
      <c r="Q2517" s="1" t="str">
        <v/>
      </c>
      <c r="R2517" s="1" t="str">
        <v/>
      </c>
      <c r="S2517" s="3">
        <v>0</v>
      </c>
      <c r="T2517" s="3">
        <v>0</v>
      </c>
    </row>
    <row r="2518" spans="1:20" x14ac:dyDescent="0.25">
      <c r="A2518" t="s">
        <v>78</v>
      </c>
      <c r="B2518" t="s">
        <v>3817</v>
      </c>
      <c r="C2518" t="s">
        <v>4762</v>
      </c>
      <c r="D2518" t="s">
        <v>4761</v>
      </c>
      <c r="E2518">
        <v>999.28</v>
      </c>
      <c r="F2518">
        <v>1002.2</v>
      </c>
      <c r="G2518">
        <v>1002.2</v>
      </c>
      <c r="H2518">
        <v>1002.2</v>
      </c>
      <c r="I2518" s="1">
        <v>1002.2</v>
      </c>
      <c r="J2518">
        <v>50110</v>
      </c>
      <c r="K2518">
        <v>50</v>
      </c>
      <c r="L2518" t="s">
        <v>78</v>
      </c>
      <c r="M2518" t="s">
        <v>17</v>
      </c>
      <c r="N2518">
        <v>2</v>
      </c>
      <c r="O2518">
        <v>1002.4</v>
      </c>
      <c r="P2518">
        <v>860.15</v>
      </c>
      <c r="Q2518" s="1" t="str">
        <v/>
      </c>
      <c r="R2518" s="1" t="str">
        <v/>
      </c>
      <c r="S2518" s="3">
        <v>0</v>
      </c>
      <c r="T2518" s="3">
        <v>0</v>
      </c>
    </row>
    <row r="2519" spans="1:20" x14ac:dyDescent="0.25">
      <c r="A2519" t="s">
        <v>78</v>
      </c>
      <c r="B2519" t="s">
        <v>3817</v>
      </c>
      <c r="C2519" t="s">
        <v>4760</v>
      </c>
      <c r="D2519" t="s">
        <v>4759</v>
      </c>
      <c r="E2519">
        <v>998</v>
      </c>
      <c r="F2519">
        <v>969.7</v>
      </c>
      <c r="G2519">
        <v>969.7</v>
      </c>
      <c r="H2519">
        <v>969.7</v>
      </c>
      <c r="I2519" s="1">
        <v>969.7</v>
      </c>
      <c r="J2519">
        <v>15515.2</v>
      </c>
      <c r="K2519">
        <v>16</v>
      </c>
      <c r="L2519" t="s">
        <v>78</v>
      </c>
      <c r="M2519" t="s">
        <v>17</v>
      </c>
      <c r="N2519">
        <v>2</v>
      </c>
      <c r="O2519">
        <v>1002</v>
      </c>
      <c r="P2519">
        <v>910.2</v>
      </c>
      <c r="Q2519" s="1" t="str">
        <v/>
      </c>
      <c r="R2519" s="1" t="str">
        <v/>
      </c>
      <c r="S2519" s="3">
        <v>0</v>
      </c>
      <c r="T2519" s="3">
        <v>0</v>
      </c>
    </row>
    <row r="2520" spans="1:20" x14ac:dyDescent="0.25">
      <c r="A2520" t="s">
        <v>78</v>
      </c>
      <c r="B2520" t="s">
        <v>3817</v>
      </c>
      <c r="C2520" t="s">
        <v>4758</v>
      </c>
      <c r="D2520" t="s">
        <v>4757</v>
      </c>
      <c r="E2520">
        <v>1216.2</v>
      </c>
      <c r="F2520">
        <v>1216.2</v>
      </c>
      <c r="G2520">
        <v>1235</v>
      </c>
      <c r="H2520">
        <v>1216.2</v>
      </c>
      <c r="I2520" s="1">
        <v>1235</v>
      </c>
      <c r="J2520">
        <v>87692.55</v>
      </c>
      <c r="K2520">
        <v>72</v>
      </c>
      <c r="L2520" t="s">
        <v>78</v>
      </c>
      <c r="M2520" t="s">
        <v>17</v>
      </c>
      <c r="N2520">
        <v>4</v>
      </c>
      <c r="O2520">
        <v>1277</v>
      </c>
      <c r="P2520">
        <v>1119.01</v>
      </c>
      <c r="Q2520" s="1" t="str">
        <v/>
      </c>
      <c r="R2520" s="1" t="str">
        <v/>
      </c>
      <c r="S2520" s="3">
        <v>0</v>
      </c>
      <c r="T2520" s="3">
        <v>0</v>
      </c>
    </row>
    <row r="2521" spans="1:20" x14ac:dyDescent="0.25">
      <c r="A2521" t="s">
        <v>78</v>
      </c>
      <c r="B2521" t="s">
        <v>3817</v>
      </c>
      <c r="C2521" t="s">
        <v>4756</v>
      </c>
      <c r="D2521" t="s">
        <v>4755</v>
      </c>
      <c r="E2521">
        <v>409.05</v>
      </c>
      <c r="F2521">
        <v>406.15</v>
      </c>
      <c r="G2521">
        <v>410.99</v>
      </c>
      <c r="H2521">
        <v>406.15</v>
      </c>
      <c r="I2521" s="1">
        <v>408</v>
      </c>
      <c r="J2521">
        <v>384210.89</v>
      </c>
      <c r="K2521">
        <v>941</v>
      </c>
      <c r="L2521" t="s">
        <v>78</v>
      </c>
      <c r="M2521" t="s">
        <v>17</v>
      </c>
      <c r="N2521">
        <v>14</v>
      </c>
      <c r="O2521">
        <v>428.46</v>
      </c>
      <c r="P2521">
        <v>392</v>
      </c>
      <c r="Q2521" s="1" t="str">
        <v/>
      </c>
      <c r="R2521" s="1" t="str">
        <v/>
      </c>
      <c r="S2521" s="3">
        <v>0</v>
      </c>
      <c r="T2521" s="3">
        <v>0</v>
      </c>
    </row>
    <row r="2522" spans="1:20" x14ac:dyDescent="0.25">
      <c r="A2522" t="s">
        <v>78</v>
      </c>
      <c r="B2522" t="s">
        <v>3817</v>
      </c>
      <c r="C2522" t="s">
        <v>4754</v>
      </c>
      <c r="D2522" t="s">
        <v>4753</v>
      </c>
      <c r="E2522">
        <v>251</v>
      </c>
      <c r="F2522">
        <v>252.02</v>
      </c>
      <c r="G2522">
        <v>252.02</v>
      </c>
      <c r="H2522">
        <v>252.02</v>
      </c>
      <c r="I2522" s="1">
        <v>252.02</v>
      </c>
      <c r="J2522">
        <v>2520.1999999999998</v>
      </c>
      <c r="K2522">
        <v>10</v>
      </c>
      <c r="L2522" t="s">
        <v>78</v>
      </c>
      <c r="M2522" t="s">
        <v>17</v>
      </c>
      <c r="N2522">
        <v>1</v>
      </c>
      <c r="O2522">
        <v>266.5</v>
      </c>
      <c r="P2522">
        <v>240</v>
      </c>
      <c r="Q2522" s="1" t="str">
        <v/>
      </c>
      <c r="R2522" s="1" t="str">
        <v/>
      </c>
      <c r="S2522" s="3">
        <v>0</v>
      </c>
      <c r="T2522" s="3">
        <v>0</v>
      </c>
    </row>
    <row r="2523" spans="1:20" x14ac:dyDescent="0.25">
      <c r="A2523" t="s">
        <v>78</v>
      </c>
      <c r="B2523" t="s">
        <v>3821</v>
      </c>
      <c r="C2523" t="s">
        <v>4752</v>
      </c>
      <c r="D2523" t="s">
        <v>4751</v>
      </c>
      <c r="E2523">
        <v>998.99</v>
      </c>
      <c r="F2523">
        <v>985.5</v>
      </c>
      <c r="G2523">
        <v>986</v>
      </c>
      <c r="H2523">
        <v>970</v>
      </c>
      <c r="I2523" s="1">
        <v>974.38</v>
      </c>
      <c r="J2523">
        <v>195655</v>
      </c>
      <c r="K2523">
        <v>200</v>
      </c>
      <c r="L2523" t="s">
        <v>78</v>
      </c>
      <c r="M2523" t="s">
        <v>17</v>
      </c>
      <c r="N2523">
        <v>7</v>
      </c>
      <c r="O2523">
        <v>1018.99</v>
      </c>
      <c r="P2523">
        <v>951</v>
      </c>
      <c r="Q2523" s="1" t="str">
        <v/>
      </c>
      <c r="R2523" s="1" t="str">
        <v/>
      </c>
      <c r="S2523" s="3">
        <v>0</v>
      </c>
      <c r="T2523" s="3">
        <v>0</v>
      </c>
    </row>
    <row r="2524" spans="1:20" x14ac:dyDescent="0.25">
      <c r="A2524" t="s">
        <v>78</v>
      </c>
      <c r="B2524" t="s">
        <v>3821</v>
      </c>
      <c r="C2524" t="s">
        <v>4750</v>
      </c>
      <c r="D2524" t="s">
        <v>4749</v>
      </c>
      <c r="E2524">
        <v>998.95</v>
      </c>
      <c r="F2524">
        <v>976</v>
      </c>
      <c r="G2524">
        <v>976</v>
      </c>
      <c r="H2524">
        <v>942</v>
      </c>
      <c r="I2524" s="1">
        <v>951.55</v>
      </c>
      <c r="J2524">
        <v>2455940.73</v>
      </c>
      <c r="K2524">
        <v>2576</v>
      </c>
      <c r="L2524" t="s">
        <v>78</v>
      </c>
      <c r="M2524" t="s">
        <v>17</v>
      </c>
      <c r="N2524">
        <v>62</v>
      </c>
      <c r="O2524">
        <v>1040</v>
      </c>
      <c r="P2524">
        <v>937</v>
      </c>
      <c r="Q2524" s="1" t="str">
        <v/>
      </c>
      <c r="R2524" s="1" t="str">
        <v/>
      </c>
      <c r="S2524" s="3">
        <v>0</v>
      </c>
      <c r="T2524" s="3">
        <v>0</v>
      </c>
    </row>
    <row r="2525" spans="1:20" x14ac:dyDescent="0.25">
      <c r="A2525" t="s">
        <v>78</v>
      </c>
      <c r="B2525" t="s">
        <v>3821</v>
      </c>
      <c r="C2525" t="s">
        <v>4748</v>
      </c>
      <c r="D2525" t="s">
        <v>4488</v>
      </c>
      <c r="E2525">
        <v>980.04</v>
      </c>
      <c r="F2525">
        <v>970</v>
      </c>
      <c r="G2525">
        <v>970</v>
      </c>
      <c r="H2525">
        <v>970</v>
      </c>
      <c r="I2525" s="1">
        <v>970</v>
      </c>
      <c r="J2525">
        <v>97000</v>
      </c>
      <c r="K2525">
        <v>100</v>
      </c>
      <c r="L2525" t="s">
        <v>78</v>
      </c>
      <c r="M2525" t="s">
        <v>17</v>
      </c>
      <c r="N2525">
        <v>2</v>
      </c>
      <c r="O2525">
        <v>1010</v>
      </c>
      <c r="P2525">
        <v>900</v>
      </c>
      <c r="Q2525" s="1" t="str">
        <v/>
      </c>
      <c r="R2525" s="1" t="str">
        <v/>
      </c>
      <c r="S2525" s="3">
        <v>0</v>
      </c>
      <c r="T2525" s="3">
        <v>0</v>
      </c>
    </row>
    <row r="2526" spans="1:20" x14ac:dyDescent="0.25">
      <c r="A2526" t="s">
        <v>78</v>
      </c>
      <c r="B2526" t="s">
        <v>3821</v>
      </c>
      <c r="C2526" t="s">
        <v>4747</v>
      </c>
      <c r="D2526" t="s">
        <v>3830</v>
      </c>
      <c r="E2526">
        <v>1296.08</v>
      </c>
      <c r="F2526">
        <v>1296.04</v>
      </c>
      <c r="G2526">
        <v>1296.04</v>
      </c>
      <c r="H2526">
        <v>1296.04</v>
      </c>
      <c r="I2526" s="1">
        <v>1296.04</v>
      </c>
      <c r="J2526">
        <v>38881.199999999997</v>
      </c>
      <c r="K2526">
        <v>30</v>
      </c>
      <c r="L2526" t="s">
        <v>78</v>
      </c>
      <c r="M2526" t="s">
        <v>17</v>
      </c>
      <c r="N2526">
        <v>1</v>
      </c>
      <c r="O2526">
        <v>1359.9</v>
      </c>
      <c r="P2526">
        <v>1241.02</v>
      </c>
      <c r="Q2526" s="1" t="str">
        <v/>
      </c>
      <c r="R2526" s="1" t="str">
        <v/>
      </c>
      <c r="S2526" s="3">
        <v>0</v>
      </c>
      <c r="T2526" s="3">
        <v>0</v>
      </c>
    </row>
    <row r="2527" spans="1:20" x14ac:dyDescent="0.25">
      <c r="A2527" t="s">
        <v>78</v>
      </c>
      <c r="B2527" t="s">
        <v>3821</v>
      </c>
      <c r="C2527" t="s">
        <v>4746</v>
      </c>
      <c r="D2527" t="s">
        <v>4745</v>
      </c>
      <c r="E2527">
        <v>1007</v>
      </c>
      <c r="F2527">
        <v>1006</v>
      </c>
      <c r="G2527">
        <v>1006</v>
      </c>
      <c r="H2527">
        <v>1006</v>
      </c>
      <c r="I2527" s="1">
        <v>1006</v>
      </c>
      <c r="J2527">
        <v>201200</v>
      </c>
      <c r="K2527">
        <v>200</v>
      </c>
      <c r="L2527" t="s">
        <v>78</v>
      </c>
      <c r="M2527" t="s">
        <v>17</v>
      </c>
      <c r="N2527">
        <v>10</v>
      </c>
      <c r="O2527">
        <v>1018</v>
      </c>
      <c r="P2527">
        <v>990</v>
      </c>
      <c r="Q2527" s="1" t="str">
        <v/>
      </c>
      <c r="R2527" s="1" t="str">
        <v/>
      </c>
      <c r="S2527" s="3">
        <v>0</v>
      </c>
      <c r="T2527" s="3">
        <v>0</v>
      </c>
    </row>
    <row r="2528" spans="1:20" x14ac:dyDescent="0.25">
      <c r="A2528" t="s">
        <v>78</v>
      </c>
      <c r="B2528" t="s">
        <v>3835</v>
      </c>
      <c r="C2528" t="s">
        <v>4744</v>
      </c>
      <c r="D2528" t="s">
        <v>4743</v>
      </c>
      <c r="E2528">
        <v>1010</v>
      </c>
      <c r="F2528">
        <v>1010</v>
      </c>
      <c r="G2528">
        <v>1018</v>
      </c>
      <c r="H2528">
        <v>1010</v>
      </c>
      <c r="I2528" s="1">
        <v>1010</v>
      </c>
      <c r="J2528">
        <v>144494.01</v>
      </c>
      <c r="K2528">
        <v>143</v>
      </c>
      <c r="L2528" t="s">
        <v>78</v>
      </c>
      <c r="M2528" t="s">
        <v>17</v>
      </c>
      <c r="N2528">
        <v>4</v>
      </c>
      <c r="O2528">
        <v>1060</v>
      </c>
      <c r="P2528">
        <v>888</v>
      </c>
      <c r="Q2528" s="1" t="str">
        <v/>
      </c>
      <c r="R2528" s="1" t="str">
        <v/>
      </c>
      <c r="S2528" s="3">
        <v>0</v>
      </c>
      <c r="T2528" s="3">
        <v>0</v>
      </c>
    </row>
    <row r="2529" spans="1:20" x14ac:dyDescent="0.25">
      <c r="A2529" t="s">
        <v>78</v>
      </c>
      <c r="B2529" t="s">
        <v>3835</v>
      </c>
      <c r="C2529" t="s">
        <v>4742</v>
      </c>
      <c r="D2529" t="s">
        <v>3837</v>
      </c>
      <c r="E2529">
        <v>1084</v>
      </c>
      <c r="F2529">
        <v>1098</v>
      </c>
      <c r="G2529">
        <v>1098</v>
      </c>
      <c r="H2529">
        <v>1083.5999999999999</v>
      </c>
      <c r="I2529" s="1">
        <v>1084.6199999999999</v>
      </c>
      <c r="J2529">
        <v>1252271.5</v>
      </c>
      <c r="K2529">
        <v>1154</v>
      </c>
      <c r="L2529" t="s">
        <v>78</v>
      </c>
      <c r="M2529" t="s">
        <v>17</v>
      </c>
      <c r="N2529">
        <v>7</v>
      </c>
      <c r="O2529">
        <v>1154.98</v>
      </c>
      <c r="P2529">
        <v>1065</v>
      </c>
      <c r="Q2529" s="1" t="str">
        <v/>
      </c>
      <c r="R2529" s="1" t="str">
        <v/>
      </c>
      <c r="S2529" s="3">
        <v>0</v>
      </c>
      <c r="T2529" s="3">
        <v>0</v>
      </c>
    </row>
    <row r="2530" spans="1:20" x14ac:dyDescent="0.25">
      <c r="A2530" t="s">
        <v>78</v>
      </c>
      <c r="B2530" t="s">
        <v>3835</v>
      </c>
      <c r="C2530" t="s">
        <v>4741</v>
      </c>
      <c r="D2530" t="s">
        <v>4740</v>
      </c>
      <c r="E2530">
        <v>1150.49</v>
      </c>
      <c r="F2530">
        <v>1151</v>
      </c>
      <c r="G2530">
        <v>1160</v>
      </c>
      <c r="H2530">
        <v>1151</v>
      </c>
      <c r="I2530" s="1">
        <v>1156</v>
      </c>
      <c r="J2530">
        <v>1695398</v>
      </c>
      <c r="K2530">
        <v>1468</v>
      </c>
      <c r="L2530" t="s">
        <v>78</v>
      </c>
      <c r="M2530" t="s">
        <v>17</v>
      </c>
      <c r="N2530">
        <v>8</v>
      </c>
      <c r="O2530">
        <v>1288</v>
      </c>
      <c r="P2530">
        <v>1130.01</v>
      </c>
      <c r="Q2530" s="1" t="str">
        <v/>
      </c>
      <c r="R2530" s="1" t="str">
        <v/>
      </c>
      <c r="S2530" s="3">
        <v>0</v>
      </c>
      <c r="T2530" s="3">
        <v>0</v>
      </c>
    </row>
    <row r="2531" spans="1:20" x14ac:dyDescent="0.25">
      <c r="A2531" t="s">
        <v>78</v>
      </c>
      <c r="B2531" t="s">
        <v>3835</v>
      </c>
      <c r="C2531" t="s">
        <v>4739</v>
      </c>
      <c r="D2531" t="s">
        <v>3836</v>
      </c>
      <c r="E2531">
        <v>918.28</v>
      </c>
      <c r="F2531">
        <v>905</v>
      </c>
      <c r="G2531">
        <v>910.6</v>
      </c>
      <c r="H2531">
        <v>905</v>
      </c>
      <c r="I2531" s="1">
        <v>910.6</v>
      </c>
      <c r="J2531">
        <v>136030</v>
      </c>
      <c r="K2531">
        <v>150</v>
      </c>
      <c r="L2531" t="s">
        <v>78</v>
      </c>
      <c r="M2531" t="s">
        <v>17</v>
      </c>
      <c r="N2531">
        <v>7</v>
      </c>
      <c r="O2531">
        <v>955</v>
      </c>
      <c r="P2531">
        <v>825.8</v>
      </c>
      <c r="Q2531" s="1" t="str">
        <v/>
      </c>
      <c r="R2531" s="1" t="str">
        <v/>
      </c>
      <c r="S2531" s="3">
        <v>0</v>
      </c>
      <c r="T2531" s="3">
        <v>0</v>
      </c>
    </row>
    <row r="2532" spans="1:20" x14ac:dyDescent="0.25">
      <c r="A2532" t="s">
        <v>78</v>
      </c>
      <c r="B2532" t="s">
        <v>3835</v>
      </c>
      <c r="C2532" t="s">
        <v>4738</v>
      </c>
      <c r="D2532" t="s">
        <v>4737</v>
      </c>
      <c r="E2532">
        <v>5810</v>
      </c>
      <c r="F2532">
        <v>5880</v>
      </c>
      <c r="G2532">
        <v>5880</v>
      </c>
      <c r="H2532">
        <v>5880</v>
      </c>
      <c r="I2532" s="1">
        <v>5880</v>
      </c>
      <c r="J2532">
        <v>129360</v>
      </c>
      <c r="K2532">
        <v>22</v>
      </c>
      <c r="L2532" t="s">
        <v>78</v>
      </c>
      <c r="M2532" t="s">
        <v>17</v>
      </c>
      <c r="N2532">
        <v>3</v>
      </c>
      <c r="O2532">
        <v>6150</v>
      </c>
      <c r="P2532">
        <v>5009</v>
      </c>
      <c r="Q2532" s="1" t="str">
        <v/>
      </c>
      <c r="R2532" s="1" t="str">
        <v/>
      </c>
      <c r="S2532" s="3">
        <v>0</v>
      </c>
      <c r="T2532" s="3">
        <v>0</v>
      </c>
    </row>
    <row r="2533" spans="1:20" x14ac:dyDescent="0.25">
      <c r="A2533" t="s">
        <v>78</v>
      </c>
      <c r="B2533" t="s">
        <v>3835</v>
      </c>
      <c r="C2533" t="s">
        <v>4736</v>
      </c>
      <c r="D2533" t="s">
        <v>4735</v>
      </c>
      <c r="E2533">
        <v>1056.5</v>
      </c>
      <c r="F2533">
        <v>1065</v>
      </c>
      <c r="G2533">
        <v>1075</v>
      </c>
      <c r="H2533">
        <v>1060</v>
      </c>
      <c r="I2533" s="1">
        <v>1060</v>
      </c>
      <c r="J2533">
        <v>179330</v>
      </c>
      <c r="K2533">
        <v>168</v>
      </c>
      <c r="L2533" t="s">
        <v>78</v>
      </c>
      <c r="M2533" t="s">
        <v>17</v>
      </c>
      <c r="N2533">
        <v>4</v>
      </c>
      <c r="O2533">
        <v>1150</v>
      </c>
      <c r="P2533">
        <v>1032</v>
      </c>
      <c r="Q2533" s="1" t="str">
        <v/>
      </c>
      <c r="R2533" s="1" t="str">
        <v/>
      </c>
      <c r="S2533" s="3">
        <v>0</v>
      </c>
      <c r="T2533" s="3">
        <v>0</v>
      </c>
    </row>
    <row r="2534" spans="1:20" x14ac:dyDescent="0.25">
      <c r="A2534" t="s">
        <v>78</v>
      </c>
      <c r="B2534" t="s">
        <v>3835</v>
      </c>
      <c r="C2534" t="s">
        <v>4734</v>
      </c>
      <c r="D2534" t="s">
        <v>4733</v>
      </c>
      <c r="E2534">
        <v>950.27</v>
      </c>
      <c r="F2534">
        <v>960</v>
      </c>
      <c r="G2534">
        <v>960</v>
      </c>
      <c r="H2534">
        <v>960</v>
      </c>
      <c r="I2534" s="1">
        <v>960</v>
      </c>
      <c r="J2534">
        <v>125760</v>
      </c>
      <c r="K2534">
        <v>131</v>
      </c>
      <c r="L2534" t="s">
        <v>78</v>
      </c>
      <c r="M2534" t="s">
        <v>17</v>
      </c>
      <c r="N2534">
        <v>4</v>
      </c>
      <c r="O2534">
        <v>1024.9000000000001</v>
      </c>
      <c r="P2534">
        <v>894.01</v>
      </c>
      <c r="Q2534" s="1" t="str">
        <v/>
      </c>
      <c r="R2534" s="1" t="str">
        <v/>
      </c>
      <c r="S2534" s="3">
        <v>0</v>
      </c>
      <c r="T2534" s="3">
        <v>0</v>
      </c>
    </row>
    <row r="2535" spans="1:20" x14ac:dyDescent="0.25">
      <c r="A2535" t="s">
        <v>78</v>
      </c>
      <c r="B2535" t="s">
        <v>3835</v>
      </c>
      <c r="C2535" t="s">
        <v>4732</v>
      </c>
      <c r="D2535" t="s">
        <v>4731</v>
      </c>
      <c r="E2535">
        <v>939.82</v>
      </c>
      <c r="F2535">
        <v>938.96</v>
      </c>
      <c r="G2535">
        <v>938.96</v>
      </c>
      <c r="H2535">
        <v>933</v>
      </c>
      <c r="I2535" s="1">
        <v>938.96</v>
      </c>
      <c r="J2535">
        <v>233210.43</v>
      </c>
      <c r="K2535">
        <v>249</v>
      </c>
      <c r="L2535" t="s">
        <v>78</v>
      </c>
      <c r="M2535" t="s">
        <v>17</v>
      </c>
      <c r="N2535">
        <v>12</v>
      </c>
      <c r="O2535">
        <v>997</v>
      </c>
      <c r="P2535">
        <v>910</v>
      </c>
      <c r="Q2535" s="1" t="str">
        <v/>
      </c>
      <c r="R2535" s="1" t="str">
        <v/>
      </c>
      <c r="S2535" s="3">
        <v>0</v>
      </c>
      <c r="T2535" s="3">
        <v>0</v>
      </c>
    </row>
    <row r="2536" spans="1:20" x14ac:dyDescent="0.25">
      <c r="A2536" t="s">
        <v>78</v>
      </c>
      <c r="B2536" t="s">
        <v>3841</v>
      </c>
      <c r="C2536" t="s">
        <v>4730</v>
      </c>
      <c r="D2536" t="s">
        <v>3848</v>
      </c>
      <c r="E2536">
        <v>995</v>
      </c>
      <c r="F2536">
        <v>995</v>
      </c>
      <c r="G2536">
        <v>995</v>
      </c>
      <c r="H2536">
        <v>960</v>
      </c>
      <c r="I2536" s="1">
        <v>965</v>
      </c>
      <c r="J2536">
        <v>102605</v>
      </c>
      <c r="K2536">
        <v>105</v>
      </c>
      <c r="L2536" t="s">
        <v>78</v>
      </c>
      <c r="M2536" t="s">
        <v>17</v>
      </c>
      <c r="N2536">
        <v>5</v>
      </c>
      <c r="O2536">
        <v>1050</v>
      </c>
      <c r="P2536">
        <v>875.2</v>
      </c>
      <c r="Q2536" s="1" t="str">
        <v/>
      </c>
      <c r="R2536" s="1" t="str">
        <v/>
      </c>
      <c r="S2536" s="3">
        <v>0</v>
      </c>
      <c r="T2536" s="3">
        <v>0</v>
      </c>
    </row>
    <row r="2537" spans="1:20" x14ac:dyDescent="0.25">
      <c r="A2537" t="s">
        <v>78</v>
      </c>
      <c r="B2537" t="s">
        <v>3841</v>
      </c>
      <c r="C2537" t="s">
        <v>4729</v>
      </c>
      <c r="D2537" t="s">
        <v>3844</v>
      </c>
      <c r="E2537">
        <v>957</v>
      </c>
      <c r="F2537">
        <v>955</v>
      </c>
      <c r="G2537">
        <v>956</v>
      </c>
      <c r="H2537">
        <v>955</v>
      </c>
      <c r="I2537" s="1">
        <v>956</v>
      </c>
      <c r="J2537">
        <v>302841</v>
      </c>
      <c r="K2537">
        <v>317</v>
      </c>
      <c r="L2537" t="s">
        <v>78</v>
      </c>
      <c r="M2537" t="s">
        <v>17</v>
      </c>
      <c r="N2537">
        <v>7</v>
      </c>
      <c r="O2537">
        <v>1070</v>
      </c>
      <c r="P2537">
        <v>913.5</v>
      </c>
      <c r="Q2537" s="1" t="str">
        <v/>
      </c>
      <c r="R2537" s="1" t="str">
        <v/>
      </c>
      <c r="S2537" s="3">
        <v>0</v>
      </c>
      <c r="T2537" s="3">
        <v>0</v>
      </c>
    </row>
    <row r="2538" spans="1:20" x14ac:dyDescent="0.25">
      <c r="A2538" t="s">
        <v>78</v>
      </c>
      <c r="B2538" t="s">
        <v>3841</v>
      </c>
      <c r="C2538" t="s">
        <v>4728</v>
      </c>
      <c r="D2538" t="s">
        <v>4727</v>
      </c>
      <c r="E2538">
        <v>1095</v>
      </c>
      <c r="F2538">
        <v>1262</v>
      </c>
      <c r="G2538">
        <v>1262</v>
      </c>
      <c r="H2538">
        <v>1109.5999999999999</v>
      </c>
      <c r="I2538" s="1">
        <v>1109.5999999999999</v>
      </c>
      <c r="J2538">
        <v>14577.2</v>
      </c>
      <c r="K2538">
        <v>13</v>
      </c>
      <c r="L2538" t="s">
        <v>78</v>
      </c>
      <c r="M2538" t="s">
        <v>17</v>
      </c>
      <c r="N2538">
        <v>4</v>
      </c>
      <c r="O2538">
        <v>1262</v>
      </c>
      <c r="P2538">
        <v>1032</v>
      </c>
      <c r="Q2538" s="1" t="str">
        <v/>
      </c>
      <c r="R2538" s="1" t="str">
        <v/>
      </c>
      <c r="S2538" s="3">
        <v>0</v>
      </c>
      <c r="T2538" s="3">
        <v>0</v>
      </c>
    </row>
    <row r="2539" spans="1:20" x14ac:dyDescent="0.25">
      <c r="A2539" t="s">
        <v>78</v>
      </c>
      <c r="B2539" t="s">
        <v>3841</v>
      </c>
      <c r="C2539" t="s">
        <v>4726</v>
      </c>
      <c r="D2539" t="s">
        <v>4725</v>
      </c>
      <c r="E2539">
        <v>1035</v>
      </c>
      <c r="F2539">
        <v>1042.9000000000001</v>
      </c>
      <c r="G2539">
        <v>1042.9000000000001</v>
      </c>
      <c r="H2539">
        <v>1022.2</v>
      </c>
      <c r="I2539" s="1">
        <v>1041</v>
      </c>
      <c r="J2539">
        <v>221423.02</v>
      </c>
      <c r="K2539">
        <v>215</v>
      </c>
      <c r="L2539" t="s">
        <v>78</v>
      </c>
      <c r="M2539" t="s">
        <v>17</v>
      </c>
      <c r="N2539">
        <v>18</v>
      </c>
      <c r="O2539">
        <v>1160</v>
      </c>
      <c r="P2539">
        <v>977.44</v>
      </c>
      <c r="Q2539" s="1" t="str">
        <v/>
      </c>
      <c r="R2539" s="1" t="str">
        <v/>
      </c>
      <c r="S2539" s="3">
        <v>0</v>
      </c>
      <c r="T2539" s="3">
        <v>0</v>
      </c>
    </row>
    <row r="2540" spans="1:20" x14ac:dyDescent="0.25">
      <c r="A2540" t="s">
        <v>78</v>
      </c>
      <c r="B2540" t="s">
        <v>3841</v>
      </c>
      <c r="C2540" t="s">
        <v>4724</v>
      </c>
      <c r="D2540" t="s">
        <v>4723</v>
      </c>
      <c r="E2540">
        <v>1068</v>
      </c>
      <c r="F2540">
        <v>1073</v>
      </c>
      <c r="G2540">
        <v>1073.6500000000001</v>
      </c>
      <c r="H2540">
        <v>1071.5999999999999</v>
      </c>
      <c r="I2540" s="1">
        <v>1071.5999999999999</v>
      </c>
      <c r="J2540">
        <v>96547.5</v>
      </c>
      <c r="K2540">
        <v>90</v>
      </c>
      <c r="L2540" t="s">
        <v>78</v>
      </c>
      <c r="M2540" t="s">
        <v>17</v>
      </c>
      <c r="N2540">
        <v>4</v>
      </c>
      <c r="O2540">
        <v>1080</v>
      </c>
      <c r="P2540">
        <v>985</v>
      </c>
      <c r="Q2540" s="1" t="str">
        <v/>
      </c>
      <c r="R2540" s="1" t="str">
        <v/>
      </c>
      <c r="S2540" s="3">
        <v>0</v>
      </c>
      <c r="T2540" s="3">
        <v>0</v>
      </c>
    </row>
    <row r="2541" spans="1:20" x14ac:dyDescent="0.25">
      <c r="A2541" t="s">
        <v>78</v>
      </c>
      <c r="B2541" t="s">
        <v>3841</v>
      </c>
      <c r="C2541" t="s">
        <v>4722</v>
      </c>
      <c r="D2541" t="s">
        <v>3849</v>
      </c>
      <c r="E2541">
        <v>1156.5</v>
      </c>
      <c r="F2541">
        <v>1157.2</v>
      </c>
      <c r="G2541">
        <v>1157.5</v>
      </c>
      <c r="H2541">
        <v>1156</v>
      </c>
      <c r="I2541" s="1">
        <v>1156.9100000000001</v>
      </c>
      <c r="J2541">
        <v>240648.3</v>
      </c>
      <c r="K2541">
        <v>208</v>
      </c>
      <c r="L2541" t="s">
        <v>78</v>
      </c>
      <c r="M2541" t="s">
        <v>17</v>
      </c>
      <c r="N2541">
        <v>9</v>
      </c>
      <c r="O2541">
        <v>1250</v>
      </c>
      <c r="P2541">
        <v>1130</v>
      </c>
      <c r="Q2541" s="1" t="str">
        <v/>
      </c>
      <c r="R2541" s="1" t="str">
        <v/>
      </c>
      <c r="S2541" s="3">
        <v>0</v>
      </c>
      <c r="T2541" s="3">
        <v>0</v>
      </c>
    </row>
    <row r="2542" spans="1:20" x14ac:dyDescent="0.25">
      <c r="A2542" t="s">
        <v>78</v>
      </c>
      <c r="B2542" t="s">
        <v>3841</v>
      </c>
      <c r="C2542" t="s">
        <v>4721</v>
      </c>
      <c r="D2542" t="s">
        <v>3853</v>
      </c>
      <c r="E2542">
        <v>1309.5</v>
      </c>
      <c r="F2542">
        <v>1310.51</v>
      </c>
      <c r="G2542">
        <v>1310.51</v>
      </c>
      <c r="H2542">
        <v>1309.5</v>
      </c>
      <c r="I2542" s="1">
        <v>1309.5</v>
      </c>
      <c r="J2542">
        <v>458576</v>
      </c>
      <c r="K2542">
        <v>350</v>
      </c>
      <c r="L2542" t="s">
        <v>78</v>
      </c>
      <c r="M2542" t="s">
        <v>17</v>
      </c>
      <c r="N2542">
        <v>4</v>
      </c>
      <c r="O2542">
        <v>1379.9</v>
      </c>
      <c r="P2542">
        <v>1258</v>
      </c>
      <c r="Q2542" s="1" t="str">
        <v/>
      </c>
      <c r="R2542" s="1" t="str">
        <v/>
      </c>
      <c r="S2542" s="3">
        <v>0</v>
      </c>
      <c r="T2542" s="3">
        <v>0</v>
      </c>
    </row>
    <row r="2543" spans="1:20" x14ac:dyDescent="0.25">
      <c r="A2543" t="s">
        <v>78</v>
      </c>
      <c r="B2543" t="s">
        <v>3841</v>
      </c>
      <c r="C2543" t="s">
        <v>4720</v>
      </c>
      <c r="D2543" t="s">
        <v>4719</v>
      </c>
      <c r="E2543">
        <v>5845</v>
      </c>
      <c r="F2543">
        <v>5770</v>
      </c>
      <c r="G2543">
        <v>5770</v>
      </c>
      <c r="H2543">
        <v>5770</v>
      </c>
      <c r="I2543" s="1">
        <v>5770</v>
      </c>
      <c r="J2543">
        <v>173100</v>
      </c>
      <c r="K2543">
        <v>30</v>
      </c>
      <c r="L2543" t="s">
        <v>78</v>
      </c>
      <c r="M2543" t="s">
        <v>17</v>
      </c>
      <c r="N2543">
        <v>1</v>
      </c>
      <c r="O2543">
        <v>6300.99</v>
      </c>
      <c r="P2543">
        <v>5400.01</v>
      </c>
      <c r="Q2543" s="1" t="str">
        <v/>
      </c>
      <c r="R2543" s="1" t="str">
        <v/>
      </c>
      <c r="S2543" s="3">
        <v>0</v>
      </c>
      <c r="T2543" s="3">
        <v>0</v>
      </c>
    </row>
    <row r="2544" spans="1:20" x14ac:dyDescent="0.25">
      <c r="A2544" t="s">
        <v>78</v>
      </c>
      <c r="B2544" t="s">
        <v>3841</v>
      </c>
      <c r="C2544" t="s">
        <v>4718</v>
      </c>
      <c r="D2544" t="s">
        <v>3851</v>
      </c>
      <c r="E2544">
        <v>6750</v>
      </c>
      <c r="F2544">
        <v>6750</v>
      </c>
      <c r="G2544">
        <v>6750</v>
      </c>
      <c r="H2544">
        <v>6715</v>
      </c>
      <c r="I2544" s="1">
        <v>6717</v>
      </c>
      <c r="J2544">
        <v>235226</v>
      </c>
      <c r="K2544">
        <v>35</v>
      </c>
      <c r="L2544" t="s">
        <v>78</v>
      </c>
      <c r="M2544" t="s">
        <v>17</v>
      </c>
      <c r="N2544">
        <v>8</v>
      </c>
      <c r="O2544">
        <v>7526</v>
      </c>
      <c r="P2544">
        <v>6433</v>
      </c>
      <c r="Q2544" s="1" t="str">
        <v/>
      </c>
      <c r="R2544" s="1" t="str">
        <v/>
      </c>
      <c r="S2544" s="3">
        <v>0</v>
      </c>
      <c r="T2544" s="3">
        <v>0</v>
      </c>
    </row>
    <row r="2545" spans="1:20" x14ac:dyDescent="0.25">
      <c r="A2545" t="s">
        <v>78</v>
      </c>
      <c r="B2545" t="s">
        <v>3841</v>
      </c>
      <c r="C2545" t="s">
        <v>4717</v>
      </c>
      <c r="D2545" t="s">
        <v>3845</v>
      </c>
      <c r="E2545">
        <v>927.95</v>
      </c>
      <c r="F2545">
        <v>920</v>
      </c>
      <c r="G2545">
        <v>920</v>
      </c>
      <c r="H2545">
        <v>920</v>
      </c>
      <c r="I2545" s="1">
        <v>920</v>
      </c>
      <c r="J2545">
        <v>356040</v>
      </c>
      <c r="K2545">
        <v>387</v>
      </c>
      <c r="L2545" t="s">
        <v>78</v>
      </c>
      <c r="M2545" t="s">
        <v>17</v>
      </c>
      <c r="N2545">
        <v>18</v>
      </c>
      <c r="O2545">
        <v>1020</v>
      </c>
      <c r="P2545">
        <v>833.5</v>
      </c>
      <c r="Q2545" s="1" t="str">
        <v/>
      </c>
      <c r="R2545" s="1" t="str">
        <v/>
      </c>
      <c r="S2545" s="3">
        <v>0</v>
      </c>
      <c r="T2545" s="3">
        <v>0</v>
      </c>
    </row>
    <row r="2546" spans="1:20" x14ac:dyDescent="0.25">
      <c r="A2546" t="s">
        <v>78</v>
      </c>
      <c r="B2546" t="s">
        <v>3856</v>
      </c>
      <c r="C2546" t="s">
        <v>4716</v>
      </c>
      <c r="D2546" t="s">
        <v>4715</v>
      </c>
      <c r="E2546">
        <v>1003</v>
      </c>
      <c r="F2546">
        <v>1000</v>
      </c>
      <c r="G2546">
        <v>1000</v>
      </c>
      <c r="H2546">
        <v>970</v>
      </c>
      <c r="I2546" s="1">
        <v>998.81</v>
      </c>
      <c r="J2546">
        <v>262725</v>
      </c>
      <c r="K2546">
        <v>265</v>
      </c>
      <c r="L2546" t="s">
        <v>78</v>
      </c>
      <c r="M2546" t="s">
        <v>17</v>
      </c>
      <c r="N2546">
        <v>23</v>
      </c>
      <c r="O2546">
        <v>1050</v>
      </c>
      <c r="P2546">
        <v>950</v>
      </c>
      <c r="Q2546" s="1" t="str">
        <v/>
      </c>
      <c r="R2546" s="1" t="str">
        <v/>
      </c>
      <c r="S2546" s="3">
        <v>0</v>
      </c>
      <c r="T2546" s="3">
        <v>0</v>
      </c>
    </row>
    <row r="2547" spans="1:20" x14ac:dyDescent="0.25">
      <c r="A2547" t="s">
        <v>78</v>
      </c>
      <c r="B2547" t="s">
        <v>3856</v>
      </c>
      <c r="C2547" t="s">
        <v>4714</v>
      </c>
      <c r="D2547" t="s">
        <v>4713</v>
      </c>
      <c r="E2547">
        <v>995</v>
      </c>
      <c r="F2547">
        <v>999.5</v>
      </c>
      <c r="G2547">
        <v>999.5</v>
      </c>
      <c r="H2547">
        <v>999.5</v>
      </c>
      <c r="I2547" s="1">
        <v>999.5</v>
      </c>
      <c r="J2547">
        <v>5997</v>
      </c>
      <c r="K2547">
        <v>6</v>
      </c>
      <c r="L2547" t="s">
        <v>78</v>
      </c>
      <c r="M2547" t="s">
        <v>17</v>
      </c>
      <c r="N2547">
        <v>1</v>
      </c>
      <c r="O2547">
        <v>1025</v>
      </c>
      <c r="P2547">
        <v>950</v>
      </c>
      <c r="Q2547" s="1" t="str">
        <v/>
      </c>
      <c r="R2547" s="1" t="str">
        <v/>
      </c>
      <c r="S2547" s="3">
        <v>0</v>
      </c>
      <c r="T2547" s="3">
        <v>0</v>
      </c>
    </row>
    <row r="2548" spans="1:20" x14ac:dyDescent="0.25">
      <c r="A2548" t="s">
        <v>78</v>
      </c>
      <c r="B2548" t="s">
        <v>3856</v>
      </c>
      <c r="C2548" t="s">
        <v>4712</v>
      </c>
      <c r="D2548" t="s">
        <v>3857</v>
      </c>
      <c r="E2548">
        <v>980</v>
      </c>
      <c r="F2548">
        <v>980</v>
      </c>
      <c r="G2548">
        <v>980</v>
      </c>
      <c r="H2548">
        <v>955</v>
      </c>
      <c r="I2548" s="1">
        <v>955</v>
      </c>
      <c r="J2548">
        <v>123460</v>
      </c>
      <c r="K2548">
        <v>127</v>
      </c>
      <c r="L2548" t="s">
        <v>78</v>
      </c>
      <c r="M2548" t="s">
        <v>17</v>
      </c>
      <c r="N2548">
        <v>5</v>
      </c>
      <c r="O2548">
        <v>1360</v>
      </c>
      <c r="P2548">
        <v>945.1</v>
      </c>
      <c r="Q2548" s="1" t="str">
        <v/>
      </c>
      <c r="R2548" s="1" t="str">
        <v/>
      </c>
      <c r="S2548" s="3">
        <v>0</v>
      </c>
      <c r="T2548" s="3">
        <v>0</v>
      </c>
    </row>
    <row r="2549" spans="1:20" x14ac:dyDescent="0.25">
      <c r="A2549" t="s">
        <v>78</v>
      </c>
      <c r="B2549" t="s">
        <v>3856</v>
      </c>
      <c r="C2549" t="s">
        <v>4711</v>
      </c>
      <c r="D2549" t="s">
        <v>4710</v>
      </c>
      <c r="E2549">
        <v>1142.01</v>
      </c>
      <c r="F2549">
        <v>1155</v>
      </c>
      <c r="G2549">
        <v>1155</v>
      </c>
      <c r="H2549">
        <v>1155</v>
      </c>
      <c r="I2549" s="1">
        <v>1155</v>
      </c>
      <c r="J2549">
        <v>19635</v>
      </c>
      <c r="K2549">
        <v>17</v>
      </c>
      <c r="L2549" t="s">
        <v>78</v>
      </c>
      <c r="M2549" t="s">
        <v>17</v>
      </c>
      <c r="N2549">
        <v>1</v>
      </c>
      <c r="O2549">
        <v>1199.7</v>
      </c>
      <c r="P2549">
        <v>1112.25</v>
      </c>
      <c r="Q2549" s="1" t="str">
        <v/>
      </c>
      <c r="R2549" s="1" t="str">
        <v/>
      </c>
      <c r="S2549" s="3">
        <v>0</v>
      </c>
      <c r="T2549" s="3">
        <v>0</v>
      </c>
    </row>
    <row r="2550" spans="1:20" x14ac:dyDescent="0.25">
      <c r="A2550" t="s">
        <v>78</v>
      </c>
      <c r="B2550" t="s">
        <v>3856</v>
      </c>
      <c r="C2550" t="s">
        <v>4709</v>
      </c>
      <c r="D2550" t="s">
        <v>4708</v>
      </c>
      <c r="E2550">
        <v>1018</v>
      </c>
      <c r="F2550">
        <v>1029.8</v>
      </c>
      <c r="G2550">
        <v>1029.8</v>
      </c>
      <c r="H2550">
        <v>1029.8</v>
      </c>
      <c r="I2550" s="1">
        <v>1029.8</v>
      </c>
      <c r="J2550">
        <v>24715.200000000001</v>
      </c>
      <c r="K2550">
        <v>24</v>
      </c>
      <c r="L2550" t="s">
        <v>78</v>
      </c>
      <c r="M2550" t="s">
        <v>17</v>
      </c>
      <c r="N2550">
        <v>1</v>
      </c>
      <c r="O2550">
        <v>1040</v>
      </c>
      <c r="P2550">
        <v>956.2</v>
      </c>
      <c r="Q2550" s="1" t="str">
        <v/>
      </c>
      <c r="R2550" s="1" t="str">
        <v/>
      </c>
      <c r="S2550" s="3">
        <v>0</v>
      </c>
      <c r="T2550" s="3">
        <v>0</v>
      </c>
    </row>
    <row r="2551" spans="1:20" x14ac:dyDescent="0.25">
      <c r="A2551" t="s">
        <v>78</v>
      </c>
      <c r="B2551" t="s">
        <v>3856</v>
      </c>
      <c r="C2551" t="s">
        <v>4707</v>
      </c>
      <c r="D2551" t="s">
        <v>3858</v>
      </c>
      <c r="E2551">
        <v>5.23</v>
      </c>
      <c r="F2551">
        <v>5.2</v>
      </c>
      <c r="G2551">
        <v>5.25</v>
      </c>
      <c r="H2551">
        <v>5.16</v>
      </c>
      <c r="I2551" s="1">
        <v>5.22</v>
      </c>
      <c r="J2551">
        <v>290337.96000000002</v>
      </c>
      <c r="K2551">
        <v>55681</v>
      </c>
      <c r="L2551" t="s">
        <v>78</v>
      </c>
      <c r="M2551" t="s">
        <v>17</v>
      </c>
      <c r="N2551">
        <v>109</v>
      </c>
      <c r="O2551">
        <v>11.51</v>
      </c>
      <c r="P2551">
        <v>5</v>
      </c>
      <c r="Q2551" s="1" t="str">
        <v/>
      </c>
      <c r="R2551" s="1" t="str">
        <v/>
      </c>
      <c r="S2551" s="3">
        <v>0</v>
      </c>
      <c r="T2551" s="3">
        <v>0</v>
      </c>
    </row>
    <row r="2552" spans="1:20" x14ac:dyDescent="0.25">
      <c r="A2552" t="s">
        <v>78</v>
      </c>
      <c r="B2552" t="s">
        <v>3856</v>
      </c>
      <c r="C2552" t="s">
        <v>4706</v>
      </c>
      <c r="D2552" t="s">
        <v>4705</v>
      </c>
      <c r="E2552">
        <v>1021.3</v>
      </c>
      <c r="F2552">
        <v>1042</v>
      </c>
      <c r="G2552">
        <v>1079.8</v>
      </c>
      <c r="H2552">
        <v>1042</v>
      </c>
      <c r="I2552" s="1">
        <v>1060</v>
      </c>
      <c r="J2552">
        <v>35320.800000000003</v>
      </c>
      <c r="K2552">
        <v>33</v>
      </c>
      <c r="L2552" t="s">
        <v>78</v>
      </c>
      <c r="M2552" t="s">
        <v>17</v>
      </c>
      <c r="N2552">
        <v>5</v>
      </c>
      <c r="O2552">
        <v>1100</v>
      </c>
      <c r="P2552">
        <v>1020</v>
      </c>
      <c r="Q2552" s="1" t="str">
        <v/>
      </c>
      <c r="R2552" s="1" t="str">
        <v/>
      </c>
      <c r="S2552" s="3">
        <v>0</v>
      </c>
      <c r="T2552" s="3">
        <v>0</v>
      </c>
    </row>
    <row r="2553" spans="1:20" x14ac:dyDescent="0.25">
      <c r="A2553" t="s">
        <v>78</v>
      </c>
      <c r="B2553" t="s">
        <v>3856</v>
      </c>
      <c r="C2553" t="s">
        <v>4704</v>
      </c>
      <c r="D2553" t="s">
        <v>4703</v>
      </c>
      <c r="E2553">
        <v>1055</v>
      </c>
      <c r="F2553">
        <v>1040.0999999999999</v>
      </c>
      <c r="G2553">
        <v>1050</v>
      </c>
      <c r="H2553">
        <v>1040.0999999999999</v>
      </c>
      <c r="I2553" s="1">
        <v>1050</v>
      </c>
      <c r="J2553">
        <v>26200.5</v>
      </c>
      <c r="K2553">
        <v>25</v>
      </c>
      <c r="L2553" t="s">
        <v>78</v>
      </c>
      <c r="M2553" t="s">
        <v>17</v>
      </c>
      <c r="N2553">
        <v>3</v>
      </c>
      <c r="O2553">
        <v>1095</v>
      </c>
      <c r="P2553">
        <v>995</v>
      </c>
      <c r="Q2553" s="1" t="str">
        <v/>
      </c>
      <c r="R2553" s="1" t="str">
        <v/>
      </c>
      <c r="S2553" s="3">
        <v>0</v>
      </c>
      <c r="T2553" s="3">
        <v>0</v>
      </c>
    </row>
    <row r="2554" spans="1:20" x14ac:dyDescent="0.25">
      <c r="A2554" t="s">
        <v>78</v>
      </c>
      <c r="B2554" t="s">
        <v>3856</v>
      </c>
      <c r="C2554" t="s">
        <v>4702</v>
      </c>
      <c r="D2554" t="s">
        <v>4701</v>
      </c>
      <c r="E2554">
        <v>1002</v>
      </c>
      <c r="F2554">
        <v>954</v>
      </c>
      <c r="G2554">
        <v>954</v>
      </c>
      <c r="H2554">
        <v>954</v>
      </c>
      <c r="I2554" s="1">
        <v>954</v>
      </c>
      <c r="J2554">
        <v>4770</v>
      </c>
      <c r="K2554">
        <v>5</v>
      </c>
      <c r="L2554" t="s">
        <v>78</v>
      </c>
      <c r="M2554" t="s">
        <v>17</v>
      </c>
      <c r="N2554">
        <v>1</v>
      </c>
      <c r="O2554">
        <v>1060</v>
      </c>
      <c r="P2554">
        <v>954</v>
      </c>
      <c r="Q2554" s="1" t="str">
        <v/>
      </c>
      <c r="R2554" s="1" t="str">
        <v/>
      </c>
      <c r="S2554" s="3">
        <v>0</v>
      </c>
      <c r="T2554" s="3">
        <v>0</v>
      </c>
    </row>
    <row r="2555" spans="1:20" x14ac:dyDescent="0.25">
      <c r="A2555" t="s">
        <v>78</v>
      </c>
      <c r="B2555" t="s">
        <v>3859</v>
      </c>
      <c r="C2555" t="s">
        <v>4700</v>
      </c>
      <c r="D2555" t="s">
        <v>4699</v>
      </c>
      <c r="E2555">
        <v>989.5</v>
      </c>
      <c r="F2555">
        <v>989</v>
      </c>
      <c r="G2555">
        <v>989</v>
      </c>
      <c r="H2555">
        <v>989</v>
      </c>
      <c r="I2555" s="1">
        <v>989</v>
      </c>
      <c r="J2555">
        <v>9890</v>
      </c>
      <c r="K2555">
        <v>10</v>
      </c>
      <c r="L2555" t="s">
        <v>78</v>
      </c>
      <c r="M2555" t="s">
        <v>17</v>
      </c>
      <c r="N2555">
        <v>1</v>
      </c>
      <c r="O2555">
        <v>1050</v>
      </c>
      <c r="P2555">
        <v>930</v>
      </c>
      <c r="Q2555" s="1" t="str">
        <v/>
      </c>
      <c r="R2555" s="1" t="str">
        <v/>
      </c>
      <c r="S2555" s="3">
        <v>0</v>
      </c>
      <c r="T2555" s="3">
        <v>0</v>
      </c>
    </row>
    <row r="2556" spans="1:20" x14ac:dyDescent="0.25">
      <c r="A2556" t="s">
        <v>78</v>
      </c>
      <c r="B2556" t="s">
        <v>3859</v>
      </c>
      <c r="C2556" t="s">
        <v>4698</v>
      </c>
      <c r="D2556" t="s">
        <v>3864</v>
      </c>
      <c r="E2556">
        <v>1045</v>
      </c>
      <c r="F2556">
        <v>1045</v>
      </c>
      <c r="G2556">
        <v>1045</v>
      </c>
      <c r="H2556">
        <v>1045</v>
      </c>
      <c r="I2556" s="1">
        <v>1045</v>
      </c>
      <c r="J2556">
        <v>54340</v>
      </c>
      <c r="K2556">
        <v>52</v>
      </c>
      <c r="L2556" t="s">
        <v>78</v>
      </c>
      <c r="M2556" t="s">
        <v>17</v>
      </c>
      <c r="N2556">
        <v>3</v>
      </c>
      <c r="O2556">
        <v>1109.9000000000001</v>
      </c>
      <c r="P2556">
        <v>1010.1</v>
      </c>
      <c r="Q2556" s="1" t="str">
        <v/>
      </c>
      <c r="R2556" s="1" t="str">
        <v/>
      </c>
      <c r="S2556" s="3">
        <v>0</v>
      </c>
      <c r="T2556" s="3">
        <v>0</v>
      </c>
    </row>
    <row r="2557" spans="1:20" x14ac:dyDescent="0.25">
      <c r="A2557" t="s">
        <v>78</v>
      </c>
      <c r="B2557" t="s">
        <v>3859</v>
      </c>
      <c r="C2557" t="s">
        <v>4697</v>
      </c>
      <c r="D2557" t="s">
        <v>3860</v>
      </c>
      <c r="E2557">
        <v>1148</v>
      </c>
      <c r="F2557">
        <v>1135.0999999999999</v>
      </c>
      <c r="G2557">
        <v>1145</v>
      </c>
      <c r="H2557">
        <v>1135.0999999999999</v>
      </c>
      <c r="I2557" s="1">
        <v>1145</v>
      </c>
      <c r="J2557">
        <v>97226</v>
      </c>
      <c r="K2557">
        <v>85</v>
      </c>
      <c r="L2557" t="s">
        <v>78</v>
      </c>
      <c r="M2557" t="s">
        <v>17</v>
      </c>
      <c r="N2557">
        <v>3</v>
      </c>
      <c r="O2557">
        <v>1198.4000000000001</v>
      </c>
      <c r="P2557">
        <v>1106</v>
      </c>
      <c r="Q2557" s="1" t="str">
        <v/>
      </c>
      <c r="R2557" s="1" t="str">
        <v/>
      </c>
      <c r="S2557" s="3">
        <v>0</v>
      </c>
      <c r="T2557" s="3">
        <v>0</v>
      </c>
    </row>
    <row r="2558" spans="1:20" x14ac:dyDescent="0.25">
      <c r="A2558" t="s">
        <v>78</v>
      </c>
      <c r="B2558" t="s">
        <v>3859</v>
      </c>
      <c r="C2558" t="s">
        <v>4696</v>
      </c>
      <c r="D2558" t="s">
        <v>3936</v>
      </c>
      <c r="E2558">
        <v>1077.55</v>
      </c>
      <c r="F2558">
        <v>1078</v>
      </c>
      <c r="G2558">
        <v>1080</v>
      </c>
      <c r="H2558">
        <v>1078</v>
      </c>
      <c r="I2558" s="1">
        <v>1078</v>
      </c>
      <c r="J2558">
        <v>84128</v>
      </c>
      <c r="K2558">
        <v>78</v>
      </c>
      <c r="L2558" t="s">
        <v>78</v>
      </c>
      <c r="M2558" t="s">
        <v>17</v>
      </c>
      <c r="N2558">
        <v>5</v>
      </c>
      <c r="O2558">
        <v>1170.0999999999999</v>
      </c>
      <c r="P2558">
        <v>1020</v>
      </c>
      <c r="Q2558" s="1" t="str">
        <v/>
      </c>
      <c r="R2558" s="1" t="str">
        <v/>
      </c>
      <c r="S2558" s="3">
        <v>0</v>
      </c>
      <c r="T2558" s="3">
        <v>0</v>
      </c>
    </row>
    <row r="2559" spans="1:20" x14ac:dyDescent="0.25">
      <c r="A2559" t="s">
        <v>78</v>
      </c>
      <c r="B2559" t="s">
        <v>3859</v>
      </c>
      <c r="C2559" t="s">
        <v>4695</v>
      </c>
      <c r="D2559" t="s">
        <v>4694</v>
      </c>
      <c r="E2559">
        <v>960</v>
      </c>
      <c r="F2559">
        <v>950</v>
      </c>
      <c r="G2559">
        <v>950</v>
      </c>
      <c r="H2559">
        <v>950</v>
      </c>
      <c r="I2559" s="1">
        <v>950</v>
      </c>
      <c r="J2559">
        <v>31350</v>
      </c>
      <c r="K2559">
        <v>33</v>
      </c>
      <c r="L2559" t="s">
        <v>78</v>
      </c>
      <c r="M2559" t="s">
        <v>17</v>
      </c>
      <c r="N2559">
        <v>4</v>
      </c>
      <c r="O2559">
        <v>999</v>
      </c>
      <c r="P2559">
        <v>925</v>
      </c>
      <c r="Q2559" s="1" t="str">
        <v/>
      </c>
      <c r="R2559" s="1" t="str">
        <v/>
      </c>
      <c r="S2559" s="3">
        <v>0</v>
      </c>
      <c r="T2559" s="3">
        <v>0</v>
      </c>
    </row>
    <row r="2560" spans="1:20" x14ac:dyDescent="0.25">
      <c r="A2560" t="s">
        <v>78</v>
      </c>
      <c r="B2560" t="s">
        <v>3868</v>
      </c>
      <c r="C2560" t="s">
        <v>4693</v>
      </c>
      <c r="D2560" t="s">
        <v>4692</v>
      </c>
      <c r="E2560">
        <v>990</v>
      </c>
      <c r="F2560">
        <v>990</v>
      </c>
      <c r="G2560">
        <v>990</v>
      </c>
      <c r="H2560">
        <v>990</v>
      </c>
      <c r="I2560" s="1">
        <v>990</v>
      </c>
      <c r="J2560">
        <v>58410</v>
      </c>
      <c r="K2560">
        <v>59</v>
      </c>
      <c r="L2560" t="s">
        <v>78</v>
      </c>
      <c r="M2560" t="s">
        <v>17</v>
      </c>
      <c r="N2560">
        <v>1</v>
      </c>
      <c r="O2560">
        <v>1015</v>
      </c>
      <c r="P2560">
        <v>950</v>
      </c>
      <c r="Q2560" s="1" t="str">
        <v/>
      </c>
      <c r="R2560" s="1" t="str">
        <v/>
      </c>
      <c r="S2560" s="3">
        <v>0</v>
      </c>
      <c r="T2560" s="3">
        <v>0</v>
      </c>
    </row>
    <row r="2561" spans="1:20" x14ac:dyDescent="0.25">
      <c r="A2561" t="s">
        <v>78</v>
      </c>
      <c r="B2561" t="s">
        <v>3868</v>
      </c>
      <c r="C2561" t="s">
        <v>4691</v>
      </c>
      <c r="D2561" t="s">
        <v>4690</v>
      </c>
      <c r="E2561">
        <v>915</v>
      </c>
      <c r="F2561">
        <v>930</v>
      </c>
      <c r="G2561">
        <v>930</v>
      </c>
      <c r="H2561">
        <v>930</v>
      </c>
      <c r="I2561" s="1">
        <v>930</v>
      </c>
      <c r="J2561">
        <v>46500</v>
      </c>
      <c r="K2561">
        <v>50</v>
      </c>
      <c r="L2561" t="s">
        <v>78</v>
      </c>
      <c r="M2561" t="s">
        <v>17</v>
      </c>
      <c r="N2561">
        <v>2</v>
      </c>
      <c r="O2561">
        <v>959.8</v>
      </c>
      <c r="P2561">
        <v>900</v>
      </c>
      <c r="Q2561" s="1" t="str">
        <v/>
      </c>
      <c r="R2561" s="1" t="str">
        <v/>
      </c>
      <c r="S2561" s="3">
        <v>0</v>
      </c>
      <c r="T2561" s="3">
        <v>0</v>
      </c>
    </row>
    <row r="2562" spans="1:20" x14ac:dyDescent="0.25">
      <c r="A2562" t="s">
        <v>78</v>
      </c>
      <c r="B2562" t="s">
        <v>3868</v>
      </c>
      <c r="C2562" t="s">
        <v>4689</v>
      </c>
      <c r="D2562" t="s">
        <v>3874</v>
      </c>
      <c r="E2562">
        <v>1162</v>
      </c>
      <c r="F2562">
        <v>1163.5999999999999</v>
      </c>
      <c r="G2562">
        <v>1163.5999999999999</v>
      </c>
      <c r="H2562">
        <v>1163.5999999999999</v>
      </c>
      <c r="I2562" s="1">
        <v>1163.5999999999999</v>
      </c>
      <c r="J2562">
        <v>58180</v>
      </c>
      <c r="K2562">
        <v>50</v>
      </c>
      <c r="L2562" t="s">
        <v>78</v>
      </c>
      <c r="M2562" t="s">
        <v>17</v>
      </c>
      <c r="N2562">
        <v>1</v>
      </c>
      <c r="O2562">
        <v>1227.5</v>
      </c>
      <c r="P2562">
        <v>1133.05</v>
      </c>
      <c r="Q2562" s="1" t="str">
        <v/>
      </c>
      <c r="R2562" s="1" t="str">
        <v/>
      </c>
      <c r="S2562" s="3">
        <v>0</v>
      </c>
      <c r="T2562" s="3">
        <v>0</v>
      </c>
    </row>
    <row r="2563" spans="1:20" x14ac:dyDescent="0.25">
      <c r="A2563" t="s">
        <v>78</v>
      </c>
      <c r="B2563" t="s">
        <v>3868</v>
      </c>
      <c r="C2563" t="s">
        <v>4688</v>
      </c>
      <c r="D2563" t="s">
        <v>4687</v>
      </c>
      <c r="E2563">
        <v>1003.3</v>
      </c>
      <c r="F2563">
        <v>1006.1</v>
      </c>
      <c r="G2563">
        <v>1006.1</v>
      </c>
      <c r="H2563">
        <v>1006.1</v>
      </c>
      <c r="I2563" s="1">
        <v>1006.1</v>
      </c>
      <c r="J2563">
        <v>139847.9</v>
      </c>
      <c r="K2563">
        <v>139</v>
      </c>
      <c r="L2563" t="s">
        <v>78</v>
      </c>
      <c r="M2563" t="s">
        <v>17</v>
      </c>
      <c r="N2563">
        <v>1</v>
      </c>
      <c r="O2563">
        <v>1006.3</v>
      </c>
      <c r="P2563">
        <v>990</v>
      </c>
      <c r="Q2563" s="1" t="str">
        <v/>
      </c>
      <c r="R2563" s="1" t="str">
        <v/>
      </c>
      <c r="S2563" s="3">
        <v>0</v>
      </c>
      <c r="T2563" s="3">
        <v>0</v>
      </c>
    </row>
    <row r="2564" spans="1:20" x14ac:dyDescent="0.25">
      <c r="A2564" t="s">
        <v>78</v>
      </c>
      <c r="B2564" t="s">
        <v>3868</v>
      </c>
      <c r="C2564" t="s">
        <v>4686</v>
      </c>
      <c r="D2564" t="s">
        <v>4685</v>
      </c>
      <c r="E2564">
        <v>960</v>
      </c>
      <c r="F2564">
        <v>1003</v>
      </c>
      <c r="G2564">
        <v>1003</v>
      </c>
      <c r="H2564">
        <v>1003</v>
      </c>
      <c r="I2564" s="1">
        <v>1003</v>
      </c>
      <c r="J2564">
        <v>150450</v>
      </c>
      <c r="K2564">
        <v>150</v>
      </c>
      <c r="L2564" t="s">
        <v>78</v>
      </c>
      <c r="M2564" t="s">
        <v>17</v>
      </c>
      <c r="N2564">
        <v>5</v>
      </c>
      <c r="O2564">
        <v>1003</v>
      </c>
      <c r="P2564">
        <v>900</v>
      </c>
      <c r="Q2564" s="1" t="str">
        <v/>
      </c>
      <c r="R2564" s="1" t="str">
        <v/>
      </c>
      <c r="S2564" s="3">
        <v>0</v>
      </c>
      <c r="T2564" s="3">
        <v>0</v>
      </c>
    </row>
    <row r="2565" spans="1:20" x14ac:dyDescent="0.25">
      <c r="A2565" t="s">
        <v>78</v>
      </c>
      <c r="B2565" t="s">
        <v>3875</v>
      </c>
      <c r="C2565" t="s">
        <v>4684</v>
      </c>
      <c r="D2565" t="s">
        <v>3882</v>
      </c>
      <c r="E2565">
        <v>1134</v>
      </c>
      <c r="F2565">
        <v>1133</v>
      </c>
      <c r="G2565">
        <v>1134.5</v>
      </c>
      <c r="H2565">
        <v>1132</v>
      </c>
      <c r="I2565" s="1">
        <v>1132</v>
      </c>
      <c r="J2565">
        <v>1652638</v>
      </c>
      <c r="K2565">
        <v>1459</v>
      </c>
      <c r="L2565" t="s">
        <v>78</v>
      </c>
      <c r="M2565" t="s">
        <v>17</v>
      </c>
      <c r="N2565">
        <v>8</v>
      </c>
      <c r="O2565">
        <v>1225</v>
      </c>
      <c r="P2565">
        <v>1072.55</v>
      </c>
      <c r="Q2565" s="1" t="str">
        <v/>
      </c>
      <c r="R2565" s="1" t="str">
        <v/>
      </c>
      <c r="S2565" s="3">
        <v>0</v>
      </c>
      <c r="T2565" s="3">
        <v>0</v>
      </c>
    </row>
    <row r="2566" spans="1:20" x14ac:dyDescent="0.25">
      <c r="A2566" t="s">
        <v>78</v>
      </c>
      <c r="B2566" t="s">
        <v>3875</v>
      </c>
      <c r="C2566" t="s">
        <v>4683</v>
      </c>
      <c r="D2566" t="s">
        <v>3883</v>
      </c>
      <c r="E2566">
        <v>1116.21</v>
      </c>
      <c r="F2566">
        <v>1275</v>
      </c>
      <c r="G2566">
        <v>1275</v>
      </c>
      <c r="H2566">
        <v>1275</v>
      </c>
      <c r="I2566" s="1">
        <v>1275</v>
      </c>
      <c r="J2566">
        <v>6375</v>
      </c>
      <c r="K2566">
        <v>5</v>
      </c>
      <c r="L2566" t="s">
        <v>78</v>
      </c>
      <c r="M2566" t="s">
        <v>17</v>
      </c>
      <c r="N2566">
        <v>1</v>
      </c>
      <c r="O2566">
        <v>1577</v>
      </c>
      <c r="P2566">
        <v>1080</v>
      </c>
      <c r="Q2566" s="1" t="str">
        <v/>
      </c>
      <c r="R2566" s="1" t="str">
        <v/>
      </c>
      <c r="S2566" s="3">
        <v>0</v>
      </c>
      <c r="T2566" s="3">
        <v>0</v>
      </c>
    </row>
    <row r="2567" spans="1:20" x14ac:dyDescent="0.25">
      <c r="A2567" t="s">
        <v>78</v>
      </c>
      <c r="B2567" t="s">
        <v>3875</v>
      </c>
      <c r="C2567" t="s">
        <v>4682</v>
      </c>
      <c r="D2567" t="s">
        <v>3880</v>
      </c>
      <c r="E2567">
        <v>1144</v>
      </c>
      <c r="F2567">
        <v>1144</v>
      </c>
      <c r="G2567">
        <v>1144</v>
      </c>
      <c r="H2567">
        <v>1144</v>
      </c>
      <c r="I2567" s="1">
        <v>1144</v>
      </c>
      <c r="J2567">
        <v>114400</v>
      </c>
      <c r="K2567">
        <v>100</v>
      </c>
      <c r="L2567" t="s">
        <v>78</v>
      </c>
      <c r="M2567" t="s">
        <v>17</v>
      </c>
      <c r="N2567">
        <v>2</v>
      </c>
      <c r="O2567">
        <v>1353.6</v>
      </c>
      <c r="P2567">
        <v>1120.1099999999999</v>
      </c>
      <c r="Q2567" s="1" t="str">
        <v/>
      </c>
      <c r="R2567" s="1" t="str">
        <v/>
      </c>
      <c r="S2567" s="3">
        <v>0</v>
      </c>
      <c r="T2567" s="3">
        <v>0</v>
      </c>
    </row>
    <row r="2568" spans="1:20" x14ac:dyDescent="0.25">
      <c r="A2568" t="s">
        <v>78</v>
      </c>
      <c r="B2568" t="s">
        <v>3875</v>
      </c>
      <c r="C2568" t="s">
        <v>4681</v>
      </c>
      <c r="D2568" t="s">
        <v>3914</v>
      </c>
      <c r="E2568">
        <v>1107.05</v>
      </c>
      <c r="F2568">
        <v>1107.05</v>
      </c>
      <c r="G2568">
        <v>1107.05</v>
      </c>
      <c r="H2568">
        <v>1107.05</v>
      </c>
      <c r="I2568" s="1">
        <v>1107.05</v>
      </c>
      <c r="J2568">
        <v>81921.7</v>
      </c>
      <c r="K2568">
        <v>74</v>
      </c>
      <c r="L2568" t="s">
        <v>78</v>
      </c>
      <c r="M2568" t="s">
        <v>17</v>
      </c>
      <c r="N2568">
        <v>5</v>
      </c>
      <c r="O2568">
        <v>1138</v>
      </c>
      <c r="P2568">
        <v>1035</v>
      </c>
      <c r="Q2568" s="1" t="str">
        <v/>
      </c>
      <c r="R2568" s="1" t="str">
        <v/>
      </c>
      <c r="S2568" s="3">
        <v>0</v>
      </c>
      <c r="T2568" s="3">
        <v>0</v>
      </c>
    </row>
    <row r="2569" spans="1:20" x14ac:dyDescent="0.25">
      <c r="A2569" t="s">
        <v>78</v>
      </c>
      <c r="B2569" t="s">
        <v>3875</v>
      </c>
      <c r="C2569" t="s">
        <v>4680</v>
      </c>
      <c r="D2569" t="s">
        <v>4679</v>
      </c>
      <c r="E2569">
        <v>983</v>
      </c>
      <c r="F2569">
        <v>983</v>
      </c>
      <c r="G2569">
        <v>999.95</v>
      </c>
      <c r="H2569">
        <v>983</v>
      </c>
      <c r="I2569" s="1">
        <v>997</v>
      </c>
      <c r="J2569">
        <v>223714.5</v>
      </c>
      <c r="K2569">
        <v>224</v>
      </c>
      <c r="L2569" t="s">
        <v>78</v>
      </c>
      <c r="M2569" t="s">
        <v>17</v>
      </c>
      <c r="N2569">
        <v>10</v>
      </c>
      <c r="O2569">
        <v>1069</v>
      </c>
      <c r="P2569">
        <v>975</v>
      </c>
      <c r="Q2569" s="1" t="str">
        <v/>
      </c>
      <c r="R2569" s="1" t="str">
        <v/>
      </c>
      <c r="S2569" s="3">
        <v>0</v>
      </c>
      <c r="T2569" s="3">
        <v>0</v>
      </c>
    </row>
    <row r="2570" spans="1:20" x14ac:dyDescent="0.25">
      <c r="A2570" t="s">
        <v>78</v>
      </c>
      <c r="B2570" t="s">
        <v>3885</v>
      </c>
      <c r="C2570" t="s">
        <v>4678</v>
      </c>
      <c r="D2570" t="s">
        <v>4677</v>
      </c>
      <c r="E2570">
        <v>1020</v>
      </c>
      <c r="F2570">
        <v>1001</v>
      </c>
      <c r="G2570">
        <v>1001</v>
      </c>
      <c r="H2570">
        <v>1001</v>
      </c>
      <c r="I2570" s="1">
        <v>1001</v>
      </c>
      <c r="J2570">
        <v>200200</v>
      </c>
      <c r="K2570">
        <v>200</v>
      </c>
      <c r="L2570" t="s">
        <v>78</v>
      </c>
      <c r="M2570" t="s">
        <v>17</v>
      </c>
      <c r="N2570">
        <v>3</v>
      </c>
      <c r="O2570">
        <v>1025</v>
      </c>
      <c r="P2570">
        <v>980</v>
      </c>
      <c r="Q2570" s="1" t="str">
        <v/>
      </c>
      <c r="R2570" s="1" t="str">
        <v/>
      </c>
      <c r="S2570" s="3">
        <v>0</v>
      </c>
      <c r="T2570" s="3">
        <v>0</v>
      </c>
    </row>
    <row r="2571" spans="1:20" x14ac:dyDescent="0.25">
      <c r="A2571" t="s">
        <v>78</v>
      </c>
      <c r="B2571" t="s">
        <v>3885</v>
      </c>
      <c r="C2571" t="s">
        <v>4676</v>
      </c>
      <c r="D2571" t="s">
        <v>4675</v>
      </c>
      <c r="E2571">
        <v>980</v>
      </c>
      <c r="F2571">
        <v>980</v>
      </c>
      <c r="G2571">
        <v>980</v>
      </c>
      <c r="H2571">
        <v>980</v>
      </c>
      <c r="I2571" s="1">
        <v>980</v>
      </c>
      <c r="J2571">
        <v>9800</v>
      </c>
      <c r="K2571">
        <v>10</v>
      </c>
      <c r="L2571" t="s">
        <v>78</v>
      </c>
      <c r="M2571" t="s">
        <v>17</v>
      </c>
      <c r="N2571">
        <v>1</v>
      </c>
      <c r="O2571">
        <v>1000</v>
      </c>
      <c r="P2571">
        <v>970</v>
      </c>
      <c r="Q2571" s="1" t="str">
        <v/>
      </c>
      <c r="R2571" s="1" t="str">
        <v/>
      </c>
      <c r="S2571" s="3">
        <v>0</v>
      </c>
      <c r="T2571" s="3">
        <v>0</v>
      </c>
    </row>
    <row r="2572" spans="1:20" x14ac:dyDescent="0.25">
      <c r="A2572" t="s">
        <v>78</v>
      </c>
      <c r="B2572" t="s">
        <v>3885</v>
      </c>
      <c r="C2572" t="s">
        <v>4674</v>
      </c>
      <c r="D2572" t="s">
        <v>4673</v>
      </c>
      <c r="E2572">
        <v>1080.99</v>
      </c>
      <c r="F2572">
        <v>1081.77</v>
      </c>
      <c r="G2572">
        <v>1081.77</v>
      </c>
      <c r="H2572">
        <v>1060.3499999999999</v>
      </c>
      <c r="I2572" s="1">
        <v>1061.23</v>
      </c>
      <c r="J2572">
        <v>14999.24</v>
      </c>
      <c r="K2572">
        <v>14</v>
      </c>
      <c r="L2572" t="s">
        <v>78</v>
      </c>
      <c r="M2572" t="s">
        <v>17</v>
      </c>
      <c r="N2572">
        <v>4</v>
      </c>
      <c r="O2572">
        <v>1129.9000000000001</v>
      </c>
      <c r="P2572">
        <v>1020.3</v>
      </c>
      <c r="Q2572" s="1" t="str">
        <v/>
      </c>
      <c r="R2572" s="1" t="str">
        <v/>
      </c>
      <c r="S2572" s="3">
        <v>0</v>
      </c>
      <c r="T2572" s="3">
        <v>0</v>
      </c>
    </row>
    <row r="2573" spans="1:20" x14ac:dyDescent="0.25">
      <c r="A2573" t="s">
        <v>78</v>
      </c>
      <c r="B2573" t="s">
        <v>3885</v>
      </c>
      <c r="C2573" t="s">
        <v>4672</v>
      </c>
      <c r="D2573" t="s">
        <v>4671</v>
      </c>
      <c r="E2573">
        <v>948.5</v>
      </c>
      <c r="F2573">
        <v>949</v>
      </c>
      <c r="G2573">
        <v>949</v>
      </c>
      <c r="H2573">
        <v>949</v>
      </c>
      <c r="I2573" s="1">
        <v>949</v>
      </c>
      <c r="J2573">
        <v>35113</v>
      </c>
      <c r="K2573">
        <v>37</v>
      </c>
      <c r="L2573" t="s">
        <v>78</v>
      </c>
      <c r="M2573" t="s">
        <v>17</v>
      </c>
      <c r="N2573">
        <v>1</v>
      </c>
      <c r="O2573">
        <v>1000</v>
      </c>
      <c r="P2573">
        <v>825</v>
      </c>
      <c r="Q2573" s="1" t="str">
        <v/>
      </c>
      <c r="R2573" s="1" t="str">
        <v/>
      </c>
      <c r="S2573" s="3">
        <v>0</v>
      </c>
      <c r="T2573" s="3">
        <v>0</v>
      </c>
    </row>
    <row r="2574" spans="1:20" x14ac:dyDescent="0.25">
      <c r="A2574" t="s">
        <v>78</v>
      </c>
      <c r="B2574" t="s">
        <v>3885</v>
      </c>
      <c r="C2574" t="s">
        <v>4670</v>
      </c>
      <c r="D2574" t="s">
        <v>3888</v>
      </c>
      <c r="E2574">
        <v>1063.9000000000001</v>
      </c>
      <c r="F2574">
        <v>1059.93</v>
      </c>
      <c r="G2574">
        <v>1064.96</v>
      </c>
      <c r="H2574">
        <v>1030</v>
      </c>
      <c r="I2574" s="1">
        <v>1045</v>
      </c>
      <c r="J2574">
        <v>452472.69</v>
      </c>
      <c r="K2574">
        <v>429</v>
      </c>
      <c r="L2574" t="s">
        <v>78</v>
      </c>
      <c r="M2574" t="s">
        <v>17</v>
      </c>
      <c r="N2574">
        <v>17</v>
      </c>
      <c r="O2574">
        <v>1140</v>
      </c>
      <c r="P2574">
        <v>1000</v>
      </c>
      <c r="Q2574" s="1" t="str">
        <v/>
      </c>
      <c r="R2574" s="1" t="str">
        <v/>
      </c>
      <c r="S2574" s="3">
        <v>0</v>
      </c>
      <c r="T2574" s="3">
        <v>0</v>
      </c>
    </row>
    <row r="2575" spans="1:20" x14ac:dyDescent="0.25">
      <c r="A2575" t="s">
        <v>78</v>
      </c>
      <c r="B2575" t="s">
        <v>3891</v>
      </c>
      <c r="C2575" t="s">
        <v>4669</v>
      </c>
      <c r="D2575" t="s">
        <v>4668</v>
      </c>
      <c r="E2575">
        <v>880.36</v>
      </c>
      <c r="F2575">
        <v>887</v>
      </c>
      <c r="G2575">
        <v>892</v>
      </c>
      <c r="H2575">
        <v>887</v>
      </c>
      <c r="I2575" s="1">
        <v>892</v>
      </c>
      <c r="J2575">
        <v>61543</v>
      </c>
      <c r="K2575">
        <v>69</v>
      </c>
      <c r="L2575" t="s">
        <v>78</v>
      </c>
      <c r="M2575" t="s">
        <v>17</v>
      </c>
      <c r="N2575">
        <v>4</v>
      </c>
      <c r="O2575">
        <v>970.9</v>
      </c>
      <c r="P2575">
        <v>880</v>
      </c>
      <c r="Q2575" s="1" t="str">
        <v/>
      </c>
      <c r="R2575" s="1" t="str">
        <v/>
      </c>
      <c r="S2575" s="3">
        <v>0</v>
      </c>
      <c r="T2575" s="3">
        <v>0</v>
      </c>
    </row>
    <row r="2576" spans="1:20" x14ac:dyDescent="0.25">
      <c r="A2576" t="s">
        <v>78</v>
      </c>
      <c r="B2576" t="s">
        <v>3891</v>
      </c>
      <c r="C2576" t="s">
        <v>4667</v>
      </c>
      <c r="D2576" t="s">
        <v>4666</v>
      </c>
      <c r="E2576">
        <v>1101.0999999999999</v>
      </c>
      <c r="F2576">
        <v>1101.0999999999999</v>
      </c>
      <c r="G2576">
        <v>1101.0999999999999</v>
      </c>
      <c r="H2576">
        <v>1101.0999999999999</v>
      </c>
      <c r="I2576" s="1">
        <v>1101.0999999999999</v>
      </c>
      <c r="J2576">
        <v>7707.7</v>
      </c>
      <c r="K2576">
        <v>7</v>
      </c>
      <c r="L2576" t="s">
        <v>78</v>
      </c>
      <c r="M2576" t="s">
        <v>17</v>
      </c>
      <c r="N2576">
        <v>1</v>
      </c>
      <c r="O2576">
        <v>1270</v>
      </c>
      <c r="P2576">
        <v>1081</v>
      </c>
      <c r="Q2576" s="1" t="str">
        <v/>
      </c>
      <c r="R2576" s="1" t="str">
        <v/>
      </c>
      <c r="S2576" s="3">
        <v>0</v>
      </c>
      <c r="T2576" s="3">
        <v>0</v>
      </c>
    </row>
    <row r="2577" spans="1:20" x14ac:dyDescent="0.25">
      <c r="A2577" t="s">
        <v>78</v>
      </c>
      <c r="B2577" t="s">
        <v>3891</v>
      </c>
      <c r="C2577" t="s">
        <v>4665</v>
      </c>
      <c r="D2577" t="s">
        <v>4664</v>
      </c>
      <c r="E2577">
        <v>990</v>
      </c>
      <c r="F2577">
        <v>985</v>
      </c>
      <c r="G2577">
        <v>985</v>
      </c>
      <c r="H2577">
        <v>985</v>
      </c>
      <c r="I2577" s="1">
        <v>985</v>
      </c>
      <c r="J2577">
        <v>98500</v>
      </c>
      <c r="K2577">
        <v>100</v>
      </c>
      <c r="L2577" t="s">
        <v>78</v>
      </c>
      <c r="M2577" t="s">
        <v>17</v>
      </c>
      <c r="N2577">
        <v>1</v>
      </c>
      <c r="O2577">
        <v>1019</v>
      </c>
      <c r="P2577">
        <v>937</v>
      </c>
      <c r="Q2577" s="1" t="str">
        <v/>
      </c>
      <c r="R2577" s="1" t="str">
        <v/>
      </c>
      <c r="S2577" s="3">
        <v>0</v>
      </c>
      <c r="T2577" s="3">
        <v>0</v>
      </c>
    </row>
    <row r="2578" spans="1:20" x14ac:dyDescent="0.25">
      <c r="A2578" t="s">
        <v>78</v>
      </c>
      <c r="B2578" t="s">
        <v>3895</v>
      </c>
      <c r="C2578" t="s">
        <v>4663</v>
      </c>
      <c r="D2578" t="s">
        <v>4662</v>
      </c>
      <c r="E2578">
        <v>996</v>
      </c>
      <c r="F2578">
        <v>978.08</v>
      </c>
      <c r="G2578">
        <v>978.08</v>
      </c>
      <c r="H2578">
        <v>978.08</v>
      </c>
      <c r="I2578" s="1">
        <v>978.08</v>
      </c>
      <c r="J2578">
        <v>9780.7999999999993</v>
      </c>
      <c r="K2578">
        <v>10</v>
      </c>
      <c r="L2578" t="s">
        <v>78</v>
      </c>
      <c r="M2578" t="s">
        <v>17</v>
      </c>
      <c r="N2578">
        <v>1</v>
      </c>
      <c r="O2578">
        <v>996</v>
      </c>
      <c r="P2578">
        <v>978.08</v>
      </c>
      <c r="Q2578" s="1" t="str">
        <v/>
      </c>
      <c r="R2578" s="1" t="str">
        <v/>
      </c>
      <c r="S2578" s="3">
        <v>0</v>
      </c>
      <c r="T2578" s="3">
        <v>0</v>
      </c>
    </row>
    <row r="2579" spans="1:20" x14ac:dyDescent="0.25">
      <c r="A2579" t="s">
        <v>78</v>
      </c>
      <c r="B2579" t="s">
        <v>3895</v>
      </c>
      <c r="C2579" t="s">
        <v>4661</v>
      </c>
      <c r="D2579" t="s">
        <v>3896</v>
      </c>
      <c r="E2579">
        <v>1177.99</v>
      </c>
      <c r="F2579">
        <v>1177.99</v>
      </c>
      <c r="G2579">
        <v>1183.99</v>
      </c>
      <c r="H2579">
        <v>1173.3499999999999</v>
      </c>
      <c r="I2579" s="1">
        <v>1183.99</v>
      </c>
      <c r="J2579">
        <v>132231.73000000001</v>
      </c>
      <c r="K2579">
        <v>112</v>
      </c>
      <c r="L2579" t="s">
        <v>78</v>
      </c>
      <c r="M2579" t="s">
        <v>17</v>
      </c>
      <c r="N2579">
        <v>7</v>
      </c>
      <c r="O2579">
        <v>1235</v>
      </c>
      <c r="P2579">
        <v>1080</v>
      </c>
      <c r="Q2579" s="1" t="str">
        <v/>
      </c>
      <c r="R2579" s="1" t="str">
        <v/>
      </c>
      <c r="S2579" s="3">
        <v>0</v>
      </c>
      <c r="T2579" s="3">
        <v>0</v>
      </c>
    </row>
    <row r="2580" spans="1:20" x14ac:dyDescent="0.25">
      <c r="A2580" t="s">
        <v>78</v>
      </c>
      <c r="B2580" t="s">
        <v>3895</v>
      </c>
      <c r="C2580" t="s">
        <v>4660</v>
      </c>
      <c r="D2580" t="s">
        <v>4659</v>
      </c>
      <c r="E2580">
        <v>1012.4</v>
      </c>
      <c r="F2580">
        <v>1015</v>
      </c>
      <c r="G2580">
        <v>1015</v>
      </c>
      <c r="H2580">
        <v>1005</v>
      </c>
      <c r="I2580" s="1">
        <v>1006.5</v>
      </c>
      <c r="J2580">
        <v>2377702</v>
      </c>
      <c r="K2580">
        <v>2360</v>
      </c>
      <c r="L2580" t="s">
        <v>78</v>
      </c>
      <c r="M2580" t="s">
        <v>17</v>
      </c>
      <c r="N2580">
        <v>7</v>
      </c>
      <c r="O2580">
        <v>1045</v>
      </c>
      <c r="P2580">
        <v>835</v>
      </c>
      <c r="Q2580" s="1" t="str">
        <v/>
      </c>
      <c r="R2580" s="1" t="str">
        <v/>
      </c>
      <c r="S2580" s="3">
        <v>0</v>
      </c>
      <c r="T2580" s="3">
        <v>0</v>
      </c>
    </row>
    <row r="2581" spans="1:20" x14ac:dyDescent="0.25">
      <c r="A2581" t="s">
        <v>78</v>
      </c>
      <c r="B2581" t="s">
        <v>3899</v>
      </c>
      <c r="C2581" t="s">
        <v>4658</v>
      </c>
      <c r="D2581" t="s">
        <v>3905</v>
      </c>
      <c r="E2581">
        <v>948.4</v>
      </c>
      <c r="F2581">
        <v>985</v>
      </c>
      <c r="G2581">
        <v>985</v>
      </c>
      <c r="H2581">
        <v>985</v>
      </c>
      <c r="I2581" s="1">
        <v>985</v>
      </c>
      <c r="J2581">
        <v>5910</v>
      </c>
      <c r="K2581">
        <v>6</v>
      </c>
      <c r="L2581" t="s">
        <v>78</v>
      </c>
      <c r="M2581" t="s">
        <v>17</v>
      </c>
      <c r="N2581">
        <v>2</v>
      </c>
      <c r="O2581">
        <v>1080</v>
      </c>
      <c r="P2581">
        <v>900</v>
      </c>
      <c r="Q2581" s="1" t="str">
        <v/>
      </c>
      <c r="R2581" s="1" t="str">
        <v/>
      </c>
      <c r="S2581" s="3">
        <v>0</v>
      </c>
      <c r="T2581" s="3">
        <v>0</v>
      </c>
    </row>
    <row r="2582" spans="1:20" x14ac:dyDescent="0.25">
      <c r="A2582" t="s">
        <v>78</v>
      </c>
      <c r="B2582" t="s">
        <v>3899</v>
      </c>
      <c r="C2582" t="s">
        <v>4657</v>
      </c>
      <c r="D2582" t="s">
        <v>3908</v>
      </c>
      <c r="E2582">
        <v>1170.06</v>
      </c>
      <c r="F2582">
        <v>1170</v>
      </c>
      <c r="G2582">
        <v>1175</v>
      </c>
      <c r="H2582">
        <v>1170</v>
      </c>
      <c r="I2582" s="1">
        <v>1173</v>
      </c>
      <c r="J2582">
        <v>313933</v>
      </c>
      <c r="K2582">
        <v>268</v>
      </c>
      <c r="L2582" t="s">
        <v>78</v>
      </c>
      <c r="M2582" t="s">
        <v>17</v>
      </c>
      <c r="N2582">
        <v>5</v>
      </c>
      <c r="O2582">
        <v>1205.9000000000001</v>
      </c>
      <c r="P2582">
        <v>1128</v>
      </c>
      <c r="Q2582" s="1" t="str">
        <v/>
      </c>
      <c r="R2582" s="1" t="str">
        <v/>
      </c>
      <c r="S2582" s="3">
        <v>0</v>
      </c>
      <c r="T2582" s="3">
        <v>0</v>
      </c>
    </row>
    <row r="2583" spans="1:20" x14ac:dyDescent="0.25">
      <c r="A2583" t="s">
        <v>78</v>
      </c>
      <c r="B2583" t="s">
        <v>3899</v>
      </c>
      <c r="C2583" t="s">
        <v>4656</v>
      </c>
      <c r="D2583" t="s">
        <v>3906</v>
      </c>
      <c r="E2583">
        <v>1157.3</v>
      </c>
      <c r="F2583">
        <v>1161.01</v>
      </c>
      <c r="G2583">
        <v>1177.99</v>
      </c>
      <c r="H2583">
        <v>1161.01</v>
      </c>
      <c r="I2583" s="1">
        <v>1177.99</v>
      </c>
      <c r="J2583">
        <v>63940.45</v>
      </c>
      <c r="K2583">
        <v>55</v>
      </c>
      <c r="L2583" t="s">
        <v>78</v>
      </c>
      <c r="M2583" t="s">
        <v>17</v>
      </c>
      <c r="N2583">
        <v>2</v>
      </c>
      <c r="O2583">
        <v>1260</v>
      </c>
      <c r="P2583">
        <v>1141.5</v>
      </c>
      <c r="Q2583" s="1" t="str">
        <v/>
      </c>
      <c r="R2583" s="1" t="str">
        <v/>
      </c>
      <c r="S2583" s="3">
        <v>0</v>
      </c>
      <c r="T2583" s="3">
        <v>0</v>
      </c>
    </row>
    <row r="2584" spans="1:20" x14ac:dyDescent="0.25">
      <c r="A2584" t="s">
        <v>78</v>
      </c>
      <c r="B2584" t="s">
        <v>3899</v>
      </c>
      <c r="C2584" t="s">
        <v>4655</v>
      </c>
      <c r="D2584" t="s">
        <v>3902</v>
      </c>
      <c r="E2584">
        <v>1298.3800000000001</v>
      </c>
      <c r="F2584">
        <v>1309.99</v>
      </c>
      <c r="G2584">
        <v>1310</v>
      </c>
      <c r="H2584">
        <v>1309.9000000000001</v>
      </c>
      <c r="I2584" s="1">
        <v>1310</v>
      </c>
      <c r="J2584">
        <v>491246.55</v>
      </c>
      <c r="K2584">
        <v>375</v>
      </c>
      <c r="L2584" t="s">
        <v>78</v>
      </c>
      <c r="M2584" t="s">
        <v>17</v>
      </c>
      <c r="N2584">
        <v>17</v>
      </c>
      <c r="O2584">
        <v>1399</v>
      </c>
      <c r="P2584">
        <v>1261</v>
      </c>
      <c r="Q2584" s="1" t="str">
        <v/>
      </c>
      <c r="R2584" s="1" t="str">
        <v/>
      </c>
      <c r="S2584" s="3">
        <v>0</v>
      </c>
      <c r="T2584" s="3">
        <v>0</v>
      </c>
    </row>
    <row r="2585" spans="1:20" x14ac:dyDescent="0.25">
      <c r="A2585" t="s">
        <v>78</v>
      </c>
      <c r="B2585" t="s">
        <v>3909</v>
      </c>
      <c r="C2585" t="s">
        <v>4654</v>
      </c>
      <c r="D2585" t="s">
        <v>4653</v>
      </c>
      <c r="E2585">
        <v>1183</v>
      </c>
      <c r="F2585">
        <v>1161.22</v>
      </c>
      <c r="G2585">
        <v>1161.22</v>
      </c>
      <c r="H2585">
        <v>1161.22</v>
      </c>
      <c r="I2585" s="1">
        <v>1161.22</v>
      </c>
      <c r="J2585">
        <v>58061</v>
      </c>
      <c r="K2585">
        <v>50</v>
      </c>
      <c r="L2585" t="s">
        <v>78</v>
      </c>
      <c r="M2585" t="s">
        <v>17</v>
      </c>
      <c r="N2585">
        <v>1</v>
      </c>
      <c r="O2585">
        <v>1264.9000000000001</v>
      </c>
      <c r="P2585">
        <v>1114.22</v>
      </c>
      <c r="Q2585" s="1" t="str">
        <v/>
      </c>
      <c r="R2585" s="1" t="str">
        <v/>
      </c>
      <c r="S2585" s="3">
        <v>0</v>
      </c>
      <c r="T2585" s="3">
        <v>0</v>
      </c>
    </row>
    <row r="2586" spans="1:20" x14ac:dyDescent="0.25">
      <c r="A2586" t="s">
        <v>78</v>
      </c>
      <c r="B2586" t="s">
        <v>3909</v>
      </c>
      <c r="C2586" t="s">
        <v>4652</v>
      </c>
      <c r="D2586" t="s">
        <v>4651</v>
      </c>
      <c r="E2586">
        <v>1042</v>
      </c>
      <c r="F2586">
        <v>1035</v>
      </c>
      <c r="G2586">
        <v>1035</v>
      </c>
      <c r="H2586">
        <v>1030</v>
      </c>
      <c r="I2586" s="1">
        <v>1030</v>
      </c>
      <c r="J2586">
        <v>454259</v>
      </c>
      <c r="K2586">
        <v>441</v>
      </c>
      <c r="L2586" t="s">
        <v>78</v>
      </c>
      <c r="M2586" t="s">
        <v>17</v>
      </c>
      <c r="N2586">
        <v>5</v>
      </c>
      <c r="O2586">
        <v>1119.8</v>
      </c>
      <c r="P2586">
        <v>1001</v>
      </c>
      <c r="Q2586" s="1" t="str">
        <v/>
      </c>
      <c r="R2586" s="1" t="str">
        <v/>
      </c>
      <c r="S2586" s="3">
        <v>0</v>
      </c>
      <c r="T2586" s="3">
        <v>0</v>
      </c>
    </row>
    <row r="2587" spans="1:20" x14ac:dyDescent="0.25">
      <c r="A2587" t="s">
        <v>78</v>
      </c>
      <c r="B2587" t="s">
        <v>3909</v>
      </c>
      <c r="C2587" t="s">
        <v>4650</v>
      </c>
      <c r="D2587" t="s">
        <v>4516</v>
      </c>
      <c r="E2587">
        <v>1014.71</v>
      </c>
      <c r="F2587">
        <v>1014.71</v>
      </c>
      <c r="G2587">
        <v>1035</v>
      </c>
      <c r="H2587">
        <v>1014.71</v>
      </c>
      <c r="I2587" s="1">
        <v>1035</v>
      </c>
      <c r="J2587">
        <v>29812.1</v>
      </c>
      <c r="K2587">
        <v>29</v>
      </c>
      <c r="L2587" t="s">
        <v>78</v>
      </c>
      <c r="M2587" t="s">
        <v>17</v>
      </c>
      <c r="N2587">
        <v>4</v>
      </c>
      <c r="O2587">
        <v>1080</v>
      </c>
      <c r="P2587">
        <v>818.85</v>
      </c>
      <c r="Q2587" s="1" t="str">
        <v/>
      </c>
      <c r="R2587" s="1" t="str">
        <v/>
      </c>
      <c r="S2587" s="3">
        <v>0</v>
      </c>
      <c r="T2587" s="3">
        <v>0</v>
      </c>
    </row>
    <row r="2588" spans="1:20" x14ac:dyDescent="0.25">
      <c r="A2588" t="s">
        <v>78</v>
      </c>
      <c r="B2588" t="s">
        <v>3909</v>
      </c>
      <c r="C2588" t="s">
        <v>4649</v>
      </c>
      <c r="D2588" t="s">
        <v>3912</v>
      </c>
      <c r="E2588">
        <v>934.76</v>
      </c>
      <c r="F2588">
        <v>935</v>
      </c>
      <c r="G2588">
        <v>939</v>
      </c>
      <c r="H2588">
        <v>934.76</v>
      </c>
      <c r="I2588" s="1">
        <v>935.9</v>
      </c>
      <c r="J2588">
        <v>380565</v>
      </c>
      <c r="K2588">
        <v>407</v>
      </c>
      <c r="L2588" t="s">
        <v>78</v>
      </c>
      <c r="M2588" t="s">
        <v>17</v>
      </c>
      <c r="N2588">
        <v>10</v>
      </c>
      <c r="O2588">
        <v>1051</v>
      </c>
      <c r="P2588">
        <v>906.5</v>
      </c>
      <c r="Q2588" s="1" t="str">
        <v/>
      </c>
      <c r="R2588" s="1" t="str">
        <v/>
      </c>
      <c r="S2588" s="3">
        <v>0</v>
      </c>
      <c r="T2588" s="3">
        <v>0</v>
      </c>
    </row>
    <row r="2589" spans="1:20" x14ac:dyDescent="0.25">
      <c r="A2589" t="s">
        <v>78</v>
      </c>
      <c r="B2589" t="s">
        <v>3915</v>
      </c>
      <c r="C2589" t="s">
        <v>4648</v>
      </c>
      <c r="D2589" t="s">
        <v>4647</v>
      </c>
      <c r="E2589">
        <v>1080</v>
      </c>
      <c r="F2589">
        <v>1120</v>
      </c>
      <c r="G2589">
        <v>1120</v>
      </c>
      <c r="H2589">
        <v>1120</v>
      </c>
      <c r="I2589" s="1">
        <v>1120</v>
      </c>
      <c r="J2589">
        <v>4480</v>
      </c>
      <c r="K2589">
        <v>4</v>
      </c>
      <c r="L2589" t="s">
        <v>78</v>
      </c>
      <c r="M2589" t="s">
        <v>17</v>
      </c>
      <c r="N2589">
        <v>1</v>
      </c>
      <c r="O2589">
        <v>1120</v>
      </c>
      <c r="P2589">
        <v>981.6</v>
      </c>
      <c r="Q2589" s="1" t="str">
        <v/>
      </c>
      <c r="R2589" s="1" t="str">
        <v/>
      </c>
      <c r="S2589" s="3">
        <v>0</v>
      </c>
      <c r="T2589" s="3">
        <v>0</v>
      </c>
    </row>
    <row r="2590" spans="1:20" x14ac:dyDescent="0.25">
      <c r="A2590" t="s">
        <v>78</v>
      </c>
      <c r="B2590" t="s">
        <v>3915</v>
      </c>
      <c r="C2590" t="s">
        <v>4646</v>
      </c>
      <c r="D2590" t="s">
        <v>3917</v>
      </c>
      <c r="E2590">
        <v>1187.92</v>
      </c>
      <c r="F2590">
        <v>1194</v>
      </c>
      <c r="G2590">
        <v>1194</v>
      </c>
      <c r="H2590">
        <v>1190.99</v>
      </c>
      <c r="I2590" s="1">
        <v>1190.99</v>
      </c>
      <c r="J2590">
        <v>66850.990000000005</v>
      </c>
      <c r="K2590">
        <v>56</v>
      </c>
      <c r="L2590" t="s">
        <v>78</v>
      </c>
      <c r="M2590" t="s">
        <v>17</v>
      </c>
      <c r="N2590">
        <v>4</v>
      </c>
      <c r="O2590">
        <v>1269</v>
      </c>
      <c r="P2590">
        <v>1102.1500000000001</v>
      </c>
      <c r="Q2590" s="1" t="str">
        <v/>
      </c>
      <c r="R2590" s="1" t="str">
        <v/>
      </c>
      <c r="S2590" s="3">
        <v>0</v>
      </c>
      <c r="T2590" s="3">
        <v>0</v>
      </c>
    </row>
    <row r="2591" spans="1:20" x14ac:dyDescent="0.25">
      <c r="A2591" t="s">
        <v>78</v>
      </c>
      <c r="B2591" t="s">
        <v>1933</v>
      </c>
      <c r="C2591" t="s">
        <v>4645</v>
      </c>
      <c r="D2591" t="s">
        <v>3958</v>
      </c>
      <c r="E2591">
        <v>1025</v>
      </c>
      <c r="F2591">
        <v>1020</v>
      </c>
      <c r="G2591">
        <v>1020</v>
      </c>
      <c r="H2591">
        <v>1019.99</v>
      </c>
      <c r="I2591" s="1">
        <v>1020</v>
      </c>
      <c r="J2591">
        <v>1153618.3999999999</v>
      </c>
      <c r="K2591">
        <v>1131</v>
      </c>
      <c r="L2591" t="s">
        <v>78</v>
      </c>
      <c r="M2591" t="s">
        <v>17</v>
      </c>
      <c r="N2591">
        <v>32</v>
      </c>
      <c r="O2591">
        <v>1050</v>
      </c>
      <c r="P2591">
        <v>999.9</v>
      </c>
      <c r="Q2591" s="1" t="str">
        <v/>
      </c>
      <c r="R2591" s="1" t="str">
        <v/>
      </c>
      <c r="S2591" s="3">
        <v>0</v>
      </c>
      <c r="T2591" s="3">
        <v>0</v>
      </c>
    </row>
    <row r="2592" spans="1:20" x14ac:dyDescent="0.25">
      <c r="A2592" t="s">
        <v>78</v>
      </c>
      <c r="B2592" t="s">
        <v>1933</v>
      </c>
      <c r="C2592" t="s">
        <v>4644</v>
      </c>
      <c r="D2592" t="s">
        <v>4510</v>
      </c>
      <c r="E2592">
        <v>975</v>
      </c>
      <c r="F2592">
        <v>975</v>
      </c>
      <c r="G2592">
        <v>975</v>
      </c>
      <c r="H2592">
        <v>975</v>
      </c>
      <c r="I2592" s="1">
        <v>975</v>
      </c>
      <c r="J2592">
        <v>56550</v>
      </c>
      <c r="K2592">
        <v>58</v>
      </c>
      <c r="L2592" t="s">
        <v>78</v>
      </c>
      <c r="M2592" t="s">
        <v>17</v>
      </c>
      <c r="N2592">
        <v>3</v>
      </c>
      <c r="O2592">
        <v>1080</v>
      </c>
      <c r="P2592">
        <v>936.3</v>
      </c>
      <c r="Q2592" s="1" t="str">
        <v/>
      </c>
      <c r="R2592" s="1" t="str">
        <v/>
      </c>
      <c r="S2592" s="3">
        <v>0</v>
      </c>
      <c r="T2592" s="3">
        <v>0</v>
      </c>
    </row>
    <row r="2593" spans="1:20" x14ac:dyDescent="0.25">
      <c r="A2593" t="s">
        <v>78</v>
      </c>
      <c r="B2593" t="s">
        <v>1933</v>
      </c>
      <c r="C2593" t="s">
        <v>4643</v>
      </c>
      <c r="D2593" t="s">
        <v>3919</v>
      </c>
      <c r="E2593">
        <v>1053.81</v>
      </c>
      <c r="F2593">
        <v>1056.9000000000001</v>
      </c>
      <c r="G2593">
        <v>1057</v>
      </c>
      <c r="H2593">
        <v>1056.9000000000001</v>
      </c>
      <c r="I2593" s="1">
        <v>1057</v>
      </c>
      <c r="J2593">
        <v>1056950.25</v>
      </c>
      <c r="K2593">
        <v>1000</v>
      </c>
      <c r="L2593" t="s">
        <v>78</v>
      </c>
      <c r="M2593" t="s">
        <v>17</v>
      </c>
      <c r="N2593">
        <v>4</v>
      </c>
      <c r="O2593">
        <v>1099</v>
      </c>
      <c r="P2593">
        <v>927</v>
      </c>
      <c r="Q2593" s="1" t="str">
        <v/>
      </c>
      <c r="R2593" s="1" t="str">
        <v/>
      </c>
      <c r="S2593" s="3">
        <v>0</v>
      </c>
      <c r="T2593" s="3">
        <v>0</v>
      </c>
    </row>
    <row r="2594" spans="1:20" x14ac:dyDescent="0.25">
      <c r="A2594" t="s">
        <v>78</v>
      </c>
      <c r="B2594" t="s">
        <v>3921</v>
      </c>
      <c r="C2594" t="s">
        <v>4642</v>
      </c>
      <c r="D2594" t="s">
        <v>4641</v>
      </c>
      <c r="E2594">
        <v>1079.99</v>
      </c>
      <c r="F2594">
        <v>1080</v>
      </c>
      <c r="G2594">
        <v>1080</v>
      </c>
      <c r="H2594">
        <v>1080</v>
      </c>
      <c r="I2594" s="1">
        <v>1080</v>
      </c>
      <c r="J2594">
        <v>54000</v>
      </c>
      <c r="K2594">
        <v>50</v>
      </c>
      <c r="L2594" t="s">
        <v>78</v>
      </c>
      <c r="M2594" t="s">
        <v>17</v>
      </c>
      <c r="N2594">
        <v>1</v>
      </c>
      <c r="O2594">
        <v>1109.99</v>
      </c>
      <c r="P2594">
        <v>1010</v>
      </c>
      <c r="Q2594" s="1" t="str">
        <v/>
      </c>
      <c r="R2594" s="1" t="str">
        <v/>
      </c>
      <c r="S2594" s="3">
        <v>0</v>
      </c>
      <c r="T2594" s="3">
        <v>0</v>
      </c>
    </row>
    <row r="2595" spans="1:20" x14ac:dyDescent="0.25">
      <c r="A2595" t="s">
        <v>78</v>
      </c>
      <c r="B2595" t="s">
        <v>3921</v>
      </c>
      <c r="C2595" t="s">
        <v>4640</v>
      </c>
      <c r="D2595" t="s">
        <v>3924</v>
      </c>
      <c r="E2595">
        <v>1069.99</v>
      </c>
      <c r="F2595">
        <v>1071.0999999999999</v>
      </c>
      <c r="G2595">
        <v>1071.0999999999999</v>
      </c>
      <c r="H2595">
        <v>1070</v>
      </c>
      <c r="I2595" s="1">
        <v>1070</v>
      </c>
      <c r="J2595">
        <v>3307362.4</v>
      </c>
      <c r="K2595">
        <v>3090</v>
      </c>
      <c r="L2595" t="s">
        <v>78</v>
      </c>
      <c r="M2595" t="s">
        <v>17</v>
      </c>
      <c r="N2595">
        <v>15</v>
      </c>
      <c r="O2595">
        <v>1160</v>
      </c>
      <c r="P2595">
        <v>1060</v>
      </c>
      <c r="Q2595" s="1" t="str">
        <v/>
      </c>
      <c r="R2595" s="1" t="str">
        <v/>
      </c>
      <c r="S2595" s="3">
        <v>0</v>
      </c>
      <c r="T2595" s="3">
        <v>0</v>
      </c>
    </row>
    <row r="2596" spans="1:20" x14ac:dyDescent="0.25">
      <c r="A2596" t="s">
        <v>78</v>
      </c>
      <c r="B2596" t="s">
        <v>3925</v>
      </c>
      <c r="C2596" t="s">
        <v>4639</v>
      </c>
      <c r="D2596" t="s">
        <v>3927</v>
      </c>
      <c r="E2596">
        <v>1150.1500000000001</v>
      </c>
      <c r="F2596">
        <v>1158</v>
      </c>
      <c r="G2596">
        <v>1158</v>
      </c>
      <c r="H2596">
        <v>1158</v>
      </c>
      <c r="I2596" s="1">
        <v>1158</v>
      </c>
      <c r="J2596">
        <v>1158</v>
      </c>
      <c r="K2596">
        <v>1</v>
      </c>
      <c r="L2596" t="s">
        <v>78</v>
      </c>
      <c r="M2596" t="s">
        <v>17</v>
      </c>
      <c r="N2596">
        <v>1</v>
      </c>
      <c r="O2596">
        <v>1197.79</v>
      </c>
      <c r="P2596">
        <v>1100</v>
      </c>
      <c r="Q2596" s="1" t="str">
        <v/>
      </c>
      <c r="R2596" s="1" t="str">
        <v/>
      </c>
      <c r="S2596" s="3">
        <v>0</v>
      </c>
      <c r="T2596" s="3">
        <v>0</v>
      </c>
    </row>
    <row r="2597" spans="1:20" x14ac:dyDescent="0.25">
      <c r="A2597" t="s">
        <v>78</v>
      </c>
      <c r="B2597" t="s">
        <v>3925</v>
      </c>
      <c r="C2597" t="s">
        <v>4638</v>
      </c>
      <c r="D2597" t="s">
        <v>3926</v>
      </c>
      <c r="E2597">
        <v>1011.32</v>
      </c>
      <c r="F2597">
        <v>1015.8</v>
      </c>
      <c r="G2597">
        <v>1019.32</v>
      </c>
      <c r="H2597">
        <v>1015.8</v>
      </c>
      <c r="I2597" s="1">
        <v>1016.4</v>
      </c>
      <c r="J2597">
        <v>203396</v>
      </c>
      <c r="K2597">
        <v>200</v>
      </c>
      <c r="L2597" t="s">
        <v>78</v>
      </c>
      <c r="M2597" t="s">
        <v>17</v>
      </c>
      <c r="N2597">
        <v>3</v>
      </c>
      <c r="O2597">
        <v>1076</v>
      </c>
      <c r="P2597">
        <v>994</v>
      </c>
      <c r="Q2597" s="1" t="str">
        <v/>
      </c>
      <c r="R2597" s="1" t="str">
        <v/>
      </c>
      <c r="S2597" s="3">
        <v>0</v>
      </c>
      <c r="T2597" s="3">
        <v>0</v>
      </c>
    </row>
    <row r="2598" spans="1:20" x14ac:dyDescent="0.25">
      <c r="A2598" t="s">
        <v>78</v>
      </c>
      <c r="B2598" t="s">
        <v>3925</v>
      </c>
      <c r="C2598" t="s">
        <v>4637</v>
      </c>
      <c r="D2598" t="s">
        <v>4636</v>
      </c>
      <c r="E2598">
        <v>1040</v>
      </c>
      <c r="F2598">
        <v>1054</v>
      </c>
      <c r="G2598">
        <v>1054</v>
      </c>
      <c r="H2598">
        <v>1043.1500000000001</v>
      </c>
      <c r="I2598" s="1">
        <v>1047.04</v>
      </c>
      <c r="J2598">
        <v>184886.55</v>
      </c>
      <c r="K2598">
        <v>176</v>
      </c>
      <c r="L2598" t="s">
        <v>78</v>
      </c>
      <c r="M2598" t="s">
        <v>17</v>
      </c>
      <c r="N2598">
        <v>5</v>
      </c>
      <c r="O2598">
        <v>1054</v>
      </c>
      <c r="P2598">
        <v>996</v>
      </c>
      <c r="Q2598" s="1" t="str">
        <v/>
      </c>
      <c r="R2598" s="1" t="str">
        <v/>
      </c>
      <c r="S2598" s="3">
        <v>0</v>
      </c>
      <c r="T2598" s="3">
        <v>0</v>
      </c>
    </row>
    <row r="2599" spans="1:20" x14ac:dyDescent="0.25">
      <c r="A2599" t="s">
        <v>78</v>
      </c>
      <c r="B2599" t="s">
        <v>3925</v>
      </c>
      <c r="C2599" t="s">
        <v>4635</v>
      </c>
      <c r="D2599" t="s">
        <v>4634</v>
      </c>
      <c r="E2599">
        <v>934.01</v>
      </c>
      <c r="F2599">
        <v>935</v>
      </c>
      <c r="G2599">
        <v>945</v>
      </c>
      <c r="H2599">
        <v>933</v>
      </c>
      <c r="I2599" s="1">
        <v>939.99</v>
      </c>
      <c r="J2599">
        <v>103087.4</v>
      </c>
      <c r="K2599">
        <v>110</v>
      </c>
      <c r="L2599" t="s">
        <v>78</v>
      </c>
      <c r="M2599" t="s">
        <v>17</v>
      </c>
      <c r="N2599">
        <v>13</v>
      </c>
      <c r="O2599">
        <v>999</v>
      </c>
      <c r="P2599">
        <v>840</v>
      </c>
      <c r="Q2599" s="1" t="str">
        <v/>
      </c>
      <c r="R2599" s="1" t="str">
        <v/>
      </c>
      <c r="S2599" s="3">
        <v>0</v>
      </c>
      <c r="T2599" s="3">
        <v>0</v>
      </c>
    </row>
    <row r="2600" spans="1:20" x14ac:dyDescent="0.25">
      <c r="A2600" t="s">
        <v>78</v>
      </c>
      <c r="B2600" t="s">
        <v>3930</v>
      </c>
      <c r="C2600" t="s">
        <v>4633</v>
      </c>
      <c r="D2600" t="s">
        <v>3931</v>
      </c>
      <c r="E2600">
        <v>1006.05</v>
      </c>
      <c r="F2600">
        <v>1047</v>
      </c>
      <c r="G2600">
        <v>1047</v>
      </c>
      <c r="H2600">
        <v>1010</v>
      </c>
      <c r="I2600" s="1">
        <v>1010</v>
      </c>
      <c r="J2600">
        <v>971940.55</v>
      </c>
      <c r="K2600">
        <v>944</v>
      </c>
      <c r="L2600" t="s">
        <v>78</v>
      </c>
      <c r="M2600" t="s">
        <v>17</v>
      </c>
      <c r="N2600">
        <v>9</v>
      </c>
      <c r="O2600">
        <v>1175</v>
      </c>
      <c r="P2600">
        <v>920</v>
      </c>
      <c r="Q2600" s="1" t="str">
        <v/>
      </c>
      <c r="R2600" s="1" t="str">
        <v/>
      </c>
      <c r="S2600" s="3">
        <v>0</v>
      </c>
      <c r="T2600" s="3">
        <v>0</v>
      </c>
    </row>
    <row r="2601" spans="1:20" x14ac:dyDescent="0.25">
      <c r="A2601" t="s">
        <v>78</v>
      </c>
      <c r="B2601" t="s">
        <v>3934</v>
      </c>
      <c r="C2601" t="s">
        <v>4632</v>
      </c>
      <c r="D2601" t="s">
        <v>4631</v>
      </c>
      <c r="E2601">
        <v>1003</v>
      </c>
      <c r="F2601">
        <v>1020</v>
      </c>
      <c r="G2601">
        <v>1020</v>
      </c>
      <c r="H2601">
        <v>1020</v>
      </c>
      <c r="I2601" s="1">
        <v>1020</v>
      </c>
      <c r="J2601">
        <v>1020</v>
      </c>
      <c r="K2601">
        <v>1</v>
      </c>
      <c r="L2601" t="s">
        <v>78</v>
      </c>
      <c r="M2601" t="s">
        <v>17</v>
      </c>
      <c r="N2601">
        <v>1</v>
      </c>
      <c r="O2601">
        <v>1099</v>
      </c>
      <c r="P2601">
        <v>977.93</v>
      </c>
      <c r="Q2601" s="1" t="str">
        <v/>
      </c>
      <c r="R2601" s="1" t="str">
        <v/>
      </c>
      <c r="S2601" s="3">
        <v>0</v>
      </c>
      <c r="T2601" s="3">
        <v>0</v>
      </c>
    </row>
    <row r="2602" spans="1:20" x14ac:dyDescent="0.25">
      <c r="A2602" t="s">
        <v>78</v>
      </c>
      <c r="B2602" t="s">
        <v>3934</v>
      </c>
      <c r="C2602" t="s">
        <v>4630</v>
      </c>
      <c r="D2602" t="s">
        <v>4629</v>
      </c>
      <c r="E2602">
        <v>947.25</v>
      </c>
      <c r="F2602">
        <v>947.75</v>
      </c>
      <c r="G2602">
        <v>947.75</v>
      </c>
      <c r="H2602">
        <v>920</v>
      </c>
      <c r="I2602" s="1">
        <v>932.07</v>
      </c>
      <c r="J2602">
        <v>2417110.2999999998</v>
      </c>
      <c r="K2602">
        <v>2611</v>
      </c>
      <c r="L2602" t="s">
        <v>78</v>
      </c>
      <c r="M2602" t="s">
        <v>17</v>
      </c>
      <c r="N2602">
        <v>35</v>
      </c>
      <c r="O2602">
        <v>974.95</v>
      </c>
      <c r="P2602">
        <v>835.2</v>
      </c>
      <c r="Q2602" s="1" t="str">
        <v/>
      </c>
      <c r="R2602" s="1" t="str">
        <v/>
      </c>
      <c r="S2602" s="3">
        <v>0</v>
      </c>
      <c r="T2602" s="3">
        <v>0</v>
      </c>
    </row>
    <row r="2603" spans="1:20" x14ac:dyDescent="0.25">
      <c r="A2603" t="s">
        <v>78</v>
      </c>
      <c r="B2603" t="s">
        <v>3934</v>
      </c>
      <c r="C2603" t="s">
        <v>4628</v>
      </c>
      <c r="D2603" t="s">
        <v>3935</v>
      </c>
      <c r="E2603">
        <v>1031.33</v>
      </c>
      <c r="F2603">
        <v>1034</v>
      </c>
      <c r="G2603">
        <v>1034</v>
      </c>
      <c r="H2603">
        <v>1031</v>
      </c>
      <c r="I2603" s="1">
        <v>1031</v>
      </c>
      <c r="J2603">
        <v>175421.1</v>
      </c>
      <c r="K2603">
        <v>170</v>
      </c>
      <c r="L2603" t="s">
        <v>78</v>
      </c>
      <c r="M2603" t="s">
        <v>17</v>
      </c>
      <c r="N2603">
        <v>5</v>
      </c>
      <c r="O2603">
        <v>1089</v>
      </c>
      <c r="P2603">
        <v>955</v>
      </c>
      <c r="Q2603" s="1" t="str">
        <v/>
      </c>
      <c r="R2603" s="1" t="str">
        <v/>
      </c>
      <c r="S2603" s="3">
        <v>0</v>
      </c>
      <c r="T2603" s="3">
        <v>0</v>
      </c>
    </row>
    <row r="2604" spans="1:20" x14ac:dyDescent="0.25">
      <c r="A2604" t="s">
        <v>78</v>
      </c>
      <c r="B2604" t="s">
        <v>3939</v>
      </c>
      <c r="C2604" t="s">
        <v>4627</v>
      </c>
      <c r="D2604" t="s">
        <v>4545</v>
      </c>
      <c r="E2604">
        <v>1059.8</v>
      </c>
      <c r="F2604">
        <v>1059.8</v>
      </c>
      <c r="G2604">
        <v>1059.8</v>
      </c>
      <c r="H2604">
        <v>1050</v>
      </c>
      <c r="I2604" s="1">
        <v>1050</v>
      </c>
      <c r="J2604">
        <v>27456.95</v>
      </c>
      <c r="K2604">
        <v>26</v>
      </c>
      <c r="L2604" t="s">
        <v>78</v>
      </c>
      <c r="M2604" t="s">
        <v>17</v>
      </c>
      <c r="N2604">
        <v>3</v>
      </c>
      <c r="O2604">
        <v>1139</v>
      </c>
      <c r="P2604">
        <v>960.03</v>
      </c>
      <c r="Q2604" s="1" t="str">
        <v/>
      </c>
      <c r="R2604" s="1" t="str">
        <v/>
      </c>
      <c r="S2604" s="3">
        <v>0</v>
      </c>
      <c r="T2604" s="3">
        <v>0</v>
      </c>
    </row>
    <row r="2605" spans="1:20" x14ac:dyDescent="0.25">
      <c r="A2605" t="s">
        <v>78</v>
      </c>
      <c r="B2605" t="s">
        <v>3939</v>
      </c>
      <c r="C2605" t="s">
        <v>4626</v>
      </c>
      <c r="D2605" t="s">
        <v>4625</v>
      </c>
      <c r="E2605">
        <v>1045.5899999999999</v>
      </c>
      <c r="F2605">
        <v>1049.5999999999999</v>
      </c>
      <c r="G2605">
        <v>1049.5999999999999</v>
      </c>
      <c r="H2605">
        <v>1049.5899999999999</v>
      </c>
      <c r="I2605" s="1">
        <v>1049.5899999999999</v>
      </c>
      <c r="J2605">
        <v>47231.75</v>
      </c>
      <c r="K2605">
        <v>45</v>
      </c>
      <c r="L2605" t="s">
        <v>78</v>
      </c>
      <c r="M2605" t="s">
        <v>17</v>
      </c>
      <c r="N2605">
        <v>2</v>
      </c>
      <c r="O2605">
        <v>1138</v>
      </c>
      <c r="P2605">
        <v>1000</v>
      </c>
      <c r="Q2605" s="1" t="str">
        <v/>
      </c>
      <c r="R2605" s="1" t="str">
        <v/>
      </c>
      <c r="S2605" s="3">
        <v>0</v>
      </c>
      <c r="T2605" s="3">
        <v>0</v>
      </c>
    </row>
    <row r="2606" spans="1:20" x14ac:dyDescent="0.25">
      <c r="A2606" t="s">
        <v>78</v>
      </c>
      <c r="B2606" t="s">
        <v>3941</v>
      </c>
      <c r="C2606" t="s">
        <v>4624</v>
      </c>
      <c r="D2606" t="s">
        <v>3943</v>
      </c>
      <c r="E2606">
        <v>1173.95</v>
      </c>
      <c r="F2606">
        <v>1166</v>
      </c>
      <c r="G2606">
        <v>1173</v>
      </c>
      <c r="H2606">
        <v>1166</v>
      </c>
      <c r="I2606" s="1">
        <v>1172.99</v>
      </c>
      <c r="J2606">
        <v>1990534</v>
      </c>
      <c r="K2606">
        <v>1700</v>
      </c>
      <c r="L2606" t="s">
        <v>78</v>
      </c>
      <c r="M2606" t="s">
        <v>17</v>
      </c>
      <c r="N2606">
        <v>4</v>
      </c>
      <c r="O2606">
        <v>1208.8499999999999</v>
      </c>
      <c r="P2606">
        <v>1097.25</v>
      </c>
      <c r="Q2606" s="1" t="str">
        <v/>
      </c>
      <c r="R2606" s="1" t="str">
        <v/>
      </c>
      <c r="S2606" s="3">
        <v>0</v>
      </c>
      <c r="T2606" s="3">
        <v>0</v>
      </c>
    </row>
    <row r="2607" spans="1:20" x14ac:dyDescent="0.25">
      <c r="A2607" t="s">
        <v>78</v>
      </c>
      <c r="B2607" t="s">
        <v>3941</v>
      </c>
      <c r="C2607" t="s">
        <v>4623</v>
      </c>
      <c r="D2607" t="s">
        <v>4622</v>
      </c>
      <c r="E2607">
        <v>1015</v>
      </c>
      <c r="F2607">
        <v>1015</v>
      </c>
      <c r="G2607">
        <v>1015.01</v>
      </c>
      <c r="H2607">
        <v>1015</v>
      </c>
      <c r="I2607" s="1">
        <v>1015.01</v>
      </c>
      <c r="J2607">
        <v>29435.040000000001</v>
      </c>
      <c r="K2607">
        <v>29</v>
      </c>
      <c r="L2607" t="s">
        <v>78</v>
      </c>
      <c r="M2607" t="s">
        <v>17</v>
      </c>
      <c r="N2607">
        <v>3</v>
      </c>
      <c r="O2607">
        <v>1049.9000000000001</v>
      </c>
      <c r="P2607">
        <v>932.2</v>
      </c>
      <c r="Q2607" s="1" t="str">
        <v/>
      </c>
      <c r="R2607" s="1" t="str">
        <v/>
      </c>
      <c r="S2607" s="3">
        <v>0</v>
      </c>
      <c r="T2607" s="3">
        <v>0</v>
      </c>
    </row>
    <row r="2608" spans="1:20" x14ac:dyDescent="0.25">
      <c r="A2608" t="s">
        <v>78</v>
      </c>
      <c r="B2608" t="s">
        <v>3948</v>
      </c>
      <c r="C2608" t="s">
        <v>4621</v>
      </c>
      <c r="D2608" t="s">
        <v>4620</v>
      </c>
      <c r="E2608">
        <v>985.25</v>
      </c>
      <c r="F2608">
        <v>986.08</v>
      </c>
      <c r="G2608">
        <v>986.08</v>
      </c>
      <c r="H2608">
        <v>982.7</v>
      </c>
      <c r="I2608" s="1">
        <v>982.7</v>
      </c>
      <c r="J2608">
        <v>19676.099999999999</v>
      </c>
      <c r="K2608">
        <v>20</v>
      </c>
      <c r="L2608" t="s">
        <v>78</v>
      </c>
      <c r="M2608" t="s">
        <v>17</v>
      </c>
      <c r="N2608">
        <v>4</v>
      </c>
      <c r="O2608">
        <v>1080</v>
      </c>
      <c r="P2608">
        <v>945.75</v>
      </c>
      <c r="Q2608" s="1" t="str">
        <v/>
      </c>
      <c r="R2608" s="1" t="str">
        <v/>
      </c>
      <c r="S2608" s="3">
        <v>0</v>
      </c>
      <c r="T2608" s="3">
        <v>0</v>
      </c>
    </row>
    <row r="2609" spans="1:20" x14ac:dyDescent="0.25">
      <c r="A2609" t="s">
        <v>78</v>
      </c>
      <c r="B2609" t="s">
        <v>3948</v>
      </c>
      <c r="C2609" t="s">
        <v>4619</v>
      </c>
      <c r="D2609" t="s">
        <v>4618</v>
      </c>
      <c r="E2609">
        <v>990.84</v>
      </c>
      <c r="F2609">
        <v>985</v>
      </c>
      <c r="G2609">
        <v>985</v>
      </c>
      <c r="H2609">
        <v>985</v>
      </c>
      <c r="I2609" s="1">
        <v>985</v>
      </c>
      <c r="J2609">
        <v>59100</v>
      </c>
      <c r="K2609">
        <v>60</v>
      </c>
      <c r="L2609" t="s">
        <v>78</v>
      </c>
      <c r="M2609" t="s">
        <v>17</v>
      </c>
      <c r="N2609">
        <v>1</v>
      </c>
      <c r="O2609">
        <v>1025</v>
      </c>
      <c r="P2609">
        <v>941</v>
      </c>
      <c r="Q2609" s="1" t="str">
        <v/>
      </c>
      <c r="R2609" s="1" t="str">
        <v/>
      </c>
      <c r="S2609" s="3">
        <v>0</v>
      </c>
      <c r="T2609" s="3">
        <v>0</v>
      </c>
    </row>
    <row r="2610" spans="1:20" x14ac:dyDescent="0.25">
      <c r="A2610" t="s">
        <v>78</v>
      </c>
      <c r="B2610" t="s">
        <v>3950</v>
      </c>
      <c r="C2610" t="s">
        <v>4617</v>
      </c>
      <c r="D2610" t="s">
        <v>3951</v>
      </c>
      <c r="E2610">
        <v>986.15</v>
      </c>
      <c r="F2610">
        <v>985</v>
      </c>
      <c r="G2610">
        <v>994</v>
      </c>
      <c r="H2610">
        <v>985</v>
      </c>
      <c r="I2610" s="1">
        <v>993.6</v>
      </c>
      <c r="J2610">
        <v>136261.9</v>
      </c>
      <c r="K2610">
        <v>138</v>
      </c>
      <c r="L2610" t="s">
        <v>78</v>
      </c>
      <c r="M2610" t="s">
        <v>17</v>
      </c>
      <c r="N2610">
        <v>8</v>
      </c>
      <c r="O2610">
        <v>1030</v>
      </c>
      <c r="P2610">
        <v>955</v>
      </c>
      <c r="Q2610" s="1" t="str">
        <v/>
      </c>
      <c r="R2610" s="1" t="str">
        <v/>
      </c>
      <c r="S2610" s="3">
        <v>0</v>
      </c>
      <c r="T2610" s="3">
        <v>0</v>
      </c>
    </row>
    <row r="2611" spans="1:20" x14ac:dyDescent="0.25">
      <c r="A2611" t="s">
        <v>78</v>
      </c>
      <c r="B2611" t="s">
        <v>3950</v>
      </c>
      <c r="C2611" t="s">
        <v>4616</v>
      </c>
      <c r="D2611" t="s">
        <v>4615</v>
      </c>
      <c r="E2611">
        <v>972.03</v>
      </c>
      <c r="F2611">
        <v>972.03</v>
      </c>
      <c r="G2611">
        <v>972.03</v>
      </c>
      <c r="H2611">
        <v>972.03</v>
      </c>
      <c r="I2611" s="1">
        <v>972.03</v>
      </c>
      <c r="J2611">
        <v>48601.5</v>
      </c>
      <c r="K2611">
        <v>50</v>
      </c>
      <c r="L2611" t="s">
        <v>78</v>
      </c>
      <c r="M2611" t="s">
        <v>17</v>
      </c>
      <c r="N2611">
        <v>1</v>
      </c>
      <c r="O2611">
        <v>990</v>
      </c>
      <c r="P2611">
        <v>950</v>
      </c>
      <c r="Q2611" s="1" t="str">
        <v/>
      </c>
      <c r="R2611" s="1" t="str">
        <v/>
      </c>
      <c r="S2611" s="3">
        <v>0</v>
      </c>
      <c r="T2611" s="3">
        <v>0</v>
      </c>
    </row>
    <row r="2612" spans="1:20" x14ac:dyDescent="0.25">
      <c r="A2612" t="s">
        <v>78</v>
      </c>
      <c r="B2612" t="s">
        <v>3952</v>
      </c>
      <c r="C2612" t="s">
        <v>4614</v>
      </c>
      <c r="D2612" t="s">
        <v>3954</v>
      </c>
      <c r="E2612">
        <v>1010</v>
      </c>
      <c r="F2612">
        <v>1020</v>
      </c>
      <c r="G2612">
        <v>1020</v>
      </c>
      <c r="H2612">
        <v>1020</v>
      </c>
      <c r="I2612" s="1">
        <v>1020</v>
      </c>
      <c r="J2612">
        <v>18360</v>
      </c>
      <c r="K2612">
        <v>18</v>
      </c>
      <c r="L2612" t="s">
        <v>78</v>
      </c>
      <c r="M2612" t="s">
        <v>17</v>
      </c>
      <c r="N2612">
        <v>1</v>
      </c>
      <c r="O2612">
        <v>1286</v>
      </c>
      <c r="P2612">
        <v>952.5</v>
      </c>
      <c r="Q2612" s="1" t="str">
        <v/>
      </c>
      <c r="R2612" s="1" t="str">
        <v/>
      </c>
      <c r="S2612" s="3">
        <v>0</v>
      </c>
      <c r="T2612" s="3">
        <v>0</v>
      </c>
    </row>
    <row r="2613" spans="1:20" x14ac:dyDescent="0.25">
      <c r="A2613" t="s">
        <v>78</v>
      </c>
      <c r="B2613" t="s">
        <v>3952</v>
      </c>
      <c r="C2613" t="s">
        <v>4613</v>
      </c>
      <c r="D2613" t="s">
        <v>4605</v>
      </c>
      <c r="E2613">
        <v>908</v>
      </c>
      <c r="F2613">
        <v>908</v>
      </c>
      <c r="G2613">
        <v>908</v>
      </c>
      <c r="H2613">
        <v>901.26</v>
      </c>
      <c r="I2613" s="1">
        <v>901.26</v>
      </c>
      <c r="J2613">
        <v>346632.71</v>
      </c>
      <c r="K2613">
        <v>383</v>
      </c>
      <c r="L2613" t="s">
        <v>78</v>
      </c>
      <c r="M2613" t="s">
        <v>17</v>
      </c>
      <c r="N2613">
        <v>7</v>
      </c>
      <c r="O2613">
        <v>969</v>
      </c>
      <c r="P2613">
        <v>835.8</v>
      </c>
      <c r="Q2613" s="1" t="str">
        <v/>
      </c>
      <c r="R2613" s="1" t="str">
        <v/>
      </c>
      <c r="S2613" s="3">
        <v>0</v>
      </c>
      <c r="T2613" s="3">
        <v>0</v>
      </c>
    </row>
    <row r="2614" spans="1:20" x14ac:dyDescent="0.25">
      <c r="A2614" t="s">
        <v>78</v>
      </c>
      <c r="B2614" t="s">
        <v>3952</v>
      </c>
      <c r="C2614" t="s">
        <v>4612</v>
      </c>
      <c r="D2614" t="s">
        <v>4491</v>
      </c>
      <c r="E2614">
        <v>1090</v>
      </c>
      <c r="F2614">
        <v>1070.3800000000001</v>
      </c>
      <c r="G2614">
        <v>1089.9100000000001</v>
      </c>
      <c r="H2614">
        <v>1070.3800000000001</v>
      </c>
      <c r="I2614" s="1">
        <v>1089.9100000000001</v>
      </c>
      <c r="J2614">
        <v>17282.32</v>
      </c>
      <c r="K2614">
        <v>16</v>
      </c>
      <c r="L2614" t="s">
        <v>78</v>
      </c>
      <c r="M2614" t="s">
        <v>17</v>
      </c>
      <c r="N2614">
        <v>2</v>
      </c>
      <c r="O2614">
        <v>1090</v>
      </c>
      <c r="P2614">
        <v>950.2</v>
      </c>
      <c r="Q2614" s="1" t="str">
        <v/>
      </c>
      <c r="R2614" s="1" t="str">
        <v/>
      </c>
      <c r="S2614" s="3">
        <v>0</v>
      </c>
      <c r="T2614" s="3">
        <v>0</v>
      </c>
    </row>
    <row r="2615" spans="1:20" x14ac:dyDescent="0.25">
      <c r="A2615" t="s">
        <v>78</v>
      </c>
      <c r="B2615" t="s">
        <v>4611</v>
      </c>
      <c r="C2615" t="s">
        <v>4610</v>
      </c>
      <c r="D2615" t="s">
        <v>4609</v>
      </c>
      <c r="E2615">
        <v>935</v>
      </c>
      <c r="F2615">
        <v>925.3</v>
      </c>
      <c r="G2615">
        <v>925.3</v>
      </c>
      <c r="H2615">
        <v>925.3</v>
      </c>
      <c r="I2615" s="1">
        <v>925.3</v>
      </c>
      <c r="J2615">
        <v>4626.5</v>
      </c>
      <c r="K2615">
        <v>5</v>
      </c>
      <c r="L2615" t="s">
        <v>78</v>
      </c>
      <c r="M2615" t="s">
        <v>17</v>
      </c>
      <c r="N2615">
        <v>1</v>
      </c>
      <c r="O2615">
        <v>1035</v>
      </c>
      <c r="P2615">
        <v>894</v>
      </c>
      <c r="Q2615" s="1" t="str">
        <v/>
      </c>
      <c r="R2615" s="1" t="str">
        <v/>
      </c>
      <c r="S2615" s="3">
        <v>0</v>
      </c>
      <c r="T2615" s="3">
        <v>0</v>
      </c>
    </row>
    <row r="2616" spans="1:20" x14ac:dyDescent="0.25">
      <c r="A2616" t="s">
        <v>78</v>
      </c>
      <c r="B2616" t="s">
        <v>4608</v>
      </c>
      <c r="C2616" t="s">
        <v>4607</v>
      </c>
      <c r="D2616" t="s">
        <v>4547</v>
      </c>
      <c r="E2616">
        <v>885.3</v>
      </c>
      <c r="F2616">
        <v>1000</v>
      </c>
      <c r="G2616">
        <v>1000</v>
      </c>
      <c r="H2616">
        <v>950.38</v>
      </c>
      <c r="I2616" s="1">
        <v>950.38</v>
      </c>
      <c r="J2616">
        <v>2950.38</v>
      </c>
      <c r="K2616">
        <v>3</v>
      </c>
      <c r="L2616" t="s">
        <v>78</v>
      </c>
      <c r="M2616" t="s">
        <v>17</v>
      </c>
      <c r="N2616">
        <v>3</v>
      </c>
      <c r="O2616">
        <v>1050</v>
      </c>
      <c r="P2616">
        <v>885.3</v>
      </c>
      <c r="Q2616" s="1" t="str">
        <v/>
      </c>
      <c r="R2616" s="1" t="str">
        <v/>
      </c>
      <c r="S2616" s="3">
        <v>0</v>
      </c>
      <c r="T2616" s="3">
        <v>0</v>
      </c>
    </row>
    <row r="2617" spans="1:20" x14ac:dyDescent="0.25">
      <c r="A2617" t="s">
        <v>78</v>
      </c>
      <c r="B2617" t="s">
        <v>4604</v>
      </c>
      <c r="C2617" t="s">
        <v>4606</v>
      </c>
      <c r="D2617" t="s">
        <v>4605</v>
      </c>
      <c r="E2617">
        <v>893</v>
      </c>
      <c r="F2617">
        <v>893</v>
      </c>
      <c r="G2617">
        <v>905</v>
      </c>
      <c r="H2617">
        <v>890</v>
      </c>
      <c r="I2617" s="1">
        <v>905</v>
      </c>
      <c r="J2617">
        <v>35034</v>
      </c>
      <c r="K2617">
        <v>39</v>
      </c>
      <c r="L2617" t="s">
        <v>78</v>
      </c>
      <c r="M2617" t="s">
        <v>17</v>
      </c>
      <c r="N2617">
        <v>4</v>
      </c>
      <c r="O2617">
        <v>1000</v>
      </c>
      <c r="P2617">
        <v>850</v>
      </c>
      <c r="Q2617" s="1" t="str">
        <v/>
      </c>
      <c r="R2617" s="1" t="str">
        <v/>
      </c>
      <c r="S2617" s="3">
        <v>0</v>
      </c>
      <c r="T2617" s="3">
        <v>0</v>
      </c>
    </row>
    <row r="2618" spans="1:20" x14ac:dyDescent="0.25">
      <c r="A2618" t="s">
        <v>78</v>
      </c>
      <c r="B2618" t="s">
        <v>4604</v>
      </c>
      <c r="C2618" t="s">
        <v>4603</v>
      </c>
      <c r="D2618" t="s">
        <v>4602</v>
      </c>
      <c r="E2618">
        <v>914.8</v>
      </c>
      <c r="F2618">
        <v>900.5</v>
      </c>
      <c r="G2618">
        <v>900.5</v>
      </c>
      <c r="H2618">
        <v>900.5</v>
      </c>
      <c r="I2618" s="1">
        <v>900.5</v>
      </c>
      <c r="J2618">
        <v>27015</v>
      </c>
      <c r="K2618">
        <v>30</v>
      </c>
      <c r="L2618" t="s">
        <v>78</v>
      </c>
      <c r="M2618" t="s">
        <v>17</v>
      </c>
      <c r="N2618">
        <v>2</v>
      </c>
      <c r="O2618">
        <v>1059.9000000000001</v>
      </c>
      <c r="P2618">
        <v>875</v>
      </c>
      <c r="Q2618" s="1" t="str">
        <v/>
      </c>
      <c r="R2618" s="1" t="str">
        <v/>
      </c>
      <c r="S2618" s="3">
        <v>0</v>
      </c>
      <c r="T2618" s="3">
        <v>0</v>
      </c>
    </row>
    <row r="2619" spans="1:20" x14ac:dyDescent="0.25">
      <c r="A2619" t="s">
        <v>78</v>
      </c>
      <c r="B2619" t="s">
        <v>3961</v>
      </c>
      <c r="C2619" t="s">
        <v>296</v>
      </c>
      <c r="D2619" t="s">
        <v>297</v>
      </c>
      <c r="E2619">
        <v>208</v>
      </c>
      <c r="F2619">
        <v>235</v>
      </c>
      <c r="G2619">
        <v>235</v>
      </c>
      <c r="H2619">
        <v>205</v>
      </c>
      <c r="I2619" s="1">
        <v>211.5</v>
      </c>
      <c r="J2619">
        <v>15145</v>
      </c>
      <c r="K2619">
        <v>70</v>
      </c>
      <c r="L2619" t="s">
        <v>78</v>
      </c>
      <c r="M2619" t="s">
        <v>17</v>
      </c>
      <c r="N2619">
        <v>4</v>
      </c>
      <c r="O2619">
        <v>348</v>
      </c>
      <c r="P2619">
        <v>153.9</v>
      </c>
      <c r="Q2619" s="1">
        <v>1380</v>
      </c>
      <c r="R2619" s="1" t="str">
        <v/>
      </c>
      <c r="S2619" s="3">
        <v>-0.14469842103777308</v>
      </c>
      <c r="T2619" s="3">
        <v>0</v>
      </c>
    </row>
    <row r="2620" spans="1:20" x14ac:dyDescent="0.25">
      <c r="A2620" t="s">
        <v>78</v>
      </c>
      <c r="B2620" t="s">
        <v>3961</v>
      </c>
      <c r="C2620" t="s">
        <v>2175</v>
      </c>
      <c r="D2620" t="s">
        <v>2176</v>
      </c>
      <c r="E2620">
        <v>102.1</v>
      </c>
      <c r="F2620">
        <v>102.1</v>
      </c>
      <c r="G2620">
        <v>103</v>
      </c>
      <c r="H2620">
        <v>102.1</v>
      </c>
      <c r="I2620" s="1">
        <v>102.15</v>
      </c>
      <c r="J2620">
        <v>419940</v>
      </c>
      <c r="K2620">
        <v>4111</v>
      </c>
      <c r="L2620" t="s">
        <v>78</v>
      </c>
      <c r="M2620" t="s">
        <v>17</v>
      </c>
      <c r="N2620">
        <v>15</v>
      </c>
      <c r="O2620">
        <v>106</v>
      </c>
      <c r="P2620">
        <v>88.3</v>
      </c>
      <c r="Q2620" s="1">
        <v>25.25</v>
      </c>
      <c r="R2620" s="1">
        <v>52</v>
      </c>
      <c r="S2620" s="3">
        <v>0.12352157270131614</v>
      </c>
      <c r="T2620" s="3">
        <v>3.4317140842235139E-2</v>
      </c>
    </row>
    <row r="2621" spans="1:20" x14ac:dyDescent="0.25">
      <c r="A2621" t="s">
        <v>78</v>
      </c>
      <c r="B2621" t="s">
        <v>4597</v>
      </c>
      <c r="C2621" t="s">
        <v>4601</v>
      </c>
      <c r="D2621" t="s">
        <v>4600</v>
      </c>
      <c r="E2621">
        <v>95</v>
      </c>
      <c r="F2621">
        <v>94.9</v>
      </c>
      <c r="G2621">
        <v>94.9</v>
      </c>
      <c r="H2621">
        <v>94.9</v>
      </c>
      <c r="I2621" s="1">
        <v>94.9</v>
      </c>
      <c r="J2621">
        <v>9490</v>
      </c>
      <c r="K2621">
        <v>100</v>
      </c>
      <c r="L2621" t="s">
        <v>78</v>
      </c>
      <c r="M2621" t="s">
        <v>17</v>
      </c>
      <c r="N2621">
        <v>1</v>
      </c>
      <c r="O2621">
        <v>95</v>
      </c>
      <c r="P2621">
        <v>94.9</v>
      </c>
      <c r="Q2621" s="1" t="str">
        <v/>
      </c>
      <c r="R2621" s="1" t="str">
        <v/>
      </c>
      <c r="S2621" s="3">
        <v>0</v>
      </c>
      <c r="T2621" s="3">
        <v>0</v>
      </c>
    </row>
    <row r="2622" spans="1:20" x14ac:dyDescent="0.25">
      <c r="A2622" t="s">
        <v>78</v>
      </c>
      <c r="B2622" t="s">
        <v>4597</v>
      </c>
      <c r="C2622" t="s">
        <v>4599</v>
      </c>
      <c r="D2622" t="s">
        <v>4598</v>
      </c>
      <c r="E2622">
        <v>100</v>
      </c>
      <c r="F2622">
        <v>100</v>
      </c>
      <c r="G2622">
        <v>100</v>
      </c>
      <c r="H2622">
        <v>100</v>
      </c>
      <c r="I2622" s="1">
        <v>100</v>
      </c>
      <c r="J2622">
        <v>10000</v>
      </c>
      <c r="K2622">
        <v>100</v>
      </c>
      <c r="L2622" t="s">
        <v>78</v>
      </c>
      <c r="M2622" t="s">
        <v>17</v>
      </c>
      <c r="N2622">
        <v>1</v>
      </c>
      <c r="O2622">
        <v>100</v>
      </c>
      <c r="P2622">
        <v>100</v>
      </c>
      <c r="Q2622" s="1" t="str">
        <v/>
      </c>
      <c r="R2622" s="1" t="str">
        <v/>
      </c>
      <c r="S2622" s="3">
        <v>0</v>
      </c>
      <c r="T2622" s="3">
        <v>0</v>
      </c>
    </row>
    <row r="2623" spans="1:20" x14ac:dyDescent="0.25">
      <c r="A2623" t="s">
        <v>78</v>
      </c>
      <c r="B2623" t="s">
        <v>4597</v>
      </c>
      <c r="C2623" t="s">
        <v>4596</v>
      </c>
      <c r="D2623" t="s">
        <v>4595</v>
      </c>
      <c r="E2623">
        <v>99.75</v>
      </c>
      <c r="F2623">
        <v>99.75</v>
      </c>
      <c r="G2623">
        <v>99.75</v>
      </c>
      <c r="H2623">
        <v>99.75</v>
      </c>
      <c r="I2623" s="1">
        <v>99.75</v>
      </c>
      <c r="J2623">
        <v>9975</v>
      </c>
      <c r="K2623">
        <v>100</v>
      </c>
      <c r="L2623" t="s">
        <v>78</v>
      </c>
      <c r="M2623" t="s">
        <v>17</v>
      </c>
      <c r="N2623">
        <v>1</v>
      </c>
      <c r="O2623">
        <v>99.75</v>
      </c>
      <c r="P2623">
        <v>95</v>
      </c>
      <c r="Q2623" s="1" t="str">
        <v/>
      </c>
      <c r="R2623" s="1" t="str">
        <v/>
      </c>
      <c r="S2623" s="3">
        <v>0</v>
      </c>
      <c r="T2623" s="3">
        <v>0</v>
      </c>
    </row>
    <row r="2624" spans="1:20" x14ac:dyDescent="0.25">
      <c r="A2624" t="s">
        <v>78</v>
      </c>
      <c r="B2624" t="s">
        <v>4554</v>
      </c>
      <c r="C2624" t="s">
        <v>4594</v>
      </c>
      <c r="D2624" t="s">
        <v>4593</v>
      </c>
      <c r="E2624">
        <v>99.75</v>
      </c>
      <c r="F2624">
        <v>99.95</v>
      </c>
      <c r="G2624">
        <v>99.95</v>
      </c>
      <c r="H2624">
        <v>99.59</v>
      </c>
      <c r="I2624" s="1">
        <v>99.66</v>
      </c>
      <c r="J2624">
        <v>69813</v>
      </c>
      <c r="K2624">
        <v>700</v>
      </c>
      <c r="L2624" t="s">
        <v>78</v>
      </c>
      <c r="M2624" t="s">
        <v>17</v>
      </c>
      <c r="N2624">
        <v>6</v>
      </c>
      <c r="O2624">
        <v>100</v>
      </c>
      <c r="P2624">
        <v>95.26</v>
      </c>
      <c r="Q2624" s="1" t="str">
        <v/>
      </c>
      <c r="R2624" s="1" t="str">
        <v/>
      </c>
      <c r="S2624" s="3">
        <v>0</v>
      </c>
      <c r="T2624" s="3">
        <v>0</v>
      </c>
    </row>
    <row r="2625" spans="1:20" x14ac:dyDescent="0.25">
      <c r="A2625" t="s">
        <v>78</v>
      </c>
      <c r="B2625" t="s">
        <v>4554</v>
      </c>
      <c r="C2625" t="s">
        <v>4592</v>
      </c>
      <c r="D2625" t="s">
        <v>4591</v>
      </c>
      <c r="E2625">
        <v>97.71</v>
      </c>
      <c r="F2625">
        <v>97.71</v>
      </c>
      <c r="G2625">
        <v>97.71</v>
      </c>
      <c r="H2625">
        <v>97.71</v>
      </c>
      <c r="I2625" s="1">
        <v>97.71</v>
      </c>
      <c r="J2625">
        <v>9771</v>
      </c>
      <c r="K2625">
        <v>100</v>
      </c>
      <c r="L2625" t="s">
        <v>78</v>
      </c>
      <c r="M2625" t="s">
        <v>17</v>
      </c>
      <c r="N2625">
        <v>1</v>
      </c>
      <c r="O2625">
        <v>97.71</v>
      </c>
      <c r="P2625">
        <v>96.11</v>
      </c>
      <c r="Q2625" s="1" t="str">
        <v/>
      </c>
      <c r="R2625" s="1" t="str">
        <v/>
      </c>
      <c r="S2625" s="3">
        <v>0</v>
      </c>
      <c r="T2625" s="3">
        <v>0</v>
      </c>
    </row>
    <row r="2626" spans="1:20" x14ac:dyDescent="0.25">
      <c r="A2626" t="s">
        <v>78</v>
      </c>
      <c r="B2626" t="s">
        <v>4554</v>
      </c>
      <c r="C2626" t="s">
        <v>4590</v>
      </c>
      <c r="D2626" t="s">
        <v>4589</v>
      </c>
      <c r="E2626">
        <v>99.33</v>
      </c>
      <c r="F2626">
        <v>99.67</v>
      </c>
      <c r="G2626">
        <v>99.67</v>
      </c>
      <c r="H2626">
        <v>99.67</v>
      </c>
      <c r="I2626" s="1">
        <v>99.67</v>
      </c>
      <c r="J2626">
        <v>29901</v>
      </c>
      <c r="K2626">
        <v>300</v>
      </c>
      <c r="L2626" t="s">
        <v>78</v>
      </c>
      <c r="M2626" t="s">
        <v>17</v>
      </c>
      <c r="N2626">
        <v>3</v>
      </c>
      <c r="O2626">
        <v>99.67</v>
      </c>
      <c r="P2626">
        <v>96</v>
      </c>
      <c r="Q2626" s="1" t="str">
        <v/>
      </c>
      <c r="R2626" s="1" t="str">
        <v/>
      </c>
      <c r="S2626" s="3">
        <v>0</v>
      </c>
      <c r="T2626" s="3">
        <v>0</v>
      </c>
    </row>
    <row r="2627" spans="1:20" x14ac:dyDescent="0.25">
      <c r="A2627" t="s">
        <v>78</v>
      </c>
      <c r="B2627" t="s">
        <v>4554</v>
      </c>
      <c r="C2627" t="s">
        <v>4588</v>
      </c>
      <c r="D2627" t="s">
        <v>4587</v>
      </c>
      <c r="E2627">
        <v>96.5</v>
      </c>
      <c r="F2627">
        <v>96.4</v>
      </c>
      <c r="G2627">
        <v>96.4</v>
      </c>
      <c r="H2627">
        <v>96.4</v>
      </c>
      <c r="I2627" s="1">
        <v>96.4</v>
      </c>
      <c r="J2627">
        <v>9640</v>
      </c>
      <c r="K2627">
        <v>100</v>
      </c>
      <c r="L2627" t="s">
        <v>78</v>
      </c>
      <c r="M2627" t="s">
        <v>17</v>
      </c>
      <c r="N2627">
        <v>1</v>
      </c>
      <c r="O2627">
        <v>96.69</v>
      </c>
      <c r="P2627">
        <v>96.4</v>
      </c>
      <c r="Q2627" s="1" t="str">
        <v/>
      </c>
      <c r="R2627" s="1" t="str">
        <v/>
      </c>
      <c r="S2627" s="3">
        <v>0</v>
      </c>
      <c r="T2627" s="3">
        <v>0</v>
      </c>
    </row>
    <row r="2628" spans="1:20" x14ac:dyDescent="0.25">
      <c r="A2628" t="s">
        <v>78</v>
      </c>
      <c r="B2628" t="s">
        <v>4554</v>
      </c>
      <c r="C2628" t="s">
        <v>4586</v>
      </c>
      <c r="D2628" t="s">
        <v>4585</v>
      </c>
      <c r="E2628">
        <v>99.65</v>
      </c>
      <c r="F2628">
        <v>99.75</v>
      </c>
      <c r="G2628">
        <v>99.75</v>
      </c>
      <c r="H2628">
        <v>99.75</v>
      </c>
      <c r="I2628" s="1">
        <v>99.75</v>
      </c>
      <c r="J2628">
        <v>9975</v>
      </c>
      <c r="K2628">
        <v>100</v>
      </c>
      <c r="L2628" t="s">
        <v>78</v>
      </c>
      <c r="M2628" t="s">
        <v>17</v>
      </c>
      <c r="N2628">
        <v>1</v>
      </c>
      <c r="O2628">
        <v>99.91</v>
      </c>
      <c r="P2628">
        <v>95.2</v>
      </c>
      <c r="Q2628" s="1" t="str">
        <v/>
      </c>
      <c r="R2628" s="1" t="str">
        <v/>
      </c>
      <c r="S2628" s="3">
        <v>0</v>
      </c>
      <c r="T2628" s="3">
        <v>0</v>
      </c>
    </row>
    <row r="2629" spans="1:20" x14ac:dyDescent="0.25">
      <c r="A2629" t="s">
        <v>78</v>
      </c>
      <c r="B2629" t="s">
        <v>4554</v>
      </c>
      <c r="C2629" t="s">
        <v>4584</v>
      </c>
      <c r="D2629" t="s">
        <v>4583</v>
      </c>
      <c r="E2629">
        <v>98.78</v>
      </c>
      <c r="F2629">
        <v>99.1</v>
      </c>
      <c r="G2629">
        <v>99.25</v>
      </c>
      <c r="H2629">
        <v>99.1</v>
      </c>
      <c r="I2629" s="1">
        <v>99.25</v>
      </c>
      <c r="J2629">
        <v>19835</v>
      </c>
      <c r="K2629">
        <v>200</v>
      </c>
      <c r="L2629" t="s">
        <v>78</v>
      </c>
      <c r="M2629" t="s">
        <v>17</v>
      </c>
      <c r="N2629">
        <v>2</v>
      </c>
      <c r="O2629">
        <v>99.25</v>
      </c>
      <c r="P2629">
        <v>94</v>
      </c>
      <c r="Q2629" s="1" t="str">
        <v/>
      </c>
      <c r="R2629" s="1" t="str">
        <v/>
      </c>
      <c r="S2629" s="3">
        <v>0</v>
      </c>
      <c r="T2629" s="3">
        <v>0</v>
      </c>
    </row>
    <row r="2630" spans="1:20" x14ac:dyDescent="0.25">
      <c r="A2630" t="s">
        <v>78</v>
      </c>
      <c r="B2630" t="s">
        <v>4554</v>
      </c>
      <c r="C2630" t="s">
        <v>4582</v>
      </c>
      <c r="D2630" t="s">
        <v>4581</v>
      </c>
      <c r="E2630">
        <v>98.5</v>
      </c>
      <c r="F2630">
        <v>98.85</v>
      </c>
      <c r="G2630">
        <v>98.85</v>
      </c>
      <c r="H2630">
        <v>98.84</v>
      </c>
      <c r="I2630" s="1">
        <v>98.84</v>
      </c>
      <c r="J2630">
        <v>494202</v>
      </c>
      <c r="K2630">
        <v>5000</v>
      </c>
      <c r="L2630" t="s">
        <v>78</v>
      </c>
      <c r="M2630" t="s">
        <v>17</v>
      </c>
      <c r="N2630">
        <v>2</v>
      </c>
      <c r="O2630">
        <v>98.85</v>
      </c>
      <c r="P2630">
        <v>92.8</v>
      </c>
      <c r="Q2630" s="1" t="str">
        <v/>
      </c>
      <c r="R2630" s="1" t="str">
        <v/>
      </c>
      <c r="S2630" s="3">
        <v>0</v>
      </c>
      <c r="T2630" s="3">
        <v>0</v>
      </c>
    </row>
    <row r="2631" spans="1:20" x14ac:dyDescent="0.25">
      <c r="A2631" t="s">
        <v>78</v>
      </c>
      <c r="B2631" t="s">
        <v>4554</v>
      </c>
      <c r="C2631" t="s">
        <v>4580</v>
      </c>
      <c r="D2631" t="s">
        <v>4579</v>
      </c>
      <c r="E2631">
        <v>94.9</v>
      </c>
      <c r="F2631">
        <v>95</v>
      </c>
      <c r="G2631">
        <v>95</v>
      </c>
      <c r="H2631">
        <v>94.68</v>
      </c>
      <c r="I2631" s="1">
        <v>94.68</v>
      </c>
      <c r="J2631">
        <v>75840</v>
      </c>
      <c r="K2631">
        <v>800</v>
      </c>
      <c r="L2631" t="s">
        <v>78</v>
      </c>
      <c r="M2631" t="s">
        <v>17</v>
      </c>
      <c r="N2631">
        <v>3</v>
      </c>
      <c r="O2631">
        <v>95.3</v>
      </c>
      <c r="P2631">
        <v>92.42</v>
      </c>
      <c r="Q2631" s="1" t="str">
        <v/>
      </c>
      <c r="R2631" s="1" t="str">
        <v/>
      </c>
      <c r="S2631" s="3">
        <v>0</v>
      </c>
      <c r="T2631" s="3">
        <v>0</v>
      </c>
    </row>
    <row r="2632" spans="1:20" x14ac:dyDescent="0.25">
      <c r="A2632" t="s">
        <v>78</v>
      </c>
      <c r="B2632" t="s">
        <v>4554</v>
      </c>
      <c r="C2632" t="s">
        <v>4578</v>
      </c>
      <c r="D2632" t="s">
        <v>4577</v>
      </c>
      <c r="E2632">
        <v>93.78</v>
      </c>
      <c r="F2632">
        <v>93.8</v>
      </c>
      <c r="G2632">
        <v>93.8</v>
      </c>
      <c r="H2632">
        <v>93.8</v>
      </c>
      <c r="I2632" s="1">
        <v>93.8</v>
      </c>
      <c r="J2632">
        <v>1125600</v>
      </c>
      <c r="K2632">
        <v>12000</v>
      </c>
      <c r="L2632" t="s">
        <v>78</v>
      </c>
      <c r="M2632" t="s">
        <v>17</v>
      </c>
      <c r="N2632">
        <v>1</v>
      </c>
      <c r="O2632">
        <v>98.08</v>
      </c>
      <c r="P2632">
        <v>93.45</v>
      </c>
      <c r="Q2632" s="1" t="str">
        <v/>
      </c>
      <c r="R2632" s="1" t="str">
        <v/>
      </c>
      <c r="S2632" s="3">
        <v>0</v>
      </c>
      <c r="T2632" s="3">
        <v>0</v>
      </c>
    </row>
    <row r="2633" spans="1:20" x14ac:dyDescent="0.25">
      <c r="A2633" t="s">
        <v>78</v>
      </c>
      <c r="B2633" t="s">
        <v>4554</v>
      </c>
      <c r="C2633" t="s">
        <v>4576</v>
      </c>
      <c r="D2633" t="s">
        <v>4575</v>
      </c>
      <c r="E2633">
        <v>95.6</v>
      </c>
      <c r="F2633">
        <v>95.6</v>
      </c>
      <c r="G2633">
        <v>95.6</v>
      </c>
      <c r="H2633">
        <v>95.6</v>
      </c>
      <c r="I2633" s="1">
        <v>95.6</v>
      </c>
      <c r="J2633">
        <v>57360</v>
      </c>
      <c r="K2633">
        <v>600</v>
      </c>
      <c r="L2633" t="s">
        <v>78</v>
      </c>
      <c r="M2633" t="s">
        <v>17</v>
      </c>
      <c r="N2633">
        <v>2</v>
      </c>
      <c r="O2633">
        <v>96.47</v>
      </c>
      <c r="P2633">
        <v>91</v>
      </c>
      <c r="Q2633" s="1" t="str">
        <v/>
      </c>
      <c r="R2633" s="1" t="str">
        <v/>
      </c>
      <c r="S2633" s="3">
        <v>0</v>
      </c>
      <c r="T2633" s="3">
        <v>0</v>
      </c>
    </row>
    <row r="2634" spans="1:20" x14ac:dyDescent="0.25">
      <c r="A2634" t="s">
        <v>78</v>
      </c>
      <c r="B2634" t="s">
        <v>4554</v>
      </c>
      <c r="C2634" t="s">
        <v>4574</v>
      </c>
      <c r="D2634" t="s">
        <v>4573</v>
      </c>
      <c r="E2634">
        <v>99.71</v>
      </c>
      <c r="F2634">
        <v>99.85</v>
      </c>
      <c r="G2634">
        <v>99.87</v>
      </c>
      <c r="H2634">
        <v>99.85</v>
      </c>
      <c r="I2634" s="1">
        <v>99.87</v>
      </c>
      <c r="J2634">
        <v>199720</v>
      </c>
      <c r="K2634">
        <v>2000</v>
      </c>
      <c r="L2634" t="s">
        <v>78</v>
      </c>
      <c r="M2634" t="s">
        <v>17</v>
      </c>
      <c r="N2634">
        <v>2</v>
      </c>
      <c r="O2634">
        <v>99.87</v>
      </c>
      <c r="P2634">
        <v>93</v>
      </c>
      <c r="Q2634" s="1" t="str">
        <v/>
      </c>
      <c r="R2634" s="1" t="str">
        <v/>
      </c>
      <c r="S2634" s="3">
        <v>0</v>
      </c>
      <c r="T2634" s="3">
        <v>0</v>
      </c>
    </row>
    <row r="2635" spans="1:20" x14ac:dyDescent="0.25">
      <c r="A2635" t="s">
        <v>78</v>
      </c>
      <c r="B2635" t="s">
        <v>4554</v>
      </c>
      <c r="C2635" t="s">
        <v>4572</v>
      </c>
      <c r="D2635" t="s">
        <v>4571</v>
      </c>
      <c r="E2635">
        <v>94</v>
      </c>
      <c r="F2635">
        <v>94</v>
      </c>
      <c r="G2635">
        <v>94</v>
      </c>
      <c r="H2635">
        <v>93.85</v>
      </c>
      <c r="I2635" s="1">
        <v>93.85</v>
      </c>
      <c r="J2635">
        <v>733185</v>
      </c>
      <c r="K2635">
        <v>7800</v>
      </c>
      <c r="L2635" t="s">
        <v>78</v>
      </c>
      <c r="M2635" t="s">
        <v>17</v>
      </c>
      <c r="N2635">
        <v>2</v>
      </c>
      <c r="O2635">
        <v>94</v>
      </c>
      <c r="P2635">
        <v>92</v>
      </c>
      <c r="Q2635" s="1" t="str">
        <v/>
      </c>
      <c r="R2635" s="1" t="str">
        <v/>
      </c>
      <c r="S2635" s="3">
        <v>0</v>
      </c>
      <c r="T2635" s="3">
        <v>0</v>
      </c>
    </row>
    <row r="2636" spans="1:20" x14ac:dyDescent="0.25">
      <c r="A2636" t="s">
        <v>78</v>
      </c>
      <c r="B2636" t="s">
        <v>4554</v>
      </c>
      <c r="C2636" t="s">
        <v>4570</v>
      </c>
      <c r="D2636" t="s">
        <v>4569</v>
      </c>
      <c r="E2636">
        <v>97.73</v>
      </c>
      <c r="F2636">
        <v>97.75</v>
      </c>
      <c r="G2636">
        <v>97.75</v>
      </c>
      <c r="H2636">
        <v>97.74</v>
      </c>
      <c r="I2636" s="1">
        <v>97.74</v>
      </c>
      <c r="J2636">
        <v>195482</v>
      </c>
      <c r="K2636">
        <v>2000</v>
      </c>
      <c r="L2636" t="s">
        <v>78</v>
      </c>
      <c r="M2636" t="s">
        <v>17</v>
      </c>
      <c r="N2636">
        <v>2</v>
      </c>
      <c r="O2636">
        <v>97.75</v>
      </c>
      <c r="P2636">
        <v>93</v>
      </c>
      <c r="Q2636" s="1" t="str">
        <v/>
      </c>
      <c r="R2636" s="1" t="str">
        <v/>
      </c>
      <c r="S2636" s="3">
        <v>0</v>
      </c>
      <c r="T2636" s="3">
        <v>0</v>
      </c>
    </row>
    <row r="2637" spans="1:20" x14ac:dyDescent="0.25">
      <c r="A2637" t="s">
        <v>78</v>
      </c>
      <c r="B2637" t="s">
        <v>4554</v>
      </c>
      <c r="C2637" t="s">
        <v>4568</v>
      </c>
      <c r="D2637" t="s">
        <v>4567</v>
      </c>
      <c r="E2637">
        <v>99.7</v>
      </c>
      <c r="F2637">
        <v>99.58</v>
      </c>
      <c r="G2637">
        <v>99.72</v>
      </c>
      <c r="H2637">
        <v>99.58</v>
      </c>
      <c r="I2637" s="1">
        <v>99.72</v>
      </c>
      <c r="J2637">
        <v>29888</v>
      </c>
      <c r="K2637">
        <v>300</v>
      </c>
      <c r="L2637" t="s">
        <v>78</v>
      </c>
      <c r="M2637" t="s">
        <v>17</v>
      </c>
      <c r="N2637">
        <v>3</v>
      </c>
      <c r="O2637">
        <v>99.95</v>
      </c>
      <c r="P2637">
        <v>97.36</v>
      </c>
      <c r="Q2637" s="1" t="str">
        <v/>
      </c>
      <c r="R2637" s="1" t="str">
        <v/>
      </c>
      <c r="S2637" s="3">
        <v>0</v>
      </c>
      <c r="T2637" s="3">
        <v>0</v>
      </c>
    </row>
    <row r="2638" spans="1:20" x14ac:dyDescent="0.25">
      <c r="A2638" t="s">
        <v>78</v>
      </c>
      <c r="B2638" t="s">
        <v>4554</v>
      </c>
      <c r="C2638" t="s">
        <v>4566</v>
      </c>
      <c r="D2638" t="s">
        <v>4565</v>
      </c>
      <c r="E2638">
        <v>98.98</v>
      </c>
      <c r="F2638">
        <v>98.98</v>
      </c>
      <c r="G2638">
        <v>99.07</v>
      </c>
      <c r="H2638">
        <v>98.98</v>
      </c>
      <c r="I2638" s="1">
        <v>99.07</v>
      </c>
      <c r="J2638">
        <v>128782</v>
      </c>
      <c r="K2638">
        <v>1300</v>
      </c>
      <c r="L2638" t="s">
        <v>78</v>
      </c>
      <c r="M2638" t="s">
        <v>17</v>
      </c>
      <c r="N2638">
        <v>4</v>
      </c>
      <c r="O2638">
        <v>99.07</v>
      </c>
      <c r="P2638">
        <v>98.17</v>
      </c>
      <c r="Q2638" s="1" t="str">
        <v/>
      </c>
      <c r="R2638" s="1" t="str">
        <v/>
      </c>
      <c r="S2638" s="3">
        <v>0</v>
      </c>
      <c r="T2638" s="3">
        <v>0</v>
      </c>
    </row>
    <row r="2639" spans="1:20" x14ac:dyDescent="0.25">
      <c r="A2639" t="s">
        <v>78</v>
      </c>
      <c r="B2639" t="s">
        <v>4554</v>
      </c>
      <c r="C2639" t="s">
        <v>4564</v>
      </c>
      <c r="D2639" t="s">
        <v>4563</v>
      </c>
      <c r="E2639">
        <v>99.43</v>
      </c>
      <c r="F2639">
        <v>99.43</v>
      </c>
      <c r="G2639">
        <v>99.7</v>
      </c>
      <c r="H2639">
        <v>99.43</v>
      </c>
      <c r="I2639" s="1">
        <v>99.7</v>
      </c>
      <c r="J2639">
        <v>39826</v>
      </c>
      <c r="K2639">
        <v>400</v>
      </c>
      <c r="L2639" t="s">
        <v>78</v>
      </c>
      <c r="M2639" t="s">
        <v>17</v>
      </c>
      <c r="N2639">
        <v>3</v>
      </c>
      <c r="O2639">
        <v>99.9</v>
      </c>
      <c r="P2639">
        <v>97.76</v>
      </c>
      <c r="Q2639" s="1" t="str">
        <v/>
      </c>
      <c r="R2639" s="1" t="str">
        <v/>
      </c>
      <c r="S2639" s="3">
        <v>0</v>
      </c>
      <c r="T2639" s="3">
        <v>0</v>
      </c>
    </row>
    <row r="2640" spans="1:20" x14ac:dyDescent="0.25">
      <c r="A2640" t="s">
        <v>78</v>
      </c>
      <c r="B2640" t="s">
        <v>4554</v>
      </c>
      <c r="C2640" t="s">
        <v>4562</v>
      </c>
      <c r="D2640" t="s">
        <v>4561</v>
      </c>
      <c r="E2640">
        <v>98.2</v>
      </c>
      <c r="F2640">
        <v>98.2</v>
      </c>
      <c r="G2640">
        <v>98.42</v>
      </c>
      <c r="H2640">
        <v>98.2</v>
      </c>
      <c r="I2640" s="1">
        <v>98.42</v>
      </c>
      <c r="J2640">
        <v>186796</v>
      </c>
      <c r="K2640">
        <v>1900</v>
      </c>
      <c r="L2640" t="s">
        <v>78</v>
      </c>
      <c r="M2640" t="s">
        <v>17</v>
      </c>
      <c r="N2640">
        <v>7</v>
      </c>
      <c r="O2640">
        <v>98.42</v>
      </c>
      <c r="P2640">
        <v>98.18</v>
      </c>
      <c r="Q2640" s="1" t="str">
        <v/>
      </c>
      <c r="R2640" s="1" t="str">
        <v/>
      </c>
      <c r="S2640" s="3">
        <v>0</v>
      </c>
      <c r="T2640" s="3">
        <v>0</v>
      </c>
    </row>
    <row r="2641" spans="1:20" x14ac:dyDescent="0.25">
      <c r="A2641" t="s">
        <v>78</v>
      </c>
      <c r="B2641" t="s">
        <v>4554</v>
      </c>
      <c r="C2641" t="s">
        <v>4560</v>
      </c>
      <c r="D2641" t="s">
        <v>4559</v>
      </c>
      <c r="E2641">
        <v>99</v>
      </c>
      <c r="F2641">
        <v>98.9</v>
      </c>
      <c r="G2641">
        <v>98.9</v>
      </c>
      <c r="H2641">
        <v>98.9</v>
      </c>
      <c r="I2641" s="1">
        <v>98.9</v>
      </c>
      <c r="J2641">
        <v>39560</v>
      </c>
      <c r="K2641">
        <v>400</v>
      </c>
      <c r="L2641" t="s">
        <v>78</v>
      </c>
      <c r="M2641" t="s">
        <v>17</v>
      </c>
      <c r="N2641">
        <v>1</v>
      </c>
      <c r="O2641">
        <v>99</v>
      </c>
      <c r="P2641">
        <v>98.4</v>
      </c>
      <c r="Q2641" s="1" t="str">
        <v/>
      </c>
      <c r="R2641" s="1" t="str">
        <v/>
      </c>
      <c r="S2641" s="3">
        <v>0</v>
      </c>
      <c r="T2641" s="3">
        <v>0</v>
      </c>
    </row>
    <row r="2642" spans="1:20" x14ac:dyDescent="0.25">
      <c r="A2642" t="s">
        <v>78</v>
      </c>
      <c r="B2642" t="s">
        <v>4554</v>
      </c>
      <c r="C2642" t="s">
        <v>4558</v>
      </c>
      <c r="D2642" t="s">
        <v>4557</v>
      </c>
      <c r="E2642">
        <v>99.59</v>
      </c>
      <c r="F2642">
        <v>99.59</v>
      </c>
      <c r="G2642">
        <v>99.9</v>
      </c>
      <c r="H2642">
        <v>99.4</v>
      </c>
      <c r="I2642" s="1">
        <v>99.4</v>
      </c>
      <c r="J2642">
        <v>478075</v>
      </c>
      <c r="K2642">
        <v>4800</v>
      </c>
      <c r="L2642" t="s">
        <v>78</v>
      </c>
      <c r="M2642" t="s">
        <v>17</v>
      </c>
      <c r="N2642">
        <v>6</v>
      </c>
      <c r="O2642">
        <v>99.9</v>
      </c>
      <c r="P2642">
        <v>97.03</v>
      </c>
      <c r="Q2642" s="1" t="str">
        <v/>
      </c>
      <c r="R2642" s="1" t="str">
        <v/>
      </c>
      <c r="S2642" s="3">
        <v>0</v>
      </c>
      <c r="T2642" s="3">
        <v>0</v>
      </c>
    </row>
    <row r="2643" spans="1:20" x14ac:dyDescent="0.25">
      <c r="A2643" t="s">
        <v>78</v>
      </c>
      <c r="B2643" t="s">
        <v>4554</v>
      </c>
      <c r="C2643" t="s">
        <v>4556</v>
      </c>
      <c r="D2643" t="s">
        <v>4555</v>
      </c>
      <c r="E2643">
        <v>98.68</v>
      </c>
      <c r="F2643">
        <v>98.56</v>
      </c>
      <c r="G2643">
        <v>98.68</v>
      </c>
      <c r="H2643">
        <v>98.56</v>
      </c>
      <c r="I2643" s="1">
        <v>98.68</v>
      </c>
      <c r="J2643">
        <v>19724</v>
      </c>
      <c r="K2643">
        <v>200</v>
      </c>
      <c r="L2643" t="s">
        <v>78</v>
      </c>
      <c r="M2643" t="s">
        <v>17</v>
      </c>
      <c r="N2643">
        <v>2</v>
      </c>
      <c r="O2643">
        <v>99</v>
      </c>
      <c r="P2643">
        <v>98.35</v>
      </c>
      <c r="Q2643" s="1" t="str">
        <v/>
      </c>
      <c r="R2643" s="1" t="str">
        <v/>
      </c>
      <c r="S2643" s="3">
        <v>0</v>
      </c>
      <c r="T2643" s="3">
        <v>0</v>
      </c>
    </row>
    <row r="2644" spans="1:20" x14ac:dyDescent="0.25">
      <c r="A2644" t="s">
        <v>78</v>
      </c>
      <c r="B2644" t="s">
        <v>4554</v>
      </c>
      <c r="C2644" t="s">
        <v>4553</v>
      </c>
      <c r="D2644" t="s">
        <v>4552</v>
      </c>
      <c r="E2644">
        <v>99.81</v>
      </c>
      <c r="F2644">
        <v>99.81</v>
      </c>
      <c r="G2644">
        <v>99.87</v>
      </c>
      <c r="H2644">
        <v>99</v>
      </c>
      <c r="I2644" s="1">
        <v>99.87</v>
      </c>
      <c r="J2644">
        <v>119033</v>
      </c>
      <c r="K2644">
        <v>1200</v>
      </c>
      <c r="L2644" t="s">
        <v>78</v>
      </c>
      <c r="M2644" t="s">
        <v>17</v>
      </c>
      <c r="N2644">
        <v>6</v>
      </c>
      <c r="O2644">
        <v>99.87</v>
      </c>
      <c r="P2644">
        <v>97</v>
      </c>
      <c r="Q2644" s="1" t="str">
        <v/>
      </c>
      <c r="R2644" s="1" t="str">
        <v/>
      </c>
      <c r="S2644" s="3">
        <v>0</v>
      </c>
      <c r="T2644" s="3">
        <v>0</v>
      </c>
    </row>
    <row r="2645" spans="1:20" x14ac:dyDescent="0.25">
      <c r="A2645" t="s">
        <v>78</v>
      </c>
      <c r="B2645" t="s">
        <v>3964</v>
      </c>
      <c r="C2645" t="s">
        <v>2389</v>
      </c>
      <c r="D2645" t="s">
        <v>2390</v>
      </c>
      <c r="E2645">
        <v>957.75</v>
      </c>
      <c r="F2645">
        <v>910.1</v>
      </c>
      <c r="G2645">
        <v>975.1</v>
      </c>
      <c r="H2645">
        <v>910.1</v>
      </c>
      <c r="I2645" s="1">
        <v>969.3</v>
      </c>
      <c r="J2645">
        <v>8195929.0499999998</v>
      </c>
      <c r="K2645">
        <v>8497</v>
      </c>
      <c r="L2645" t="s">
        <v>78</v>
      </c>
      <c r="M2645" t="s">
        <v>17</v>
      </c>
      <c r="N2645">
        <v>71</v>
      </c>
      <c r="O2645">
        <v>1469</v>
      </c>
      <c r="P2645">
        <v>700.4</v>
      </c>
      <c r="Q2645" s="1">
        <v>507</v>
      </c>
      <c r="R2645" s="1" t="str">
        <v/>
      </c>
      <c r="S2645" s="3">
        <v>5.5490157352927616E-2</v>
      </c>
      <c r="T2645" s="3">
        <v>0</v>
      </c>
    </row>
    <row r="2646" spans="1:20" x14ac:dyDescent="0.25">
      <c r="A2646" t="s">
        <v>78</v>
      </c>
      <c r="B2646" t="s">
        <v>3968</v>
      </c>
      <c r="C2646" t="s">
        <v>4551</v>
      </c>
      <c r="D2646" t="s">
        <v>4516</v>
      </c>
      <c r="E2646">
        <v>1009</v>
      </c>
      <c r="F2646">
        <v>990.84</v>
      </c>
      <c r="G2646">
        <v>1010</v>
      </c>
      <c r="H2646">
        <v>990.84</v>
      </c>
      <c r="I2646" s="1">
        <v>1010</v>
      </c>
      <c r="J2646">
        <v>20012.560000000001</v>
      </c>
      <c r="K2646">
        <v>20</v>
      </c>
      <c r="L2646" t="s">
        <v>78</v>
      </c>
      <c r="M2646" t="s">
        <v>17</v>
      </c>
      <c r="N2646">
        <v>3</v>
      </c>
      <c r="O2646">
        <v>1010</v>
      </c>
      <c r="P2646">
        <v>910.2</v>
      </c>
      <c r="Q2646" s="1" t="str">
        <v/>
      </c>
      <c r="R2646" s="1" t="str">
        <v/>
      </c>
      <c r="S2646" s="3">
        <v>0</v>
      </c>
      <c r="T2646" s="3">
        <v>0</v>
      </c>
    </row>
    <row r="2647" spans="1:20" x14ac:dyDescent="0.25">
      <c r="A2647" t="s">
        <v>78</v>
      </c>
      <c r="B2647" t="s">
        <v>3968</v>
      </c>
      <c r="C2647" t="s">
        <v>4550</v>
      </c>
      <c r="D2647" t="s">
        <v>4549</v>
      </c>
      <c r="E2647">
        <v>932.1</v>
      </c>
      <c r="F2647">
        <v>930.05</v>
      </c>
      <c r="G2647">
        <v>930.05</v>
      </c>
      <c r="H2647">
        <v>930</v>
      </c>
      <c r="I2647" s="1">
        <v>930</v>
      </c>
      <c r="J2647">
        <v>372002.5</v>
      </c>
      <c r="K2647">
        <v>400</v>
      </c>
      <c r="L2647" t="s">
        <v>78</v>
      </c>
      <c r="M2647" t="s">
        <v>17</v>
      </c>
      <c r="N2647">
        <v>14</v>
      </c>
      <c r="O2647">
        <v>1008.9</v>
      </c>
      <c r="P2647">
        <v>880</v>
      </c>
      <c r="Q2647" s="1" t="str">
        <v/>
      </c>
      <c r="R2647" s="1" t="str">
        <v/>
      </c>
      <c r="S2647" s="3">
        <v>0</v>
      </c>
      <c r="T2647" s="3">
        <v>0</v>
      </c>
    </row>
    <row r="2648" spans="1:20" x14ac:dyDescent="0.25">
      <c r="A2648" t="s">
        <v>78</v>
      </c>
      <c r="B2648" t="s">
        <v>3976</v>
      </c>
      <c r="C2648" t="s">
        <v>4548</v>
      </c>
      <c r="D2648" t="s">
        <v>4547</v>
      </c>
      <c r="E2648">
        <v>995</v>
      </c>
      <c r="F2648">
        <v>999.7</v>
      </c>
      <c r="G2648">
        <v>999.7</v>
      </c>
      <c r="H2648">
        <v>999.7</v>
      </c>
      <c r="I2648" s="1">
        <v>999.7</v>
      </c>
      <c r="J2648">
        <v>4998.5</v>
      </c>
      <c r="K2648">
        <v>5</v>
      </c>
      <c r="L2648" t="s">
        <v>78</v>
      </c>
      <c r="M2648" t="s">
        <v>17</v>
      </c>
      <c r="N2648">
        <v>1</v>
      </c>
      <c r="O2648">
        <v>1150</v>
      </c>
      <c r="P2648">
        <v>900.3</v>
      </c>
      <c r="Q2648" s="1" t="str">
        <v/>
      </c>
      <c r="R2648" s="1" t="str">
        <v/>
      </c>
      <c r="S2648" s="3">
        <v>0</v>
      </c>
      <c r="T2648" s="3">
        <v>0</v>
      </c>
    </row>
    <row r="2649" spans="1:20" x14ac:dyDescent="0.25">
      <c r="A2649" t="s">
        <v>78</v>
      </c>
      <c r="B2649" t="s">
        <v>3976</v>
      </c>
      <c r="C2649" t="s">
        <v>4546</v>
      </c>
      <c r="D2649" t="s">
        <v>4545</v>
      </c>
      <c r="E2649">
        <v>1006.45</v>
      </c>
      <c r="F2649">
        <v>1007.7</v>
      </c>
      <c r="G2649">
        <v>1007.7</v>
      </c>
      <c r="H2649">
        <v>1007.7</v>
      </c>
      <c r="I2649" s="1">
        <v>1007.7</v>
      </c>
      <c r="J2649">
        <v>57438.9</v>
      </c>
      <c r="K2649">
        <v>57</v>
      </c>
      <c r="L2649" t="s">
        <v>78</v>
      </c>
      <c r="M2649" t="s">
        <v>17</v>
      </c>
      <c r="N2649">
        <v>2</v>
      </c>
      <c r="O2649">
        <v>1236</v>
      </c>
      <c r="P2649">
        <v>946.55</v>
      </c>
      <c r="Q2649" s="1" t="str">
        <v/>
      </c>
      <c r="R2649" s="1" t="str">
        <v/>
      </c>
      <c r="S2649" s="3">
        <v>0</v>
      </c>
      <c r="T2649" s="3">
        <v>0</v>
      </c>
    </row>
    <row r="2650" spans="1:20" x14ac:dyDescent="0.25">
      <c r="A2650" t="s">
        <v>78</v>
      </c>
      <c r="B2650" t="s">
        <v>4544</v>
      </c>
      <c r="C2650" t="s">
        <v>4543</v>
      </c>
      <c r="D2650" t="s">
        <v>4542</v>
      </c>
      <c r="E2650">
        <v>1220.45</v>
      </c>
      <c r="F2650">
        <v>1175.25</v>
      </c>
      <c r="G2650">
        <v>1175.25</v>
      </c>
      <c r="H2650">
        <v>1175.25</v>
      </c>
      <c r="I2650" s="1">
        <v>1175.25</v>
      </c>
      <c r="J2650">
        <v>7051.5</v>
      </c>
      <c r="K2650">
        <v>6</v>
      </c>
      <c r="L2650" t="s">
        <v>78</v>
      </c>
      <c r="M2650" t="s">
        <v>17</v>
      </c>
      <c r="N2650">
        <v>1</v>
      </c>
      <c r="O2650">
        <v>1220.45</v>
      </c>
      <c r="P2650">
        <v>1050.45</v>
      </c>
      <c r="Q2650" s="1" t="str">
        <v/>
      </c>
      <c r="R2650" s="1" t="str">
        <v/>
      </c>
      <c r="S2650" s="3">
        <v>0</v>
      </c>
      <c r="T2650" s="3">
        <v>0</v>
      </c>
    </row>
    <row r="2651" spans="1:20" x14ac:dyDescent="0.25">
      <c r="A2651" t="s">
        <v>78</v>
      </c>
      <c r="B2651" t="s">
        <v>4541</v>
      </c>
      <c r="C2651" t="s">
        <v>4540</v>
      </c>
      <c r="D2651" t="s">
        <v>4539</v>
      </c>
      <c r="E2651">
        <v>999</v>
      </c>
      <c r="F2651">
        <v>950</v>
      </c>
      <c r="G2651">
        <v>990.55</v>
      </c>
      <c r="H2651">
        <v>938</v>
      </c>
      <c r="I2651" s="1">
        <v>990.55</v>
      </c>
      <c r="J2651">
        <v>42170.34</v>
      </c>
      <c r="K2651">
        <v>44</v>
      </c>
      <c r="L2651" t="s">
        <v>78</v>
      </c>
      <c r="M2651" t="s">
        <v>17</v>
      </c>
      <c r="N2651">
        <v>4</v>
      </c>
      <c r="O2651">
        <v>999.99</v>
      </c>
      <c r="P2651">
        <v>900</v>
      </c>
      <c r="Q2651" s="1" t="str">
        <v/>
      </c>
      <c r="R2651" s="1" t="str">
        <v/>
      </c>
      <c r="S2651" s="3">
        <v>0</v>
      </c>
      <c r="T2651" s="3">
        <v>0</v>
      </c>
    </row>
    <row r="2652" spans="1:20" x14ac:dyDescent="0.25">
      <c r="A2652" t="s">
        <v>78</v>
      </c>
      <c r="B2652" t="s">
        <v>4538</v>
      </c>
      <c r="C2652" t="s">
        <v>4537</v>
      </c>
      <c r="D2652" t="s">
        <v>4536</v>
      </c>
      <c r="E2652">
        <v>940</v>
      </c>
      <c r="F2652">
        <v>970</v>
      </c>
      <c r="G2652">
        <v>970</v>
      </c>
      <c r="H2652">
        <v>970</v>
      </c>
      <c r="I2652" s="1">
        <v>970</v>
      </c>
      <c r="J2652">
        <v>4850</v>
      </c>
      <c r="K2652">
        <v>5</v>
      </c>
      <c r="L2652" t="s">
        <v>78</v>
      </c>
      <c r="M2652" t="s">
        <v>17</v>
      </c>
      <c r="N2652">
        <v>1</v>
      </c>
      <c r="O2652">
        <v>1080</v>
      </c>
      <c r="P2652">
        <v>805.1</v>
      </c>
      <c r="Q2652" s="1" t="str">
        <v/>
      </c>
      <c r="R2652" s="1" t="str">
        <v/>
      </c>
      <c r="S2652" s="3">
        <v>0</v>
      </c>
      <c r="T2652" s="3">
        <v>0</v>
      </c>
    </row>
    <row r="2653" spans="1:20" x14ac:dyDescent="0.25">
      <c r="A2653" t="s">
        <v>78</v>
      </c>
      <c r="B2653" t="s">
        <v>3980</v>
      </c>
      <c r="C2653" t="s">
        <v>4535</v>
      </c>
      <c r="D2653" t="s">
        <v>3981</v>
      </c>
      <c r="E2653">
        <v>1022</v>
      </c>
      <c r="F2653">
        <v>1030</v>
      </c>
      <c r="G2653">
        <v>1030</v>
      </c>
      <c r="H2653">
        <v>1020</v>
      </c>
      <c r="I2653" s="1">
        <v>1025</v>
      </c>
      <c r="J2653">
        <v>10250</v>
      </c>
      <c r="K2653">
        <v>10</v>
      </c>
      <c r="L2653" t="s">
        <v>78</v>
      </c>
      <c r="M2653" t="s">
        <v>17</v>
      </c>
      <c r="N2653">
        <v>2</v>
      </c>
      <c r="O2653">
        <v>1070</v>
      </c>
      <c r="P2653">
        <v>1005</v>
      </c>
      <c r="Q2653" s="1" t="str">
        <v/>
      </c>
      <c r="R2653" s="1" t="str">
        <v/>
      </c>
      <c r="S2653" s="3">
        <v>0</v>
      </c>
      <c r="T2653" s="3">
        <v>0</v>
      </c>
    </row>
    <row r="2654" spans="1:20" x14ac:dyDescent="0.25">
      <c r="A2654" t="s">
        <v>78</v>
      </c>
      <c r="B2654" t="s">
        <v>3984</v>
      </c>
      <c r="C2654" t="s">
        <v>4534</v>
      </c>
      <c r="D2654" t="s">
        <v>3985</v>
      </c>
      <c r="E2654">
        <v>1024.96</v>
      </c>
      <c r="F2654">
        <v>1024.05</v>
      </c>
      <c r="G2654">
        <v>1025</v>
      </c>
      <c r="H2654">
        <v>1021.5</v>
      </c>
      <c r="I2654" s="1">
        <v>1022</v>
      </c>
      <c r="J2654">
        <v>2746488.25</v>
      </c>
      <c r="K2654">
        <v>2687</v>
      </c>
      <c r="L2654" t="s">
        <v>78</v>
      </c>
      <c r="M2654" t="s">
        <v>17</v>
      </c>
      <c r="N2654">
        <v>40</v>
      </c>
      <c r="O2654">
        <v>1110</v>
      </c>
      <c r="P2654">
        <v>1000</v>
      </c>
      <c r="Q2654" s="1" t="str">
        <v/>
      </c>
      <c r="R2654" s="1" t="str">
        <v/>
      </c>
      <c r="S2654" s="3">
        <v>0</v>
      </c>
      <c r="T2654" s="3">
        <v>0</v>
      </c>
    </row>
    <row r="2655" spans="1:20" x14ac:dyDescent="0.25">
      <c r="A2655" t="s">
        <v>78</v>
      </c>
      <c r="B2655" t="s">
        <v>4533</v>
      </c>
      <c r="C2655" t="s">
        <v>4532</v>
      </c>
      <c r="D2655" t="s">
        <v>4488</v>
      </c>
      <c r="E2655">
        <v>980</v>
      </c>
      <c r="F2655">
        <v>980</v>
      </c>
      <c r="G2655">
        <v>980</v>
      </c>
      <c r="H2655">
        <v>980</v>
      </c>
      <c r="I2655" s="1">
        <v>980</v>
      </c>
      <c r="J2655">
        <v>24500</v>
      </c>
      <c r="K2655">
        <v>25</v>
      </c>
      <c r="L2655" t="s">
        <v>78</v>
      </c>
      <c r="M2655" t="s">
        <v>17</v>
      </c>
      <c r="N2655">
        <v>1</v>
      </c>
      <c r="O2655">
        <v>1041</v>
      </c>
      <c r="P2655">
        <v>816.2</v>
      </c>
      <c r="Q2655" s="1" t="str">
        <v/>
      </c>
      <c r="R2655" s="1" t="str">
        <v/>
      </c>
      <c r="S2655" s="3">
        <v>0</v>
      </c>
      <c r="T2655" s="3">
        <v>0</v>
      </c>
    </row>
    <row r="2656" spans="1:20" x14ac:dyDescent="0.25">
      <c r="A2656" t="s">
        <v>78</v>
      </c>
      <c r="B2656" t="s">
        <v>4531</v>
      </c>
      <c r="C2656" t="s">
        <v>4530</v>
      </c>
      <c r="D2656" t="s">
        <v>4001</v>
      </c>
      <c r="E2656">
        <v>1027.9000000000001</v>
      </c>
      <c r="F2656">
        <v>1030</v>
      </c>
      <c r="G2656">
        <v>1030</v>
      </c>
      <c r="H2656">
        <v>1027.9000000000001</v>
      </c>
      <c r="I2656" s="1">
        <v>1027.9000000000001</v>
      </c>
      <c r="J2656">
        <v>101772.6</v>
      </c>
      <c r="K2656">
        <v>99</v>
      </c>
      <c r="L2656" t="s">
        <v>78</v>
      </c>
      <c r="M2656" t="s">
        <v>17</v>
      </c>
      <c r="N2656">
        <v>9</v>
      </c>
      <c r="O2656">
        <v>1133</v>
      </c>
      <c r="P2656">
        <v>1000</v>
      </c>
      <c r="Q2656" s="1" t="str">
        <v/>
      </c>
      <c r="R2656" s="1" t="str">
        <v/>
      </c>
      <c r="S2656" s="3">
        <v>0</v>
      </c>
      <c r="T2656" s="3">
        <v>0</v>
      </c>
    </row>
    <row r="2657" spans="1:20" x14ac:dyDescent="0.25">
      <c r="A2657" t="s">
        <v>78</v>
      </c>
      <c r="B2657" t="s">
        <v>4000</v>
      </c>
      <c r="C2657" t="s">
        <v>4529</v>
      </c>
      <c r="D2657" t="s">
        <v>4001</v>
      </c>
      <c r="E2657">
        <v>1055</v>
      </c>
      <c r="F2657">
        <v>1040</v>
      </c>
      <c r="G2657">
        <v>1040</v>
      </c>
      <c r="H2657">
        <v>1040</v>
      </c>
      <c r="I2657" s="1">
        <v>1040</v>
      </c>
      <c r="J2657">
        <v>43680</v>
      </c>
      <c r="K2657">
        <v>42</v>
      </c>
      <c r="L2657" t="s">
        <v>78</v>
      </c>
      <c r="M2657" t="s">
        <v>17</v>
      </c>
      <c r="N2657">
        <v>1</v>
      </c>
      <c r="O2657">
        <v>1097.25</v>
      </c>
      <c r="P2657">
        <v>1008.51</v>
      </c>
      <c r="Q2657" s="1" t="str">
        <v/>
      </c>
      <c r="R2657" s="1" t="str">
        <v/>
      </c>
      <c r="S2657" s="3">
        <v>0</v>
      </c>
      <c r="T2657" s="3">
        <v>0</v>
      </c>
    </row>
    <row r="2658" spans="1:20" x14ac:dyDescent="0.25">
      <c r="A2658" t="s">
        <v>78</v>
      </c>
      <c r="B2658" t="s">
        <v>4002</v>
      </c>
      <c r="C2658" t="s">
        <v>4528</v>
      </c>
      <c r="D2658" t="s">
        <v>3995</v>
      </c>
      <c r="E2658">
        <v>1068.0999999999999</v>
      </c>
      <c r="F2658">
        <v>1084.9000000000001</v>
      </c>
      <c r="G2658">
        <v>1084.9000000000001</v>
      </c>
      <c r="H2658">
        <v>1075</v>
      </c>
      <c r="I2658" s="1">
        <v>1078.9000000000001</v>
      </c>
      <c r="J2658">
        <v>45303.4</v>
      </c>
      <c r="K2658">
        <v>42</v>
      </c>
      <c r="L2658" t="s">
        <v>78</v>
      </c>
      <c r="M2658" t="s">
        <v>17</v>
      </c>
      <c r="N2658">
        <v>4</v>
      </c>
      <c r="O2658">
        <v>1183</v>
      </c>
      <c r="P2658">
        <v>1010.11</v>
      </c>
      <c r="Q2658" s="1" t="str">
        <v/>
      </c>
      <c r="R2658" s="1" t="str">
        <v/>
      </c>
      <c r="S2658" s="3">
        <v>0</v>
      </c>
      <c r="T2658" s="3">
        <v>0</v>
      </c>
    </row>
    <row r="2659" spans="1:20" x14ac:dyDescent="0.25">
      <c r="A2659" t="s">
        <v>78</v>
      </c>
      <c r="B2659" t="s">
        <v>4004</v>
      </c>
      <c r="C2659" t="s">
        <v>4527</v>
      </c>
      <c r="D2659" t="s">
        <v>4526</v>
      </c>
      <c r="E2659">
        <v>1030.52</v>
      </c>
      <c r="F2659">
        <v>1011.98</v>
      </c>
      <c r="G2659">
        <v>1032.97</v>
      </c>
      <c r="H2659">
        <v>1011.98</v>
      </c>
      <c r="I2659" s="1">
        <v>1032.97</v>
      </c>
      <c r="J2659">
        <v>59142.95</v>
      </c>
      <c r="K2659">
        <v>58</v>
      </c>
      <c r="L2659" t="s">
        <v>78</v>
      </c>
      <c r="M2659" t="s">
        <v>17</v>
      </c>
      <c r="N2659">
        <v>6</v>
      </c>
      <c r="O2659">
        <v>1032.97</v>
      </c>
      <c r="P2659">
        <v>930</v>
      </c>
      <c r="Q2659" s="1" t="str">
        <v/>
      </c>
      <c r="R2659" s="1" t="str">
        <v/>
      </c>
      <c r="S2659" s="3">
        <v>0</v>
      </c>
      <c r="T2659" s="3">
        <v>0</v>
      </c>
    </row>
    <row r="2660" spans="1:20" x14ac:dyDescent="0.25">
      <c r="A2660" t="s">
        <v>78</v>
      </c>
      <c r="B2660" t="s">
        <v>4523</v>
      </c>
      <c r="C2660" t="s">
        <v>4525</v>
      </c>
      <c r="D2660" t="s">
        <v>4524</v>
      </c>
      <c r="E2660">
        <v>1020</v>
      </c>
      <c r="F2660">
        <v>1020</v>
      </c>
      <c r="G2660">
        <v>1020</v>
      </c>
      <c r="H2660">
        <v>1020</v>
      </c>
      <c r="I2660" s="1">
        <v>1020</v>
      </c>
      <c r="J2660">
        <v>51000</v>
      </c>
      <c r="K2660">
        <v>50</v>
      </c>
      <c r="L2660" t="s">
        <v>78</v>
      </c>
      <c r="M2660" t="s">
        <v>17</v>
      </c>
      <c r="N2660">
        <v>1</v>
      </c>
      <c r="O2660">
        <v>1071.1199999999999</v>
      </c>
      <c r="P2660">
        <v>980</v>
      </c>
      <c r="Q2660" s="1" t="str">
        <v/>
      </c>
      <c r="R2660" s="1" t="str">
        <v/>
      </c>
      <c r="S2660" s="3">
        <v>0</v>
      </c>
      <c r="T2660" s="3">
        <v>0</v>
      </c>
    </row>
    <row r="2661" spans="1:20" x14ac:dyDescent="0.25">
      <c r="A2661" t="s">
        <v>78</v>
      </c>
      <c r="B2661" t="s">
        <v>4523</v>
      </c>
      <c r="C2661" t="s">
        <v>4522</v>
      </c>
      <c r="D2661" t="s">
        <v>4521</v>
      </c>
      <c r="E2661">
        <v>963</v>
      </c>
      <c r="F2661">
        <v>950.2</v>
      </c>
      <c r="G2661">
        <v>950.2</v>
      </c>
      <c r="H2661">
        <v>950.2</v>
      </c>
      <c r="I2661" s="1">
        <v>950.2</v>
      </c>
      <c r="J2661">
        <v>1900.4</v>
      </c>
      <c r="K2661">
        <v>2</v>
      </c>
      <c r="L2661" t="s">
        <v>78</v>
      </c>
      <c r="M2661" t="s">
        <v>17</v>
      </c>
      <c r="N2661">
        <v>1</v>
      </c>
      <c r="O2661">
        <v>980</v>
      </c>
      <c r="P2661">
        <v>830.4</v>
      </c>
      <c r="Q2661" s="1" t="str">
        <v/>
      </c>
      <c r="R2661" s="1" t="str">
        <v/>
      </c>
      <c r="S2661" s="3">
        <v>0</v>
      </c>
      <c r="T2661" s="3">
        <v>0</v>
      </c>
    </row>
    <row r="2662" spans="1:20" x14ac:dyDescent="0.25">
      <c r="A2662" t="s">
        <v>78</v>
      </c>
      <c r="B2662" t="s">
        <v>4009</v>
      </c>
      <c r="C2662" t="s">
        <v>4520</v>
      </c>
      <c r="D2662" t="s">
        <v>4010</v>
      </c>
      <c r="E2662">
        <v>1080</v>
      </c>
      <c r="F2662">
        <v>1081.6099999999999</v>
      </c>
      <c r="G2662">
        <v>1081.6099999999999</v>
      </c>
      <c r="H2662">
        <v>1080</v>
      </c>
      <c r="I2662" s="1">
        <v>1080</v>
      </c>
      <c r="J2662">
        <v>242079.39</v>
      </c>
      <c r="K2662">
        <v>224</v>
      </c>
      <c r="L2662" t="s">
        <v>78</v>
      </c>
      <c r="M2662" t="s">
        <v>17</v>
      </c>
      <c r="N2662">
        <v>4</v>
      </c>
      <c r="O2662">
        <v>1101.1300000000001</v>
      </c>
      <c r="P2662">
        <v>1000</v>
      </c>
      <c r="Q2662" s="1" t="str">
        <v/>
      </c>
      <c r="R2662" s="1" t="str">
        <v/>
      </c>
      <c r="S2662" s="3">
        <v>0</v>
      </c>
      <c r="T2662" s="3">
        <v>0</v>
      </c>
    </row>
    <row r="2663" spans="1:20" x14ac:dyDescent="0.25">
      <c r="A2663" t="s">
        <v>78</v>
      </c>
      <c r="B2663" t="s">
        <v>4515</v>
      </c>
      <c r="C2663" t="s">
        <v>4519</v>
      </c>
      <c r="D2663" t="s">
        <v>4518</v>
      </c>
      <c r="E2663">
        <v>1042.8</v>
      </c>
      <c r="F2663">
        <v>1042.8</v>
      </c>
      <c r="G2663">
        <v>1042.8</v>
      </c>
      <c r="H2663">
        <v>1042.8</v>
      </c>
      <c r="I2663" s="1">
        <v>1042.8</v>
      </c>
      <c r="J2663">
        <v>29198.400000000001</v>
      </c>
      <c r="K2663">
        <v>28</v>
      </c>
      <c r="L2663" t="s">
        <v>78</v>
      </c>
      <c r="M2663" t="s">
        <v>17</v>
      </c>
      <c r="N2663">
        <v>1</v>
      </c>
      <c r="O2663">
        <v>1198</v>
      </c>
      <c r="P2663">
        <v>860</v>
      </c>
      <c r="Q2663" s="1" t="str">
        <v/>
      </c>
      <c r="R2663" s="1" t="str">
        <v/>
      </c>
      <c r="S2663" s="3">
        <v>0</v>
      </c>
      <c r="T2663" s="3">
        <v>0</v>
      </c>
    </row>
    <row r="2664" spans="1:20" x14ac:dyDescent="0.25">
      <c r="A2664" t="s">
        <v>78</v>
      </c>
      <c r="B2664" t="s">
        <v>4515</v>
      </c>
      <c r="C2664" t="s">
        <v>4517</v>
      </c>
      <c r="D2664" t="s">
        <v>4516</v>
      </c>
      <c r="E2664">
        <v>939.12</v>
      </c>
      <c r="F2664">
        <v>939.12</v>
      </c>
      <c r="G2664">
        <v>972.9</v>
      </c>
      <c r="H2664">
        <v>910.2</v>
      </c>
      <c r="I2664" s="1">
        <v>972.9</v>
      </c>
      <c r="J2664">
        <v>46878.95</v>
      </c>
      <c r="K2664">
        <v>50</v>
      </c>
      <c r="L2664" t="s">
        <v>78</v>
      </c>
      <c r="M2664" t="s">
        <v>17</v>
      </c>
      <c r="N2664">
        <v>8</v>
      </c>
      <c r="O2664">
        <v>975</v>
      </c>
      <c r="P2664">
        <v>904.43</v>
      </c>
      <c r="Q2664" s="1" t="str">
        <v/>
      </c>
      <c r="R2664" s="1" t="str">
        <v/>
      </c>
      <c r="S2664" s="3">
        <v>0</v>
      </c>
      <c r="T2664" s="3">
        <v>0</v>
      </c>
    </row>
    <row r="2665" spans="1:20" x14ac:dyDescent="0.25">
      <c r="A2665" t="s">
        <v>78</v>
      </c>
      <c r="B2665" t="s">
        <v>4515</v>
      </c>
      <c r="C2665" t="s">
        <v>4514</v>
      </c>
      <c r="D2665" t="s">
        <v>4513</v>
      </c>
      <c r="E2665">
        <v>1569</v>
      </c>
      <c r="F2665">
        <v>1567</v>
      </c>
      <c r="G2665">
        <v>1567</v>
      </c>
      <c r="H2665">
        <v>1567</v>
      </c>
      <c r="I2665" s="1">
        <v>1567</v>
      </c>
      <c r="J2665">
        <v>78350</v>
      </c>
      <c r="K2665">
        <v>50</v>
      </c>
      <c r="L2665" t="s">
        <v>78</v>
      </c>
      <c r="M2665" t="s">
        <v>17</v>
      </c>
      <c r="N2665">
        <v>2</v>
      </c>
      <c r="O2665">
        <v>1839</v>
      </c>
      <c r="P2665">
        <v>1325</v>
      </c>
      <c r="Q2665" s="1" t="str">
        <v/>
      </c>
      <c r="R2665" s="1" t="str">
        <v/>
      </c>
      <c r="S2665" s="3">
        <v>0</v>
      </c>
      <c r="T2665" s="3">
        <v>0</v>
      </c>
    </row>
    <row r="2666" spans="1:20" x14ac:dyDescent="0.25">
      <c r="A2666" t="s">
        <v>78</v>
      </c>
      <c r="B2666" t="s">
        <v>4512</v>
      </c>
      <c r="C2666" t="s">
        <v>4511</v>
      </c>
      <c r="D2666" t="s">
        <v>4510</v>
      </c>
      <c r="E2666">
        <v>953</v>
      </c>
      <c r="F2666">
        <v>925.2</v>
      </c>
      <c r="G2666">
        <v>925.2</v>
      </c>
      <c r="H2666">
        <v>925.2</v>
      </c>
      <c r="I2666" s="1">
        <v>925.2</v>
      </c>
      <c r="J2666">
        <v>9252</v>
      </c>
      <c r="K2666">
        <v>10</v>
      </c>
      <c r="L2666" t="s">
        <v>78</v>
      </c>
      <c r="M2666" t="s">
        <v>17</v>
      </c>
      <c r="N2666">
        <v>1</v>
      </c>
      <c r="O2666">
        <v>965</v>
      </c>
      <c r="P2666">
        <v>900.3</v>
      </c>
      <c r="Q2666" s="1" t="str">
        <v/>
      </c>
      <c r="R2666" s="1" t="str">
        <v/>
      </c>
      <c r="S2666" s="3">
        <v>0</v>
      </c>
      <c r="T2666" s="3">
        <v>0</v>
      </c>
    </row>
    <row r="2667" spans="1:20" x14ac:dyDescent="0.25">
      <c r="A2667" t="s">
        <v>78</v>
      </c>
      <c r="B2667" t="s">
        <v>4509</v>
      </c>
      <c r="C2667" t="s">
        <v>4508</v>
      </c>
      <c r="D2667" t="s">
        <v>4507</v>
      </c>
      <c r="E2667">
        <v>990</v>
      </c>
      <c r="F2667">
        <v>990</v>
      </c>
      <c r="G2667">
        <v>990</v>
      </c>
      <c r="H2667">
        <v>990</v>
      </c>
      <c r="I2667" s="1">
        <v>990</v>
      </c>
      <c r="J2667">
        <v>29700</v>
      </c>
      <c r="K2667">
        <v>30</v>
      </c>
      <c r="L2667" t="s">
        <v>78</v>
      </c>
      <c r="M2667" t="s">
        <v>17</v>
      </c>
      <c r="N2667">
        <v>1</v>
      </c>
      <c r="O2667">
        <v>1015</v>
      </c>
      <c r="P2667">
        <v>972</v>
      </c>
      <c r="Q2667" s="1" t="str">
        <v/>
      </c>
      <c r="R2667" s="1" t="str">
        <v/>
      </c>
      <c r="S2667" s="3">
        <v>0</v>
      </c>
      <c r="T2667" s="3">
        <v>0</v>
      </c>
    </row>
    <row r="2668" spans="1:20" x14ac:dyDescent="0.25">
      <c r="A2668" t="s">
        <v>78</v>
      </c>
      <c r="B2668" t="s">
        <v>4504</v>
      </c>
      <c r="C2668" t="s">
        <v>4506</v>
      </c>
      <c r="D2668" t="s">
        <v>4505</v>
      </c>
      <c r="E2668">
        <v>995</v>
      </c>
      <c r="F2668">
        <v>997</v>
      </c>
      <c r="G2668">
        <v>997</v>
      </c>
      <c r="H2668">
        <v>990.1</v>
      </c>
      <c r="I2668" s="1">
        <v>993.86</v>
      </c>
      <c r="J2668">
        <v>49693.2</v>
      </c>
      <c r="K2668">
        <v>50</v>
      </c>
      <c r="L2668" t="s">
        <v>78</v>
      </c>
      <c r="M2668" t="s">
        <v>17</v>
      </c>
      <c r="N2668">
        <v>4</v>
      </c>
      <c r="O2668">
        <v>1190</v>
      </c>
      <c r="P2668">
        <v>972</v>
      </c>
      <c r="Q2668" s="1" t="str">
        <v/>
      </c>
      <c r="R2668" s="1" t="str">
        <v/>
      </c>
      <c r="S2668" s="3">
        <v>0</v>
      </c>
      <c r="T2668" s="3">
        <v>0</v>
      </c>
    </row>
    <row r="2669" spans="1:20" x14ac:dyDescent="0.25">
      <c r="A2669" t="s">
        <v>78</v>
      </c>
      <c r="B2669" t="s">
        <v>4504</v>
      </c>
      <c r="C2669" t="s">
        <v>4503</v>
      </c>
      <c r="D2669" t="s">
        <v>4502</v>
      </c>
      <c r="E2669">
        <v>969.24</v>
      </c>
      <c r="F2669">
        <v>969.24</v>
      </c>
      <c r="G2669">
        <v>969.24</v>
      </c>
      <c r="H2669">
        <v>969.24</v>
      </c>
      <c r="I2669" s="1">
        <v>969.24</v>
      </c>
      <c r="J2669">
        <v>9692.4</v>
      </c>
      <c r="K2669">
        <v>10</v>
      </c>
      <c r="L2669" t="s">
        <v>78</v>
      </c>
      <c r="M2669" t="s">
        <v>17</v>
      </c>
      <c r="N2669">
        <v>1</v>
      </c>
      <c r="O2669">
        <v>987</v>
      </c>
      <c r="P2669">
        <v>910</v>
      </c>
      <c r="Q2669" s="1" t="str">
        <v/>
      </c>
      <c r="R2669" s="1" t="str">
        <v/>
      </c>
      <c r="S2669" s="3">
        <v>0</v>
      </c>
      <c r="T2669" s="3">
        <v>0</v>
      </c>
    </row>
    <row r="2670" spans="1:20" x14ac:dyDescent="0.25">
      <c r="A2670" t="s">
        <v>78</v>
      </c>
      <c r="B2670" t="s">
        <v>4499</v>
      </c>
      <c r="C2670" t="s">
        <v>4501</v>
      </c>
      <c r="D2670" t="s">
        <v>4500</v>
      </c>
      <c r="E2670">
        <v>1010</v>
      </c>
      <c r="F2670">
        <v>1010</v>
      </c>
      <c r="G2670">
        <v>1010</v>
      </c>
      <c r="H2670">
        <v>1010</v>
      </c>
      <c r="I2670" s="1">
        <v>1010</v>
      </c>
      <c r="J2670">
        <v>15150</v>
      </c>
      <c r="K2670">
        <v>15</v>
      </c>
      <c r="L2670" t="s">
        <v>78</v>
      </c>
      <c r="M2670" t="s">
        <v>17</v>
      </c>
      <c r="N2670">
        <v>1</v>
      </c>
      <c r="O2670">
        <v>1010</v>
      </c>
      <c r="P2670">
        <v>998</v>
      </c>
      <c r="Q2670" s="1" t="str">
        <v/>
      </c>
      <c r="R2670" s="1" t="str">
        <v/>
      </c>
      <c r="S2670" s="3">
        <v>0</v>
      </c>
      <c r="T2670" s="3">
        <v>0</v>
      </c>
    </row>
    <row r="2671" spans="1:20" x14ac:dyDescent="0.25">
      <c r="A2671" t="s">
        <v>78</v>
      </c>
      <c r="B2671" t="s">
        <v>4499</v>
      </c>
      <c r="C2671" t="s">
        <v>4498</v>
      </c>
      <c r="D2671" t="s">
        <v>4497</v>
      </c>
      <c r="E2671">
        <v>1433</v>
      </c>
      <c r="F2671">
        <v>1455</v>
      </c>
      <c r="G2671">
        <v>1455</v>
      </c>
      <c r="H2671">
        <v>1420</v>
      </c>
      <c r="I2671" s="1">
        <v>1450</v>
      </c>
      <c r="J2671">
        <v>459950</v>
      </c>
      <c r="K2671">
        <v>320</v>
      </c>
      <c r="L2671" t="s">
        <v>78</v>
      </c>
      <c r="M2671" t="s">
        <v>17</v>
      </c>
      <c r="N2671">
        <v>5</v>
      </c>
      <c r="O2671">
        <v>1460</v>
      </c>
      <c r="P2671">
        <v>1202</v>
      </c>
      <c r="Q2671" s="1" t="str">
        <v/>
      </c>
      <c r="R2671" s="1" t="str">
        <v/>
      </c>
      <c r="S2671" s="3">
        <v>0</v>
      </c>
      <c r="T2671" s="3">
        <v>0</v>
      </c>
    </row>
    <row r="2672" spans="1:20" x14ac:dyDescent="0.25">
      <c r="A2672" t="s">
        <v>78</v>
      </c>
      <c r="B2672" t="s">
        <v>4496</v>
      </c>
      <c r="C2672" t="s">
        <v>4495</v>
      </c>
      <c r="D2672" t="s">
        <v>4494</v>
      </c>
      <c r="E2672">
        <v>941</v>
      </c>
      <c r="F2672">
        <v>948</v>
      </c>
      <c r="G2672">
        <v>948</v>
      </c>
      <c r="H2672">
        <v>948</v>
      </c>
      <c r="I2672" s="1">
        <v>948</v>
      </c>
      <c r="J2672">
        <v>4740</v>
      </c>
      <c r="K2672">
        <v>5</v>
      </c>
      <c r="L2672" t="s">
        <v>78</v>
      </c>
      <c r="M2672" t="s">
        <v>17</v>
      </c>
      <c r="N2672">
        <v>1</v>
      </c>
      <c r="O2672">
        <v>999</v>
      </c>
      <c r="P2672">
        <v>880</v>
      </c>
      <c r="Q2672" s="1" t="str">
        <v/>
      </c>
      <c r="R2672" s="1" t="str">
        <v/>
      </c>
      <c r="S2672" s="3">
        <v>0</v>
      </c>
      <c r="T2672" s="3">
        <v>0</v>
      </c>
    </row>
    <row r="2673" spans="1:20" x14ac:dyDescent="0.25">
      <c r="A2673" t="s">
        <v>78</v>
      </c>
      <c r="B2673" t="s">
        <v>4493</v>
      </c>
      <c r="C2673" t="s">
        <v>4492</v>
      </c>
      <c r="D2673" t="s">
        <v>4491</v>
      </c>
      <c r="E2673">
        <v>1120</v>
      </c>
      <c r="F2673">
        <v>1100</v>
      </c>
      <c r="G2673">
        <v>1100</v>
      </c>
      <c r="H2673">
        <v>1100</v>
      </c>
      <c r="I2673" s="1">
        <v>1100</v>
      </c>
      <c r="J2673">
        <v>5500</v>
      </c>
      <c r="K2673">
        <v>5</v>
      </c>
      <c r="L2673" t="s">
        <v>78</v>
      </c>
      <c r="M2673" t="s">
        <v>17</v>
      </c>
      <c r="N2673">
        <v>1</v>
      </c>
      <c r="O2673">
        <v>1120</v>
      </c>
      <c r="P2673">
        <v>851</v>
      </c>
      <c r="Q2673" s="1" t="str">
        <v/>
      </c>
      <c r="R2673" s="1" t="str">
        <v/>
      </c>
      <c r="S2673" s="3">
        <v>0</v>
      </c>
      <c r="T2673" s="3">
        <v>0</v>
      </c>
    </row>
    <row r="2674" spans="1:20" x14ac:dyDescent="0.25">
      <c r="A2674" t="s">
        <v>78</v>
      </c>
      <c r="B2674" t="s">
        <v>4490</v>
      </c>
      <c r="C2674" t="s">
        <v>4489</v>
      </c>
      <c r="D2674" t="s">
        <v>4488</v>
      </c>
      <c r="E2674">
        <v>1010</v>
      </c>
      <c r="F2674">
        <v>990</v>
      </c>
      <c r="G2674">
        <v>990</v>
      </c>
      <c r="H2674">
        <v>990</v>
      </c>
      <c r="I2674" s="1">
        <v>990</v>
      </c>
      <c r="J2674">
        <v>9900</v>
      </c>
      <c r="K2674">
        <v>10</v>
      </c>
      <c r="L2674" t="s">
        <v>78</v>
      </c>
      <c r="M2674" t="s">
        <v>17</v>
      </c>
      <c r="N2674">
        <v>1</v>
      </c>
      <c r="O2674">
        <v>1010</v>
      </c>
      <c r="P2674">
        <v>970.2</v>
      </c>
      <c r="Q2674" s="1" t="str">
        <v/>
      </c>
      <c r="R2674" s="1" t="str">
        <v/>
      </c>
      <c r="S2674" s="3">
        <v>0</v>
      </c>
      <c r="T2674" s="3">
        <v>0</v>
      </c>
    </row>
    <row r="2675" spans="1:20" x14ac:dyDescent="0.25">
      <c r="A2675" t="s">
        <v>17</v>
      </c>
      <c r="B2675" t="s">
        <v>2959</v>
      </c>
      <c r="D2675" t="s">
        <v>17</v>
      </c>
      <c r="E2675" t="s">
        <v>17</v>
      </c>
      <c r="F2675" t="s">
        <v>17</v>
      </c>
      <c r="G2675" t="s">
        <v>17</v>
      </c>
      <c r="H2675" t="s">
        <v>17</v>
      </c>
      <c r="I2675" s="1" t="s">
        <v>17</v>
      </c>
      <c r="J2675" t="s">
        <v>17</v>
      </c>
      <c r="K2675" t="s">
        <v>17</v>
      </c>
      <c r="L2675" t="s">
        <v>17</v>
      </c>
      <c r="M2675" t="s">
        <v>17</v>
      </c>
      <c r="N2675" t="s">
        <v>17</v>
      </c>
      <c r="O2675" t="s">
        <v>17</v>
      </c>
      <c r="P2675" t="s">
        <v>17</v>
      </c>
      <c r="Q2675" s="1" t="str">
        <v/>
      </c>
      <c r="R2675" s="1" t="str">
        <v/>
      </c>
      <c r="S2675" s="3">
        <v>0</v>
      </c>
      <c r="T2675" s="3">
        <v>0</v>
      </c>
    </row>
    <row r="2676" spans="1:20" x14ac:dyDescent="0.25">
      <c r="A2676" t="s">
        <v>17</v>
      </c>
      <c r="B2676" t="s">
        <v>2959</v>
      </c>
      <c r="D2676" t="s">
        <v>4015</v>
      </c>
      <c r="E2676" t="s">
        <v>17</v>
      </c>
      <c r="F2676" t="s">
        <v>17</v>
      </c>
      <c r="G2676" t="s">
        <v>17</v>
      </c>
      <c r="H2676" t="s">
        <v>17</v>
      </c>
      <c r="I2676" s="1" t="s">
        <v>17</v>
      </c>
      <c r="J2676" t="s">
        <v>17</v>
      </c>
      <c r="K2676" t="s">
        <v>17</v>
      </c>
      <c r="L2676" t="s">
        <v>17</v>
      </c>
      <c r="M2676" t="s">
        <v>17</v>
      </c>
      <c r="N2676" t="s">
        <v>17</v>
      </c>
      <c r="O2676" t="s">
        <v>17</v>
      </c>
      <c r="P2676" t="s">
        <v>17</v>
      </c>
      <c r="Q2676" s="1" t="str">
        <v/>
      </c>
      <c r="R2676" s="1" t="str">
        <v/>
      </c>
      <c r="S2676" s="3">
        <v>0</v>
      </c>
      <c r="T2676" s="3">
        <v>0</v>
      </c>
    </row>
    <row r="2677" spans="1:20" x14ac:dyDescent="0.25">
      <c r="A2677" t="s">
        <v>17</v>
      </c>
      <c r="B2677" t="s">
        <v>17</v>
      </c>
      <c r="D2677" t="s">
        <v>17</v>
      </c>
      <c r="E2677" t="s">
        <v>17</v>
      </c>
      <c r="F2677" t="s">
        <v>17</v>
      </c>
      <c r="G2677" t="s">
        <v>17</v>
      </c>
      <c r="H2677" t="s">
        <v>17</v>
      </c>
      <c r="I2677" s="1" t="s">
        <v>17</v>
      </c>
      <c r="J2677" t="s">
        <v>17</v>
      </c>
      <c r="K2677" t="s">
        <v>17</v>
      </c>
      <c r="L2677" t="s">
        <v>17</v>
      </c>
      <c r="M2677" t="s">
        <v>17</v>
      </c>
      <c r="N2677" t="s">
        <v>17</v>
      </c>
      <c r="O2677" t="s">
        <v>17</v>
      </c>
      <c r="P2677" t="s">
        <v>17</v>
      </c>
      <c r="Q2677" s="1" t="str">
        <v/>
      </c>
      <c r="R2677" s="1" t="str">
        <v/>
      </c>
      <c r="S2677" s="3">
        <v>0</v>
      </c>
      <c r="T2677" s="3">
        <v>0</v>
      </c>
    </row>
    <row r="2678" spans="1:20" x14ac:dyDescent="0.25">
      <c r="A2678" t="s">
        <v>17</v>
      </c>
      <c r="B2678" t="s">
        <v>17</v>
      </c>
      <c r="D2678" t="s">
        <v>4018</v>
      </c>
      <c r="E2678" t="s">
        <v>17</v>
      </c>
      <c r="F2678" t="s">
        <v>17</v>
      </c>
      <c r="G2678" t="s">
        <v>17</v>
      </c>
      <c r="H2678" t="s">
        <v>17</v>
      </c>
      <c r="I2678" s="1" t="s">
        <v>17</v>
      </c>
      <c r="J2678" t="s">
        <v>17</v>
      </c>
      <c r="K2678" t="s">
        <v>17</v>
      </c>
      <c r="L2678" t="s">
        <v>17</v>
      </c>
      <c r="M2678" t="s">
        <v>17</v>
      </c>
      <c r="N2678" t="s">
        <v>17</v>
      </c>
      <c r="O2678" t="s">
        <v>17</v>
      </c>
      <c r="P2678" t="s">
        <v>17</v>
      </c>
      <c r="Q2678" s="1" t="str">
        <v/>
      </c>
      <c r="R2678" s="1" t="str">
        <v/>
      </c>
      <c r="S2678" s="3">
        <v>0</v>
      </c>
      <c r="T2678" s="3">
        <v>0</v>
      </c>
    </row>
    <row r="2679" spans="1:20" x14ac:dyDescent="0.25">
      <c r="A2679" t="s">
        <v>78</v>
      </c>
      <c r="B2679" t="s">
        <v>79</v>
      </c>
      <c r="C2679" t="s">
        <v>4487</v>
      </c>
      <c r="D2679" t="s">
        <v>4486</v>
      </c>
      <c r="E2679">
        <v>100.26</v>
      </c>
      <c r="F2679">
        <v>100.56</v>
      </c>
      <c r="G2679">
        <v>100.57</v>
      </c>
      <c r="H2679">
        <v>100.28</v>
      </c>
      <c r="I2679" s="1">
        <v>100.53</v>
      </c>
      <c r="J2679">
        <v>9545.92</v>
      </c>
      <c r="K2679">
        <v>95</v>
      </c>
      <c r="L2679" t="s">
        <v>78</v>
      </c>
      <c r="M2679" t="s">
        <v>17</v>
      </c>
      <c r="N2679">
        <v>16</v>
      </c>
      <c r="O2679">
        <v>120</v>
      </c>
      <c r="P2679">
        <v>100</v>
      </c>
      <c r="Q2679" s="1" t="str">
        <v/>
      </c>
      <c r="R2679" s="1" t="str">
        <v/>
      </c>
      <c r="S2679" s="3">
        <v>0</v>
      </c>
      <c r="T2679" s="3">
        <v>0</v>
      </c>
    </row>
    <row r="2680" spans="1:20" x14ac:dyDescent="0.25">
      <c r="A2680" t="s">
        <v>78</v>
      </c>
      <c r="B2680" t="s">
        <v>79</v>
      </c>
      <c r="C2680" t="s">
        <v>4019</v>
      </c>
      <c r="D2680" t="s">
        <v>4020</v>
      </c>
      <c r="E2680">
        <v>53.17</v>
      </c>
      <c r="F2680">
        <v>53.74</v>
      </c>
      <c r="G2680">
        <v>54.47</v>
      </c>
      <c r="H2680">
        <v>52.94</v>
      </c>
      <c r="I2680" s="1">
        <v>53.21</v>
      </c>
      <c r="J2680">
        <v>2022346.24</v>
      </c>
      <c r="K2680">
        <v>37970</v>
      </c>
      <c r="L2680" t="s">
        <v>78</v>
      </c>
      <c r="M2680" t="s">
        <v>17</v>
      </c>
      <c r="N2680">
        <v>358</v>
      </c>
      <c r="O2680">
        <v>55.4</v>
      </c>
      <c r="P2680">
        <v>39.99</v>
      </c>
      <c r="Q2680" s="1">
        <v>347.95</v>
      </c>
      <c r="R2680" s="1" t="str">
        <v/>
      </c>
      <c r="S2680" s="3">
        <v>-0.14485511667818118</v>
      </c>
      <c r="T2680" s="3">
        <v>0</v>
      </c>
    </row>
    <row r="2681" spans="1:20" x14ac:dyDescent="0.25">
      <c r="A2681" t="s">
        <v>78</v>
      </c>
      <c r="B2681" t="s">
        <v>79</v>
      </c>
      <c r="C2681" t="s">
        <v>4485</v>
      </c>
      <c r="D2681" t="s">
        <v>4484</v>
      </c>
      <c r="E2681">
        <v>1000.01</v>
      </c>
      <c r="F2681">
        <v>1000</v>
      </c>
      <c r="G2681">
        <v>1000.01</v>
      </c>
      <c r="H2681">
        <v>999.99</v>
      </c>
      <c r="I2681" s="1">
        <v>999.99</v>
      </c>
      <c r="J2681">
        <v>4598999.67</v>
      </c>
      <c r="K2681">
        <v>4599</v>
      </c>
      <c r="L2681" t="s">
        <v>78</v>
      </c>
      <c r="M2681" t="s">
        <v>17</v>
      </c>
      <c r="N2681">
        <v>20</v>
      </c>
      <c r="O2681">
        <v>1030</v>
      </c>
      <c r="P2681">
        <v>994.04</v>
      </c>
      <c r="Q2681" s="1" t="str">
        <v/>
      </c>
      <c r="R2681" s="1" t="str">
        <v/>
      </c>
      <c r="S2681" s="3">
        <v>0</v>
      </c>
      <c r="T2681" s="3">
        <v>0</v>
      </c>
    </row>
    <row r="2682" spans="1:20" x14ac:dyDescent="0.25">
      <c r="A2682" t="s">
        <v>78</v>
      </c>
      <c r="B2682" t="s">
        <v>79</v>
      </c>
      <c r="C2682" t="s">
        <v>4021</v>
      </c>
      <c r="D2682" t="s">
        <v>4022</v>
      </c>
      <c r="E2682">
        <v>76.63</v>
      </c>
      <c r="F2682">
        <v>78.95</v>
      </c>
      <c r="G2682">
        <v>78.95</v>
      </c>
      <c r="H2682">
        <v>75.3</v>
      </c>
      <c r="I2682" s="1">
        <v>75.86</v>
      </c>
      <c r="J2682">
        <v>3143338.04</v>
      </c>
      <c r="K2682">
        <v>41505</v>
      </c>
      <c r="L2682" t="s">
        <v>78</v>
      </c>
      <c r="M2682" t="s">
        <v>17</v>
      </c>
      <c r="N2682">
        <v>673</v>
      </c>
      <c r="O2682">
        <v>80</v>
      </c>
      <c r="P2682">
        <v>43.9</v>
      </c>
      <c r="Q2682" s="1">
        <v>394.26</v>
      </c>
      <c r="R2682" s="1">
        <v>265.24</v>
      </c>
      <c r="S2682" s="3">
        <v>-0.12832917547794931</v>
      </c>
      <c r="T2682" s="3">
        <v>-6.0636726069688396E-2</v>
      </c>
    </row>
    <row r="2683" spans="1:20" x14ac:dyDescent="0.25">
      <c r="A2683" t="s">
        <v>78</v>
      </c>
      <c r="B2683" t="s">
        <v>79</v>
      </c>
      <c r="C2683" t="s">
        <v>4483</v>
      </c>
      <c r="D2683" t="s">
        <v>4482</v>
      </c>
      <c r="E2683">
        <v>11.5</v>
      </c>
      <c r="F2683">
        <v>11.5</v>
      </c>
      <c r="G2683">
        <v>11.6</v>
      </c>
      <c r="H2683">
        <v>11.21</v>
      </c>
      <c r="I2683" s="1">
        <v>11.33</v>
      </c>
      <c r="J2683">
        <v>10929038.359999999</v>
      </c>
      <c r="K2683">
        <v>966863</v>
      </c>
      <c r="L2683" t="s">
        <v>78</v>
      </c>
      <c r="M2683" t="s">
        <v>17</v>
      </c>
      <c r="N2683">
        <v>2286</v>
      </c>
      <c r="O2683">
        <v>11.6</v>
      </c>
      <c r="P2683">
        <v>9.26</v>
      </c>
      <c r="Q2683" s="1" t="str">
        <v/>
      </c>
      <c r="R2683" s="1" t="str">
        <v/>
      </c>
      <c r="S2683" s="3">
        <v>0</v>
      </c>
      <c r="T2683" s="3">
        <v>0</v>
      </c>
    </row>
    <row r="2684" spans="1:20" x14ac:dyDescent="0.25">
      <c r="A2684" t="s">
        <v>78</v>
      </c>
      <c r="B2684" t="s">
        <v>79</v>
      </c>
      <c r="C2684" t="s">
        <v>4481</v>
      </c>
      <c r="D2684" t="s">
        <v>4480</v>
      </c>
      <c r="E2684">
        <v>57.38</v>
      </c>
      <c r="F2684">
        <v>57.82</v>
      </c>
      <c r="G2684">
        <v>57.82</v>
      </c>
      <c r="H2684">
        <v>55.77</v>
      </c>
      <c r="I2684" s="1">
        <v>56.08</v>
      </c>
      <c r="J2684">
        <v>199388631.28</v>
      </c>
      <c r="K2684">
        <v>3549252</v>
      </c>
      <c r="L2684" t="s">
        <v>78</v>
      </c>
      <c r="M2684" t="s">
        <v>17</v>
      </c>
      <c r="N2684">
        <v>19529</v>
      </c>
      <c r="O2684">
        <v>57.87</v>
      </c>
      <c r="P2684">
        <v>31.31</v>
      </c>
      <c r="Q2684" s="1" t="str">
        <v/>
      </c>
      <c r="R2684" s="1" t="str">
        <v/>
      </c>
      <c r="S2684" s="3">
        <v>0</v>
      </c>
      <c r="T2684" s="3">
        <v>0</v>
      </c>
    </row>
    <row r="2685" spans="1:20" x14ac:dyDescent="0.25">
      <c r="A2685" t="s">
        <v>78</v>
      </c>
      <c r="B2685" t="s">
        <v>79</v>
      </c>
      <c r="C2685" t="s">
        <v>4479</v>
      </c>
      <c r="D2685" t="s">
        <v>4478</v>
      </c>
      <c r="E2685">
        <v>28.82</v>
      </c>
      <c r="F2685">
        <v>29.09</v>
      </c>
      <c r="G2685">
        <v>29.09</v>
      </c>
      <c r="H2685">
        <v>28.08</v>
      </c>
      <c r="I2685" s="1">
        <v>28.27</v>
      </c>
      <c r="J2685">
        <v>52113215.670000002</v>
      </c>
      <c r="K2685">
        <v>1839353</v>
      </c>
      <c r="L2685" t="s">
        <v>78</v>
      </c>
      <c r="M2685" t="s">
        <v>17</v>
      </c>
      <c r="N2685">
        <v>5341</v>
      </c>
      <c r="O2685">
        <v>29.24</v>
      </c>
      <c r="P2685">
        <v>16.559999999999999</v>
      </c>
      <c r="Q2685" s="1" t="str">
        <v/>
      </c>
      <c r="R2685" s="1" t="str">
        <v/>
      </c>
      <c r="S2685" s="3">
        <v>0</v>
      </c>
      <c r="T2685" s="3">
        <v>0</v>
      </c>
    </row>
    <row r="2686" spans="1:20" x14ac:dyDescent="0.25">
      <c r="A2686" t="s">
        <v>78</v>
      </c>
      <c r="B2686" t="s">
        <v>79</v>
      </c>
      <c r="C2686" t="s">
        <v>4477</v>
      </c>
      <c r="D2686" t="s">
        <v>4072</v>
      </c>
      <c r="E2686">
        <v>29.92</v>
      </c>
      <c r="F2686">
        <v>29.95</v>
      </c>
      <c r="G2686">
        <v>30.29</v>
      </c>
      <c r="H2686">
        <v>29.71</v>
      </c>
      <c r="I2686" s="1">
        <v>30.02</v>
      </c>
      <c r="J2686">
        <v>59730326.469999999</v>
      </c>
      <c r="K2686">
        <v>2000687</v>
      </c>
      <c r="L2686" t="s">
        <v>78</v>
      </c>
      <c r="M2686" t="s">
        <v>17</v>
      </c>
      <c r="N2686">
        <v>1858</v>
      </c>
      <c r="O2686">
        <v>278.10000000000002</v>
      </c>
      <c r="P2686">
        <v>26</v>
      </c>
      <c r="Q2686" s="1" t="str">
        <v/>
      </c>
      <c r="R2686" s="1" t="str">
        <v/>
      </c>
      <c r="S2686" s="3">
        <v>0</v>
      </c>
      <c r="T2686" s="3">
        <v>0</v>
      </c>
    </row>
    <row r="2687" spans="1:20" x14ac:dyDescent="0.25">
      <c r="A2687" t="s">
        <v>78</v>
      </c>
      <c r="B2687" t="s">
        <v>79</v>
      </c>
      <c r="C2687" t="s">
        <v>4476</v>
      </c>
      <c r="D2687" t="s">
        <v>4475</v>
      </c>
      <c r="E2687">
        <v>258.99</v>
      </c>
      <c r="F2687">
        <v>258.99</v>
      </c>
      <c r="G2687">
        <v>260.41000000000003</v>
      </c>
      <c r="H2687">
        <v>256.67</v>
      </c>
      <c r="I2687" s="1">
        <v>259.91000000000003</v>
      </c>
      <c r="J2687">
        <v>51963084.530000001</v>
      </c>
      <c r="K2687">
        <v>201101</v>
      </c>
      <c r="L2687" t="s">
        <v>78</v>
      </c>
      <c r="M2687" t="s">
        <v>17</v>
      </c>
      <c r="N2687">
        <v>3677</v>
      </c>
      <c r="O2687">
        <v>264.48</v>
      </c>
      <c r="P2687">
        <v>153.80000000000001</v>
      </c>
      <c r="Q2687" s="1" t="str">
        <v/>
      </c>
      <c r="R2687" s="1" t="str">
        <v/>
      </c>
      <c r="S2687" s="3">
        <v>0</v>
      </c>
      <c r="T2687" s="3">
        <v>0</v>
      </c>
    </row>
    <row r="2688" spans="1:20" x14ac:dyDescent="0.25">
      <c r="A2688" t="s">
        <v>78</v>
      </c>
      <c r="B2688" t="s">
        <v>79</v>
      </c>
      <c r="C2688" t="s">
        <v>4474</v>
      </c>
      <c r="D2688" t="s">
        <v>4473</v>
      </c>
      <c r="E2688">
        <v>25.92</v>
      </c>
      <c r="F2688">
        <v>25.98</v>
      </c>
      <c r="G2688">
        <v>26.13</v>
      </c>
      <c r="H2688">
        <v>25.65</v>
      </c>
      <c r="I2688" s="1">
        <v>25.99</v>
      </c>
      <c r="J2688">
        <v>13178113.699999999</v>
      </c>
      <c r="K2688">
        <v>510277</v>
      </c>
      <c r="L2688" t="s">
        <v>78</v>
      </c>
      <c r="M2688" t="s">
        <v>17</v>
      </c>
      <c r="N2688">
        <v>2986</v>
      </c>
      <c r="O2688">
        <v>212.97</v>
      </c>
      <c r="P2688">
        <v>20.399999999999999</v>
      </c>
      <c r="Q2688" s="1" t="str">
        <v/>
      </c>
      <c r="R2688" s="1" t="str">
        <v/>
      </c>
      <c r="S2688" s="3">
        <v>0</v>
      </c>
      <c r="T2688" s="3">
        <v>0</v>
      </c>
    </row>
    <row r="2689" spans="1:20" x14ac:dyDescent="0.25">
      <c r="A2689" t="s">
        <v>78</v>
      </c>
      <c r="B2689" t="s">
        <v>79</v>
      </c>
      <c r="C2689" t="s">
        <v>4023</v>
      </c>
      <c r="D2689" t="s">
        <v>4024</v>
      </c>
      <c r="E2689">
        <v>535.53</v>
      </c>
      <c r="F2689">
        <v>527.67999999999995</v>
      </c>
      <c r="G2689">
        <v>539</v>
      </c>
      <c r="H2689">
        <v>524.82000000000005</v>
      </c>
      <c r="I2689" s="1">
        <v>537.13</v>
      </c>
      <c r="J2689">
        <v>733828.75</v>
      </c>
      <c r="K2689">
        <v>1370</v>
      </c>
      <c r="L2689" t="s">
        <v>78</v>
      </c>
      <c r="M2689" t="s">
        <v>17</v>
      </c>
      <c r="N2689">
        <v>110</v>
      </c>
      <c r="O2689">
        <v>544.20000000000005</v>
      </c>
      <c r="P2689">
        <v>427.6</v>
      </c>
      <c r="Q2689" s="1">
        <v>348.87</v>
      </c>
      <c r="R2689" s="1" t="str">
        <v/>
      </c>
      <c r="S2689" s="3">
        <v>3.6616177099997982E-2</v>
      </c>
      <c r="T2689" s="3">
        <v>0</v>
      </c>
    </row>
    <row r="2690" spans="1:20" x14ac:dyDescent="0.25">
      <c r="A2690" t="s">
        <v>78</v>
      </c>
      <c r="B2690" t="s">
        <v>79</v>
      </c>
      <c r="C2690" t="s">
        <v>4025</v>
      </c>
      <c r="D2690" t="s">
        <v>4026</v>
      </c>
      <c r="E2690">
        <v>11.91</v>
      </c>
      <c r="F2690">
        <v>12.2</v>
      </c>
      <c r="G2690">
        <v>12.2</v>
      </c>
      <c r="H2690">
        <v>11.81</v>
      </c>
      <c r="I2690" s="1">
        <v>11.88</v>
      </c>
      <c r="J2690">
        <v>518560.07</v>
      </c>
      <c r="K2690">
        <v>43642</v>
      </c>
      <c r="L2690" t="s">
        <v>78</v>
      </c>
      <c r="M2690" t="s">
        <v>17</v>
      </c>
      <c r="N2690">
        <v>518</v>
      </c>
      <c r="O2690">
        <v>13.3</v>
      </c>
      <c r="P2690">
        <v>9.5</v>
      </c>
      <c r="Q2690" s="1">
        <v>10.14</v>
      </c>
      <c r="R2690" s="1" t="str">
        <v/>
      </c>
      <c r="S2690" s="3">
        <v>1.3284829163788814E-2</v>
      </c>
      <c r="T2690" s="3">
        <v>0</v>
      </c>
    </row>
    <row r="2691" spans="1:20" x14ac:dyDescent="0.25">
      <c r="A2691" t="s">
        <v>78</v>
      </c>
      <c r="B2691" t="s">
        <v>79</v>
      </c>
      <c r="C2691" t="s">
        <v>4472</v>
      </c>
      <c r="D2691" t="s">
        <v>4471</v>
      </c>
      <c r="E2691">
        <v>117.08</v>
      </c>
      <c r="F2691">
        <v>119.18</v>
      </c>
      <c r="G2691">
        <v>119.18</v>
      </c>
      <c r="H2691">
        <v>116</v>
      </c>
      <c r="I2691" s="1">
        <v>117.65</v>
      </c>
      <c r="J2691">
        <v>419946.54</v>
      </c>
      <c r="K2691">
        <v>3595</v>
      </c>
      <c r="L2691" t="s">
        <v>78</v>
      </c>
      <c r="M2691" t="s">
        <v>17</v>
      </c>
      <c r="N2691">
        <v>77</v>
      </c>
      <c r="O2691">
        <v>119.7</v>
      </c>
      <c r="P2691">
        <v>82.52</v>
      </c>
      <c r="Q2691" s="1" t="str">
        <v/>
      </c>
      <c r="R2691" s="1" t="str">
        <v/>
      </c>
      <c r="S2691" s="3">
        <v>0</v>
      </c>
      <c r="T2691" s="3">
        <v>0</v>
      </c>
    </row>
    <row r="2692" spans="1:20" x14ac:dyDescent="0.25">
      <c r="A2692" t="s">
        <v>78</v>
      </c>
      <c r="B2692" t="s">
        <v>79</v>
      </c>
      <c r="C2692" t="s">
        <v>4027</v>
      </c>
      <c r="D2692" t="s">
        <v>4028</v>
      </c>
      <c r="E2692">
        <v>62.82</v>
      </c>
      <c r="F2692">
        <v>63.17</v>
      </c>
      <c r="G2692">
        <v>63.74</v>
      </c>
      <c r="H2692">
        <v>63.01</v>
      </c>
      <c r="I2692" s="1">
        <v>63.48</v>
      </c>
      <c r="J2692">
        <v>42505779.789999999</v>
      </c>
      <c r="K2692">
        <v>668635</v>
      </c>
      <c r="L2692" t="s">
        <v>78</v>
      </c>
      <c r="M2692" t="s">
        <v>17</v>
      </c>
      <c r="N2692">
        <v>1834</v>
      </c>
      <c r="O2692">
        <v>64.900000000000006</v>
      </c>
      <c r="P2692">
        <v>47.51</v>
      </c>
      <c r="Q2692" s="1">
        <v>41.41</v>
      </c>
      <c r="R2692" s="1">
        <v>3070</v>
      </c>
      <c r="S2692" s="3">
        <v>3.6241482793349933E-2</v>
      </c>
      <c r="T2692" s="3">
        <v>-0.17620139427285841</v>
      </c>
    </row>
    <row r="2693" spans="1:20" x14ac:dyDescent="0.25">
      <c r="A2693" t="s">
        <v>78</v>
      </c>
      <c r="B2693" t="s">
        <v>79</v>
      </c>
      <c r="C2693" t="s">
        <v>4029</v>
      </c>
      <c r="D2693" t="s">
        <v>4030</v>
      </c>
      <c r="E2693">
        <v>133.4</v>
      </c>
      <c r="F2693">
        <v>133.4</v>
      </c>
      <c r="G2693">
        <v>133.91999999999999</v>
      </c>
      <c r="H2693">
        <v>132.11000000000001</v>
      </c>
      <c r="I2693" s="1">
        <v>133.85</v>
      </c>
      <c r="J2693">
        <v>2279066.85</v>
      </c>
      <c r="K2693">
        <v>17110</v>
      </c>
      <c r="L2693" t="s">
        <v>78</v>
      </c>
      <c r="M2693" t="s">
        <v>17</v>
      </c>
      <c r="N2693">
        <v>404</v>
      </c>
      <c r="O2693">
        <v>136</v>
      </c>
      <c r="P2693">
        <v>85.7</v>
      </c>
      <c r="Q2693" s="1">
        <v>88.5</v>
      </c>
      <c r="R2693" s="1" t="str">
        <v/>
      </c>
      <c r="S2693" s="3">
        <v>3.5077636307602189E-2</v>
      </c>
      <c r="T2693" s="3">
        <v>0</v>
      </c>
    </row>
    <row r="2694" spans="1:20" x14ac:dyDescent="0.25">
      <c r="A2694" t="s">
        <v>78</v>
      </c>
      <c r="B2694" t="s">
        <v>79</v>
      </c>
      <c r="C2694" t="s">
        <v>4470</v>
      </c>
      <c r="D2694" t="s">
        <v>4469</v>
      </c>
      <c r="E2694">
        <v>93.04</v>
      </c>
      <c r="F2694">
        <v>92.95</v>
      </c>
      <c r="G2694">
        <v>93.6</v>
      </c>
      <c r="H2694">
        <v>91.6</v>
      </c>
      <c r="I2694" s="1">
        <v>92.83</v>
      </c>
      <c r="J2694">
        <v>5733342.8600000003</v>
      </c>
      <c r="K2694">
        <v>61691</v>
      </c>
      <c r="L2694" t="s">
        <v>78</v>
      </c>
      <c r="M2694" t="s">
        <v>17</v>
      </c>
      <c r="N2694">
        <v>271</v>
      </c>
      <c r="O2694">
        <v>97.38</v>
      </c>
      <c r="P2694">
        <v>69</v>
      </c>
      <c r="Q2694" s="1" t="str">
        <v/>
      </c>
      <c r="R2694" s="1" t="str">
        <v/>
      </c>
      <c r="S2694" s="3">
        <v>0</v>
      </c>
      <c r="T2694" s="3">
        <v>0</v>
      </c>
    </row>
    <row r="2695" spans="1:20" x14ac:dyDescent="0.25">
      <c r="A2695" t="s">
        <v>78</v>
      </c>
      <c r="B2695" t="s">
        <v>79</v>
      </c>
      <c r="C2695" t="s">
        <v>4031</v>
      </c>
      <c r="D2695" t="s">
        <v>4032</v>
      </c>
      <c r="E2695">
        <v>266.42</v>
      </c>
      <c r="F2695">
        <v>268.45</v>
      </c>
      <c r="G2695">
        <v>268.45</v>
      </c>
      <c r="H2695">
        <v>264.98</v>
      </c>
      <c r="I2695" s="1">
        <v>267.58</v>
      </c>
      <c r="J2695">
        <v>4611597.12</v>
      </c>
      <c r="K2695">
        <v>17369</v>
      </c>
      <c r="L2695" t="s">
        <v>78</v>
      </c>
      <c r="M2695" t="s">
        <v>17</v>
      </c>
      <c r="N2695">
        <v>210</v>
      </c>
      <c r="O2695">
        <v>275</v>
      </c>
      <c r="P2695">
        <v>197.9</v>
      </c>
      <c r="Q2695" s="1">
        <v>163.78</v>
      </c>
      <c r="R2695" s="1">
        <v>1174.5999999999999</v>
      </c>
      <c r="S2695" s="3">
        <v>4.1756131355587645E-2</v>
      </c>
      <c r="T2695" s="3">
        <v>-7.1256528398796926E-2</v>
      </c>
    </row>
    <row r="2696" spans="1:20" x14ac:dyDescent="0.25">
      <c r="A2696" t="s">
        <v>78</v>
      </c>
      <c r="B2696" t="s">
        <v>79</v>
      </c>
      <c r="C2696" t="s">
        <v>4033</v>
      </c>
      <c r="D2696" t="s">
        <v>4034</v>
      </c>
      <c r="E2696">
        <v>416.77</v>
      </c>
      <c r="F2696">
        <v>411.01</v>
      </c>
      <c r="G2696">
        <v>424.8</v>
      </c>
      <c r="H2696">
        <v>411.01</v>
      </c>
      <c r="I2696" s="1">
        <v>423.4</v>
      </c>
      <c r="J2696">
        <v>3580556.92</v>
      </c>
      <c r="K2696">
        <v>8529</v>
      </c>
      <c r="L2696" t="s">
        <v>78</v>
      </c>
      <c r="M2696" t="s">
        <v>17</v>
      </c>
      <c r="N2696">
        <v>203</v>
      </c>
      <c r="O2696">
        <v>424.8</v>
      </c>
      <c r="P2696">
        <v>306.5</v>
      </c>
      <c r="Q2696" s="1">
        <v>288.3</v>
      </c>
      <c r="R2696" s="1" t="str">
        <v/>
      </c>
      <c r="S2696" s="3">
        <v>3.2544674128445639E-2</v>
      </c>
      <c r="T2696" s="3">
        <v>0</v>
      </c>
    </row>
    <row r="2697" spans="1:20" x14ac:dyDescent="0.25">
      <c r="A2697" t="s">
        <v>78</v>
      </c>
      <c r="B2697" t="s">
        <v>79</v>
      </c>
      <c r="C2697" t="s">
        <v>4468</v>
      </c>
      <c r="D2697" t="s">
        <v>4467</v>
      </c>
      <c r="E2697">
        <v>81.77</v>
      </c>
      <c r="F2697">
        <v>82.61</v>
      </c>
      <c r="G2697">
        <v>82.8</v>
      </c>
      <c r="H2697">
        <v>81.34</v>
      </c>
      <c r="I2697" s="1">
        <v>82.52</v>
      </c>
      <c r="J2697">
        <v>57455.72</v>
      </c>
      <c r="K2697">
        <v>701</v>
      </c>
      <c r="L2697" t="s">
        <v>78</v>
      </c>
      <c r="M2697" t="s">
        <v>17</v>
      </c>
      <c r="N2697">
        <v>55</v>
      </c>
      <c r="O2697">
        <v>85</v>
      </c>
      <c r="P2697">
        <v>62.95</v>
      </c>
      <c r="Q2697" s="1" t="str">
        <v/>
      </c>
      <c r="R2697" s="1" t="str">
        <v/>
      </c>
      <c r="S2697" s="3">
        <v>0</v>
      </c>
      <c r="T2697" s="3">
        <v>0</v>
      </c>
    </row>
    <row r="2698" spans="1:20" x14ac:dyDescent="0.25">
      <c r="A2698" t="s">
        <v>78</v>
      </c>
      <c r="B2698" t="s">
        <v>79</v>
      </c>
      <c r="C2698" t="s">
        <v>4035</v>
      </c>
      <c r="D2698" t="s">
        <v>4036</v>
      </c>
      <c r="E2698">
        <v>537.38</v>
      </c>
      <c r="F2698">
        <v>538.99</v>
      </c>
      <c r="G2698">
        <v>539.70000000000005</v>
      </c>
      <c r="H2698">
        <v>534.36</v>
      </c>
      <c r="I2698" s="1">
        <v>538.48</v>
      </c>
      <c r="J2698">
        <v>437993592.10000002</v>
      </c>
      <c r="K2698">
        <v>814686</v>
      </c>
      <c r="L2698" t="s">
        <v>78</v>
      </c>
      <c r="M2698" t="s">
        <v>17</v>
      </c>
      <c r="N2698">
        <v>11554</v>
      </c>
      <c r="O2698">
        <v>545.49</v>
      </c>
      <c r="P2698">
        <v>430.1</v>
      </c>
      <c r="Q2698" s="1">
        <v>352.01</v>
      </c>
      <c r="R2698" s="1">
        <v>3028.25</v>
      </c>
      <c r="S2698" s="3">
        <v>3.60591439383946E-2</v>
      </c>
      <c r="T2698" s="3">
        <v>-8.2683025725064585E-2</v>
      </c>
    </row>
    <row r="2699" spans="1:20" x14ac:dyDescent="0.25">
      <c r="A2699" t="s">
        <v>78</v>
      </c>
      <c r="B2699" t="s">
        <v>79</v>
      </c>
      <c r="C2699" t="s">
        <v>4466</v>
      </c>
      <c r="D2699" t="s">
        <v>4465</v>
      </c>
      <c r="E2699">
        <v>52.68</v>
      </c>
      <c r="F2699">
        <v>52.68</v>
      </c>
      <c r="G2699">
        <v>52.95</v>
      </c>
      <c r="H2699">
        <v>52.46</v>
      </c>
      <c r="I2699" s="1">
        <v>52.83</v>
      </c>
      <c r="J2699">
        <v>963763.77</v>
      </c>
      <c r="K2699">
        <v>18255</v>
      </c>
      <c r="L2699" t="s">
        <v>78</v>
      </c>
      <c r="M2699" t="s">
        <v>17</v>
      </c>
      <c r="N2699">
        <v>180</v>
      </c>
      <c r="O2699">
        <v>60</v>
      </c>
      <c r="P2699">
        <v>44.66</v>
      </c>
      <c r="Q2699" s="1" t="str">
        <v/>
      </c>
      <c r="R2699" s="1" t="str">
        <v/>
      </c>
      <c r="S2699" s="3">
        <v>0</v>
      </c>
      <c r="T2699" s="3">
        <v>0</v>
      </c>
    </row>
    <row r="2700" spans="1:20" x14ac:dyDescent="0.25">
      <c r="A2700" t="s">
        <v>78</v>
      </c>
      <c r="B2700" t="s">
        <v>79</v>
      </c>
      <c r="C2700" t="s">
        <v>4464</v>
      </c>
      <c r="D2700" t="s">
        <v>4463</v>
      </c>
      <c r="E2700">
        <v>527.97</v>
      </c>
      <c r="F2700">
        <v>526</v>
      </c>
      <c r="G2700">
        <v>531.59</v>
      </c>
      <c r="H2700">
        <v>524.65</v>
      </c>
      <c r="I2700" s="1">
        <v>530.07000000000005</v>
      </c>
      <c r="J2700">
        <v>1582483.19</v>
      </c>
      <c r="K2700">
        <v>2994</v>
      </c>
      <c r="L2700" t="s">
        <v>78</v>
      </c>
      <c r="M2700" t="s">
        <v>17</v>
      </c>
      <c r="N2700">
        <v>227</v>
      </c>
      <c r="O2700">
        <v>553.25</v>
      </c>
      <c r="P2700">
        <v>421</v>
      </c>
      <c r="Q2700" s="1" t="str">
        <v/>
      </c>
      <c r="R2700" s="1" t="str">
        <v/>
      </c>
      <c r="S2700" s="3">
        <v>0</v>
      </c>
      <c r="T2700" s="3">
        <v>0</v>
      </c>
    </row>
    <row r="2701" spans="1:20" x14ac:dyDescent="0.25">
      <c r="A2701" t="s">
        <v>78</v>
      </c>
      <c r="B2701" t="s">
        <v>79</v>
      </c>
      <c r="C2701" t="s">
        <v>4462</v>
      </c>
      <c r="D2701" t="s">
        <v>4461</v>
      </c>
      <c r="E2701">
        <v>53.17</v>
      </c>
      <c r="F2701">
        <v>52.28</v>
      </c>
      <c r="G2701">
        <v>53.51</v>
      </c>
      <c r="H2701">
        <v>52.28</v>
      </c>
      <c r="I2701" s="1">
        <v>53.15</v>
      </c>
      <c r="J2701">
        <v>12814960.140000001</v>
      </c>
      <c r="K2701">
        <v>242646</v>
      </c>
      <c r="L2701" t="s">
        <v>78</v>
      </c>
      <c r="M2701" t="s">
        <v>17</v>
      </c>
      <c r="N2701">
        <v>235</v>
      </c>
      <c r="O2701">
        <v>58.92</v>
      </c>
      <c r="P2701">
        <v>36.14</v>
      </c>
      <c r="Q2701" s="1" t="str">
        <v/>
      </c>
      <c r="R2701" s="1" t="str">
        <v/>
      </c>
      <c r="S2701" s="3">
        <v>0</v>
      </c>
      <c r="T2701" s="3">
        <v>0</v>
      </c>
    </row>
    <row r="2702" spans="1:20" x14ac:dyDescent="0.25">
      <c r="A2702" t="s">
        <v>78</v>
      </c>
      <c r="B2702" t="s">
        <v>79</v>
      </c>
      <c r="C2702" t="s">
        <v>4460</v>
      </c>
      <c r="D2702" t="s">
        <v>4076</v>
      </c>
      <c r="E2702">
        <v>53.2</v>
      </c>
      <c r="F2702">
        <v>53.22</v>
      </c>
      <c r="G2702">
        <v>54.2</v>
      </c>
      <c r="H2702">
        <v>52.97</v>
      </c>
      <c r="I2702" s="1">
        <v>53.33</v>
      </c>
      <c r="J2702">
        <v>59098931.82</v>
      </c>
      <c r="K2702">
        <v>1109953</v>
      </c>
      <c r="L2702" t="s">
        <v>78</v>
      </c>
      <c r="M2702" t="s">
        <v>17</v>
      </c>
      <c r="N2702">
        <v>1021</v>
      </c>
      <c r="O2702">
        <v>54.5</v>
      </c>
      <c r="P2702">
        <v>42.25</v>
      </c>
      <c r="Q2702" s="1" t="str">
        <v/>
      </c>
      <c r="R2702" s="1" t="str">
        <v/>
      </c>
      <c r="S2702" s="3">
        <v>0</v>
      </c>
      <c r="T2702" s="3">
        <v>0</v>
      </c>
    </row>
    <row r="2703" spans="1:20" x14ac:dyDescent="0.25">
      <c r="A2703" t="s">
        <v>78</v>
      </c>
      <c r="B2703" t="s">
        <v>79</v>
      </c>
      <c r="C2703" t="s">
        <v>4459</v>
      </c>
      <c r="D2703" t="s">
        <v>4116</v>
      </c>
      <c r="E2703">
        <v>538.29999999999995</v>
      </c>
      <c r="F2703">
        <v>537.16999999999996</v>
      </c>
      <c r="G2703">
        <v>540.70000000000005</v>
      </c>
      <c r="H2703">
        <v>535.84</v>
      </c>
      <c r="I2703" s="1">
        <v>539.5</v>
      </c>
      <c r="J2703">
        <v>78787430.390000001</v>
      </c>
      <c r="K2703">
        <v>146322</v>
      </c>
      <c r="L2703" t="s">
        <v>78</v>
      </c>
      <c r="M2703" t="s">
        <v>17</v>
      </c>
      <c r="N2703">
        <v>571</v>
      </c>
      <c r="O2703">
        <v>552.4</v>
      </c>
      <c r="P2703">
        <v>429.13</v>
      </c>
      <c r="Q2703" s="1" t="str">
        <v/>
      </c>
      <c r="R2703" s="1" t="str">
        <v/>
      </c>
      <c r="S2703" s="3">
        <v>0</v>
      </c>
      <c r="T2703" s="3">
        <v>0</v>
      </c>
    </row>
    <row r="2704" spans="1:20" x14ac:dyDescent="0.25">
      <c r="A2704" t="s">
        <v>78</v>
      </c>
      <c r="B2704" t="s">
        <v>79</v>
      </c>
      <c r="C2704" t="s">
        <v>4458</v>
      </c>
      <c r="D2704" t="s">
        <v>4457</v>
      </c>
      <c r="E2704">
        <v>1158.97</v>
      </c>
      <c r="F2704">
        <v>1160</v>
      </c>
      <c r="G2704">
        <v>1161</v>
      </c>
      <c r="H2704">
        <v>1159.75</v>
      </c>
      <c r="I2704" s="1">
        <v>1159.82</v>
      </c>
      <c r="J2704">
        <v>4987988.33</v>
      </c>
      <c r="K2704">
        <v>4299</v>
      </c>
      <c r="L2704" t="s">
        <v>78</v>
      </c>
      <c r="M2704" t="s">
        <v>17</v>
      </c>
      <c r="N2704">
        <v>29</v>
      </c>
      <c r="O2704">
        <v>1325.38</v>
      </c>
      <c r="P2704">
        <v>865.81</v>
      </c>
      <c r="Q2704" s="1" t="str">
        <v/>
      </c>
      <c r="R2704" s="1" t="str">
        <v/>
      </c>
      <c r="S2704" s="3">
        <v>0</v>
      </c>
      <c r="T2704" s="3">
        <v>0</v>
      </c>
    </row>
    <row r="2705" spans="1:20" x14ac:dyDescent="0.25">
      <c r="A2705" t="s">
        <v>78</v>
      </c>
      <c r="B2705" t="s">
        <v>79</v>
      </c>
      <c r="C2705" t="s">
        <v>4456</v>
      </c>
      <c r="D2705" t="s">
        <v>4455</v>
      </c>
      <c r="E2705">
        <v>52.5</v>
      </c>
      <c r="F2705">
        <v>52.5</v>
      </c>
      <c r="G2705">
        <v>52.58</v>
      </c>
      <c r="H2705">
        <v>51.96</v>
      </c>
      <c r="I2705" s="1">
        <v>52.38</v>
      </c>
      <c r="J2705">
        <v>177868.7</v>
      </c>
      <c r="K2705">
        <v>3388</v>
      </c>
      <c r="L2705" t="s">
        <v>78</v>
      </c>
      <c r="M2705" t="s">
        <v>17</v>
      </c>
      <c r="N2705">
        <v>27</v>
      </c>
      <c r="O2705">
        <v>54.6</v>
      </c>
      <c r="P2705">
        <v>50.12</v>
      </c>
      <c r="Q2705" s="1" t="str">
        <v/>
      </c>
      <c r="R2705" s="1" t="str">
        <v/>
      </c>
      <c r="S2705" s="3">
        <v>0</v>
      </c>
      <c r="T2705" s="3">
        <v>0</v>
      </c>
    </row>
    <row r="2706" spans="1:20" x14ac:dyDescent="0.25">
      <c r="A2706" t="s">
        <v>78</v>
      </c>
      <c r="B2706" t="s">
        <v>79</v>
      </c>
      <c r="C2706" t="s">
        <v>4454</v>
      </c>
      <c r="D2706" t="s">
        <v>4453</v>
      </c>
      <c r="E2706">
        <v>72.8</v>
      </c>
      <c r="F2706">
        <v>73.2</v>
      </c>
      <c r="G2706">
        <v>73.599999999999994</v>
      </c>
      <c r="H2706">
        <v>73</v>
      </c>
      <c r="I2706" s="1">
        <v>73.55</v>
      </c>
      <c r="J2706">
        <v>44246.1</v>
      </c>
      <c r="K2706">
        <v>604</v>
      </c>
      <c r="L2706" t="s">
        <v>78</v>
      </c>
      <c r="M2706" t="s">
        <v>17</v>
      </c>
      <c r="N2706">
        <v>37</v>
      </c>
      <c r="O2706">
        <v>75.599999999999994</v>
      </c>
      <c r="P2706">
        <v>54</v>
      </c>
      <c r="Q2706" s="1" t="str">
        <v/>
      </c>
      <c r="R2706" s="1" t="str">
        <v/>
      </c>
      <c r="S2706" s="3">
        <v>0</v>
      </c>
      <c r="T2706" s="3">
        <v>0</v>
      </c>
    </row>
    <row r="2707" spans="1:20" x14ac:dyDescent="0.25">
      <c r="A2707" t="s">
        <v>78</v>
      </c>
      <c r="B2707" t="s">
        <v>79</v>
      </c>
      <c r="C2707" t="s">
        <v>4452</v>
      </c>
      <c r="D2707" t="s">
        <v>4451</v>
      </c>
      <c r="E2707">
        <v>24.19</v>
      </c>
      <c r="F2707">
        <v>24.82</v>
      </c>
      <c r="G2707">
        <v>24.82</v>
      </c>
      <c r="H2707">
        <v>24.05</v>
      </c>
      <c r="I2707" s="1">
        <v>24.31</v>
      </c>
      <c r="J2707">
        <v>14479063.539999999</v>
      </c>
      <c r="K2707">
        <v>597939</v>
      </c>
      <c r="L2707" t="s">
        <v>78</v>
      </c>
      <c r="M2707" t="s">
        <v>17</v>
      </c>
      <c r="N2707">
        <v>1139</v>
      </c>
      <c r="O2707">
        <v>24.95</v>
      </c>
      <c r="P2707">
        <v>19</v>
      </c>
      <c r="Q2707" s="1" t="str">
        <v/>
      </c>
      <c r="R2707" s="1" t="str">
        <v/>
      </c>
      <c r="S2707" s="3">
        <v>0</v>
      </c>
      <c r="T2707" s="3">
        <v>0</v>
      </c>
    </row>
    <row r="2708" spans="1:20" x14ac:dyDescent="0.25">
      <c r="A2708" t="s">
        <v>78</v>
      </c>
      <c r="B2708" t="s">
        <v>79</v>
      </c>
      <c r="C2708" t="s">
        <v>4450</v>
      </c>
      <c r="D2708" t="s">
        <v>4070</v>
      </c>
      <c r="E2708">
        <v>38.97</v>
      </c>
      <c r="F2708">
        <v>38.97</v>
      </c>
      <c r="G2708">
        <v>39.18</v>
      </c>
      <c r="H2708">
        <v>38.71</v>
      </c>
      <c r="I2708" s="1">
        <v>39</v>
      </c>
      <c r="J2708">
        <v>35627650.82</v>
      </c>
      <c r="K2708">
        <v>915911</v>
      </c>
      <c r="L2708" t="s">
        <v>78</v>
      </c>
      <c r="M2708" t="s">
        <v>17</v>
      </c>
      <c r="N2708">
        <v>1212</v>
      </c>
      <c r="O2708">
        <v>39.200000000000003</v>
      </c>
      <c r="P2708">
        <v>24.2</v>
      </c>
      <c r="Q2708" s="1" t="str">
        <v/>
      </c>
      <c r="R2708" s="1" t="str">
        <v/>
      </c>
      <c r="S2708" s="3">
        <v>0</v>
      </c>
      <c r="T2708" s="3">
        <v>0</v>
      </c>
    </row>
    <row r="2709" spans="1:20" x14ac:dyDescent="0.25">
      <c r="A2709" t="s">
        <v>78</v>
      </c>
      <c r="B2709" t="s">
        <v>79</v>
      </c>
      <c r="C2709" t="s">
        <v>4037</v>
      </c>
      <c r="D2709" t="s">
        <v>4038</v>
      </c>
      <c r="E2709">
        <v>65.72</v>
      </c>
      <c r="F2709">
        <v>66.319999999999993</v>
      </c>
      <c r="G2709">
        <v>66.599999999999994</v>
      </c>
      <c r="H2709">
        <v>65.86</v>
      </c>
      <c r="I2709" s="1">
        <v>66.459999999999994</v>
      </c>
      <c r="J2709">
        <v>2970974.04</v>
      </c>
      <c r="K2709">
        <v>44782</v>
      </c>
      <c r="L2709" t="s">
        <v>78</v>
      </c>
      <c r="M2709" t="s">
        <v>17</v>
      </c>
      <c r="N2709">
        <v>820</v>
      </c>
      <c r="O2709">
        <v>78</v>
      </c>
      <c r="P2709">
        <v>42.82</v>
      </c>
      <c r="Q2709" s="1">
        <v>4381.05</v>
      </c>
      <c r="R2709" s="1">
        <v>3211</v>
      </c>
      <c r="S2709" s="3">
        <v>-0.29463293574315963</v>
      </c>
      <c r="T2709" s="3">
        <v>-0.17616143980220278</v>
      </c>
    </row>
    <row r="2710" spans="1:20" x14ac:dyDescent="0.25">
      <c r="A2710" t="s">
        <v>78</v>
      </c>
      <c r="B2710" t="s">
        <v>79</v>
      </c>
      <c r="C2710" t="s">
        <v>4039</v>
      </c>
      <c r="D2710" t="s">
        <v>4040</v>
      </c>
      <c r="E2710">
        <v>28.19</v>
      </c>
      <c r="F2710">
        <v>28.19</v>
      </c>
      <c r="G2710">
        <v>28.5</v>
      </c>
      <c r="H2710">
        <v>28.05</v>
      </c>
      <c r="I2710" s="1">
        <v>28.39</v>
      </c>
      <c r="J2710">
        <v>17860483.140000001</v>
      </c>
      <c r="K2710">
        <v>632219</v>
      </c>
      <c r="L2710" t="s">
        <v>78</v>
      </c>
      <c r="M2710" t="s">
        <v>17</v>
      </c>
      <c r="N2710">
        <v>12425</v>
      </c>
      <c r="O2710">
        <v>30.01</v>
      </c>
      <c r="P2710">
        <v>20</v>
      </c>
      <c r="Q2710" s="1">
        <v>172.7</v>
      </c>
      <c r="R2710" s="1">
        <v>124.85</v>
      </c>
      <c r="S2710" s="3">
        <v>-0.13968778755404432</v>
      </c>
      <c r="T2710" s="3">
        <v>-7.1340608291593166E-2</v>
      </c>
    </row>
    <row r="2711" spans="1:20" x14ac:dyDescent="0.25">
      <c r="A2711" t="s">
        <v>78</v>
      </c>
      <c r="B2711" t="s">
        <v>79</v>
      </c>
      <c r="C2711" t="s">
        <v>4449</v>
      </c>
      <c r="D2711" t="s">
        <v>4448</v>
      </c>
      <c r="E2711">
        <v>79.7</v>
      </c>
      <c r="F2711">
        <v>65</v>
      </c>
      <c r="G2711">
        <v>81.27</v>
      </c>
      <c r="H2711">
        <v>65</v>
      </c>
      <c r="I2711" s="1">
        <v>80.11</v>
      </c>
      <c r="J2711">
        <v>269192.8</v>
      </c>
      <c r="K2711">
        <v>3371</v>
      </c>
      <c r="L2711" t="s">
        <v>78</v>
      </c>
      <c r="M2711" t="s">
        <v>17</v>
      </c>
      <c r="N2711">
        <v>143</v>
      </c>
      <c r="O2711">
        <v>81.36</v>
      </c>
      <c r="P2711">
        <v>61.6</v>
      </c>
      <c r="Q2711" s="1" t="str">
        <v/>
      </c>
      <c r="R2711" s="1" t="str">
        <v/>
      </c>
      <c r="S2711" s="3">
        <v>0</v>
      </c>
      <c r="T2711" s="3">
        <v>0</v>
      </c>
    </row>
    <row r="2712" spans="1:20" x14ac:dyDescent="0.25">
      <c r="A2712" t="s">
        <v>78</v>
      </c>
      <c r="B2712" t="s">
        <v>79</v>
      </c>
      <c r="C2712" t="s">
        <v>4447</v>
      </c>
      <c r="D2712" t="s">
        <v>4446</v>
      </c>
      <c r="E2712">
        <v>94.94</v>
      </c>
      <c r="F2712">
        <v>95.22</v>
      </c>
      <c r="G2712">
        <v>95.22</v>
      </c>
      <c r="H2712">
        <v>94.03</v>
      </c>
      <c r="I2712" s="1">
        <v>94.61</v>
      </c>
      <c r="J2712">
        <v>6322185.0099999998</v>
      </c>
      <c r="K2712">
        <v>66863</v>
      </c>
      <c r="L2712" t="s">
        <v>78</v>
      </c>
      <c r="M2712" t="s">
        <v>17</v>
      </c>
      <c r="N2712">
        <v>2118</v>
      </c>
      <c r="O2712">
        <v>95.53</v>
      </c>
      <c r="P2712">
        <v>60.5</v>
      </c>
      <c r="Q2712" s="1" t="str">
        <v/>
      </c>
      <c r="R2712" s="1" t="str">
        <v/>
      </c>
      <c r="S2712" s="3">
        <v>0</v>
      </c>
      <c r="T2712" s="3">
        <v>0</v>
      </c>
    </row>
    <row r="2713" spans="1:20" x14ac:dyDescent="0.25">
      <c r="A2713" t="s">
        <v>78</v>
      </c>
      <c r="B2713" t="s">
        <v>79</v>
      </c>
      <c r="C2713" t="s">
        <v>4445</v>
      </c>
      <c r="D2713" t="s">
        <v>4444</v>
      </c>
      <c r="E2713">
        <v>115.57</v>
      </c>
      <c r="F2713">
        <v>115.57</v>
      </c>
      <c r="G2713">
        <v>116.4</v>
      </c>
      <c r="H2713">
        <v>114.7</v>
      </c>
      <c r="I2713" s="1">
        <v>116.39</v>
      </c>
      <c r="J2713">
        <v>247223.85</v>
      </c>
      <c r="K2713">
        <v>2132</v>
      </c>
      <c r="L2713" t="s">
        <v>78</v>
      </c>
      <c r="M2713" t="s">
        <v>17</v>
      </c>
      <c r="N2713">
        <v>60</v>
      </c>
      <c r="O2713">
        <v>116.41</v>
      </c>
      <c r="P2713">
        <v>82</v>
      </c>
      <c r="Q2713" s="1" t="str">
        <v/>
      </c>
      <c r="R2713" s="1" t="str">
        <v/>
      </c>
      <c r="S2713" s="3">
        <v>0</v>
      </c>
      <c r="T2713" s="3">
        <v>0</v>
      </c>
    </row>
    <row r="2714" spans="1:20" x14ac:dyDescent="0.25">
      <c r="A2714" t="s">
        <v>78</v>
      </c>
      <c r="B2714" t="s">
        <v>79</v>
      </c>
      <c r="C2714" t="s">
        <v>4443</v>
      </c>
      <c r="D2714" t="s">
        <v>4160</v>
      </c>
      <c r="E2714">
        <v>126.44</v>
      </c>
      <c r="F2714">
        <v>130.25</v>
      </c>
      <c r="G2714">
        <v>130.25</v>
      </c>
      <c r="H2714">
        <v>125.17</v>
      </c>
      <c r="I2714" s="1">
        <v>126.71</v>
      </c>
      <c r="J2714">
        <v>16591477.6</v>
      </c>
      <c r="K2714">
        <v>131395</v>
      </c>
      <c r="L2714" t="s">
        <v>78</v>
      </c>
      <c r="M2714" t="s">
        <v>17</v>
      </c>
      <c r="N2714">
        <v>1648</v>
      </c>
      <c r="O2714">
        <v>130.25</v>
      </c>
      <c r="P2714">
        <v>89.43</v>
      </c>
      <c r="Q2714" s="1" t="str">
        <v/>
      </c>
      <c r="R2714" s="1" t="str">
        <v/>
      </c>
      <c r="S2714" s="3">
        <v>0</v>
      </c>
      <c r="T2714" s="3">
        <v>0</v>
      </c>
    </row>
    <row r="2715" spans="1:20" x14ac:dyDescent="0.25">
      <c r="A2715" t="s">
        <v>78</v>
      </c>
      <c r="B2715" t="s">
        <v>79</v>
      </c>
      <c r="C2715" t="s">
        <v>4442</v>
      </c>
      <c r="D2715" t="s">
        <v>4441</v>
      </c>
      <c r="E2715">
        <v>117.34</v>
      </c>
      <c r="F2715">
        <v>117.01</v>
      </c>
      <c r="G2715">
        <v>118</v>
      </c>
      <c r="H2715">
        <v>116.5</v>
      </c>
      <c r="I2715" s="1">
        <v>117.67</v>
      </c>
      <c r="J2715">
        <v>2385977.33</v>
      </c>
      <c r="K2715">
        <v>20337</v>
      </c>
      <c r="L2715" t="s">
        <v>78</v>
      </c>
      <c r="M2715" t="s">
        <v>17</v>
      </c>
      <c r="N2715">
        <v>386</v>
      </c>
      <c r="O2715">
        <v>118</v>
      </c>
      <c r="P2715">
        <v>82.53</v>
      </c>
      <c r="Q2715" s="1" t="str">
        <v/>
      </c>
      <c r="R2715" s="1" t="str">
        <v/>
      </c>
      <c r="S2715" s="3">
        <v>0</v>
      </c>
      <c r="T2715" s="3">
        <v>0</v>
      </c>
    </row>
    <row r="2716" spans="1:20" x14ac:dyDescent="0.25">
      <c r="A2716" t="s">
        <v>78</v>
      </c>
      <c r="B2716" t="s">
        <v>79</v>
      </c>
      <c r="C2716" t="s">
        <v>4041</v>
      </c>
      <c r="D2716" t="s">
        <v>4042</v>
      </c>
      <c r="E2716">
        <v>102.75</v>
      </c>
      <c r="F2716">
        <v>105.5</v>
      </c>
      <c r="G2716">
        <v>105.5</v>
      </c>
      <c r="H2716">
        <v>100.63</v>
      </c>
      <c r="I2716" s="1">
        <v>101.48</v>
      </c>
      <c r="J2716">
        <v>896590224.52999997</v>
      </c>
      <c r="K2716">
        <v>8833973</v>
      </c>
      <c r="L2716" t="s">
        <v>78</v>
      </c>
      <c r="M2716" t="s">
        <v>17</v>
      </c>
      <c r="N2716">
        <v>44360</v>
      </c>
      <c r="O2716">
        <v>105.5</v>
      </c>
      <c r="P2716">
        <v>41.65</v>
      </c>
      <c r="Q2716" s="1">
        <v>25.78</v>
      </c>
      <c r="R2716" s="1">
        <v>25.11</v>
      </c>
      <c r="S2716" s="3">
        <v>0.12096347543875985</v>
      </c>
      <c r="T2716" s="3">
        <v>7.2284625361844324E-2</v>
      </c>
    </row>
    <row r="2717" spans="1:20" x14ac:dyDescent="0.25">
      <c r="A2717" t="s">
        <v>78</v>
      </c>
      <c r="B2717" t="s">
        <v>79</v>
      </c>
      <c r="C2717" t="s">
        <v>4440</v>
      </c>
      <c r="D2717" t="s">
        <v>4162</v>
      </c>
      <c r="E2717">
        <v>84.69</v>
      </c>
      <c r="F2717">
        <v>86</v>
      </c>
      <c r="G2717">
        <v>87</v>
      </c>
      <c r="H2717">
        <v>82.7</v>
      </c>
      <c r="I2717" s="1">
        <v>84.99</v>
      </c>
      <c r="J2717">
        <v>8411793.1899999995</v>
      </c>
      <c r="K2717">
        <v>99464</v>
      </c>
      <c r="L2717" t="s">
        <v>78</v>
      </c>
      <c r="M2717" t="s">
        <v>17</v>
      </c>
      <c r="N2717">
        <v>1561</v>
      </c>
      <c r="O2717">
        <v>87</v>
      </c>
      <c r="P2717">
        <v>53.12</v>
      </c>
      <c r="Q2717" s="1" t="str">
        <v/>
      </c>
      <c r="R2717" s="1" t="str">
        <v/>
      </c>
      <c r="S2717" s="3">
        <v>0</v>
      </c>
      <c r="T2717" s="3">
        <v>0</v>
      </c>
    </row>
    <row r="2718" spans="1:20" x14ac:dyDescent="0.25">
      <c r="A2718" t="s">
        <v>78</v>
      </c>
      <c r="B2718" t="s">
        <v>79</v>
      </c>
      <c r="C2718" t="s">
        <v>4045</v>
      </c>
      <c r="D2718" t="s">
        <v>4046</v>
      </c>
      <c r="E2718">
        <v>1222.5</v>
      </c>
      <c r="F2718">
        <v>1222.5</v>
      </c>
      <c r="G2718">
        <v>1392.5</v>
      </c>
      <c r="H2718">
        <v>1206.06</v>
      </c>
      <c r="I2718" s="1">
        <v>1223.1500000000001</v>
      </c>
      <c r="J2718">
        <v>6144992.04</v>
      </c>
      <c r="K2718">
        <v>5033</v>
      </c>
      <c r="L2718" t="s">
        <v>78</v>
      </c>
      <c r="M2718" t="s">
        <v>17</v>
      </c>
      <c r="N2718">
        <v>102</v>
      </c>
      <c r="O2718">
        <v>1392.5</v>
      </c>
      <c r="P2718">
        <v>1121.5</v>
      </c>
      <c r="Q2718" s="1">
        <v>1046.98</v>
      </c>
      <c r="R2718" s="1" t="str">
        <v/>
      </c>
      <c r="S2718" s="3">
        <v>1.3044316823843216E-2</v>
      </c>
      <c r="T2718" s="3">
        <v>0</v>
      </c>
    </row>
    <row r="2719" spans="1:20" x14ac:dyDescent="0.25">
      <c r="A2719" t="s">
        <v>78</v>
      </c>
      <c r="B2719" t="s">
        <v>79</v>
      </c>
      <c r="C2719" t="s">
        <v>4047</v>
      </c>
      <c r="D2719" t="s">
        <v>4048</v>
      </c>
      <c r="E2719">
        <v>1384.88</v>
      </c>
      <c r="F2719">
        <v>1426.45</v>
      </c>
      <c r="G2719">
        <v>1426.45</v>
      </c>
      <c r="H2719">
        <v>1369.15</v>
      </c>
      <c r="I2719" s="1">
        <v>1380.43</v>
      </c>
      <c r="J2719">
        <v>24141492.579999998</v>
      </c>
      <c r="K2719">
        <v>17478</v>
      </c>
      <c r="L2719" t="s">
        <v>78</v>
      </c>
      <c r="M2719" t="s">
        <v>17</v>
      </c>
      <c r="N2719">
        <v>424</v>
      </c>
      <c r="O2719">
        <v>1440.55</v>
      </c>
      <c r="P2719">
        <v>1246.6500000000001</v>
      </c>
      <c r="Q2719" s="1">
        <v>1157.04</v>
      </c>
      <c r="R2719" s="1" t="str">
        <v/>
      </c>
      <c r="S2719" s="3">
        <v>1.4819572309694884E-2</v>
      </c>
      <c r="T2719" s="3">
        <v>0</v>
      </c>
    </row>
    <row r="2720" spans="1:20" x14ac:dyDescent="0.25">
      <c r="A2720" t="s">
        <v>78</v>
      </c>
      <c r="B2720" t="s">
        <v>79</v>
      </c>
      <c r="C2720" t="s">
        <v>4049</v>
      </c>
      <c r="D2720" t="s">
        <v>4050</v>
      </c>
      <c r="E2720">
        <v>1233.0999999999999</v>
      </c>
      <c r="F2720">
        <v>1234</v>
      </c>
      <c r="G2720">
        <v>1237.98</v>
      </c>
      <c r="H2720">
        <v>1234</v>
      </c>
      <c r="I2720" s="1">
        <v>1234.97</v>
      </c>
      <c r="J2720">
        <v>7452151.0700000003</v>
      </c>
      <c r="K2720">
        <v>6031</v>
      </c>
      <c r="L2720" t="s">
        <v>78</v>
      </c>
      <c r="M2720" t="s">
        <v>17</v>
      </c>
      <c r="N2720">
        <v>143</v>
      </c>
      <c r="O2720">
        <v>1263</v>
      </c>
      <c r="P2720">
        <v>1146</v>
      </c>
      <c r="Q2720" s="1">
        <v>1038.5</v>
      </c>
      <c r="R2720" s="1" t="str">
        <v/>
      </c>
      <c r="S2720" s="3">
        <v>1.45438569838654E-2</v>
      </c>
      <c r="T2720" s="3">
        <v>0</v>
      </c>
    </row>
    <row r="2721" spans="1:20" x14ac:dyDescent="0.25">
      <c r="A2721" t="s">
        <v>78</v>
      </c>
      <c r="B2721" t="s">
        <v>79</v>
      </c>
      <c r="C2721" t="s">
        <v>4439</v>
      </c>
      <c r="D2721" t="s">
        <v>4438</v>
      </c>
      <c r="E2721">
        <v>1129.03</v>
      </c>
      <c r="F2721">
        <v>1130</v>
      </c>
      <c r="G2721">
        <v>1131.99</v>
      </c>
      <c r="H2721">
        <v>1127.01</v>
      </c>
      <c r="I2721" s="1">
        <v>1130.18</v>
      </c>
      <c r="J2721">
        <v>5070311.6100000003</v>
      </c>
      <c r="K2721">
        <v>4488</v>
      </c>
      <c r="L2721" t="s">
        <v>78</v>
      </c>
      <c r="M2721" t="s">
        <v>17</v>
      </c>
      <c r="N2721">
        <v>49</v>
      </c>
      <c r="O2721">
        <v>1262.5999999999999</v>
      </c>
      <c r="P2721">
        <v>858.69</v>
      </c>
      <c r="Q2721" s="1" t="str">
        <v/>
      </c>
      <c r="R2721" s="1" t="str">
        <v/>
      </c>
      <c r="S2721" s="3">
        <v>0</v>
      </c>
      <c r="T2721" s="3">
        <v>0</v>
      </c>
    </row>
    <row r="2722" spans="1:20" x14ac:dyDescent="0.25">
      <c r="A2722" t="s">
        <v>78</v>
      </c>
      <c r="B2722" t="s">
        <v>79</v>
      </c>
      <c r="C2722" t="s">
        <v>4437</v>
      </c>
      <c r="D2722" t="s">
        <v>4436</v>
      </c>
      <c r="E2722">
        <v>75.150000000000006</v>
      </c>
      <c r="F2722">
        <v>75.099999999999994</v>
      </c>
      <c r="G2722">
        <v>76.2</v>
      </c>
      <c r="H2722">
        <v>75.099999999999994</v>
      </c>
      <c r="I2722" s="1">
        <v>76.2</v>
      </c>
      <c r="J2722">
        <v>3683991.55</v>
      </c>
      <c r="K2722">
        <v>48357</v>
      </c>
      <c r="L2722" t="s">
        <v>78</v>
      </c>
      <c r="M2722" t="s">
        <v>17</v>
      </c>
      <c r="N2722">
        <v>70</v>
      </c>
      <c r="O2722">
        <v>76.849999999999994</v>
      </c>
      <c r="P2722">
        <v>53.1</v>
      </c>
      <c r="Q2722" s="1" t="str">
        <v/>
      </c>
      <c r="R2722" s="1" t="str">
        <v/>
      </c>
      <c r="S2722" s="3">
        <v>0</v>
      </c>
      <c r="T2722" s="3">
        <v>0</v>
      </c>
    </row>
    <row r="2723" spans="1:20" x14ac:dyDescent="0.25">
      <c r="A2723" t="s">
        <v>78</v>
      </c>
      <c r="B2723" t="s">
        <v>79</v>
      </c>
      <c r="C2723" t="s">
        <v>4435</v>
      </c>
      <c r="D2723" t="s">
        <v>4434</v>
      </c>
      <c r="E2723">
        <v>320.10000000000002</v>
      </c>
      <c r="F2723">
        <v>320.08999999999997</v>
      </c>
      <c r="G2723">
        <v>323.08</v>
      </c>
      <c r="H2723">
        <v>319</v>
      </c>
      <c r="I2723" s="1">
        <v>321.95999999999998</v>
      </c>
      <c r="J2723">
        <v>53186833.329999998</v>
      </c>
      <c r="K2723">
        <v>165826</v>
      </c>
      <c r="L2723" t="s">
        <v>78</v>
      </c>
      <c r="M2723" t="s">
        <v>17</v>
      </c>
      <c r="N2723">
        <v>193</v>
      </c>
      <c r="O2723">
        <v>323.60000000000002</v>
      </c>
      <c r="P2723">
        <v>227.53</v>
      </c>
      <c r="Q2723" s="1" t="str">
        <v/>
      </c>
      <c r="R2723" s="1" t="str">
        <v/>
      </c>
      <c r="S2723" s="3">
        <v>0</v>
      </c>
      <c r="T2723" s="3">
        <v>0</v>
      </c>
    </row>
    <row r="2724" spans="1:20" x14ac:dyDescent="0.25">
      <c r="A2724" t="s">
        <v>78</v>
      </c>
      <c r="B2724" t="s">
        <v>79</v>
      </c>
      <c r="C2724" t="s">
        <v>4433</v>
      </c>
      <c r="D2724" t="s">
        <v>4140</v>
      </c>
      <c r="E2724">
        <v>41.43</v>
      </c>
      <c r="F2724">
        <v>41.44</v>
      </c>
      <c r="G2724">
        <v>41.65</v>
      </c>
      <c r="H2724">
        <v>41.19</v>
      </c>
      <c r="I2724" s="1">
        <v>41.59</v>
      </c>
      <c r="J2724">
        <v>3405097.9</v>
      </c>
      <c r="K2724">
        <v>81987</v>
      </c>
      <c r="L2724" t="s">
        <v>78</v>
      </c>
      <c r="M2724" t="s">
        <v>17</v>
      </c>
      <c r="N2724">
        <v>388</v>
      </c>
      <c r="O2724">
        <v>42</v>
      </c>
      <c r="P2724">
        <v>30.94</v>
      </c>
      <c r="Q2724" s="1" t="str">
        <v/>
      </c>
      <c r="R2724" s="1" t="str">
        <v/>
      </c>
      <c r="S2724" s="3">
        <v>0</v>
      </c>
      <c r="T2724" s="3">
        <v>0</v>
      </c>
    </row>
    <row r="2725" spans="1:20" x14ac:dyDescent="0.25">
      <c r="A2725" t="s">
        <v>78</v>
      </c>
      <c r="B2725" t="s">
        <v>79</v>
      </c>
      <c r="C2725" t="s">
        <v>4432</v>
      </c>
      <c r="D2725" t="s">
        <v>4431</v>
      </c>
      <c r="E2725">
        <v>93.71</v>
      </c>
      <c r="F2725">
        <v>93.71</v>
      </c>
      <c r="G2725">
        <v>93.71</v>
      </c>
      <c r="H2725">
        <v>92.8</v>
      </c>
      <c r="I2725" s="1">
        <v>93.59</v>
      </c>
      <c r="J2725">
        <v>7233929.0800000001</v>
      </c>
      <c r="K2725">
        <v>77309</v>
      </c>
      <c r="L2725" t="s">
        <v>78</v>
      </c>
      <c r="M2725" t="s">
        <v>17</v>
      </c>
      <c r="N2725">
        <v>105</v>
      </c>
      <c r="O2725">
        <v>97.97</v>
      </c>
      <c r="P2725">
        <v>70.709999999999994</v>
      </c>
      <c r="Q2725" s="1" t="str">
        <v/>
      </c>
      <c r="R2725" s="1" t="str">
        <v/>
      </c>
      <c r="S2725" s="3">
        <v>0</v>
      </c>
      <c r="T2725" s="3">
        <v>0</v>
      </c>
    </row>
    <row r="2726" spans="1:20" x14ac:dyDescent="0.25">
      <c r="A2726" t="s">
        <v>78</v>
      </c>
      <c r="B2726" t="s">
        <v>79</v>
      </c>
      <c r="C2726" t="s">
        <v>4430</v>
      </c>
      <c r="D2726" t="s">
        <v>4429</v>
      </c>
      <c r="E2726">
        <v>33.24</v>
      </c>
      <c r="F2726">
        <v>34.9</v>
      </c>
      <c r="G2726">
        <v>34.9</v>
      </c>
      <c r="H2726">
        <v>32.75</v>
      </c>
      <c r="I2726" s="1">
        <v>33.06</v>
      </c>
      <c r="J2726">
        <v>49876137.119999997</v>
      </c>
      <c r="K2726">
        <v>1508951</v>
      </c>
      <c r="L2726" t="s">
        <v>78</v>
      </c>
      <c r="M2726" t="s">
        <v>17</v>
      </c>
      <c r="N2726">
        <v>6360</v>
      </c>
      <c r="O2726">
        <v>34.9</v>
      </c>
      <c r="P2726">
        <v>32.75</v>
      </c>
      <c r="Q2726" s="1" t="str">
        <v/>
      </c>
      <c r="R2726" s="1" t="str">
        <v/>
      </c>
      <c r="S2726" s="3">
        <v>0</v>
      </c>
      <c r="T2726" s="3">
        <v>0</v>
      </c>
    </row>
    <row r="2727" spans="1:20" x14ac:dyDescent="0.25">
      <c r="A2727" t="s">
        <v>78</v>
      </c>
      <c r="B2727" t="s">
        <v>79</v>
      </c>
      <c r="C2727" t="s">
        <v>4428</v>
      </c>
      <c r="D2727" t="s">
        <v>4427</v>
      </c>
      <c r="E2727">
        <v>25.45</v>
      </c>
      <c r="F2727">
        <v>25.46</v>
      </c>
      <c r="G2727">
        <v>25.64</v>
      </c>
      <c r="H2727">
        <v>25.13</v>
      </c>
      <c r="I2727" s="1">
        <v>25.55</v>
      </c>
      <c r="J2727">
        <v>4712552.8099999996</v>
      </c>
      <c r="K2727">
        <v>185866</v>
      </c>
      <c r="L2727" t="s">
        <v>78</v>
      </c>
      <c r="M2727" t="s">
        <v>17</v>
      </c>
      <c r="N2727">
        <v>879</v>
      </c>
      <c r="O2727">
        <v>25.74</v>
      </c>
      <c r="P2727">
        <v>16.5</v>
      </c>
      <c r="Q2727" s="1" t="str">
        <v/>
      </c>
      <c r="R2727" s="1" t="str">
        <v/>
      </c>
      <c r="S2727" s="3">
        <v>0</v>
      </c>
      <c r="T2727" s="3">
        <v>0</v>
      </c>
    </row>
    <row r="2728" spans="1:20" x14ac:dyDescent="0.25">
      <c r="A2728" t="s">
        <v>78</v>
      </c>
      <c r="B2728" t="s">
        <v>79</v>
      </c>
      <c r="C2728" t="s">
        <v>4426</v>
      </c>
      <c r="D2728" t="s">
        <v>4425</v>
      </c>
      <c r="E2728">
        <v>63.48</v>
      </c>
      <c r="F2728">
        <v>63.6</v>
      </c>
      <c r="G2728">
        <v>64.180000000000007</v>
      </c>
      <c r="H2728">
        <v>63.19</v>
      </c>
      <c r="I2728" s="1">
        <v>64.069999999999993</v>
      </c>
      <c r="J2728">
        <v>66737511.539999999</v>
      </c>
      <c r="K2728">
        <v>1046524</v>
      </c>
      <c r="L2728" t="s">
        <v>78</v>
      </c>
      <c r="M2728" t="s">
        <v>17</v>
      </c>
      <c r="N2728">
        <v>5532</v>
      </c>
      <c r="O2728">
        <v>607.58000000000004</v>
      </c>
      <c r="P2728">
        <v>55.91</v>
      </c>
      <c r="Q2728" s="1" t="str">
        <v/>
      </c>
      <c r="R2728" s="1" t="str">
        <v/>
      </c>
      <c r="S2728" s="3">
        <v>0</v>
      </c>
      <c r="T2728" s="3">
        <v>0</v>
      </c>
    </row>
    <row r="2729" spans="1:20" x14ac:dyDescent="0.25">
      <c r="A2729" t="s">
        <v>78</v>
      </c>
      <c r="B2729" t="s">
        <v>79</v>
      </c>
      <c r="C2729" t="s">
        <v>4424</v>
      </c>
      <c r="D2729" t="s">
        <v>4164</v>
      </c>
      <c r="E2729">
        <v>56.61</v>
      </c>
      <c r="F2729">
        <v>56.74</v>
      </c>
      <c r="G2729">
        <v>56.79</v>
      </c>
      <c r="H2729">
        <v>56.51</v>
      </c>
      <c r="I2729" s="1">
        <v>56.69</v>
      </c>
      <c r="J2729">
        <v>15835716.300000001</v>
      </c>
      <c r="K2729">
        <v>279519</v>
      </c>
      <c r="L2729" t="s">
        <v>78</v>
      </c>
      <c r="M2729" t="s">
        <v>17</v>
      </c>
      <c r="N2729">
        <v>724</v>
      </c>
      <c r="O2729">
        <v>57.75</v>
      </c>
      <c r="P2729">
        <v>51.05</v>
      </c>
      <c r="Q2729" s="1" t="str">
        <v/>
      </c>
      <c r="R2729" s="1" t="str">
        <v/>
      </c>
      <c r="S2729" s="3">
        <v>0</v>
      </c>
      <c r="T2729" s="3">
        <v>0</v>
      </c>
    </row>
    <row r="2730" spans="1:20" x14ac:dyDescent="0.25">
      <c r="A2730" t="s">
        <v>78</v>
      </c>
      <c r="B2730" t="s">
        <v>79</v>
      </c>
      <c r="C2730" t="s">
        <v>4423</v>
      </c>
      <c r="D2730" t="s">
        <v>4118</v>
      </c>
      <c r="E2730">
        <v>62.83</v>
      </c>
      <c r="F2730">
        <v>63.01</v>
      </c>
      <c r="G2730">
        <v>63.77</v>
      </c>
      <c r="H2730">
        <v>63.01</v>
      </c>
      <c r="I2730" s="1">
        <v>63.4</v>
      </c>
      <c r="J2730">
        <v>74085101.959999993</v>
      </c>
      <c r="K2730">
        <v>1168832</v>
      </c>
      <c r="L2730" t="s">
        <v>78</v>
      </c>
      <c r="M2730" t="s">
        <v>17</v>
      </c>
      <c r="N2730">
        <v>2294</v>
      </c>
      <c r="O2730">
        <v>63.95</v>
      </c>
      <c r="P2730">
        <v>48</v>
      </c>
      <c r="Q2730" s="1" t="str">
        <v/>
      </c>
      <c r="R2730" s="1" t="str">
        <v/>
      </c>
      <c r="S2730" s="3">
        <v>0</v>
      </c>
      <c r="T2730" s="3">
        <v>0</v>
      </c>
    </row>
    <row r="2731" spans="1:20" x14ac:dyDescent="0.25">
      <c r="A2731" t="s">
        <v>78</v>
      </c>
      <c r="B2731" t="s">
        <v>79</v>
      </c>
      <c r="C2731" t="s">
        <v>4053</v>
      </c>
      <c r="D2731" t="s">
        <v>4054</v>
      </c>
      <c r="E2731">
        <v>62.44</v>
      </c>
      <c r="F2731">
        <v>62.5</v>
      </c>
      <c r="G2731">
        <v>63.28</v>
      </c>
      <c r="H2731">
        <v>62.5</v>
      </c>
      <c r="I2731" s="1">
        <v>62.91</v>
      </c>
      <c r="J2731">
        <v>515077030.19</v>
      </c>
      <c r="K2731">
        <v>8182779</v>
      </c>
      <c r="L2731" t="s">
        <v>78</v>
      </c>
      <c r="M2731" t="s">
        <v>17</v>
      </c>
      <c r="N2731">
        <v>35275</v>
      </c>
      <c r="O2731">
        <v>64.8</v>
      </c>
      <c r="P2731">
        <v>47.8</v>
      </c>
      <c r="Q2731" s="1">
        <v>41.54</v>
      </c>
      <c r="R2731" s="1">
        <v>3106.5</v>
      </c>
      <c r="S2731" s="3">
        <v>3.5192458419485373E-2</v>
      </c>
      <c r="T2731" s="3">
        <v>-0.17705883013463164</v>
      </c>
    </row>
    <row r="2732" spans="1:20" x14ac:dyDescent="0.25">
      <c r="A2732" t="s">
        <v>78</v>
      </c>
      <c r="B2732" t="s">
        <v>79</v>
      </c>
      <c r="C2732" t="s">
        <v>4422</v>
      </c>
      <c r="D2732" t="s">
        <v>4421</v>
      </c>
      <c r="E2732">
        <v>11.79</v>
      </c>
      <c r="F2732">
        <v>12.15</v>
      </c>
      <c r="G2732">
        <v>12.15</v>
      </c>
      <c r="H2732">
        <v>11.79</v>
      </c>
      <c r="I2732" s="1">
        <v>11.87</v>
      </c>
      <c r="J2732">
        <v>2616391.2799999998</v>
      </c>
      <c r="K2732">
        <v>220249</v>
      </c>
      <c r="L2732" t="s">
        <v>78</v>
      </c>
      <c r="M2732" t="s">
        <v>17</v>
      </c>
      <c r="N2732">
        <v>992</v>
      </c>
      <c r="O2732">
        <v>12.78</v>
      </c>
      <c r="P2732">
        <v>10</v>
      </c>
      <c r="Q2732" s="1" t="str">
        <v/>
      </c>
      <c r="R2732" s="1" t="str">
        <v/>
      </c>
      <c r="S2732" s="3">
        <v>0</v>
      </c>
      <c r="T2732" s="3">
        <v>0</v>
      </c>
    </row>
    <row r="2733" spans="1:20" x14ac:dyDescent="0.25">
      <c r="A2733" t="s">
        <v>78</v>
      </c>
      <c r="B2733" t="s">
        <v>79</v>
      </c>
      <c r="C2733" t="s">
        <v>4420</v>
      </c>
      <c r="D2733" t="s">
        <v>4419</v>
      </c>
      <c r="E2733">
        <v>72.87</v>
      </c>
      <c r="F2733">
        <v>73.19</v>
      </c>
      <c r="G2733">
        <v>73.97</v>
      </c>
      <c r="H2733">
        <v>72.88</v>
      </c>
      <c r="I2733" s="1">
        <v>73.78</v>
      </c>
      <c r="J2733">
        <v>11577227.289999999</v>
      </c>
      <c r="K2733">
        <v>157184</v>
      </c>
      <c r="L2733" t="s">
        <v>78</v>
      </c>
      <c r="M2733" t="s">
        <v>17</v>
      </c>
      <c r="N2733">
        <v>1221</v>
      </c>
      <c r="O2733">
        <v>82</v>
      </c>
      <c r="P2733">
        <v>56.1</v>
      </c>
      <c r="Q2733" s="1" t="str">
        <v/>
      </c>
      <c r="R2733" s="1" t="str">
        <v/>
      </c>
      <c r="S2733" s="3">
        <v>0</v>
      </c>
      <c r="T2733" s="3">
        <v>0</v>
      </c>
    </row>
    <row r="2734" spans="1:20" x14ac:dyDescent="0.25">
      <c r="A2734" t="s">
        <v>78</v>
      </c>
      <c r="B2734" t="s">
        <v>79</v>
      </c>
      <c r="C2734" t="s">
        <v>4418</v>
      </c>
      <c r="D2734" t="s">
        <v>4417</v>
      </c>
      <c r="E2734">
        <v>73.19</v>
      </c>
      <c r="F2734">
        <v>73.75</v>
      </c>
      <c r="G2734">
        <v>73.88</v>
      </c>
      <c r="H2734">
        <v>72.099999999999994</v>
      </c>
      <c r="I2734" s="1">
        <v>73.8</v>
      </c>
      <c r="J2734">
        <v>109872775.17</v>
      </c>
      <c r="K2734">
        <v>1487745</v>
      </c>
      <c r="L2734" t="s">
        <v>78</v>
      </c>
      <c r="M2734" t="s">
        <v>17</v>
      </c>
      <c r="N2734">
        <v>308</v>
      </c>
      <c r="O2734">
        <v>75.66</v>
      </c>
      <c r="P2734">
        <v>55</v>
      </c>
      <c r="Q2734" s="1" t="str">
        <v/>
      </c>
      <c r="R2734" s="1" t="str">
        <v/>
      </c>
      <c r="S2734" s="3">
        <v>0</v>
      </c>
      <c r="T2734" s="3">
        <v>0</v>
      </c>
    </row>
    <row r="2735" spans="1:20" x14ac:dyDescent="0.25">
      <c r="A2735" t="s">
        <v>78</v>
      </c>
      <c r="B2735" t="s">
        <v>79</v>
      </c>
      <c r="C2735" t="s">
        <v>4416</v>
      </c>
      <c r="D2735" t="s">
        <v>4080</v>
      </c>
      <c r="E2735">
        <v>64.48</v>
      </c>
      <c r="F2735">
        <v>65.2</v>
      </c>
      <c r="G2735">
        <v>65.37</v>
      </c>
      <c r="H2735">
        <v>64.53</v>
      </c>
      <c r="I2735" s="1">
        <v>64.87</v>
      </c>
      <c r="J2735">
        <v>118695390.90000001</v>
      </c>
      <c r="K2735">
        <v>1829163</v>
      </c>
      <c r="L2735" t="s">
        <v>78</v>
      </c>
      <c r="M2735" t="s">
        <v>17</v>
      </c>
      <c r="N2735">
        <v>7847</v>
      </c>
      <c r="O2735">
        <v>66.650000000000006</v>
      </c>
      <c r="P2735">
        <v>49.21</v>
      </c>
      <c r="Q2735" s="1" t="str">
        <v/>
      </c>
      <c r="R2735" s="1" t="str">
        <v/>
      </c>
      <c r="S2735" s="3">
        <v>0</v>
      </c>
      <c r="T2735" s="3">
        <v>0</v>
      </c>
    </row>
    <row r="2736" spans="1:20" x14ac:dyDescent="0.25">
      <c r="A2736" t="s">
        <v>78</v>
      </c>
      <c r="B2736" t="s">
        <v>79</v>
      </c>
      <c r="C2736" t="s">
        <v>4055</v>
      </c>
      <c r="D2736" t="s">
        <v>4056</v>
      </c>
      <c r="E2736">
        <v>62.95</v>
      </c>
      <c r="F2736">
        <v>63.5</v>
      </c>
      <c r="G2736">
        <v>63.65</v>
      </c>
      <c r="H2736">
        <v>63.15</v>
      </c>
      <c r="I2736" s="1">
        <v>63.4</v>
      </c>
      <c r="J2736">
        <v>9434793.4000000004</v>
      </c>
      <c r="K2736">
        <v>148877</v>
      </c>
      <c r="L2736" t="s">
        <v>78</v>
      </c>
      <c r="M2736" t="s">
        <v>17</v>
      </c>
      <c r="N2736">
        <v>1253</v>
      </c>
      <c r="O2736">
        <v>64.55</v>
      </c>
      <c r="P2736">
        <v>48.15</v>
      </c>
      <c r="Q2736" s="1">
        <v>41.5</v>
      </c>
      <c r="R2736" s="1">
        <v>3112.5</v>
      </c>
      <c r="S2736" s="3">
        <v>3.5945154589527517E-2</v>
      </c>
      <c r="T2736" s="3">
        <v>-0.17681907392292351</v>
      </c>
    </row>
    <row r="2737" spans="1:20" x14ac:dyDescent="0.25">
      <c r="A2737" t="s">
        <v>78</v>
      </c>
      <c r="B2737" t="s">
        <v>79</v>
      </c>
      <c r="C2737" t="s">
        <v>4415</v>
      </c>
      <c r="D2737" t="s">
        <v>4414</v>
      </c>
      <c r="E2737">
        <v>26.44</v>
      </c>
      <c r="F2737">
        <v>26.49</v>
      </c>
      <c r="G2737">
        <v>26.54</v>
      </c>
      <c r="H2737">
        <v>26.28</v>
      </c>
      <c r="I2737" s="1">
        <v>26.53</v>
      </c>
      <c r="J2737">
        <v>186125.79</v>
      </c>
      <c r="K2737">
        <v>7021</v>
      </c>
      <c r="L2737" t="s">
        <v>78</v>
      </c>
      <c r="M2737" t="s">
        <v>17</v>
      </c>
      <c r="N2737">
        <v>43</v>
      </c>
      <c r="O2737">
        <v>29.8</v>
      </c>
      <c r="P2737">
        <v>23.69</v>
      </c>
      <c r="Q2737" s="1" t="str">
        <v/>
      </c>
      <c r="R2737" s="1" t="str">
        <v/>
      </c>
      <c r="S2737" s="3">
        <v>0</v>
      </c>
      <c r="T2737" s="3">
        <v>0</v>
      </c>
    </row>
    <row r="2738" spans="1:20" x14ac:dyDescent="0.25">
      <c r="A2738" t="s">
        <v>78</v>
      </c>
      <c r="B2738" t="s">
        <v>79</v>
      </c>
      <c r="C2738" t="s">
        <v>4413</v>
      </c>
      <c r="D2738" t="s">
        <v>4412</v>
      </c>
      <c r="E2738">
        <v>57.01</v>
      </c>
      <c r="F2738">
        <v>57</v>
      </c>
      <c r="G2738">
        <v>57</v>
      </c>
      <c r="H2738">
        <v>56.4</v>
      </c>
      <c r="I2738" s="1">
        <v>56.98</v>
      </c>
      <c r="J2738">
        <v>165797.34</v>
      </c>
      <c r="K2738">
        <v>2933</v>
      </c>
      <c r="L2738" t="s">
        <v>78</v>
      </c>
      <c r="M2738" t="s">
        <v>17</v>
      </c>
      <c r="N2738">
        <v>34</v>
      </c>
      <c r="O2738">
        <v>58.6</v>
      </c>
      <c r="P2738">
        <v>52.24</v>
      </c>
      <c r="Q2738" s="1" t="str">
        <v/>
      </c>
      <c r="R2738" s="1" t="str">
        <v/>
      </c>
      <c r="S2738" s="3">
        <v>0</v>
      </c>
      <c r="T2738" s="3">
        <v>0</v>
      </c>
    </row>
    <row r="2739" spans="1:20" x14ac:dyDescent="0.25">
      <c r="A2739" t="s">
        <v>78</v>
      </c>
      <c r="B2739" t="s">
        <v>79</v>
      </c>
      <c r="C2739" t="s">
        <v>4411</v>
      </c>
      <c r="D2739" t="s">
        <v>4410</v>
      </c>
      <c r="E2739">
        <v>38.450000000000003</v>
      </c>
      <c r="F2739">
        <v>39.6</v>
      </c>
      <c r="G2739">
        <v>44.4</v>
      </c>
      <c r="H2739">
        <v>37.979999999999997</v>
      </c>
      <c r="I2739" s="1">
        <v>42.36</v>
      </c>
      <c r="J2739">
        <v>6441472.9900000002</v>
      </c>
      <c r="K2739">
        <v>161306</v>
      </c>
      <c r="L2739" t="s">
        <v>78</v>
      </c>
      <c r="M2739" t="s">
        <v>17</v>
      </c>
      <c r="N2739">
        <v>1159</v>
      </c>
      <c r="O2739">
        <v>44.4</v>
      </c>
      <c r="P2739">
        <v>26</v>
      </c>
      <c r="Q2739" s="1" t="str">
        <v/>
      </c>
      <c r="R2739" s="1" t="str">
        <v/>
      </c>
      <c r="S2739" s="3">
        <v>0</v>
      </c>
      <c r="T2739" s="3">
        <v>0</v>
      </c>
    </row>
    <row r="2740" spans="1:20" x14ac:dyDescent="0.25">
      <c r="A2740" t="s">
        <v>78</v>
      </c>
      <c r="B2740" t="s">
        <v>79</v>
      </c>
      <c r="C2740" t="s">
        <v>4409</v>
      </c>
      <c r="D2740" t="s">
        <v>4060</v>
      </c>
      <c r="E2740">
        <v>64.290000000000006</v>
      </c>
      <c r="F2740">
        <v>64.78</v>
      </c>
      <c r="G2740">
        <v>64.97</v>
      </c>
      <c r="H2740">
        <v>64.510000000000005</v>
      </c>
      <c r="I2740" s="1">
        <v>64.88</v>
      </c>
      <c r="J2740">
        <v>85892667.909999996</v>
      </c>
      <c r="K2740">
        <v>1324402</v>
      </c>
      <c r="L2740" t="s">
        <v>78</v>
      </c>
      <c r="M2740" t="s">
        <v>17</v>
      </c>
      <c r="N2740">
        <v>2966</v>
      </c>
      <c r="O2740">
        <v>65.91</v>
      </c>
      <c r="P2740">
        <v>49.5</v>
      </c>
      <c r="Q2740" s="1" t="str">
        <v/>
      </c>
      <c r="R2740" s="1" t="str">
        <v/>
      </c>
      <c r="S2740" s="3">
        <v>0</v>
      </c>
      <c r="T2740" s="3">
        <v>0</v>
      </c>
    </row>
    <row r="2741" spans="1:20" x14ac:dyDescent="0.25">
      <c r="A2741" t="s">
        <v>78</v>
      </c>
      <c r="B2741" t="s">
        <v>79</v>
      </c>
      <c r="C2741" t="s">
        <v>4408</v>
      </c>
      <c r="D2741" t="s">
        <v>4407</v>
      </c>
      <c r="E2741">
        <v>120.3</v>
      </c>
      <c r="F2741">
        <v>120.99</v>
      </c>
      <c r="G2741">
        <v>122.5</v>
      </c>
      <c r="H2741">
        <v>119.98</v>
      </c>
      <c r="I2741" s="1">
        <v>121.44</v>
      </c>
      <c r="J2741">
        <v>714544.76</v>
      </c>
      <c r="K2741">
        <v>5906</v>
      </c>
      <c r="L2741" t="s">
        <v>78</v>
      </c>
      <c r="M2741" t="s">
        <v>17</v>
      </c>
      <c r="N2741">
        <v>217</v>
      </c>
      <c r="O2741">
        <v>122.5</v>
      </c>
      <c r="P2741">
        <v>95.3</v>
      </c>
      <c r="Q2741" s="1" t="str">
        <v/>
      </c>
      <c r="R2741" s="1" t="str">
        <v/>
      </c>
      <c r="S2741" s="3">
        <v>0</v>
      </c>
      <c r="T2741" s="3">
        <v>0</v>
      </c>
    </row>
    <row r="2742" spans="1:20" x14ac:dyDescent="0.25">
      <c r="A2742" t="s">
        <v>78</v>
      </c>
      <c r="B2742" t="s">
        <v>79</v>
      </c>
      <c r="C2742" t="s">
        <v>4406</v>
      </c>
      <c r="D2742" t="s">
        <v>4405</v>
      </c>
      <c r="E2742">
        <v>1000</v>
      </c>
      <c r="F2742">
        <v>999.99</v>
      </c>
      <c r="G2742">
        <v>1000.01</v>
      </c>
      <c r="H2742">
        <v>999.99</v>
      </c>
      <c r="I2742" s="1">
        <v>999.99</v>
      </c>
      <c r="J2742">
        <v>2936974.73</v>
      </c>
      <c r="K2742">
        <v>2937</v>
      </c>
      <c r="L2742" t="s">
        <v>78</v>
      </c>
      <c r="M2742" t="s">
        <v>17</v>
      </c>
      <c r="N2742">
        <v>13</v>
      </c>
      <c r="O2742">
        <v>1020</v>
      </c>
      <c r="P2742">
        <v>980</v>
      </c>
      <c r="Q2742" s="1" t="str">
        <v/>
      </c>
      <c r="R2742" s="1" t="str">
        <v/>
      </c>
      <c r="S2742" s="3">
        <v>0</v>
      </c>
      <c r="T2742" s="3">
        <v>0</v>
      </c>
    </row>
    <row r="2743" spans="1:20" x14ac:dyDescent="0.25">
      <c r="A2743" t="s">
        <v>78</v>
      </c>
      <c r="B2743" t="s">
        <v>79</v>
      </c>
      <c r="C2743" t="s">
        <v>4404</v>
      </c>
      <c r="D2743" t="s">
        <v>4403</v>
      </c>
      <c r="E2743">
        <v>20.010000000000002</v>
      </c>
      <c r="F2743">
        <v>19.989999999999998</v>
      </c>
      <c r="G2743">
        <v>20.149999999999999</v>
      </c>
      <c r="H2743">
        <v>19.79</v>
      </c>
      <c r="I2743" s="1">
        <v>20.07</v>
      </c>
      <c r="J2743">
        <v>321543.23</v>
      </c>
      <c r="K2743">
        <v>16050</v>
      </c>
      <c r="L2743" t="s">
        <v>78</v>
      </c>
      <c r="M2743" t="s">
        <v>17</v>
      </c>
      <c r="N2743">
        <v>281</v>
      </c>
      <c r="O2743">
        <v>179.47</v>
      </c>
      <c r="P2743">
        <v>13</v>
      </c>
      <c r="Q2743" s="1" t="str">
        <v/>
      </c>
      <c r="R2743" s="1" t="str">
        <v/>
      </c>
      <c r="S2743" s="3">
        <v>0</v>
      </c>
      <c r="T2743" s="3">
        <v>0</v>
      </c>
    </row>
    <row r="2744" spans="1:20" x14ac:dyDescent="0.25">
      <c r="A2744" t="s">
        <v>78</v>
      </c>
      <c r="B2744" t="s">
        <v>79</v>
      </c>
      <c r="C2744" t="s">
        <v>4402</v>
      </c>
      <c r="D2744" t="s">
        <v>4401</v>
      </c>
      <c r="E2744">
        <v>21.54</v>
      </c>
      <c r="F2744">
        <v>21.99</v>
      </c>
      <c r="G2744">
        <v>21.99</v>
      </c>
      <c r="H2744">
        <v>21.25</v>
      </c>
      <c r="I2744" s="1">
        <v>21.39</v>
      </c>
      <c r="J2744">
        <v>5484015.2800000003</v>
      </c>
      <c r="K2744">
        <v>256577</v>
      </c>
      <c r="L2744" t="s">
        <v>78</v>
      </c>
      <c r="M2744" t="s">
        <v>17</v>
      </c>
      <c r="N2744">
        <v>2378</v>
      </c>
      <c r="O2744">
        <v>168</v>
      </c>
      <c r="P2744">
        <v>14.17</v>
      </c>
      <c r="Q2744" s="1" t="str">
        <v/>
      </c>
      <c r="R2744" s="1" t="str">
        <v/>
      </c>
      <c r="S2744" s="3">
        <v>0</v>
      </c>
      <c r="T2744" s="3">
        <v>0</v>
      </c>
    </row>
    <row r="2745" spans="1:20" x14ac:dyDescent="0.25">
      <c r="A2745" t="s">
        <v>78</v>
      </c>
      <c r="B2745" t="s">
        <v>79</v>
      </c>
      <c r="C2745" t="s">
        <v>4400</v>
      </c>
      <c r="D2745" t="s">
        <v>4399</v>
      </c>
      <c r="E2745">
        <v>36.58</v>
      </c>
      <c r="F2745">
        <v>37.08</v>
      </c>
      <c r="G2745">
        <v>37.08</v>
      </c>
      <c r="H2745">
        <v>35.75</v>
      </c>
      <c r="I2745" s="1">
        <v>36.15</v>
      </c>
      <c r="J2745">
        <v>26992427.93</v>
      </c>
      <c r="K2745">
        <v>749418</v>
      </c>
      <c r="L2745" t="s">
        <v>78</v>
      </c>
      <c r="M2745" t="s">
        <v>17</v>
      </c>
      <c r="N2745">
        <v>5112</v>
      </c>
      <c r="O2745">
        <v>255</v>
      </c>
      <c r="P2745">
        <v>21.75</v>
      </c>
      <c r="Q2745" s="1" t="str">
        <v/>
      </c>
      <c r="R2745" s="1" t="str">
        <v/>
      </c>
      <c r="S2745" s="3">
        <v>0</v>
      </c>
      <c r="T2745" s="3">
        <v>0</v>
      </c>
    </row>
    <row r="2746" spans="1:20" x14ac:dyDescent="0.25">
      <c r="A2746" t="s">
        <v>78</v>
      </c>
      <c r="B2746" t="s">
        <v>79</v>
      </c>
      <c r="C2746" t="s">
        <v>4398</v>
      </c>
      <c r="D2746" t="s">
        <v>4397</v>
      </c>
      <c r="E2746">
        <v>74.599999999999994</v>
      </c>
      <c r="F2746">
        <v>75</v>
      </c>
      <c r="G2746">
        <v>75.92</v>
      </c>
      <c r="H2746">
        <v>73.150000000000006</v>
      </c>
      <c r="I2746" s="1">
        <v>73.87</v>
      </c>
      <c r="J2746">
        <v>7203523.3600000003</v>
      </c>
      <c r="K2746">
        <v>97746</v>
      </c>
      <c r="L2746" t="s">
        <v>78</v>
      </c>
      <c r="M2746" t="s">
        <v>17</v>
      </c>
      <c r="N2746">
        <v>1065</v>
      </c>
      <c r="O2746">
        <v>470.77</v>
      </c>
      <c r="P2746">
        <v>42.9</v>
      </c>
      <c r="Q2746" s="1" t="str">
        <v/>
      </c>
      <c r="R2746" s="1" t="str">
        <v/>
      </c>
      <c r="S2746" s="3">
        <v>0</v>
      </c>
      <c r="T2746" s="3">
        <v>0</v>
      </c>
    </row>
    <row r="2747" spans="1:20" x14ac:dyDescent="0.25">
      <c r="A2747" t="s">
        <v>78</v>
      </c>
      <c r="B2747" t="s">
        <v>79</v>
      </c>
      <c r="C2747" t="s">
        <v>4396</v>
      </c>
      <c r="D2747" t="s">
        <v>4395</v>
      </c>
      <c r="E2747">
        <v>26.2</v>
      </c>
      <c r="F2747">
        <v>26.37</v>
      </c>
      <c r="G2747">
        <v>26.4</v>
      </c>
      <c r="H2747">
        <v>25.87</v>
      </c>
      <c r="I2747" s="1">
        <v>26.19</v>
      </c>
      <c r="J2747">
        <v>945329.56</v>
      </c>
      <c r="K2747">
        <v>36205</v>
      </c>
      <c r="L2747" t="s">
        <v>78</v>
      </c>
      <c r="M2747" t="s">
        <v>17</v>
      </c>
      <c r="N2747">
        <v>529</v>
      </c>
      <c r="O2747">
        <v>220.7</v>
      </c>
      <c r="P2747">
        <v>18.91</v>
      </c>
      <c r="Q2747" s="1" t="str">
        <v/>
      </c>
      <c r="R2747" s="1" t="str">
        <v/>
      </c>
      <c r="S2747" s="3">
        <v>0</v>
      </c>
      <c r="T2747" s="3">
        <v>0</v>
      </c>
    </row>
    <row r="2748" spans="1:20" x14ac:dyDescent="0.25">
      <c r="A2748" t="s">
        <v>78</v>
      </c>
      <c r="B2748" t="s">
        <v>79</v>
      </c>
      <c r="C2748" t="s">
        <v>4394</v>
      </c>
      <c r="D2748" t="s">
        <v>4393</v>
      </c>
      <c r="E2748">
        <v>53.39</v>
      </c>
      <c r="F2748">
        <v>53.4</v>
      </c>
      <c r="G2748">
        <v>53.84</v>
      </c>
      <c r="H2748">
        <v>53.12</v>
      </c>
      <c r="I2748" s="1">
        <v>53.5</v>
      </c>
      <c r="J2748">
        <v>49109447.369999997</v>
      </c>
      <c r="K2748">
        <v>919743</v>
      </c>
      <c r="L2748" t="s">
        <v>78</v>
      </c>
      <c r="M2748" t="s">
        <v>17</v>
      </c>
      <c r="N2748">
        <v>1058</v>
      </c>
      <c r="O2748">
        <v>555</v>
      </c>
      <c r="P2748">
        <v>45.2</v>
      </c>
      <c r="Q2748" s="1" t="str">
        <v/>
      </c>
      <c r="R2748" s="1" t="str">
        <v/>
      </c>
      <c r="S2748" s="3">
        <v>0</v>
      </c>
      <c r="T2748" s="3">
        <v>0</v>
      </c>
    </row>
    <row r="2749" spans="1:20" x14ac:dyDescent="0.25">
      <c r="A2749" t="s">
        <v>78</v>
      </c>
      <c r="B2749" t="s">
        <v>79</v>
      </c>
      <c r="C2749" t="s">
        <v>4392</v>
      </c>
      <c r="D2749" t="s">
        <v>4391</v>
      </c>
      <c r="E2749">
        <v>40.1</v>
      </c>
      <c r="F2749">
        <v>40.1</v>
      </c>
      <c r="G2749">
        <v>41.15</v>
      </c>
      <c r="H2749">
        <v>40.01</v>
      </c>
      <c r="I2749" s="1">
        <v>41.01</v>
      </c>
      <c r="J2749">
        <v>3197435.01</v>
      </c>
      <c r="K2749">
        <v>78631</v>
      </c>
      <c r="L2749" t="s">
        <v>78</v>
      </c>
      <c r="M2749" t="s">
        <v>17</v>
      </c>
      <c r="N2749">
        <v>667</v>
      </c>
      <c r="O2749">
        <v>387.7</v>
      </c>
      <c r="P2749">
        <v>32.590000000000003</v>
      </c>
      <c r="Q2749" s="1" t="str">
        <v/>
      </c>
      <c r="R2749" s="1" t="str">
        <v/>
      </c>
      <c r="S2749" s="3">
        <v>0</v>
      </c>
      <c r="T2749" s="3">
        <v>0</v>
      </c>
    </row>
    <row r="2750" spans="1:20" x14ac:dyDescent="0.25">
      <c r="A2750" t="s">
        <v>78</v>
      </c>
      <c r="B2750" t="s">
        <v>79</v>
      </c>
      <c r="C2750" t="s">
        <v>4390</v>
      </c>
      <c r="D2750" t="s">
        <v>4389</v>
      </c>
      <c r="E2750">
        <v>271.22000000000003</v>
      </c>
      <c r="F2750">
        <v>271.8</v>
      </c>
      <c r="G2750">
        <v>273.47000000000003</v>
      </c>
      <c r="H2750">
        <v>270.06</v>
      </c>
      <c r="I2750" s="1">
        <v>272.61</v>
      </c>
      <c r="J2750">
        <v>12049064.699999999</v>
      </c>
      <c r="K2750">
        <v>44337</v>
      </c>
      <c r="L2750" t="s">
        <v>78</v>
      </c>
      <c r="M2750" t="s">
        <v>17</v>
      </c>
      <c r="N2750">
        <v>676</v>
      </c>
      <c r="O2750">
        <v>273.47000000000003</v>
      </c>
      <c r="P2750">
        <v>206.3</v>
      </c>
      <c r="Q2750" s="1" t="str">
        <v/>
      </c>
      <c r="R2750" s="1" t="str">
        <v/>
      </c>
      <c r="S2750" s="3">
        <v>0</v>
      </c>
      <c r="T2750" s="3">
        <v>0</v>
      </c>
    </row>
    <row r="2751" spans="1:20" x14ac:dyDescent="0.25">
      <c r="A2751" t="s">
        <v>78</v>
      </c>
      <c r="B2751" t="s">
        <v>79</v>
      </c>
      <c r="C2751" t="s">
        <v>4388</v>
      </c>
      <c r="D2751" t="s">
        <v>4387</v>
      </c>
      <c r="E2751">
        <v>74.39</v>
      </c>
      <c r="F2751">
        <v>75.16</v>
      </c>
      <c r="G2751">
        <v>75.349999999999994</v>
      </c>
      <c r="H2751">
        <v>73.72</v>
      </c>
      <c r="I2751" s="1">
        <v>74.510000000000005</v>
      </c>
      <c r="J2751">
        <v>3244777.2</v>
      </c>
      <c r="K2751">
        <v>43375</v>
      </c>
      <c r="L2751" t="s">
        <v>78</v>
      </c>
      <c r="M2751" t="s">
        <v>17</v>
      </c>
      <c r="N2751">
        <v>416</v>
      </c>
      <c r="O2751">
        <v>81.650000000000006</v>
      </c>
      <c r="P2751">
        <v>65.400000000000006</v>
      </c>
      <c r="Q2751" s="1" t="str">
        <v/>
      </c>
      <c r="R2751" s="1" t="str">
        <v/>
      </c>
      <c r="S2751" s="3">
        <v>0</v>
      </c>
      <c r="T2751" s="3">
        <v>0</v>
      </c>
    </row>
    <row r="2752" spans="1:20" x14ac:dyDescent="0.25">
      <c r="A2752" t="s">
        <v>78</v>
      </c>
      <c r="B2752" t="s">
        <v>79</v>
      </c>
      <c r="C2752" t="s">
        <v>4386</v>
      </c>
      <c r="D2752" t="s">
        <v>4385</v>
      </c>
      <c r="E2752">
        <v>26.48</v>
      </c>
      <c r="F2752">
        <v>26.74</v>
      </c>
      <c r="G2752">
        <v>26.74</v>
      </c>
      <c r="H2752">
        <v>26.27</v>
      </c>
      <c r="I2752" s="1">
        <v>26.57</v>
      </c>
      <c r="J2752">
        <v>14418062.32</v>
      </c>
      <c r="K2752">
        <v>542498</v>
      </c>
      <c r="L2752" t="s">
        <v>78</v>
      </c>
      <c r="M2752" t="s">
        <v>17</v>
      </c>
      <c r="N2752">
        <v>601</v>
      </c>
      <c r="O2752">
        <v>278</v>
      </c>
      <c r="P2752">
        <v>22.59</v>
      </c>
      <c r="Q2752" s="1" t="str">
        <v/>
      </c>
      <c r="R2752" s="1" t="str">
        <v/>
      </c>
      <c r="S2752" s="3">
        <v>0</v>
      </c>
      <c r="T2752" s="3">
        <v>0</v>
      </c>
    </row>
    <row r="2753" spans="1:20" x14ac:dyDescent="0.25">
      <c r="A2753" t="s">
        <v>78</v>
      </c>
      <c r="B2753" t="s">
        <v>79</v>
      </c>
      <c r="C2753" t="s">
        <v>4384</v>
      </c>
      <c r="D2753" t="s">
        <v>4383</v>
      </c>
      <c r="E2753">
        <v>60.15</v>
      </c>
      <c r="F2753">
        <v>60.45</v>
      </c>
      <c r="G2753">
        <v>61.95</v>
      </c>
      <c r="H2753">
        <v>59.59</v>
      </c>
      <c r="I2753" s="1">
        <v>60.33</v>
      </c>
      <c r="J2753">
        <v>417662.9</v>
      </c>
      <c r="K2753">
        <v>6961</v>
      </c>
      <c r="L2753" t="s">
        <v>78</v>
      </c>
      <c r="M2753" t="s">
        <v>17</v>
      </c>
      <c r="N2753">
        <v>168</v>
      </c>
      <c r="O2753">
        <v>61.95</v>
      </c>
      <c r="P2753">
        <v>42.13</v>
      </c>
      <c r="Q2753" s="1" t="str">
        <v/>
      </c>
      <c r="R2753" s="1" t="str">
        <v/>
      </c>
      <c r="S2753" s="3">
        <v>0</v>
      </c>
      <c r="T2753" s="3">
        <v>0</v>
      </c>
    </row>
    <row r="2754" spans="1:20" x14ac:dyDescent="0.25">
      <c r="A2754" t="s">
        <v>78</v>
      </c>
      <c r="B2754" t="s">
        <v>79</v>
      </c>
      <c r="C2754" t="s">
        <v>4382</v>
      </c>
      <c r="D2754" t="s">
        <v>4381</v>
      </c>
      <c r="E2754">
        <v>89.7</v>
      </c>
      <c r="F2754">
        <v>90.58</v>
      </c>
      <c r="G2754">
        <v>90.58</v>
      </c>
      <c r="H2754">
        <v>89.05</v>
      </c>
      <c r="I2754" s="1">
        <v>90.1</v>
      </c>
      <c r="J2754">
        <v>6060833.5199999996</v>
      </c>
      <c r="K2754">
        <v>67514</v>
      </c>
      <c r="L2754" t="s">
        <v>78</v>
      </c>
      <c r="M2754" t="s">
        <v>17</v>
      </c>
      <c r="N2754">
        <v>807</v>
      </c>
      <c r="O2754">
        <v>818.25</v>
      </c>
      <c r="P2754">
        <v>77.8</v>
      </c>
      <c r="Q2754" s="1" t="str">
        <v/>
      </c>
      <c r="R2754" s="1" t="str">
        <v/>
      </c>
      <c r="S2754" s="3">
        <v>0</v>
      </c>
      <c r="T2754" s="3">
        <v>0</v>
      </c>
    </row>
    <row r="2755" spans="1:20" x14ac:dyDescent="0.25">
      <c r="A2755" t="s">
        <v>78</v>
      </c>
      <c r="B2755" t="s">
        <v>79</v>
      </c>
      <c r="C2755" t="s">
        <v>4380</v>
      </c>
      <c r="D2755" t="s">
        <v>4379</v>
      </c>
      <c r="E2755">
        <v>89.88</v>
      </c>
      <c r="F2755">
        <v>89.88</v>
      </c>
      <c r="G2755">
        <v>90.1</v>
      </c>
      <c r="H2755">
        <v>89.05</v>
      </c>
      <c r="I2755" s="1">
        <v>89.88</v>
      </c>
      <c r="J2755">
        <v>28134879.859999999</v>
      </c>
      <c r="K2755">
        <v>313948</v>
      </c>
      <c r="L2755" t="s">
        <v>78</v>
      </c>
      <c r="M2755" t="s">
        <v>17</v>
      </c>
      <c r="N2755">
        <v>1217</v>
      </c>
      <c r="O2755">
        <v>93.05</v>
      </c>
      <c r="P2755">
        <v>66.06</v>
      </c>
      <c r="Q2755" s="1" t="str">
        <v/>
      </c>
      <c r="R2755" s="1" t="str">
        <v/>
      </c>
      <c r="S2755" s="3">
        <v>0</v>
      </c>
      <c r="T2755" s="3">
        <v>0</v>
      </c>
    </row>
    <row r="2756" spans="1:20" x14ac:dyDescent="0.25">
      <c r="A2756" t="s">
        <v>78</v>
      </c>
      <c r="B2756" t="s">
        <v>79</v>
      </c>
      <c r="C2756" t="s">
        <v>4378</v>
      </c>
      <c r="D2756" t="s">
        <v>4377</v>
      </c>
      <c r="E2756">
        <v>178.78</v>
      </c>
      <c r="F2756">
        <v>180.25</v>
      </c>
      <c r="G2756">
        <v>180.25</v>
      </c>
      <c r="H2756">
        <v>176</v>
      </c>
      <c r="I2756" s="1">
        <v>176.95</v>
      </c>
      <c r="J2756">
        <v>99405782.069999993</v>
      </c>
      <c r="K2756">
        <v>561524</v>
      </c>
      <c r="L2756" t="s">
        <v>78</v>
      </c>
      <c r="M2756" t="s">
        <v>17</v>
      </c>
      <c r="N2756">
        <v>12340</v>
      </c>
      <c r="O2756">
        <v>183</v>
      </c>
      <c r="P2756">
        <v>108.4</v>
      </c>
      <c r="Q2756" s="1" t="str">
        <v/>
      </c>
      <c r="R2756" s="1" t="str">
        <v/>
      </c>
      <c r="S2756" s="3">
        <v>0</v>
      </c>
      <c r="T2756" s="3">
        <v>0</v>
      </c>
    </row>
    <row r="2757" spans="1:20" x14ac:dyDescent="0.25">
      <c r="A2757" t="s">
        <v>78</v>
      </c>
      <c r="B2757" t="s">
        <v>79</v>
      </c>
      <c r="C2757" t="s">
        <v>4376</v>
      </c>
      <c r="D2757" t="s">
        <v>4375</v>
      </c>
      <c r="E2757">
        <v>141.55000000000001</v>
      </c>
      <c r="F2757">
        <v>143.49</v>
      </c>
      <c r="G2757">
        <v>143.69999999999999</v>
      </c>
      <c r="H2757">
        <v>140.83000000000001</v>
      </c>
      <c r="I2757" s="1">
        <v>143.34</v>
      </c>
      <c r="J2757">
        <v>2474428.29</v>
      </c>
      <c r="K2757">
        <v>17357</v>
      </c>
      <c r="L2757" t="s">
        <v>78</v>
      </c>
      <c r="M2757" t="s">
        <v>17</v>
      </c>
      <c r="N2757">
        <v>168</v>
      </c>
      <c r="O2757">
        <v>147</v>
      </c>
      <c r="P2757">
        <v>99.25</v>
      </c>
      <c r="Q2757" s="1" t="str">
        <v/>
      </c>
      <c r="R2757" s="1" t="str">
        <v/>
      </c>
      <c r="S2757" s="3">
        <v>0</v>
      </c>
      <c r="T2757" s="3">
        <v>0</v>
      </c>
    </row>
    <row r="2758" spans="1:20" x14ac:dyDescent="0.25">
      <c r="A2758" t="s">
        <v>78</v>
      </c>
      <c r="B2758" t="s">
        <v>79</v>
      </c>
      <c r="C2758" t="s">
        <v>4374</v>
      </c>
      <c r="D2758" t="s">
        <v>4373</v>
      </c>
      <c r="E2758">
        <v>131.85</v>
      </c>
      <c r="F2758">
        <v>131.6</v>
      </c>
      <c r="G2758">
        <v>132.30000000000001</v>
      </c>
      <c r="H2758">
        <v>130.43</v>
      </c>
      <c r="I2758" s="1">
        <v>131.88999999999999</v>
      </c>
      <c r="J2758">
        <v>257747.61</v>
      </c>
      <c r="K2758">
        <v>1966</v>
      </c>
      <c r="L2758" t="s">
        <v>78</v>
      </c>
      <c r="M2758" t="s">
        <v>17</v>
      </c>
      <c r="N2758">
        <v>35</v>
      </c>
      <c r="O2758">
        <v>132.68</v>
      </c>
      <c r="P2758">
        <v>114.9</v>
      </c>
      <c r="Q2758" s="1" t="str">
        <v/>
      </c>
      <c r="R2758" s="1" t="str">
        <v/>
      </c>
      <c r="S2758" s="3">
        <v>0</v>
      </c>
      <c r="T2758" s="3">
        <v>0</v>
      </c>
    </row>
    <row r="2759" spans="1:20" x14ac:dyDescent="0.25">
      <c r="A2759" t="s">
        <v>78</v>
      </c>
      <c r="B2759" t="s">
        <v>79</v>
      </c>
      <c r="C2759" t="s">
        <v>4372</v>
      </c>
      <c r="D2759" t="s">
        <v>4098</v>
      </c>
      <c r="E2759">
        <v>133.78</v>
      </c>
      <c r="F2759">
        <v>133.78</v>
      </c>
      <c r="G2759">
        <v>134.47999999999999</v>
      </c>
      <c r="H2759">
        <v>132.56</v>
      </c>
      <c r="I2759" s="1">
        <v>134.32</v>
      </c>
      <c r="J2759">
        <v>5973090.2300000004</v>
      </c>
      <c r="K2759">
        <v>44720</v>
      </c>
      <c r="L2759" t="s">
        <v>78</v>
      </c>
      <c r="M2759" t="s">
        <v>17</v>
      </c>
      <c r="N2759">
        <v>699</v>
      </c>
      <c r="O2759">
        <v>138.31</v>
      </c>
      <c r="P2759">
        <v>91.32</v>
      </c>
      <c r="Q2759" s="1" t="str">
        <v/>
      </c>
      <c r="R2759" s="1" t="str">
        <v/>
      </c>
      <c r="S2759" s="3">
        <v>0</v>
      </c>
      <c r="T2759" s="3">
        <v>0</v>
      </c>
    </row>
    <row r="2760" spans="1:20" x14ac:dyDescent="0.25">
      <c r="A2760" t="s">
        <v>78</v>
      </c>
      <c r="B2760" t="s">
        <v>79</v>
      </c>
      <c r="C2760" t="s">
        <v>4371</v>
      </c>
      <c r="D2760" t="s">
        <v>4370</v>
      </c>
      <c r="E2760">
        <v>13.43</v>
      </c>
      <c r="F2760">
        <v>13.43</v>
      </c>
      <c r="G2760">
        <v>13.48</v>
      </c>
      <c r="H2760">
        <v>13.3</v>
      </c>
      <c r="I2760" s="1">
        <v>13.44</v>
      </c>
      <c r="J2760">
        <v>4234675.29</v>
      </c>
      <c r="K2760">
        <v>316136</v>
      </c>
      <c r="L2760" t="s">
        <v>78</v>
      </c>
      <c r="M2760" t="s">
        <v>17</v>
      </c>
      <c r="N2760">
        <v>2199</v>
      </c>
      <c r="O2760">
        <v>14.47</v>
      </c>
      <c r="P2760">
        <v>8.27</v>
      </c>
      <c r="Q2760" s="1" t="str">
        <v/>
      </c>
      <c r="R2760" s="1" t="str">
        <v/>
      </c>
      <c r="S2760" s="3">
        <v>0</v>
      </c>
      <c r="T2760" s="3">
        <v>0</v>
      </c>
    </row>
    <row r="2761" spans="1:20" x14ac:dyDescent="0.25">
      <c r="A2761" t="s">
        <v>78</v>
      </c>
      <c r="B2761" t="s">
        <v>79</v>
      </c>
      <c r="C2761" t="s">
        <v>4065</v>
      </c>
      <c r="D2761" t="s">
        <v>4066</v>
      </c>
      <c r="E2761">
        <v>299.92</v>
      </c>
      <c r="F2761">
        <v>301.87</v>
      </c>
      <c r="G2761">
        <v>301.87</v>
      </c>
      <c r="H2761">
        <v>299.25</v>
      </c>
      <c r="I2761" s="1">
        <v>299.8</v>
      </c>
      <c r="J2761">
        <v>19321091.59</v>
      </c>
      <c r="K2761">
        <v>64371</v>
      </c>
      <c r="L2761" t="s">
        <v>78</v>
      </c>
      <c r="M2761" t="s">
        <v>17</v>
      </c>
      <c r="N2761">
        <v>2374</v>
      </c>
      <c r="O2761">
        <v>338.07</v>
      </c>
      <c r="P2761">
        <v>205</v>
      </c>
      <c r="Q2761" s="1">
        <v>352</v>
      </c>
      <c r="R2761" s="1">
        <v>2975</v>
      </c>
      <c r="S2761" s="3">
        <v>-1.3287234034045636E-2</v>
      </c>
      <c r="T2761" s="3">
        <v>-0.10834977480254249</v>
      </c>
    </row>
    <row r="2762" spans="1:20" x14ac:dyDescent="0.25">
      <c r="A2762" t="s">
        <v>78</v>
      </c>
      <c r="B2762" t="s">
        <v>79</v>
      </c>
      <c r="C2762" t="s">
        <v>4073</v>
      </c>
      <c r="D2762" t="s">
        <v>4074</v>
      </c>
      <c r="E2762">
        <v>118.28</v>
      </c>
      <c r="F2762">
        <v>119</v>
      </c>
      <c r="G2762">
        <v>119</v>
      </c>
      <c r="H2762">
        <v>116.81</v>
      </c>
      <c r="I2762" s="1">
        <v>117.8</v>
      </c>
      <c r="J2762">
        <v>149458541.03</v>
      </c>
      <c r="K2762">
        <v>1270937</v>
      </c>
      <c r="L2762" t="s">
        <v>78</v>
      </c>
      <c r="M2762" t="s">
        <v>17</v>
      </c>
      <c r="N2762">
        <v>10279</v>
      </c>
      <c r="O2762">
        <v>121.64</v>
      </c>
      <c r="P2762">
        <v>66.5</v>
      </c>
      <c r="Q2762" s="1">
        <v>39.799999999999997</v>
      </c>
      <c r="R2762" s="1">
        <v>36.25</v>
      </c>
      <c r="S2762" s="3">
        <v>9.4641354969408065E-2</v>
      </c>
      <c r="T2762" s="3">
        <v>6.0664048860337827E-2</v>
      </c>
    </row>
    <row r="2763" spans="1:20" x14ac:dyDescent="0.25">
      <c r="A2763" t="s">
        <v>78</v>
      </c>
      <c r="B2763" t="s">
        <v>79</v>
      </c>
      <c r="C2763" t="s">
        <v>4105</v>
      </c>
      <c r="D2763" t="s">
        <v>4369</v>
      </c>
      <c r="E2763">
        <v>266.60000000000002</v>
      </c>
      <c r="F2763">
        <v>258.60000000000002</v>
      </c>
      <c r="G2763">
        <v>269.95999999999998</v>
      </c>
      <c r="H2763">
        <v>258.60000000000002</v>
      </c>
      <c r="I2763" s="1">
        <v>267.33999999999997</v>
      </c>
      <c r="J2763">
        <v>149511.29999999999</v>
      </c>
      <c r="K2763">
        <v>564</v>
      </c>
      <c r="L2763" t="s">
        <v>78</v>
      </c>
      <c r="M2763" t="s">
        <v>17</v>
      </c>
      <c r="N2763">
        <v>47</v>
      </c>
      <c r="O2763">
        <v>270.39999999999998</v>
      </c>
      <c r="P2763">
        <v>176</v>
      </c>
      <c r="Q2763" s="1">
        <v>161.78</v>
      </c>
      <c r="R2763" s="1">
        <v>116.66</v>
      </c>
      <c r="S2763" s="3">
        <v>4.2745344115525885E-2</v>
      </c>
      <c r="T2763" s="3">
        <v>4.2310798341664402E-2</v>
      </c>
    </row>
    <row r="2764" spans="1:20" x14ac:dyDescent="0.25">
      <c r="A2764" t="s">
        <v>78</v>
      </c>
      <c r="B2764" t="s">
        <v>79</v>
      </c>
      <c r="C2764" t="s">
        <v>4107</v>
      </c>
      <c r="D2764" t="s">
        <v>4108</v>
      </c>
      <c r="E2764">
        <v>966.51</v>
      </c>
      <c r="F2764">
        <v>976.29</v>
      </c>
      <c r="G2764">
        <v>976.29</v>
      </c>
      <c r="H2764">
        <v>956.01</v>
      </c>
      <c r="I2764" s="1">
        <v>963.7</v>
      </c>
      <c r="J2764">
        <v>30170537.760000002</v>
      </c>
      <c r="K2764">
        <v>31390</v>
      </c>
      <c r="L2764" t="s">
        <v>78</v>
      </c>
      <c r="M2764" t="s">
        <v>17</v>
      </c>
      <c r="N2764">
        <v>1379</v>
      </c>
      <c r="O2764">
        <v>1044.8499999999999</v>
      </c>
      <c r="P2764">
        <v>602.01</v>
      </c>
      <c r="Q2764" s="1">
        <v>457.01</v>
      </c>
      <c r="R2764" s="1">
        <v>325.33</v>
      </c>
      <c r="S2764" s="3">
        <v>6.4146317093562777E-2</v>
      </c>
      <c r="T2764" s="3">
        <v>5.576673296165513E-2</v>
      </c>
    </row>
    <row r="2765" spans="1:20" x14ac:dyDescent="0.25">
      <c r="A2765" t="s">
        <v>78</v>
      </c>
      <c r="B2765" t="s">
        <v>79</v>
      </c>
      <c r="C2765" t="s">
        <v>4368</v>
      </c>
      <c r="D2765" t="s">
        <v>4367</v>
      </c>
      <c r="E2765">
        <v>95.47</v>
      </c>
      <c r="F2765">
        <v>95.99</v>
      </c>
      <c r="G2765">
        <v>96</v>
      </c>
      <c r="H2765">
        <v>94.5</v>
      </c>
      <c r="I2765" s="1">
        <v>95.47</v>
      </c>
      <c r="J2765">
        <v>17328559.18</v>
      </c>
      <c r="K2765">
        <v>182188</v>
      </c>
      <c r="L2765" t="s">
        <v>78</v>
      </c>
      <c r="M2765" t="s">
        <v>17</v>
      </c>
      <c r="N2765">
        <v>2750</v>
      </c>
      <c r="O2765">
        <v>96.69</v>
      </c>
      <c r="P2765">
        <v>58.56</v>
      </c>
      <c r="Q2765" s="1" t="str">
        <v/>
      </c>
      <c r="R2765" s="1" t="str">
        <v/>
      </c>
      <c r="S2765" s="3">
        <v>0</v>
      </c>
      <c r="T2765" s="3">
        <v>0</v>
      </c>
    </row>
    <row r="2766" spans="1:20" x14ac:dyDescent="0.25">
      <c r="A2766" t="s">
        <v>78</v>
      </c>
      <c r="B2766" t="s">
        <v>79</v>
      </c>
      <c r="C2766" t="s">
        <v>4366</v>
      </c>
      <c r="D2766" t="s">
        <v>4120</v>
      </c>
      <c r="E2766">
        <v>41.53</v>
      </c>
      <c r="F2766">
        <v>41.6</v>
      </c>
      <c r="G2766">
        <v>43</v>
      </c>
      <c r="H2766">
        <v>41</v>
      </c>
      <c r="I2766" s="1">
        <v>42.46</v>
      </c>
      <c r="J2766">
        <v>15273280.4</v>
      </c>
      <c r="K2766">
        <v>362818</v>
      </c>
      <c r="L2766" t="s">
        <v>78</v>
      </c>
      <c r="M2766" t="s">
        <v>17</v>
      </c>
      <c r="N2766">
        <v>1278</v>
      </c>
      <c r="O2766">
        <v>43</v>
      </c>
      <c r="P2766">
        <v>30.4</v>
      </c>
      <c r="Q2766" s="1" t="str">
        <v/>
      </c>
      <c r="R2766" s="1" t="str">
        <v/>
      </c>
      <c r="S2766" s="3">
        <v>0</v>
      </c>
      <c r="T2766" s="3">
        <v>0</v>
      </c>
    </row>
    <row r="2767" spans="1:20" x14ac:dyDescent="0.25">
      <c r="A2767" t="s">
        <v>78</v>
      </c>
      <c r="B2767" t="s">
        <v>79</v>
      </c>
      <c r="C2767" t="s">
        <v>4365</v>
      </c>
      <c r="D2767" t="s">
        <v>4166</v>
      </c>
      <c r="E2767">
        <v>41.79</v>
      </c>
      <c r="F2767">
        <v>42.2</v>
      </c>
      <c r="G2767">
        <v>42.8</v>
      </c>
      <c r="H2767">
        <v>41.39</v>
      </c>
      <c r="I2767" s="1">
        <v>42.67</v>
      </c>
      <c r="J2767">
        <v>643156643.24000001</v>
      </c>
      <c r="K2767">
        <v>15190628</v>
      </c>
      <c r="L2767" t="s">
        <v>78</v>
      </c>
      <c r="M2767" t="s">
        <v>17</v>
      </c>
      <c r="N2767">
        <v>31879</v>
      </c>
      <c r="O2767">
        <v>42.8</v>
      </c>
      <c r="P2767">
        <v>30.88</v>
      </c>
      <c r="Q2767" s="1" t="str">
        <v/>
      </c>
      <c r="R2767" s="1" t="str">
        <v/>
      </c>
      <c r="S2767" s="3">
        <v>0</v>
      </c>
      <c r="T2767" s="3">
        <v>0</v>
      </c>
    </row>
    <row r="2768" spans="1:20" x14ac:dyDescent="0.25">
      <c r="A2768" t="s">
        <v>78</v>
      </c>
      <c r="B2768" t="s">
        <v>79</v>
      </c>
      <c r="C2768" t="s">
        <v>4364</v>
      </c>
      <c r="D2768" t="s">
        <v>4363</v>
      </c>
      <c r="E2768">
        <v>39.799999999999997</v>
      </c>
      <c r="F2768">
        <v>39.71</v>
      </c>
      <c r="G2768">
        <v>40.700000000000003</v>
      </c>
      <c r="H2768">
        <v>39.53</v>
      </c>
      <c r="I2768" s="1">
        <v>40.15</v>
      </c>
      <c r="J2768">
        <v>13931185.109999999</v>
      </c>
      <c r="K2768">
        <v>346840</v>
      </c>
      <c r="L2768" t="s">
        <v>78</v>
      </c>
      <c r="M2768" t="s">
        <v>17</v>
      </c>
      <c r="N2768">
        <v>1544</v>
      </c>
      <c r="O2768">
        <v>40.700000000000003</v>
      </c>
      <c r="P2768">
        <v>30.4</v>
      </c>
      <c r="Q2768" s="1" t="str">
        <v/>
      </c>
      <c r="R2768" s="1" t="str">
        <v/>
      </c>
      <c r="S2768" s="3">
        <v>0</v>
      </c>
      <c r="T2768" s="3">
        <v>0</v>
      </c>
    </row>
    <row r="2769" spans="1:20" x14ac:dyDescent="0.25">
      <c r="A2769" t="s">
        <v>78</v>
      </c>
      <c r="B2769" t="s">
        <v>79</v>
      </c>
      <c r="C2769" t="s">
        <v>4362</v>
      </c>
      <c r="D2769" t="s">
        <v>4361</v>
      </c>
      <c r="E2769">
        <v>39.82</v>
      </c>
      <c r="F2769">
        <v>39.81</v>
      </c>
      <c r="G2769">
        <v>40.76</v>
      </c>
      <c r="H2769">
        <v>39.67</v>
      </c>
      <c r="I2769" s="1">
        <v>40.61</v>
      </c>
      <c r="J2769">
        <v>1675964.64</v>
      </c>
      <c r="K2769">
        <v>41446</v>
      </c>
      <c r="L2769" t="s">
        <v>78</v>
      </c>
      <c r="M2769" t="s">
        <v>17</v>
      </c>
      <c r="N2769">
        <v>284</v>
      </c>
      <c r="O2769">
        <v>40.76</v>
      </c>
      <c r="P2769">
        <v>29</v>
      </c>
      <c r="Q2769" s="1" t="str">
        <v/>
      </c>
      <c r="R2769" s="1" t="str">
        <v/>
      </c>
      <c r="S2769" s="3">
        <v>0</v>
      </c>
      <c r="T2769" s="3">
        <v>0</v>
      </c>
    </row>
    <row r="2770" spans="1:20" x14ac:dyDescent="0.25">
      <c r="A2770" t="s">
        <v>78</v>
      </c>
      <c r="B2770" t="s">
        <v>79</v>
      </c>
      <c r="C2770" t="s">
        <v>4360</v>
      </c>
      <c r="D2770" t="s">
        <v>4102</v>
      </c>
      <c r="E2770">
        <v>41.73</v>
      </c>
      <c r="F2770">
        <v>41.74</v>
      </c>
      <c r="G2770">
        <v>42.7</v>
      </c>
      <c r="H2770">
        <v>41.48</v>
      </c>
      <c r="I2770" s="1">
        <v>42.63</v>
      </c>
      <c r="J2770">
        <v>52621610.780000001</v>
      </c>
      <c r="K2770">
        <v>1245833</v>
      </c>
      <c r="L2770" t="s">
        <v>78</v>
      </c>
      <c r="M2770" t="s">
        <v>17</v>
      </c>
      <c r="N2770">
        <v>6472</v>
      </c>
      <c r="O2770">
        <v>42.7</v>
      </c>
      <c r="P2770">
        <v>28.2</v>
      </c>
      <c r="Q2770" s="1" t="str">
        <v/>
      </c>
      <c r="R2770" s="1" t="str">
        <v/>
      </c>
      <c r="S2770" s="3">
        <v>0</v>
      </c>
      <c r="T2770" s="3">
        <v>0</v>
      </c>
    </row>
    <row r="2771" spans="1:20" x14ac:dyDescent="0.25">
      <c r="A2771" t="s">
        <v>78</v>
      </c>
      <c r="B2771" t="s">
        <v>79</v>
      </c>
      <c r="C2771" t="s">
        <v>4109</v>
      </c>
      <c r="D2771" t="s">
        <v>4110</v>
      </c>
      <c r="E2771">
        <v>6550</v>
      </c>
      <c r="F2771">
        <v>6551</v>
      </c>
      <c r="G2771">
        <v>6609.95</v>
      </c>
      <c r="H2771">
        <v>6551</v>
      </c>
      <c r="I2771" s="1">
        <v>6570</v>
      </c>
      <c r="J2771">
        <v>932222.1</v>
      </c>
      <c r="K2771">
        <v>142</v>
      </c>
      <c r="L2771" t="s">
        <v>78</v>
      </c>
      <c r="M2771" t="s">
        <v>17</v>
      </c>
      <c r="N2771">
        <v>34</v>
      </c>
      <c r="O2771">
        <v>6641</v>
      </c>
      <c r="P2771">
        <v>5005</v>
      </c>
      <c r="Q2771" s="1">
        <v>4315.3</v>
      </c>
      <c r="R2771" s="1">
        <v>3157</v>
      </c>
      <c r="S2771" s="3">
        <v>3.5649654648069351E-2</v>
      </c>
      <c r="T2771" s="3">
        <v>3.7303453658892094E-2</v>
      </c>
    </row>
    <row r="2772" spans="1:20" x14ac:dyDescent="0.25">
      <c r="A2772" t="s">
        <v>78</v>
      </c>
      <c r="B2772" t="s">
        <v>79</v>
      </c>
      <c r="C2772" t="s">
        <v>4111</v>
      </c>
      <c r="D2772" t="s">
        <v>4112</v>
      </c>
      <c r="E2772">
        <v>2745.08</v>
      </c>
      <c r="F2772">
        <v>2745.08</v>
      </c>
      <c r="G2772">
        <v>2792.93</v>
      </c>
      <c r="H2772">
        <v>2745.08</v>
      </c>
      <c r="I2772" s="1">
        <v>2792.93</v>
      </c>
      <c r="J2772">
        <v>46735.6</v>
      </c>
      <c r="K2772">
        <v>17</v>
      </c>
      <c r="L2772" t="s">
        <v>78</v>
      </c>
      <c r="M2772" t="s">
        <v>17</v>
      </c>
      <c r="N2772">
        <v>6</v>
      </c>
      <c r="O2772">
        <v>2848</v>
      </c>
      <c r="P2772">
        <v>2073.6</v>
      </c>
      <c r="Q2772" s="1">
        <v>1710.25</v>
      </c>
      <c r="R2772" s="1" t="str">
        <v/>
      </c>
      <c r="S2772" s="3">
        <v>4.1717686239874485E-2</v>
      </c>
      <c r="T2772" s="3">
        <v>0</v>
      </c>
    </row>
    <row r="2773" spans="1:20" x14ac:dyDescent="0.25">
      <c r="A2773" t="s">
        <v>78</v>
      </c>
      <c r="B2773" t="s">
        <v>79</v>
      </c>
      <c r="C2773" t="s">
        <v>4113</v>
      </c>
      <c r="D2773" t="s">
        <v>4114</v>
      </c>
      <c r="E2773">
        <v>788.24</v>
      </c>
      <c r="F2773">
        <v>811.9</v>
      </c>
      <c r="G2773">
        <v>811.9</v>
      </c>
      <c r="H2773">
        <v>764.6</v>
      </c>
      <c r="I2773" s="1">
        <v>779.49</v>
      </c>
      <c r="J2773">
        <v>274228657.83999997</v>
      </c>
      <c r="K2773">
        <v>352169</v>
      </c>
      <c r="L2773" t="s">
        <v>78</v>
      </c>
      <c r="M2773" t="s">
        <v>17</v>
      </c>
      <c r="N2773">
        <v>16918</v>
      </c>
      <c r="O2773">
        <v>811.9</v>
      </c>
      <c r="P2773">
        <v>443.55</v>
      </c>
      <c r="Q2773" s="1">
        <v>404</v>
      </c>
      <c r="R2773" s="1">
        <v>275</v>
      </c>
      <c r="S2773" s="3">
        <v>5.6296316296987836E-2</v>
      </c>
      <c r="T2773" s="3">
        <v>5.3444118702151044E-2</v>
      </c>
    </row>
    <row r="2774" spans="1:20" x14ac:dyDescent="0.25">
      <c r="A2774" t="s">
        <v>78</v>
      </c>
      <c r="B2774" t="s">
        <v>79</v>
      </c>
      <c r="C2774" t="s">
        <v>4359</v>
      </c>
      <c r="D2774" t="s">
        <v>4358</v>
      </c>
      <c r="E2774">
        <v>6755</v>
      </c>
      <c r="F2774">
        <v>6765</v>
      </c>
      <c r="G2774">
        <v>6853</v>
      </c>
      <c r="H2774">
        <v>6765</v>
      </c>
      <c r="I2774" s="1">
        <v>6818.6</v>
      </c>
      <c r="J2774">
        <v>1574313.15</v>
      </c>
      <c r="K2774">
        <v>231</v>
      </c>
      <c r="L2774" t="s">
        <v>78</v>
      </c>
      <c r="M2774" t="s">
        <v>17</v>
      </c>
      <c r="N2774">
        <v>65</v>
      </c>
      <c r="O2774">
        <v>6984.95</v>
      </c>
      <c r="P2774">
        <v>5111</v>
      </c>
      <c r="Q2774" s="1" t="str">
        <v/>
      </c>
      <c r="R2774" s="1" t="str">
        <v/>
      </c>
      <c r="S2774" s="3">
        <v>0</v>
      </c>
      <c r="T2774" s="3">
        <v>0</v>
      </c>
    </row>
    <row r="2775" spans="1:20" x14ac:dyDescent="0.25">
      <c r="A2775" t="s">
        <v>78</v>
      </c>
      <c r="B2775" t="s">
        <v>79</v>
      </c>
      <c r="C2775" t="s">
        <v>4127</v>
      </c>
      <c r="D2775" t="s">
        <v>4128</v>
      </c>
      <c r="E2775">
        <v>25.9</v>
      </c>
      <c r="F2775">
        <v>26.14</v>
      </c>
      <c r="G2775">
        <v>26.14</v>
      </c>
      <c r="H2775">
        <v>25.57</v>
      </c>
      <c r="I2775" s="1">
        <v>25.71</v>
      </c>
      <c r="J2775">
        <v>974482.76</v>
      </c>
      <c r="K2775">
        <v>37732</v>
      </c>
      <c r="L2775" t="s">
        <v>78</v>
      </c>
      <c r="M2775" t="s">
        <v>17</v>
      </c>
      <c r="N2775">
        <v>174</v>
      </c>
      <c r="O2775">
        <v>27.97</v>
      </c>
      <c r="P2775">
        <v>23.1</v>
      </c>
      <c r="Q2775" s="1">
        <v>21.88</v>
      </c>
      <c r="R2775" s="1">
        <v>19.52</v>
      </c>
      <c r="S2775" s="3">
        <v>1.3533006922117119E-2</v>
      </c>
      <c r="T2775" s="3">
        <v>1.3859646424698502E-2</v>
      </c>
    </row>
    <row r="2776" spans="1:20" x14ac:dyDescent="0.25">
      <c r="A2776" t="s">
        <v>78</v>
      </c>
      <c r="B2776" t="s">
        <v>79</v>
      </c>
      <c r="C2776" t="s">
        <v>4129</v>
      </c>
      <c r="D2776" t="s">
        <v>4130</v>
      </c>
      <c r="E2776">
        <v>269.75</v>
      </c>
      <c r="F2776">
        <v>270.5</v>
      </c>
      <c r="G2776">
        <v>271.39</v>
      </c>
      <c r="H2776">
        <v>268.24</v>
      </c>
      <c r="I2776" s="1">
        <v>271.02</v>
      </c>
      <c r="J2776">
        <v>274487.8</v>
      </c>
      <c r="K2776">
        <v>1017</v>
      </c>
      <c r="L2776" t="s">
        <v>78</v>
      </c>
      <c r="M2776" t="s">
        <v>17</v>
      </c>
      <c r="N2776">
        <v>73</v>
      </c>
      <c r="O2776">
        <v>292</v>
      </c>
      <c r="P2776">
        <v>203.5</v>
      </c>
      <c r="Q2776" s="1">
        <v>196</v>
      </c>
      <c r="R2776" s="1">
        <v>117.75</v>
      </c>
      <c r="S2776" s="3">
        <v>2.7374477222566806E-2</v>
      </c>
      <c r="T2776" s="3">
        <v>4.2538513756864571E-2</v>
      </c>
    </row>
    <row r="2777" spans="1:20" x14ac:dyDescent="0.25">
      <c r="A2777" t="s">
        <v>78</v>
      </c>
      <c r="B2777" t="s">
        <v>79</v>
      </c>
      <c r="C2777" t="s">
        <v>4131</v>
      </c>
      <c r="D2777" t="s">
        <v>4132</v>
      </c>
      <c r="E2777">
        <v>890.02</v>
      </c>
      <c r="F2777">
        <v>895</v>
      </c>
      <c r="G2777">
        <v>901.23</v>
      </c>
      <c r="H2777">
        <v>891</v>
      </c>
      <c r="I2777" s="1">
        <v>898.05</v>
      </c>
      <c r="J2777">
        <v>93277.82</v>
      </c>
      <c r="K2777">
        <v>104</v>
      </c>
      <c r="L2777" t="s">
        <v>78</v>
      </c>
      <c r="M2777" t="s">
        <v>17</v>
      </c>
      <c r="N2777">
        <v>11</v>
      </c>
      <c r="O2777">
        <v>901.23</v>
      </c>
      <c r="P2777">
        <v>674.99</v>
      </c>
      <c r="Q2777" s="1">
        <v>560.07000000000005</v>
      </c>
      <c r="R2777" s="1">
        <v>460</v>
      </c>
      <c r="S2777" s="3">
        <v>4.0131344024344928E-2</v>
      </c>
      <c r="T2777" s="3">
        <v>3.3996761550648458E-2</v>
      </c>
    </row>
    <row r="2778" spans="1:20" x14ac:dyDescent="0.25">
      <c r="A2778" t="s">
        <v>78</v>
      </c>
      <c r="B2778" t="s">
        <v>79</v>
      </c>
      <c r="C2778" t="s">
        <v>4133</v>
      </c>
      <c r="D2778" t="s">
        <v>4134</v>
      </c>
      <c r="E2778">
        <v>275</v>
      </c>
      <c r="F2778">
        <v>280.5</v>
      </c>
      <c r="G2778">
        <v>280.5</v>
      </c>
      <c r="H2778">
        <v>271.56</v>
      </c>
      <c r="I2778" s="1">
        <v>276</v>
      </c>
      <c r="J2778">
        <v>246077.94</v>
      </c>
      <c r="K2778">
        <v>893</v>
      </c>
      <c r="L2778" t="s">
        <v>78</v>
      </c>
      <c r="M2778" t="s">
        <v>17</v>
      </c>
      <c r="N2778">
        <v>56</v>
      </c>
      <c r="O2778">
        <v>280.5</v>
      </c>
      <c r="P2778">
        <v>200.75</v>
      </c>
      <c r="Q2778" s="1">
        <v>162.12</v>
      </c>
      <c r="R2778" s="1">
        <v>118.05</v>
      </c>
      <c r="S2778" s="3">
        <v>4.5336321084633591E-2</v>
      </c>
      <c r="T2778" s="3">
        <v>4.3354887442960344E-2</v>
      </c>
    </row>
    <row r="2779" spans="1:20" x14ac:dyDescent="0.25">
      <c r="A2779" t="s">
        <v>78</v>
      </c>
      <c r="B2779" t="s">
        <v>79</v>
      </c>
      <c r="C2779" t="s">
        <v>4357</v>
      </c>
      <c r="D2779" t="s">
        <v>4356</v>
      </c>
      <c r="E2779">
        <v>57.94</v>
      </c>
      <c r="F2779">
        <v>58.57</v>
      </c>
      <c r="G2779">
        <v>58.57</v>
      </c>
      <c r="H2779">
        <v>56.95</v>
      </c>
      <c r="I2779" s="1">
        <v>57.67</v>
      </c>
      <c r="J2779">
        <v>916812.32</v>
      </c>
      <c r="K2779">
        <v>15894</v>
      </c>
      <c r="L2779" t="s">
        <v>78</v>
      </c>
      <c r="M2779" t="s">
        <v>17</v>
      </c>
      <c r="N2779">
        <v>241</v>
      </c>
      <c r="O2779">
        <v>59</v>
      </c>
      <c r="P2779">
        <v>44.1</v>
      </c>
      <c r="Q2779" s="1" t="str">
        <v/>
      </c>
      <c r="R2779" s="1" t="str">
        <v/>
      </c>
      <c r="S2779" s="3">
        <v>0</v>
      </c>
      <c r="T2779" s="3">
        <v>0</v>
      </c>
    </row>
    <row r="2780" spans="1:20" x14ac:dyDescent="0.25">
      <c r="A2780" t="s">
        <v>78</v>
      </c>
      <c r="B2780" t="s">
        <v>79</v>
      </c>
      <c r="C2780" t="s">
        <v>4355</v>
      </c>
      <c r="D2780" t="s">
        <v>4354</v>
      </c>
      <c r="E2780">
        <v>999.99</v>
      </c>
      <c r="F2780">
        <v>1000</v>
      </c>
      <c r="G2780">
        <v>1000</v>
      </c>
      <c r="H2780">
        <v>999.99</v>
      </c>
      <c r="I2780" s="1">
        <v>999.99</v>
      </c>
      <c r="J2780">
        <v>80266620.150000006</v>
      </c>
      <c r="K2780">
        <v>80267</v>
      </c>
      <c r="L2780" t="s">
        <v>78</v>
      </c>
      <c r="M2780" t="s">
        <v>17</v>
      </c>
      <c r="N2780">
        <v>146</v>
      </c>
      <c r="O2780">
        <v>1018</v>
      </c>
      <c r="P2780">
        <v>997.6</v>
      </c>
      <c r="Q2780" s="1" t="str">
        <v/>
      </c>
      <c r="R2780" s="1" t="str">
        <v/>
      </c>
      <c r="S2780" s="3">
        <v>0</v>
      </c>
      <c r="T2780" s="3">
        <v>0</v>
      </c>
    </row>
    <row r="2781" spans="1:20" x14ac:dyDescent="0.25">
      <c r="A2781" t="s">
        <v>78</v>
      </c>
      <c r="B2781" t="s">
        <v>79</v>
      </c>
      <c r="C2781" t="s">
        <v>4353</v>
      </c>
      <c r="D2781" t="s">
        <v>4352</v>
      </c>
      <c r="E2781">
        <v>1000</v>
      </c>
      <c r="F2781">
        <v>1000</v>
      </c>
      <c r="G2781">
        <v>1000.01</v>
      </c>
      <c r="H2781">
        <v>999.99</v>
      </c>
      <c r="I2781" s="1">
        <v>1000</v>
      </c>
      <c r="J2781">
        <v>11153999.92</v>
      </c>
      <c r="K2781">
        <v>11154</v>
      </c>
      <c r="L2781" t="s">
        <v>78</v>
      </c>
      <c r="M2781" t="s">
        <v>17</v>
      </c>
      <c r="N2781">
        <v>16</v>
      </c>
      <c r="O2781">
        <v>1044.99</v>
      </c>
      <c r="P2781">
        <v>999</v>
      </c>
      <c r="Q2781" s="1" t="str">
        <v/>
      </c>
      <c r="R2781" s="1" t="str">
        <v/>
      </c>
      <c r="S2781" s="3">
        <v>0</v>
      </c>
      <c r="T2781" s="3">
        <v>0</v>
      </c>
    </row>
    <row r="2782" spans="1:20" x14ac:dyDescent="0.25">
      <c r="A2782" t="s">
        <v>78</v>
      </c>
      <c r="B2782" t="s">
        <v>79</v>
      </c>
      <c r="C2782" t="s">
        <v>4351</v>
      </c>
      <c r="D2782" t="s">
        <v>4350</v>
      </c>
      <c r="E2782">
        <v>1020.4</v>
      </c>
      <c r="F2782">
        <v>1021</v>
      </c>
      <c r="G2782">
        <v>1021</v>
      </c>
      <c r="H2782">
        <v>1020.56</v>
      </c>
      <c r="I2782" s="1">
        <v>1020.57</v>
      </c>
      <c r="J2782">
        <v>350398267.58999997</v>
      </c>
      <c r="K2782">
        <v>343333</v>
      </c>
      <c r="L2782" t="s">
        <v>78</v>
      </c>
      <c r="M2782" t="s">
        <v>17</v>
      </c>
      <c r="N2782">
        <v>399</v>
      </c>
      <c r="O2782">
        <v>1219.7</v>
      </c>
      <c r="P2782">
        <v>949.27</v>
      </c>
      <c r="Q2782" s="1" t="str">
        <v/>
      </c>
      <c r="R2782" s="1" t="str">
        <v/>
      </c>
      <c r="S2782" s="3">
        <v>0</v>
      </c>
      <c r="T2782" s="3">
        <v>0</v>
      </c>
    </row>
    <row r="2783" spans="1:20" x14ac:dyDescent="0.25">
      <c r="A2783" t="s">
        <v>78</v>
      </c>
      <c r="B2783" t="s">
        <v>79</v>
      </c>
      <c r="C2783" t="s">
        <v>4135</v>
      </c>
      <c r="D2783" t="s">
        <v>4136</v>
      </c>
      <c r="E2783">
        <v>1000</v>
      </c>
      <c r="F2783">
        <v>999.99</v>
      </c>
      <c r="G2783">
        <v>1000.01</v>
      </c>
      <c r="H2783">
        <v>999.99</v>
      </c>
      <c r="I2783" s="1">
        <v>1000</v>
      </c>
      <c r="J2783">
        <v>2608786861.1500001</v>
      </c>
      <c r="K2783">
        <v>2608786</v>
      </c>
      <c r="L2783" t="s">
        <v>78</v>
      </c>
      <c r="M2783" t="s">
        <v>17</v>
      </c>
      <c r="N2783">
        <v>7675</v>
      </c>
      <c r="O2783">
        <v>1030</v>
      </c>
      <c r="P2783">
        <v>970</v>
      </c>
      <c r="Q2783" s="1">
        <v>999.99</v>
      </c>
      <c r="R2783" s="1">
        <v>999.99</v>
      </c>
      <c r="S2783" s="3">
        <v>8.3333784717254389E-7</v>
      </c>
      <c r="T2783" s="3">
        <v>4.9972880100668249E-7</v>
      </c>
    </row>
    <row r="2784" spans="1:20" x14ac:dyDescent="0.25">
      <c r="A2784" t="s">
        <v>78</v>
      </c>
      <c r="B2784" t="s">
        <v>79</v>
      </c>
      <c r="C2784" t="s">
        <v>4349</v>
      </c>
      <c r="D2784" t="s">
        <v>4348</v>
      </c>
      <c r="E2784">
        <v>1000</v>
      </c>
      <c r="F2784">
        <v>999.99</v>
      </c>
      <c r="G2784">
        <v>1000</v>
      </c>
      <c r="H2784">
        <v>999.99</v>
      </c>
      <c r="I2784" s="1">
        <v>999.99</v>
      </c>
      <c r="J2784">
        <v>10227997.25</v>
      </c>
      <c r="K2784">
        <v>10228</v>
      </c>
      <c r="L2784" t="s">
        <v>78</v>
      </c>
      <c r="M2784" t="s">
        <v>17</v>
      </c>
      <c r="N2784">
        <v>14</v>
      </c>
      <c r="O2784">
        <v>1030</v>
      </c>
      <c r="P2784">
        <v>899.95</v>
      </c>
      <c r="Q2784" s="1" t="str">
        <v/>
      </c>
      <c r="R2784" s="1" t="str">
        <v/>
      </c>
      <c r="S2784" s="3">
        <v>0</v>
      </c>
      <c r="T2784" s="3">
        <v>0</v>
      </c>
    </row>
    <row r="2785" spans="1:20" x14ac:dyDescent="0.25">
      <c r="A2785" t="s">
        <v>78</v>
      </c>
      <c r="B2785" t="s">
        <v>79</v>
      </c>
      <c r="C2785" t="s">
        <v>4347</v>
      </c>
      <c r="D2785" t="s">
        <v>4346</v>
      </c>
      <c r="E2785">
        <v>103.28</v>
      </c>
      <c r="F2785">
        <v>103.3</v>
      </c>
      <c r="G2785">
        <v>103.3</v>
      </c>
      <c r="H2785">
        <v>103.28</v>
      </c>
      <c r="I2785" s="1">
        <v>103.29</v>
      </c>
      <c r="J2785">
        <v>314805494.50999999</v>
      </c>
      <c r="K2785">
        <v>3047662</v>
      </c>
      <c r="L2785" t="s">
        <v>78</v>
      </c>
      <c r="M2785" t="s">
        <v>17</v>
      </c>
      <c r="N2785">
        <v>4122</v>
      </c>
      <c r="O2785">
        <v>106.15</v>
      </c>
      <c r="P2785">
        <v>98.35</v>
      </c>
      <c r="Q2785" s="1" t="str">
        <v/>
      </c>
      <c r="R2785" s="1" t="str">
        <v/>
      </c>
      <c r="S2785" s="3">
        <v>0</v>
      </c>
      <c r="T2785" s="3">
        <v>0</v>
      </c>
    </row>
    <row r="2786" spans="1:20" x14ac:dyDescent="0.25">
      <c r="A2786" t="s">
        <v>78</v>
      </c>
      <c r="B2786" t="s">
        <v>79</v>
      </c>
      <c r="C2786" t="s">
        <v>4137</v>
      </c>
      <c r="D2786" t="s">
        <v>4138</v>
      </c>
      <c r="E2786">
        <v>999.99</v>
      </c>
      <c r="F2786">
        <v>999.99</v>
      </c>
      <c r="G2786">
        <v>1000.01</v>
      </c>
      <c r="H2786">
        <v>999.99</v>
      </c>
      <c r="I2786" s="1">
        <v>1000</v>
      </c>
      <c r="J2786">
        <v>291661551.44999999</v>
      </c>
      <c r="K2786">
        <v>291662</v>
      </c>
      <c r="L2786" t="s">
        <v>78</v>
      </c>
      <c r="M2786" t="s">
        <v>17</v>
      </c>
      <c r="N2786">
        <v>282</v>
      </c>
      <c r="O2786">
        <v>1045</v>
      </c>
      <c r="P2786">
        <v>991.25</v>
      </c>
      <c r="Q2786" s="1">
        <v>999.95</v>
      </c>
      <c r="R2786" s="1">
        <v>999.99</v>
      </c>
      <c r="S2786" s="3">
        <v>4.1667795178668143E-6</v>
      </c>
      <c r="T2786" s="3">
        <v>4.9972880100668249E-7</v>
      </c>
    </row>
    <row r="2787" spans="1:20" x14ac:dyDescent="0.25">
      <c r="A2787" t="s">
        <v>78</v>
      </c>
      <c r="B2787" t="s">
        <v>79</v>
      </c>
      <c r="C2787" t="s">
        <v>4345</v>
      </c>
      <c r="D2787" t="s">
        <v>4082</v>
      </c>
      <c r="E2787">
        <v>999.99</v>
      </c>
      <c r="F2787">
        <v>1000</v>
      </c>
      <c r="G2787">
        <v>1000.01</v>
      </c>
      <c r="H2787">
        <v>999.99</v>
      </c>
      <c r="I2787" s="1">
        <v>999.99</v>
      </c>
      <c r="J2787">
        <v>867560244.16999996</v>
      </c>
      <c r="K2787">
        <v>867561</v>
      </c>
      <c r="L2787" t="s">
        <v>78</v>
      </c>
      <c r="M2787" t="s">
        <v>17</v>
      </c>
      <c r="N2787">
        <v>1956</v>
      </c>
      <c r="O2787">
        <v>1030</v>
      </c>
      <c r="P2787">
        <v>970</v>
      </c>
      <c r="Q2787" s="1" t="str">
        <v/>
      </c>
      <c r="R2787" s="1" t="str">
        <v/>
      </c>
      <c r="S2787" s="3">
        <v>0</v>
      </c>
      <c r="T2787" s="3">
        <v>0</v>
      </c>
    </row>
    <row r="2788" spans="1:20" x14ac:dyDescent="0.25">
      <c r="A2788" t="s">
        <v>78</v>
      </c>
      <c r="B2788" t="s">
        <v>79</v>
      </c>
      <c r="C2788" t="s">
        <v>4344</v>
      </c>
      <c r="D2788" t="s">
        <v>4343</v>
      </c>
      <c r="E2788">
        <v>1000</v>
      </c>
      <c r="F2788">
        <v>999.99</v>
      </c>
      <c r="G2788">
        <v>1000.01</v>
      </c>
      <c r="H2788">
        <v>999.99</v>
      </c>
      <c r="I2788" s="1">
        <v>999.99</v>
      </c>
      <c r="J2788">
        <v>8504916.1300000008</v>
      </c>
      <c r="K2788">
        <v>8505</v>
      </c>
      <c r="L2788" t="s">
        <v>78</v>
      </c>
      <c r="M2788" t="s">
        <v>17</v>
      </c>
      <c r="N2788">
        <v>23</v>
      </c>
      <c r="O2788">
        <v>1000.01</v>
      </c>
      <c r="P2788">
        <v>995</v>
      </c>
      <c r="Q2788" s="1" t="str">
        <v/>
      </c>
      <c r="R2788" s="1" t="str">
        <v/>
      </c>
      <c r="S2788" s="3">
        <v>0</v>
      </c>
      <c r="T2788" s="3">
        <v>0</v>
      </c>
    </row>
    <row r="2789" spans="1:20" x14ac:dyDescent="0.25">
      <c r="A2789" t="s">
        <v>78</v>
      </c>
      <c r="B2789" t="s">
        <v>79</v>
      </c>
      <c r="C2789" t="s">
        <v>4342</v>
      </c>
      <c r="D2789" t="s">
        <v>4341</v>
      </c>
      <c r="E2789">
        <v>1002.36</v>
      </c>
      <c r="F2789">
        <v>1002.7</v>
      </c>
      <c r="G2789">
        <v>1002.72</v>
      </c>
      <c r="H2789">
        <v>1002.7</v>
      </c>
      <c r="I2789" s="1">
        <v>1002.72</v>
      </c>
      <c r="J2789">
        <v>1011733.12</v>
      </c>
      <c r="K2789">
        <v>1009</v>
      </c>
      <c r="L2789" t="s">
        <v>78</v>
      </c>
      <c r="M2789" t="s">
        <v>17</v>
      </c>
      <c r="N2789">
        <v>23</v>
      </c>
      <c r="O2789">
        <v>1002.72</v>
      </c>
      <c r="P2789">
        <v>1000</v>
      </c>
      <c r="Q2789" s="1" t="str">
        <v/>
      </c>
      <c r="R2789" s="1" t="str">
        <v/>
      </c>
      <c r="S2789" s="3">
        <v>0</v>
      </c>
      <c r="T2789" s="3">
        <v>0</v>
      </c>
    </row>
    <row r="2790" spans="1:20" x14ac:dyDescent="0.25">
      <c r="A2790" t="s">
        <v>78</v>
      </c>
      <c r="B2790" t="s">
        <v>79</v>
      </c>
      <c r="C2790" t="s">
        <v>4340</v>
      </c>
      <c r="D2790" t="s">
        <v>4339</v>
      </c>
      <c r="E2790">
        <v>199.85</v>
      </c>
      <c r="F2790">
        <v>199.85</v>
      </c>
      <c r="G2790">
        <v>204.21</v>
      </c>
      <c r="H2790">
        <v>198.58</v>
      </c>
      <c r="I2790" s="1">
        <v>201.77</v>
      </c>
      <c r="J2790">
        <v>2204920.27</v>
      </c>
      <c r="K2790">
        <v>11026</v>
      </c>
      <c r="L2790" t="s">
        <v>78</v>
      </c>
      <c r="M2790" t="s">
        <v>17</v>
      </c>
      <c r="N2790">
        <v>34</v>
      </c>
      <c r="O2790">
        <v>204.21</v>
      </c>
      <c r="P2790">
        <v>141.08000000000001</v>
      </c>
      <c r="Q2790" s="1" t="str">
        <v/>
      </c>
      <c r="R2790" s="1" t="str">
        <v/>
      </c>
      <c r="S2790" s="3">
        <v>0</v>
      </c>
      <c r="T2790" s="3">
        <v>0</v>
      </c>
    </row>
    <row r="2791" spans="1:20" x14ac:dyDescent="0.25">
      <c r="A2791" t="s">
        <v>78</v>
      </c>
      <c r="B2791" t="s">
        <v>79</v>
      </c>
      <c r="C2791" t="s">
        <v>4338</v>
      </c>
      <c r="D2791" t="s">
        <v>4337</v>
      </c>
      <c r="E2791">
        <v>20.260000000000002</v>
      </c>
      <c r="F2791">
        <v>20.32</v>
      </c>
      <c r="G2791">
        <v>20.59</v>
      </c>
      <c r="H2791">
        <v>20.23</v>
      </c>
      <c r="I2791" s="1">
        <v>20.49</v>
      </c>
      <c r="J2791">
        <v>12369989.08</v>
      </c>
      <c r="K2791">
        <v>605154</v>
      </c>
      <c r="L2791" t="s">
        <v>78</v>
      </c>
      <c r="M2791" t="s">
        <v>17</v>
      </c>
      <c r="N2791">
        <v>362</v>
      </c>
      <c r="O2791">
        <v>21</v>
      </c>
      <c r="P2791">
        <v>14.27</v>
      </c>
      <c r="Q2791" s="1" t="str">
        <v/>
      </c>
      <c r="R2791" s="1" t="str">
        <v/>
      </c>
      <c r="S2791" s="3">
        <v>0</v>
      </c>
      <c r="T2791" s="3">
        <v>0</v>
      </c>
    </row>
    <row r="2792" spans="1:20" x14ac:dyDescent="0.25">
      <c r="A2792" t="s">
        <v>78</v>
      </c>
      <c r="B2792" t="s">
        <v>79</v>
      </c>
      <c r="C2792" t="s">
        <v>4336</v>
      </c>
      <c r="D2792" t="s">
        <v>4084</v>
      </c>
      <c r="E2792">
        <v>21.5</v>
      </c>
      <c r="F2792">
        <v>21.7</v>
      </c>
      <c r="G2792">
        <v>21.7</v>
      </c>
      <c r="H2792">
        <v>21.29</v>
      </c>
      <c r="I2792" s="1">
        <v>21.64</v>
      </c>
      <c r="J2792">
        <v>32991272.760000002</v>
      </c>
      <c r="K2792">
        <v>1528739</v>
      </c>
      <c r="L2792" t="s">
        <v>78</v>
      </c>
      <c r="M2792" t="s">
        <v>17</v>
      </c>
      <c r="N2792">
        <v>2135</v>
      </c>
      <c r="O2792">
        <v>202.7</v>
      </c>
      <c r="P2792">
        <v>18.5</v>
      </c>
      <c r="Q2792" s="1" t="str">
        <v/>
      </c>
      <c r="R2792" s="1" t="str">
        <v/>
      </c>
      <c r="S2792" s="3">
        <v>0</v>
      </c>
      <c r="T2792" s="3">
        <v>0</v>
      </c>
    </row>
    <row r="2793" spans="1:20" x14ac:dyDescent="0.25">
      <c r="A2793" t="s">
        <v>78</v>
      </c>
      <c r="B2793" t="s">
        <v>79</v>
      </c>
      <c r="C2793" t="s">
        <v>4335</v>
      </c>
      <c r="D2793" t="s">
        <v>4168</v>
      </c>
      <c r="E2793">
        <v>26.11</v>
      </c>
      <c r="F2793">
        <v>26.19</v>
      </c>
      <c r="G2793">
        <v>26.19</v>
      </c>
      <c r="H2793">
        <v>26.1</v>
      </c>
      <c r="I2793" s="1">
        <v>26.11</v>
      </c>
      <c r="J2793">
        <v>40269180.009999998</v>
      </c>
      <c r="K2793">
        <v>1542081</v>
      </c>
      <c r="L2793" t="s">
        <v>78</v>
      </c>
      <c r="M2793" t="s">
        <v>17</v>
      </c>
      <c r="N2793">
        <v>1053</v>
      </c>
      <c r="O2793">
        <v>26.85</v>
      </c>
      <c r="P2793">
        <v>23.92</v>
      </c>
      <c r="Q2793" s="1" t="str">
        <v/>
      </c>
      <c r="R2793" s="1" t="str">
        <v/>
      </c>
      <c r="S2793" s="3">
        <v>0</v>
      </c>
      <c r="T2793" s="3">
        <v>0</v>
      </c>
    </row>
    <row r="2794" spans="1:20" x14ac:dyDescent="0.25">
      <c r="A2794" t="s">
        <v>78</v>
      </c>
      <c r="B2794" t="s">
        <v>79</v>
      </c>
      <c r="C2794" t="s">
        <v>4141</v>
      </c>
      <c r="D2794" t="s">
        <v>4142</v>
      </c>
      <c r="E2794">
        <v>100.59</v>
      </c>
      <c r="F2794">
        <v>101.24</v>
      </c>
      <c r="G2794">
        <v>101.24</v>
      </c>
      <c r="H2794">
        <v>98.49</v>
      </c>
      <c r="I2794" s="1">
        <v>99.45</v>
      </c>
      <c r="J2794">
        <v>75232497.650000006</v>
      </c>
      <c r="K2794">
        <v>758323</v>
      </c>
      <c r="L2794" t="s">
        <v>78</v>
      </c>
      <c r="M2794" t="s">
        <v>17</v>
      </c>
      <c r="N2794">
        <v>15639</v>
      </c>
      <c r="O2794">
        <v>102.75</v>
      </c>
      <c r="P2794">
        <v>59</v>
      </c>
      <c r="Q2794" s="1">
        <v>53.52</v>
      </c>
      <c r="R2794" s="1" t="str">
        <v/>
      </c>
      <c r="S2794" s="3">
        <v>5.298953951994223E-2</v>
      </c>
      <c r="T2794" s="3">
        <v>0</v>
      </c>
    </row>
    <row r="2795" spans="1:20" x14ac:dyDescent="0.25">
      <c r="A2795" t="s">
        <v>78</v>
      </c>
      <c r="B2795" t="s">
        <v>79</v>
      </c>
      <c r="C2795" t="s">
        <v>4334</v>
      </c>
      <c r="D2795" t="s">
        <v>4333</v>
      </c>
      <c r="E2795">
        <v>13.87</v>
      </c>
      <c r="F2795">
        <v>13.89</v>
      </c>
      <c r="G2795">
        <v>13.9</v>
      </c>
      <c r="H2795">
        <v>13.67</v>
      </c>
      <c r="I2795" s="1">
        <v>13.76</v>
      </c>
      <c r="J2795">
        <v>14998446.51</v>
      </c>
      <c r="K2795">
        <v>1089311</v>
      </c>
      <c r="L2795" t="s">
        <v>78</v>
      </c>
      <c r="M2795" t="s">
        <v>17</v>
      </c>
      <c r="N2795">
        <v>3564</v>
      </c>
      <c r="O2795">
        <v>16.38</v>
      </c>
      <c r="P2795">
        <v>11.65</v>
      </c>
      <c r="Q2795" s="1" t="str">
        <v/>
      </c>
      <c r="R2795" s="1" t="str">
        <v/>
      </c>
      <c r="S2795" s="3">
        <v>0</v>
      </c>
      <c r="T2795" s="3">
        <v>0</v>
      </c>
    </row>
    <row r="2796" spans="1:20" x14ac:dyDescent="0.25">
      <c r="A2796" t="s">
        <v>78</v>
      </c>
      <c r="B2796" t="s">
        <v>79</v>
      </c>
      <c r="C2796" t="s">
        <v>4332</v>
      </c>
      <c r="D2796" t="s">
        <v>4331</v>
      </c>
      <c r="E2796">
        <v>150.47999999999999</v>
      </c>
      <c r="F2796">
        <v>152</v>
      </c>
      <c r="G2796">
        <v>152</v>
      </c>
      <c r="H2796">
        <v>148.26</v>
      </c>
      <c r="I2796" s="1">
        <v>149.66</v>
      </c>
      <c r="J2796">
        <v>23224560.129999999</v>
      </c>
      <c r="K2796">
        <v>155520</v>
      </c>
      <c r="L2796" t="s">
        <v>78</v>
      </c>
      <c r="M2796" t="s">
        <v>17</v>
      </c>
      <c r="N2796">
        <v>1768</v>
      </c>
      <c r="O2796">
        <v>155.25</v>
      </c>
      <c r="P2796">
        <v>80.3</v>
      </c>
      <c r="Q2796" s="1" t="str">
        <v/>
      </c>
      <c r="R2796" s="1" t="str">
        <v/>
      </c>
      <c r="S2796" s="3">
        <v>0</v>
      </c>
      <c r="T2796" s="3">
        <v>0</v>
      </c>
    </row>
    <row r="2797" spans="1:20" x14ac:dyDescent="0.25">
      <c r="A2797" t="s">
        <v>78</v>
      </c>
      <c r="B2797" t="s">
        <v>79</v>
      </c>
      <c r="C2797" t="s">
        <v>4330</v>
      </c>
      <c r="D2797" t="s">
        <v>4329</v>
      </c>
      <c r="E2797">
        <v>44.7</v>
      </c>
      <c r="F2797">
        <v>44.55</v>
      </c>
      <c r="G2797">
        <v>44.7</v>
      </c>
      <c r="H2797">
        <v>43.95</v>
      </c>
      <c r="I2797" s="1">
        <v>44.11</v>
      </c>
      <c r="J2797">
        <v>14798642.26</v>
      </c>
      <c r="K2797">
        <v>335024</v>
      </c>
      <c r="L2797" t="s">
        <v>78</v>
      </c>
      <c r="M2797" t="s">
        <v>17</v>
      </c>
      <c r="N2797">
        <v>3181</v>
      </c>
      <c r="O2797">
        <v>46.9</v>
      </c>
      <c r="P2797">
        <v>30.76</v>
      </c>
      <c r="Q2797" s="1" t="str">
        <v/>
      </c>
      <c r="R2797" s="1" t="str">
        <v/>
      </c>
      <c r="S2797" s="3">
        <v>0</v>
      </c>
      <c r="T2797" s="3">
        <v>0</v>
      </c>
    </row>
    <row r="2798" spans="1:20" x14ac:dyDescent="0.25">
      <c r="A2798" t="s">
        <v>78</v>
      </c>
      <c r="B2798" t="s">
        <v>79</v>
      </c>
      <c r="C2798" t="s">
        <v>4328</v>
      </c>
      <c r="D2798" t="s">
        <v>4170</v>
      </c>
      <c r="E2798">
        <v>220.14</v>
      </c>
      <c r="F2798">
        <v>222.99</v>
      </c>
      <c r="G2798">
        <v>222.99</v>
      </c>
      <c r="H2798">
        <v>215.01</v>
      </c>
      <c r="I2798" s="1">
        <v>218.5</v>
      </c>
      <c r="J2798">
        <v>168000697.16999999</v>
      </c>
      <c r="K2798">
        <v>769272</v>
      </c>
      <c r="L2798" t="s">
        <v>78</v>
      </c>
      <c r="M2798" t="s">
        <v>17</v>
      </c>
      <c r="N2798">
        <v>10648</v>
      </c>
      <c r="O2798">
        <v>222.99</v>
      </c>
      <c r="P2798">
        <v>136</v>
      </c>
      <c r="Q2798" s="1" t="str">
        <v/>
      </c>
      <c r="R2798" s="1" t="str">
        <v/>
      </c>
      <c r="S2798" s="3">
        <v>0</v>
      </c>
      <c r="T2798" s="3">
        <v>0</v>
      </c>
    </row>
    <row r="2799" spans="1:20" x14ac:dyDescent="0.25">
      <c r="A2799" t="s">
        <v>78</v>
      </c>
      <c r="B2799" t="s">
        <v>79</v>
      </c>
      <c r="C2799" t="s">
        <v>4327</v>
      </c>
      <c r="D2799" t="s">
        <v>4326</v>
      </c>
      <c r="E2799">
        <v>10.57</v>
      </c>
      <c r="F2799">
        <v>10.9</v>
      </c>
      <c r="G2799">
        <v>10.9</v>
      </c>
      <c r="H2799">
        <v>10.41</v>
      </c>
      <c r="I2799" s="1">
        <v>10.46</v>
      </c>
      <c r="J2799">
        <v>1765401.71</v>
      </c>
      <c r="K2799">
        <v>168512</v>
      </c>
      <c r="L2799" t="s">
        <v>78</v>
      </c>
      <c r="M2799" t="s">
        <v>17</v>
      </c>
      <c r="N2799">
        <v>966</v>
      </c>
      <c r="O2799">
        <v>11.98</v>
      </c>
      <c r="P2799">
        <v>10.08</v>
      </c>
      <c r="Q2799" s="1" t="str">
        <v/>
      </c>
      <c r="R2799" s="1" t="str">
        <v/>
      </c>
      <c r="S2799" s="3">
        <v>0</v>
      </c>
      <c r="T2799" s="3">
        <v>0</v>
      </c>
    </row>
    <row r="2800" spans="1:20" x14ac:dyDescent="0.25">
      <c r="A2800" t="s">
        <v>78</v>
      </c>
      <c r="B2800" t="s">
        <v>79</v>
      </c>
      <c r="C2800" t="s">
        <v>4325</v>
      </c>
      <c r="D2800" t="s">
        <v>4324</v>
      </c>
      <c r="E2800">
        <v>163.11000000000001</v>
      </c>
      <c r="F2800">
        <v>163.78</v>
      </c>
      <c r="G2800">
        <v>163.78</v>
      </c>
      <c r="H2800">
        <v>161.44999999999999</v>
      </c>
      <c r="I2800" s="1">
        <v>162.52000000000001</v>
      </c>
      <c r="J2800">
        <v>6714304.7599999998</v>
      </c>
      <c r="K2800">
        <v>41404</v>
      </c>
      <c r="L2800" t="s">
        <v>78</v>
      </c>
      <c r="M2800" t="s">
        <v>17</v>
      </c>
      <c r="N2800">
        <v>692</v>
      </c>
      <c r="O2800">
        <v>165.48</v>
      </c>
      <c r="P2800">
        <v>103.56</v>
      </c>
      <c r="Q2800" s="1" t="str">
        <v/>
      </c>
      <c r="R2800" s="1" t="str">
        <v/>
      </c>
      <c r="S2800" s="3">
        <v>0</v>
      </c>
      <c r="T2800" s="3">
        <v>0</v>
      </c>
    </row>
    <row r="2801" spans="1:20" x14ac:dyDescent="0.25">
      <c r="A2801" t="s">
        <v>78</v>
      </c>
      <c r="B2801" t="s">
        <v>79</v>
      </c>
      <c r="C2801" t="s">
        <v>4323</v>
      </c>
      <c r="D2801" t="s">
        <v>4322</v>
      </c>
      <c r="E2801">
        <v>21.7</v>
      </c>
      <c r="F2801">
        <v>21.71</v>
      </c>
      <c r="G2801">
        <v>21.81</v>
      </c>
      <c r="H2801">
        <v>21.38</v>
      </c>
      <c r="I2801" s="1">
        <v>21.5</v>
      </c>
      <c r="J2801">
        <v>44100648</v>
      </c>
      <c r="K2801">
        <v>2051238</v>
      </c>
      <c r="L2801" t="s">
        <v>78</v>
      </c>
      <c r="M2801" t="s">
        <v>17</v>
      </c>
      <c r="N2801">
        <v>9999</v>
      </c>
      <c r="O2801">
        <v>22.25</v>
      </c>
      <c r="P2801">
        <v>13.35</v>
      </c>
      <c r="Q2801" s="1" t="str">
        <v/>
      </c>
      <c r="R2801" s="1" t="str">
        <v/>
      </c>
      <c r="S2801" s="3">
        <v>0</v>
      </c>
      <c r="T2801" s="3">
        <v>0</v>
      </c>
    </row>
    <row r="2802" spans="1:20" x14ac:dyDescent="0.25">
      <c r="A2802" t="s">
        <v>78</v>
      </c>
      <c r="B2802" t="s">
        <v>79</v>
      </c>
      <c r="C2802" t="s">
        <v>4321</v>
      </c>
      <c r="D2802" t="s">
        <v>4086</v>
      </c>
      <c r="E2802">
        <v>22</v>
      </c>
      <c r="F2802">
        <v>22</v>
      </c>
      <c r="G2802">
        <v>22.19</v>
      </c>
      <c r="H2802">
        <v>21.66</v>
      </c>
      <c r="I2802" s="1">
        <v>21.81</v>
      </c>
      <c r="J2802">
        <v>12129548.74</v>
      </c>
      <c r="K2802">
        <v>556279</v>
      </c>
      <c r="L2802" t="s">
        <v>78</v>
      </c>
      <c r="M2802" t="s">
        <v>17</v>
      </c>
      <c r="N2802">
        <v>2154</v>
      </c>
      <c r="O2802">
        <v>195.18</v>
      </c>
      <c r="P2802">
        <v>18.350000000000001</v>
      </c>
      <c r="Q2802" s="1" t="str">
        <v/>
      </c>
      <c r="R2802" s="1" t="str">
        <v/>
      </c>
      <c r="S2802" s="3">
        <v>0</v>
      </c>
      <c r="T2802" s="3">
        <v>0</v>
      </c>
    </row>
    <row r="2803" spans="1:20" x14ac:dyDescent="0.25">
      <c r="A2803" t="s">
        <v>78</v>
      </c>
      <c r="B2803" t="s">
        <v>79</v>
      </c>
      <c r="C2803" t="s">
        <v>4320</v>
      </c>
      <c r="D2803" t="s">
        <v>4319</v>
      </c>
      <c r="E2803">
        <v>254.59</v>
      </c>
      <c r="F2803">
        <v>259.7</v>
      </c>
      <c r="G2803">
        <v>259.7</v>
      </c>
      <c r="H2803">
        <v>251.63</v>
      </c>
      <c r="I2803" s="1">
        <v>253.49</v>
      </c>
      <c r="J2803">
        <v>1748327.81</v>
      </c>
      <c r="K2803">
        <v>6901</v>
      </c>
      <c r="L2803" t="s">
        <v>78</v>
      </c>
      <c r="M2803" t="s">
        <v>17</v>
      </c>
      <c r="N2803">
        <v>188</v>
      </c>
      <c r="O2803">
        <v>262</v>
      </c>
      <c r="P2803">
        <v>177.05</v>
      </c>
      <c r="Q2803" s="1" t="str">
        <v/>
      </c>
      <c r="R2803" s="1" t="str">
        <v/>
      </c>
      <c r="S2803" s="3">
        <v>0</v>
      </c>
      <c r="T2803" s="3">
        <v>0</v>
      </c>
    </row>
    <row r="2804" spans="1:20" x14ac:dyDescent="0.25">
      <c r="A2804" t="s">
        <v>78</v>
      </c>
      <c r="B2804" t="s">
        <v>79</v>
      </c>
      <c r="C2804" t="s">
        <v>4318</v>
      </c>
      <c r="D2804" t="s">
        <v>4088</v>
      </c>
      <c r="E2804">
        <v>17.89</v>
      </c>
      <c r="F2804">
        <v>18.45</v>
      </c>
      <c r="G2804">
        <v>18.45</v>
      </c>
      <c r="H2804">
        <v>17.55</v>
      </c>
      <c r="I2804" s="1">
        <v>17.66</v>
      </c>
      <c r="J2804">
        <v>12724525.630000001</v>
      </c>
      <c r="K2804">
        <v>721108</v>
      </c>
      <c r="L2804" t="s">
        <v>78</v>
      </c>
      <c r="M2804" t="s">
        <v>17</v>
      </c>
      <c r="N2804">
        <v>1974</v>
      </c>
      <c r="O2804">
        <v>162.15</v>
      </c>
      <c r="P2804">
        <v>14.03</v>
      </c>
      <c r="Q2804" s="1" t="str">
        <v/>
      </c>
      <c r="R2804" s="1" t="str">
        <v/>
      </c>
      <c r="S2804" s="3">
        <v>0</v>
      </c>
      <c r="T2804" s="3">
        <v>0</v>
      </c>
    </row>
    <row r="2805" spans="1:20" x14ac:dyDescent="0.25">
      <c r="A2805" t="s">
        <v>78</v>
      </c>
      <c r="B2805" t="s">
        <v>79</v>
      </c>
      <c r="C2805" t="s">
        <v>4317</v>
      </c>
      <c r="D2805" t="s">
        <v>4316</v>
      </c>
      <c r="E2805">
        <v>55.21</v>
      </c>
      <c r="F2805">
        <v>55.25</v>
      </c>
      <c r="G2805">
        <v>55.25</v>
      </c>
      <c r="H2805">
        <v>53.9</v>
      </c>
      <c r="I2805" s="1">
        <v>54.04</v>
      </c>
      <c r="J2805">
        <v>47717581.109999999</v>
      </c>
      <c r="K2805">
        <v>881894</v>
      </c>
      <c r="L2805" t="s">
        <v>78</v>
      </c>
      <c r="M2805" t="s">
        <v>17</v>
      </c>
      <c r="N2805">
        <v>4225</v>
      </c>
      <c r="O2805">
        <v>57</v>
      </c>
      <c r="P2805">
        <v>45.5</v>
      </c>
      <c r="Q2805" s="1" t="str">
        <v/>
      </c>
      <c r="R2805" s="1" t="str">
        <v/>
      </c>
      <c r="S2805" s="3">
        <v>0</v>
      </c>
      <c r="T2805" s="3">
        <v>0</v>
      </c>
    </row>
    <row r="2806" spans="1:20" x14ac:dyDescent="0.25">
      <c r="A2806" t="s">
        <v>78</v>
      </c>
      <c r="B2806" t="s">
        <v>79</v>
      </c>
      <c r="C2806" t="s">
        <v>4315</v>
      </c>
      <c r="D2806" t="s">
        <v>4314</v>
      </c>
      <c r="E2806">
        <v>31.53</v>
      </c>
      <c r="F2806">
        <v>31.54</v>
      </c>
      <c r="G2806">
        <v>31.83</v>
      </c>
      <c r="H2806">
        <v>31.09</v>
      </c>
      <c r="I2806" s="1">
        <v>31.32</v>
      </c>
      <c r="J2806">
        <v>1508628.5</v>
      </c>
      <c r="K2806">
        <v>48270</v>
      </c>
      <c r="L2806" t="s">
        <v>78</v>
      </c>
      <c r="M2806" t="s">
        <v>17</v>
      </c>
      <c r="N2806">
        <v>510</v>
      </c>
      <c r="O2806">
        <v>32.76</v>
      </c>
      <c r="P2806">
        <v>21.43</v>
      </c>
      <c r="Q2806" s="1" t="str">
        <v/>
      </c>
      <c r="R2806" s="1" t="str">
        <v/>
      </c>
      <c r="S2806" s="3">
        <v>0</v>
      </c>
      <c r="T2806" s="3">
        <v>0</v>
      </c>
    </row>
    <row r="2807" spans="1:20" x14ac:dyDescent="0.25">
      <c r="A2807" t="s">
        <v>78</v>
      </c>
      <c r="B2807" t="s">
        <v>79</v>
      </c>
      <c r="C2807" t="s">
        <v>4147</v>
      </c>
      <c r="D2807" t="s">
        <v>4148</v>
      </c>
      <c r="E2807">
        <v>56.11</v>
      </c>
      <c r="F2807">
        <v>56.11</v>
      </c>
      <c r="G2807">
        <v>56.39</v>
      </c>
      <c r="H2807">
        <v>55.75</v>
      </c>
      <c r="I2807" s="1">
        <v>56.03</v>
      </c>
      <c r="J2807">
        <v>140176.29999999999</v>
      </c>
      <c r="K2807">
        <v>2496</v>
      </c>
      <c r="L2807" t="s">
        <v>78</v>
      </c>
      <c r="M2807" t="s">
        <v>17</v>
      </c>
      <c r="N2807">
        <v>51</v>
      </c>
      <c r="O2807">
        <v>58.2</v>
      </c>
      <c r="P2807">
        <v>52.26</v>
      </c>
      <c r="Q2807" s="1">
        <v>46.86</v>
      </c>
      <c r="R2807" s="1" t="str">
        <v/>
      </c>
      <c r="S2807" s="3">
        <v>1.500503090839489E-2</v>
      </c>
      <c r="T2807" s="3">
        <v>0</v>
      </c>
    </row>
    <row r="2808" spans="1:20" x14ac:dyDescent="0.25">
      <c r="A2808" t="s">
        <v>78</v>
      </c>
      <c r="B2808" t="s">
        <v>79</v>
      </c>
      <c r="C2808" t="s">
        <v>4313</v>
      </c>
      <c r="D2808" t="s">
        <v>4312</v>
      </c>
      <c r="E2808">
        <v>39.01</v>
      </c>
      <c r="F2808">
        <v>39.020000000000003</v>
      </c>
      <c r="G2808">
        <v>39.200000000000003</v>
      </c>
      <c r="H2808">
        <v>38.61</v>
      </c>
      <c r="I2808" s="1">
        <v>38.94</v>
      </c>
      <c r="J2808">
        <v>580322.24</v>
      </c>
      <c r="K2808">
        <v>14926</v>
      </c>
      <c r="L2808" t="s">
        <v>78</v>
      </c>
      <c r="M2808" t="s">
        <v>17</v>
      </c>
      <c r="N2808">
        <v>343</v>
      </c>
      <c r="O2808">
        <v>39.4</v>
      </c>
      <c r="P2808">
        <v>26.06</v>
      </c>
      <c r="Q2808" s="1" t="str">
        <v/>
      </c>
      <c r="R2808" s="1" t="str">
        <v/>
      </c>
      <c r="S2808" s="3">
        <v>0</v>
      </c>
      <c r="T2808" s="3">
        <v>0</v>
      </c>
    </row>
    <row r="2809" spans="1:20" x14ac:dyDescent="0.25">
      <c r="A2809" t="s">
        <v>78</v>
      </c>
      <c r="B2809" t="s">
        <v>79</v>
      </c>
      <c r="C2809" t="s">
        <v>4311</v>
      </c>
      <c r="D2809" t="s">
        <v>4310</v>
      </c>
      <c r="E2809">
        <v>38.78</v>
      </c>
      <c r="F2809">
        <v>39.950000000000003</v>
      </c>
      <c r="G2809">
        <v>39.950000000000003</v>
      </c>
      <c r="H2809">
        <v>38.51</v>
      </c>
      <c r="I2809" s="1">
        <v>38.78</v>
      </c>
      <c r="J2809">
        <v>503809.73</v>
      </c>
      <c r="K2809">
        <v>12988</v>
      </c>
      <c r="L2809" t="s">
        <v>78</v>
      </c>
      <c r="M2809" t="s">
        <v>17</v>
      </c>
      <c r="N2809">
        <v>103</v>
      </c>
      <c r="O2809">
        <v>39.950000000000003</v>
      </c>
      <c r="P2809">
        <v>27</v>
      </c>
      <c r="Q2809" s="1" t="str">
        <v/>
      </c>
      <c r="R2809" s="1" t="str">
        <v/>
      </c>
      <c r="S2809" s="3">
        <v>0</v>
      </c>
      <c r="T2809" s="3">
        <v>0</v>
      </c>
    </row>
    <row r="2810" spans="1:20" x14ac:dyDescent="0.25">
      <c r="A2810" t="s">
        <v>78</v>
      </c>
      <c r="B2810" t="s">
        <v>79</v>
      </c>
      <c r="C2810" t="s">
        <v>4149</v>
      </c>
      <c r="D2810" t="s">
        <v>4150</v>
      </c>
      <c r="E2810">
        <v>61.73</v>
      </c>
      <c r="F2810">
        <v>63.6</v>
      </c>
      <c r="G2810">
        <v>63.6</v>
      </c>
      <c r="H2810">
        <v>60.7</v>
      </c>
      <c r="I2810" s="1">
        <v>61.07</v>
      </c>
      <c r="J2810">
        <v>31485889.84</v>
      </c>
      <c r="K2810">
        <v>515837</v>
      </c>
      <c r="L2810" t="s">
        <v>78</v>
      </c>
      <c r="M2810" t="s">
        <v>17</v>
      </c>
      <c r="N2810">
        <v>5420</v>
      </c>
      <c r="O2810">
        <v>63.6</v>
      </c>
      <c r="P2810">
        <v>38.4</v>
      </c>
      <c r="Q2810" s="1">
        <v>28.95</v>
      </c>
      <c r="R2810" s="1" t="str">
        <v/>
      </c>
      <c r="S2810" s="3">
        <v>6.4179640723329268E-2</v>
      </c>
      <c r="T2810" s="3">
        <v>0</v>
      </c>
    </row>
    <row r="2811" spans="1:20" x14ac:dyDescent="0.25">
      <c r="A2811" t="s">
        <v>78</v>
      </c>
      <c r="B2811" t="s">
        <v>79</v>
      </c>
      <c r="C2811" t="s">
        <v>4309</v>
      </c>
      <c r="D2811" t="s">
        <v>4308</v>
      </c>
      <c r="E2811">
        <v>37.020000000000003</v>
      </c>
      <c r="F2811">
        <v>37.020000000000003</v>
      </c>
      <c r="G2811">
        <v>37.18</v>
      </c>
      <c r="H2811">
        <v>36.14</v>
      </c>
      <c r="I2811" s="1">
        <v>36.47</v>
      </c>
      <c r="J2811">
        <v>86191316.359999999</v>
      </c>
      <c r="K2811">
        <v>2366365</v>
      </c>
      <c r="L2811" t="s">
        <v>78</v>
      </c>
      <c r="M2811" t="s">
        <v>17</v>
      </c>
      <c r="N2811">
        <v>15822</v>
      </c>
      <c r="O2811">
        <v>38.99</v>
      </c>
      <c r="P2811">
        <v>21.59</v>
      </c>
      <c r="Q2811" s="1" t="str">
        <v/>
      </c>
      <c r="R2811" s="1" t="str">
        <v/>
      </c>
      <c r="S2811" s="3">
        <v>0</v>
      </c>
      <c r="T2811" s="3">
        <v>0</v>
      </c>
    </row>
    <row r="2812" spans="1:20" x14ac:dyDescent="0.25">
      <c r="A2812" t="s">
        <v>78</v>
      </c>
      <c r="B2812" t="s">
        <v>79</v>
      </c>
      <c r="C2812" t="s">
        <v>4151</v>
      </c>
      <c r="D2812" t="s">
        <v>4152</v>
      </c>
      <c r="E2812">
        <v>252.26</v>
      </c>
      <c r="F2812">
        <v>252.05</v>
      </c>
      <c r="G2812">
        <v>253.5</v>
      </c>
      <c r="H2812">
        <v>250.07</v>
      </c>
      <c r="I2812" s="1">
        <v>252.92</v>
      </c>
      <c r="J2812">
        <v>1735699.59</v>
      </c>
      <c r="K2812">
        <v>6883</v>
      </c>
      <c r="L2812" t="s">
        <v>78</v>
      </c>
      <c r="M2812" t="s">
        <v>17</v>
      </c>
      <c r="N2812">
        <v>152</v>
      </c>
      <c r="O2812">
        <v>277</v>
      </c>
      <c r="P2812">
        <v>190.45</v>
      </c>
      <c r="Q2812" s="1">
        <v>154.86000000000001</v>
      </c>
      <c r="R2812" s="1" t="str">
        <v/>
      </c>
      <c r="S2812" s="3">
        <v>4.1726374626846141E-2</v>
      </c>
      <c r="T2812" s="3">
        <v>0</v>
      </c>
    </row>
    <row r="2813" spans="1:20" x14ac:dyDescent="0.25">
      <c r="A2813" t="s">
        <v>78</v>
      </c>
      <c r="B2813" t="s">
        <v>79</v>
      </c>
      <c r="C2813" t="s">
        <v>4307</v>
      </c>
      <c r="D2813" t="s">
        <v>4306</v>
      </c>
      <c r="E2813">
        <v>36.799999999999997</v>
      </c>
      <c r="F2813">
        <v>36.799999999999997</v>
      </c>
      <c r="G2813">
        <v>37.049999999999997</v>
      </c>
      <c r="H2813">
        <v>35.840000000000003</v>
      </c>
      <c r="I2813" s="1">
        <v>36.340000000000003</v>
      </c>
      <c r="J2813">
        <v>55252662.890000001</v>
      </c>
      <c r="K2813">
        <v>1533528</v>
      </c>
      <c r="L2813" t="s">
        <v>78</v>
      </c>
      <c r="M2813" t="s">
        <v>17</v>
      </c>
      <c r="N2813">
        <v>3392</v>
      </c>
      <c r="O2813">
        <v>38.14</v>
      </c>
      <c r="P2813">
        <v>21.05</v>
      </c>
      <c r="Q2813" s="1" t="str">
        <v/>
      </c>
      <c r="R2813" s="1" t="str">
        <v/>
      </c>
      <c r="S2813" s="3">
        <v>0</v>
      </c>
      <c r="T2813" s="3">
        <v>0</v>
      </c>
    </row>
    <row r="2814" spans="1:20" x14ac:dyDescent="0.25">
      <c r="A2814" t="s">
        <v>78</v>
      </c>
      <c r="B2814" t="s">
        <v>79</v>
      </c>
      <c r="C2814" t="s">
        <v>4305</v>
      </c>
      <c r="D2814" t="s">
        <v>4304</v>
      </c>
      <c r="E2814">
        <v>73.73</v>
      </c>
      <c r="F2814">
        <v>73.73</v>
      </c>
      <c r="G2814">
        <v>73.989999999999995</v>
      </c>
      <c r="H2814">
        <v>71.900000000000006</v>
      </c>
      <c r="I2814" s="1">
        <v>72.650000000000006</v>
      </c>
      <c r="J2814">
        <v>30311513.370000001</v>
      </c>
      <c r="K2814">
        <v>418068</v>
      </c>
      <c r="L2814" t="s">
        <v>78</v>
      </c>
      <c r="M2814" t="s">
        <v>17</v>
      </c>
      <c r="N2814">
        <v>3205</v>
      </c>
      <c r="O2814">
        <v>76.099999999999994</v>
      </c>
      <c r="P2814">
        <v>42.7</v>
      </c>
      <c r="Q2814" s="1" t="str">
        <v/>
      </c>
      <c r="R2814" s="1" t="str">
        <v/>
      </c>
      <c r="S2814" s="3">
        <v>0</v>
      </c>
      <c r="T2814" s="3">
        <v>0</v>
      </c>
    </row>
    <row r="2815" spans="1:20" x14ac:dyDescent="0.25">
      <c r="A2815" t="s">
        <v>78</v>
      </c>
      <c r="B2815" t="s">
        <v>79</v>
      </c>
      <c r="C2815" t="s">
        <v>4153</v>
      </c>
      <c r="D2815" t="s">
        <v>4154</v>
      </c>
      <c r="E2815">
        <v>167.95</v>
      </c>
      <c r="F2815">
        <v>167.95</v>
      </c>
      <c r="G2815">
        <v>168.25</v>
      </c>
      <c r="H2815">
        <v>163.12</v>
      </c>
      <c r="I2815" s="1">
        <v>166.52</v>
      </c>
      <c r="J2815">
        <v>222695070.27000001</v>
      </c>
      <c r="K2815">
        <v>1352268</v>
      </c>
      <c r="L2815" t="s">
        <v>78</v>
      </c>
      <c r="M2815" t="s">
        <v>17</v>
      </c>
      <c r="N2815">
        <v>26540</v>
      </c>
      <c r="O2815">
        <v>175</v>
      </c>
      <c r="P2815">
        <v>112.85</v>
      </c>
      <c r="Q2815" s="1">
        <v>107.1</v>
      </c>
      <c r="R2815" s="1" t="str">
        <v/>
      </c>
      <c r="S2815" s="3">
        <v>3.7464100302616599E-2</v>
      </c>
      <c r="T2815" s="3">
        <v>0</v>
      </c>
    </row>
    <row r="2816" spans="1:20" x14ac:dyDescent="0.25">
      <c r="A2816" t="s">
        <v>78</v>
      </c>
      <c r="B2816" t="s">
        <v>79</v>
      </c>
      <c r="C2816" t="s">
        <v>4303</v>
      </c>
      <c r="D2816" t="s">
        <v>4302</v>
      </c>
      <c r="E2816">
        <v>23.37</v>
      </c>
      <c r="F2816">
        <v>23.41</v>
      </c>
      <c r="G2816">
        <v>23.42</v>
      </c>
      <c r="H2816">
        <v>23</v>
      </c>
      <c r="I2816" s="1">
        <v>23.33</v>
      </c>
      <c r="J2816">
        <v>11562610.300000001</v>
      </c>
      <c r="K2816">
        <v>497319</v>
      </c>
      <c r="L2816" t="s">
        <v>78</v>
      </c>
      <c r="M2816" t="s">
        <v>17</v>
      </c>
      <c r="N2816">
        <v>2584</v>
      </c>
      <c r="O2816">
        <v>24.5</v>
      </c>
      <c r="P2816">
        <v>16.3</v>
      </c>
      <c r="Q2816" s="1" t="str">
        <v/>
      </c>
      <c r="R2816" s="1" t="str">
        <v/>
      </c>
      <c r="S2816" s="3">
        <v>0</v>
      </c>
      <c r="T2816" s="3">
        <v>0</v>
      </c>
    </row>
    <row r="2817" spans="1:20" x14ac:dyDescent="0.25">
      <c r="A2817" t="s">
        <v>78</v>
      </c>
      <c r="B2817" t="s">
        <v>79</v>
      </c>
      <c r="C2817" t="s">
        <v>4301</v>
      </c>
      <c r="D2817" t="s">
        <v>4300</v>
      </c>
      <c r="E2817">
        <v>76.650000000000006</v>
      </c>
      <c r="F2817">
        <v>76.260000000000005</v>
      </c>
      <c r="G2817">
        <v>76.88</v>
      </c>
      <c r="H2817">
        <v>76</v>
      </c>
      <c r="I2817" s="1">
        <v>76.88</v>
      </c>
      <c r="J2817">
        <v>839028.24</v>
      </c>
      <c r="K2817">
        <v>10929</v>
      </c>
      <c r="L2817" t="s">
        <v>78</v>
      </c>
      <c r="M2817" t="s">
        <v>17</v>
      </c>
      <c r="N2817">
        <v>229</v>
      </c>
      <c r="O2817">
        <v>76.88</v>
      </c>
      <c r="P2817">
        <v>51.5</v>
      </c>
      <c r="Q2817" s="1" t="str">
        <v/>
      </c>
      <c r="R2817" s="1" t="str">
        <v/>
      </c>
      <c r="S2817" s="3">
        <v>0</v>
      </c>
      <c r="T2817" s="3">
        <v>0</v>
      </c>
    </row>
    <row r="2818" spans="1:20" x14ac:dyDescent="0.25">
      <c r="A2818" t="s">
        <v>78</v>
      </c>
      <c r="B2818" t="s">
        <v>79</v>
      </c>
      <c r="C2818" t="s">
        <v>4299</v>
      </c>
      <c r="D2818" t="s">
        <v>4298</v>
      </c>
      <c r="E2818">
        <v>212.49</v>
      </c>
      <c r="F2818">
        <v>210.05</v>
      </c>
      <c r="G2818">
        <v>212.55</v>
      </c>
      <c r="H2818">
        <v>209</v>
      </c>
      <c r="I2818" s="1">
        <v>211.54</v>
      </c>
      <c r="J2818">
        <v>757867.15</v>
      </c>
      <c r="K2818">
        <v>3607</v>
      </c>
      <c r="L2818" t="s">
        <v>78</v>
      </c>
      <c r="M2818" t="s">
        <v>17</v>
      </c>
      <c r="N2818">
        <v>117</v>
      </c>
      <c r="O2818">
        <v>220</v>
      </c>
      <c r="P2818">
        <v>130</v>
      </c>
      <c r="Q2818" s="1" t="str">
        <v/>
      </c>
      <c r="R2818" s="1" t="str">
        <v/>
      </c>
      <c r="S2818" s="3">
        <v>0</v>
      </c>
      <c r="T2818" s="3">
        <v>0</v>
      </c>
    </row>
    <row r="2819" spans="1:20" x14ac:dyDescent="0.25">
      <c r="A2819" t="s">
        <v>78</v>
      </c>
      <c r="B2819" t="s">
        <v>79</v>
      </c>
      <c r="C2819" t="s">
        <v>4297</v>
      </c>
      <c r="D2819" t="s">
        <v>4296</v>
      </c>
      <c r="E2819">
        <v>112.42</v>
      </c>
      <c r="F2819">
        <v>112.41</v>
      </c>
      <c r="G2819">
        <v>112.5</v>
      </c>
      <c r="H2819">
        <v>110.51</v>
      </c>
      <c r="I2819" s="1">
        <v>112.07</v>
      </c>
      <c r="J2819">
        <v>16153076.26</v>
      </c>
      <c r="K2819">
        <v>144770</v>
      </c>
      <c r="L2819" t="s">
        <v>78</v>
      </c>
      <c r="M2819" t="s">
        <v>17</v>
      </c>
      <c r="N2819">
        <v>1477</v>
      </c>
      <c r="O2819">
        <v>115.79</v>
      </c>
      <c r="P2819">
        <v>85.3</v>
      </c>
      <c r="Q2819" s="1" t="str">
        <v/>
      </c>
      <c r="R2819" s="1" t="str">
        <v/>
      </c>
      <c r="S2819" s="3">
        <v>0</v>
      </c>
      <c r="T2819" s="3">
        <v>0</v>
      </c>
    </row>
    <row r="2820" spans="1:20" x14ac:dyDescent="0.25">
      <c r="A2820" t="s">
        <v>78</v>
      </c>
      <c r="B2820" t="s">
        <v>79</v>
      </c>
      <c r="C2820" t="s">
        <v>4295</v>
      </c>
      <c r="D2820" t="s">
        <v>4294</v>
      </c>
      <c r="E2820">
        <v>17.87</v>
      </c>
      <c r="F2820">
        <v>17.98</v>
      </c>
      <c r="G2820">
        <v>17.98</v>
      </c>
      <c r="H2820">
        <v>17.5</v>
      </c>
      <c r="I2820" s="1">
        <v>17.690000000000001</v>
      </c>
      <c r="J2820">
        <v>22721686.48</v>
      </c>
      <c r="K2820">
        <v>1283533</v>
      </c>
      <c r="L2820" t="s">
        <v>78</v>
      </c>
      <c r="M2820" t="s">
        <v>17</v>
      </c>
      <c r="N2820">
        <v>2444</v>
      </c>
      <c r="O2820">
        <v>17.98</v>
      </c>
      <c r="P2820">
        <v>13</v>
      </c>
      <c r="Q2820" s="1" t="str">
        <v/>
      </c>
      <c r="R2820" s="1" t="str">
        <v/>
      </c>
      <c r="S2820" s="3">
        <v>0</v>
      </c>
      <c r="T2820" s="3">
        <v>0</v>
      </c>
    </row>
    <row r="2821" spans="1:20" x14ac:dyDescent="0.25">
      <c r="A2821" t="s">
        <v>78</v>
      </c>
      <c r="B2821" t="s">
        <v>79</v>
      </c>
      <c r="C2821" t="s">
        <v>4293</v>
      </c>
      <c r="D2821" t="s">
        <v>4292</v>
      </c>
      <c r="E2821">
        <v>109.93</v>
      </c>
      <c r="F2821">
        <v>109.93</v>
      </c>
      <c r="G2821">
        <v>110.29</v>
      </c>
      <c r="H2821">
        <v>108.55</v>
      </c>
      <c r="I2821" s="1">
        <v>109.63</v>
      </c>
      <c r="J2821">
        <v>45675135.57</v>
      </c>
      <c r="K2821">
        <v>417937</v>
      </c>
      <c r="L2821" t="s">
        <v>78</v>
      </c>
      <c r="M2821" t="s">
        <v>17</v>
      </c>
      <c r="N2821">
        <v>3205</v>
      </c>
      <c r="O2821">
        <v>111</v>
      </c>
      <c r="P2821">
        <v>55.55</v>
      </c>
      <c r="Q2821" s="1" t="str">
        <v/>
      </c>
      <c r="R2821" s="1" t="str">
        <v/>
      </c>
      <c r="S2821" s="3">
        <v>0</v>
      </c>
      <c r="T2821" s="3">
        <v>0</v>
      </c>
    </row>
    <row r="2822" spans="1:20" x14ac:dyDescent="0.25">
      <c r="A2822" t="s">
        <v>78</v>
      </c>
      <c r="B2822" t="s">
        <v>79</v>
      </c>
      <c r="C2822" t="s">
        <v>4291</v>
      </c>
      <c r="D2822" t="s">
        <v>4290</v>
      </c>
      <c r="E2822">
        <v>247.91</v>
      </c>
      <c r="F2822">
        <v>248.19</v>
      </c>
      <c r="G2822">
        <v>249.9</v>
      </c>
      <c r="H2822">
        <v>245.88</v>
      </c>
      <c r="I2822" s="1">
        <v>249.15</v>
      </c>
      <c r="J2822">
        <v>314755.83</v>
      </c>
      <c r="K2822">
        <v>1271</v>
      </c>
      <c r="L2822" t="s">
        <v>78</v>
      </c>
      <c r="M2822" t="s">
        <v>17</v>
      </c>
      <c r="N2822">
        <v>56</v>
      </c>
      <c r="O2822">
        <v>280.92</v>
      </c>
      <c r="P2822">
        <v>189</v>
      </c>
      <c r="Q2822" s="1" t="str">
        <v/>
      </c>
      <c r="R2822" s="1" t="str">
        <v/>
      </c>
      <c r="S2822" s="3">
        <v>0</v>
      </c>
      <c r="T2822" s="3">
        <v>0</v>
      </c>
    </row>
    <row r="2823" spans="1:20" x14ac:dyDescent="0.25">
      <c r="A2823" t="s">
        <v>78</v>
      </c>
      <c r="B2823" t="s">
        <v>79</v>
      </c>
      <c r="C2823" t="s">
        <v>4157</v>
      </c>
      <c r="D2823" t="s">
        <v>4158</v>
      </c>
      <c r="E2823">
        <v>261.89</v>
      </c>
      <c r="F2823">
        <v>264.49</v>
      </c>
      <c r="G2823">
        <v>264.49</v>
      </c>
      <c r="H2823">
        <v>260</v>
      </c>
      <c r="I2823" s="1">
        <v>263.36</v>
      </c>
      <c r="J2823">
        <v>2112132.19</v>
      </c>
      <c r="K2823">
        <v>8068</v>
      </c>
      <c r="L2823" t="s">
        <v>78</v>
      </c>
      <c r="M2823" t="s">
        <v>17</v>
      </c>
      <c r="N2823">
        <v>241</v>
      </c>
      <c r="O2823">
        <v>274.99</v>
      </c>
      <c r="P2823">
        <v>199</v>
      </c>
      <c r="Q2823" s="1">
        <v>191</v>
      </c>
      <c r="R2823" s="1">
        <v>114.8</v>
      </c>
      <c r="S2823" s="3">
        <v>2.7132261988711992E-2</v>
      </c>
      <c r="T2823" s="3">
        <v>4.2366683897048452E-2</v>
      </c>
    </row>
    <row r="2824" spans="1:20" x14ac:dyDescent="0.25">
      <c r="A2824" t="s">
        <v>78</v>
      </c>
      <c r="B2824" t="s">
        <v>79</v>
      </c>
      <c r="C2824" t="s">
        <v>4289</v>
      </c>
      <c r="D2824" t="s">
        <v>4146</v>
      </c>
      <c r="E2824">
        <v>750.6</v>
      </c>
      <c r="F2824">
        <v>750.08</v>
      </c>
      <c r="G2824">
        <v>750.09</v>
      </c>
      <c r="H2824">
        <v>736.8</v>
      </c>
      <c r="I2824" s="1">
        <v>742.59</v>
      </c>
      <c r="J2824">
        <v>9240076.8800000008</v>
      </c>
      <c r="K2824">
        <v>12476</v>
      </c>
      <c r="L2824" t="s">
        <v>78</v>
      </c>
      <c r="M2824" t="s">
        <v>17</v>
      </c>
      <c r="N2824">
        <v>556</v>
      </c>
      <c r="O2824">
        <v>757.98</v>
      </c>
      <c r="P2824">
        <v>431</v>
      </c>
      <c r="Q2824" s="1" t="str">
        <v/>
      </c>
      <c r="R2824" s="1" t="str">
        <v/>
      </c>
      <c r="S2824" s="3">
        <v>0</v>
      </c>
      <c r="T2824" s="3">
        <v>0</v>
      </c>
    </row>
    <row r="2825" spans="1:20" x14ac:dyDescent="0.25">
      <c r="A2825" t="s">
        <v>78</v>
      </c>
      <c r="B2825" t="s">
        <v>79</v>
      </c>
      <c r="C2825" t="s">
        <v>4288</v>
      </c>
      <c r="D2825" t="s">
        <v>4096</v>
      </c>
      <c r="E2825">
        <v>76.83</v>
      </c>
      <c r="F2825">
        <v>74.55</v>
      </c>
      <c r="G2825">
        <v>79.150000000000006</v>
      </c>
      <c r="H2825">
        <v>74.55</v>
      </c>
      <c r="I2825" s="1">
        <v>76.03</v>
      </c>
      <c r="J2825">
        <v>41678254.090000004</v>
      </c>
      <c r="K2825">
        <v>548918</v>
      </c>
      <c r="L2825" t="s">
        <v>78</v>
      </c>
      <c r="M2825" t="s">
        <v>17</v>
      </c>
      <c r="N2825">
        <v>5883</v>
      </c>
      <c r="O2825">
        <v>79.150000000000006</v>
      </c>
      <c r="P2825">
        <v>43.75</v>
      </c>
      <c r="Q2825" s="1" t="str">
        <v/>
      </c>
      <c r="R2825" s="1" t="str">
        <v/>
      </c>
      <c r="S2825" s="3">
        <v>0</v>
      </c>
      <c r="T2825" s="3">
        <v>0</v>
      </c>
    </row>
    <row r="2826" spans="1:20" x14ac:dyDescent="0.25">
      <c r="A2826" t="s">
        <v>78</v>
      </c>
      <c r="B2826" t="s">
        <v>79</v>
      </c>
      <c r="C2826" t="s">
        <v>4287</v>
      </c>
      <c r="D2826" t="s">
        <v>4172</v>
      </c>
      <c r="E2826">
        <v>269.01</v>
      </c>
      <c r="F2826">
        <v>269.01</v>
      </c>
      <c r="G2826">
        <v>270.67</v>
      </c>
      <c r="H2826">
        <v>267.5</v>
      </c>
      <c r="I2826" s="1">
        <v>269.69</v>
      </c>
      <c r="J2826">
        <v>4758586.76</v>
      </c>
      <c r="K2826">
        <v>17690</v>
      </c>
      <c r="L2826" t="s">
        <v>78</v>
      </c>
      <c r="M2826" t="s">
        <v>17</v>
      </c>
      <c r="N2826">
        <v>549</v>
      </c>
      <c r="O2826">
        <v>284.83999999999997</v>
      </c>
      <c r="P2826">
        <v>196</v>
      </c>
      <c r="Q2826" s="1" t="str">
        <v/>
      </c>
      <c r="R2826" s="1" t="str">
        <v/>
      </c>
      <c r="S2826" s="3">
        <v>0</v>
      </c>
      <c r="T2826" s="3">
        <v>0</v>
      </c>
    </row>
    <row r="2827" spans="1:20" x14ac:dyDescent="0.25">
      <c r="A2827" t="s">
        <v>78</v>
      </c>
      <c r="B2827" t="s">
        <v>79</v>
      </c>
      <c r="C2827" t="s">
        <v>4286</v>
      </c>
      <c r="D2827" t="s">
        <v>4090</v>
      </c>
      <c r="E2827">
        <v>28.28</v>
      </c>
      <c r="F2827">
        <v>29.15</v>
      </c>
      <c r="G2827">
        <v>29.15</v>
      </c>
      <c r="H2827">
        <v>28.11</v>
      </c>
      <c r="I2827" s="1">
        <v>28.36</v>
      </c>
      <c r="J2827">
        <v>2986409.33</v>
      </c>
      <c r="K2827">
        <v>105749</v>
      </c>
      <c r="L2827" t="s">
        <v>78</v>
      </c>
      <c r="M2827" t="s">
        <v>17</v>
      </c>
      <c r="N2827">
        <v>1083</v>
      </c>
      <c r="O2827">
        <v>267.55</v>
      </c>
      <c r="P2827">
        <v>24.89</v>
      </c>
      <c r="Q2827" s="1" t="str">
        <v/>
      </c>
      <c r="R2827" s="1" t="str">
        <v/>
      </c>
      <c r="S2827" s="3">
        <v>0</v>
      </c>
      <c r="T2827" s="3">
        <v>0</v>
      </c>
    </row>
    <row r="2828" spans="1:20" x14ac:dyDescent="0.25">
      <c r="A2828" t="s">
        <v>78</v>
      </c>
      <c r="B2828" t="s">
        <v>79</v>
      </c>
      <c r="C2828" t="s">
        <v>4285</v>
      </c>
      <c r="D2828" t="s">
        <v>4284</v>
      </c>
      <c r="E2828">
        <v>23.73</v>
      </c>
      <c r="F2828">
        <v>23.7</v>
      </c>
      <c r="G2828">
        <v>23.7</v>
      </c>
      <c r="H2828">
        <v>23.37</v>
      </c>
      <c r="I2828" s="1">
        <v>23.66</v>
      </c>
      <c r="J2828">
        <v>45738.400000000001</v>
      </c>
      <c r="K2828">
        <v>1932</v>
      </c>
      <c r="L2828" t="s">
        <v>78</v>
      </c>
      <c r="M2828" t="s">
        <v>17</v>
      </c>
      <c r="N2828">
        <v>31</v>
      </c>
      <c r="O2828">
        <v>27.3</v>
      </c>
      <c r="P2828">
        <v>21.6</v>
      </c>
      <c r="Q2828" s="1" t="str">
        <v/>
      </c>
      <c r="R2828" s="1" t="str">
        <v/>
      </c>
      <c r="S2828" s="3">
        <v>0</v>
      </c>
      <c r="T2828" s="3">
        <v>0</v>
      </c>
    </row>
    <row r="2829" spans="1:20" x14ac:dyDescent="0.25">
      <c r="A2829" t="s">
        <v>78</v>
      </c>
      <c r="B2829" t="s">
        <v>79</v>
      </c>
      <c r="C2829" t="s">
        <v>4283</v>
      </c>
      <c r="D2829" t="s">
        <v>4282</v>
      </c>
      <c r="E2829">
        <v>58.14</v>
      </c>
      <c r="F2829">
        <v>57.42</v>
      </c>
      <c r="G2829">
        <v>59.5</v>
      </c>
      <c r="H2829">
        <v>56.62</v>
      </c>
      <c r="I2829" s="1">
        <v>57.46</v>
      </c>
      <c r="J2829">
        <v>103406.02</v>
      </c>
      <c r="K2829">
        <v>1800</v>
      </c>
      <c r="L2829" t="s">
        <v>78</v>
      </c>
      <c r="M2829" t="s">
        <v>17</v>
      </c>
      <c r="N2829">
        <v>35</v>
      </c>
      <c r="O2829">
        <v>66.14</v>
      </c>
      <c r="P2829">
        <v>53.2</v>
      </c>
      <c r="Q2829" s="1" t="str">
        <v/>
      </c>
      <c r="R2829" s="1" t="str">
        <v/>
      </c>
      <c r="S2829" s="3">
        <v>0</v>
      </c>
      <c r="T2829" s="3">
        <v>0</v>
      </c>
    </row>
    <row r="2830" spans="1:20" x14ac:dyDescent="0.25">
      <c r="A2830" t="s">
        <v>78</v>
      </c>
      <c r="B2830" t="s">
        <v>79</v>
      </c>
      <c r="C2830" t="s">
        <v>4281</v>
      </c>
      <c r="D2830" t="s">
        <v>4280</v>
      </c>
      <c r="E2830">
        <v>395.07</v>
      </c>
      <c r="F2830">
        <v>393.48</v>
      </c>
      <c r="G2830">
        <v>405.4</v>
      </c>
      <c r="H2830">
        <v>393.47</v>
      </c>
      <c r="I2830" s="1">
        <v>403.32</v>
      </c>
      <c r="J2830">
        <v>872609.57</v>
      </c>
      <c r="K2830">
        <v>2184</v>
      </c>
      <c r="L2830" t="s">
        <v>78</v>
      </c>
      <c r="M2830" t="s">
        <v>17</v>
      </c>
      <c r="N2830">
        <v>102</v>
      </c>
      <c r="O2830">
        <v>432</v>
      </c>
      <c r="P2830">
        <v>321.68</v>
      </c>
      <c r="Q2830" s="1" t="str">
        <v/>
      </c>
      <c r="R2830" s="1" t="str">
        <v/>
      </c>
      <c r="S2830" s="3">
        <v>0</v>
      </c>
      <c r="T2830" s="3">
        <v>0</v>
      </c>
    </row>
    <row r="2831" spans="1:20" x14ac:dyDescent="0.25">
      <c r="A2831" t="s">
        <v>78</v>
      </c>
      <c r="B2831" t="s">
        <v>79</v>
      </c>
      <c r="C2831" t="s">
        <v>4279</v>
      </c>
      <c r="D2831" t="s">
        <v>4278</v>
      </c>
      <c r="E2831">
        <v>215.29</v>
      </c>
      <c r="F2831">
        <v>216</v>
      </c>
      <c r="G2831">
        <v>216</v>
      </c>
      <c r="H2831">
        <v>212</v>
      </c>
      <c r="I2831" s="1">
        <v>213.37</v>
      </c>
      <c r="J2831">
        <v>1149827.93</v>
      </c>
      <c r="K2831">
        <v>5382</v>
      </c>
      <c r="L2831" t="s">
        <v>78</v>
      </c>
      <c r="M2831" t="s">
        <v>17</v>
      </c>
      <c r="N2831">
        <v>93</v>
      </c>
      <c r="O2831">
        <v>217</v>
      </c>
      <c r="P2831">
        <v>141.57</v>
      </c>
      <c r="Q2831" s="1" t="str">
        <v/>
      </c>
      <c r="R2831" s="1" t="str">
        <v/>
      </c>
      <c r="S2831" s="3">
        <v>0</v>
      </c>
      <c r="T2831" s="3">
        <v>0</v>
      </c>
    </row>
    <row r="2832" spans="1:20" x14ac:dyDescent="0.25">
      <c r="A2832" t="s">
        <v>78</v>
      </c>
      <c r="B2832" t="s">
        <v>79</v>
      </c>
      <c r="C2832" t="s">
        <v>4277</v>
      </c>
      <c r="D2832" t="s">
        <v>4122</v>
      </c>
      <c r="E2832">
        <v>266.37</v>
      </c>
      <c r="F2832">
        <v>266.36</v>
      </c>
      <c r="G2832">
        <v>268.8</v>
      </c>
      <c r="H2832">
        <v>263.39999999999998</v>
      </c>
      <c r="I2832" s="1">
        <v>268.56</v>
      </c>
      <c r="J2832">
        <v>8886912.9900000002</v>
      </c>
      <c r="K2832">
        <v>33283</v>
      </c>
      <c r="L2832" t="s">
        <v>78</v>
      </c>
      <c r="M2832" t="s">
        <v>17</v>
      </c>
      <c r="N2832">
        <v>839</v>
      </c>
      <c r="O2832">
        <v>271.5</v>
      </c>
      <c r="P2832">
        <v>202.89</v>
      </c>
      <c r="Q2832" s="1" t="str">
        <v/>
      </c>
      <c r="R2832" s="1" t="str">
        <v/>
      </c>
      <c r="S2832" s="3">
        <v>0</v>
      </c>
      <c r="T2832" s="3">
        <v>0</v>
      </c>
    </row>
    <row r="2833" spans="1:20" x14ac:dyDescent="0.25">
      <c r="A2833" t="s">
        <v>78</v>
      </c>
      <c r="B2833" t="s">
        <v>79</v>
      </c>
      <c r="C2833" t="s">
        <v>4276</v>
      </c>
      <c r="D2833" t="s">
        <v>4275</v>
      </c>
      <c r="E2833">
        <v>253.52</v>
      </c>
      <c r="F2833">
        <v>253.52</v>
      </c>
      <c r="G2833">
        <v>255.76</v>
      </c>
      <c r="H2833">
        <v>252</v>
      </c>
      <c r="I2833" s="1">
        <v>255.12</v>
      </c>
      <c r="J2833">
        <v>57413653.469999999</v>
      </c>
      <c r="K2833">
        <v>226206</v>
      </c>
      <c r="L2833" t="s">
        <v>78</v>
      </c>
      <c r="M2833" t="s">
        <v>17</v>
      </c>
      <c r="N2833">
        <v>411</v>
      </c>
      <c r="O2833">
        <v>260</v>
      </c>
      <c r="P2833">
        <v>192.76</v>
      </c>
      <c r="Q2833" s="1" t="str">
        <v/>
      </c>
      <c r="R2833" s="1" t="str">
        <v/>
      </c>
      <c r="S2833" s="3">
        <v>0</v>
      </c>
      <c r="T2833" s="3">
        <v>0</v>
      </c>
    </row>
    <row r="2834" spans="1:20" x14ac:dyDescent="0.25">
      <c r="A2834" t="s">
        <v>78</v>
      </c>
      <c r="B2834" t="s">
        <v>79</v>
      </c>
      <c r="C2834" t="s">
        <v>4179</v>
      </c>
      <c r="D2834" t="s">
        <v>4180</v>
      </c>
      <c r="E2834">
        <v>273.55</v>
      </c>
      <c r="F2834">
        <v>274.99</v>
      </c>
      <c r="G2834">
        <v>275.82</v>
      </c>
      <c r="H2834">
        <v>272.10000000000002</v>
      </c>
      <c r="I2834" s="1">
        <v>275.51</v>
      </c>
      <c r="J2834">
        <v>1059601577.55</v>
      </c>
      <c r="K2834">
        <v>3867728</v>
      </c>
      <c r="L2834" t="s">
        <v>78</v>
      </c>
      <c r="M2834" t="s">
        <v>17</v>
      </c>
      <c r="N2834">
        <v>46967</v>
      </c>
      <c r="O2834">
        <v>275.82</v>
      </c>
      <c r="P2834">
        <v>207.15</v>
      </c>
      <c r="Q2834" s="1">
        <v>169.02</v>
      </c>
      <c r="R2834" s="1">
        <v>1205.5</v>
      </c>
      <c r="S2834" s="3">
        <v>4.1557552608925352E-2</v>
      </c>
      <c r="T2834" s="3">
        <v>-7.1106207908675056E-2</v>
      </c>
    </row>
    <row r="2835" spans="1:20" x14ac:dyDescent="0.25">
      <c r="A2835" t="s">
        <v>78</v>
      </c>
      <c r="B2835" t="s">
        <v>79</v>
      </c>
      <c r="C2835" t="s">
        <v>4274</v>
      </c>
      <c r="D2835" t="s">
        <v>4273</v>
      </c>
      <c r="E2835">
        <v>247.9</v>
      </c>
      <c r="F2835">
        <v>247.76</v>
      </c>
      <c r="G2835">
        <v>249.92</v>
      </c>
      <c r="H2835">
        <v>246.46</v>
      </c>
      <c r="I2835" s="1">
        <v>249.5</v>
      </c>
      <c r="J2835">
        <v>1226931.6499999999</v>
      </c>
      <c r="K2835">
        <v>4938</v>
      </c>
      <c r="L2835" t="s">
        <v>78</v>
      </c>
      <c r="M2835" t="s">
        <v>17</v>
      </c>
      <c r="N2835">
        <v>85</v>
      </c>
      <c r="O2835">
        <v>257.14</v>
      </c>
      <c r="P2835">
        <v>215.04</v>
      </c>
      <c r="Q2835" s="1" t="str">
        <v/>
      </c>
      <c r="R2835" s="1" t="str">
        <v/>
      </c>
      <c r="S2835" s="3">
        <v>0</v>
      </c>
      <c r="T2835" s="3">
        <v>0</v>
      </c>
    </row>
    <row r="2836" spans="1:20" x14ac:dyDescent="0.25">
      <c r="A2836" t="s">
        <v>78</v>
      </c>
      <c r="B2836" t="s">
        <v>79</v>
      </c>
      <c r="C2836" t="s">
        <v>4272</v>
      </c>
      <c r="D2836" t="s">
        <v>4144</v>
      </c>
      <c r="E2836">
        <v>261.83999999999997</v>
      </c>
      <c r="F2836">
        <v>261.83999999999997</v>
      </c>
      <c r="G2836">
        <v>263.99</v>
      </c>
      <c r="H2836">
        <v>260.49</v>
      </c>
      <c r="I2836" s="1">
        <v>263.81</v>
      </c>
      <c r="J2836">
        <v>12810133.210000001</v>
      </c>
      <c r="K2836">
        <v>48817</v>
      </c>
      <c r="L2836" t="s">
        <v>78</v>
      </c>
      <c r="M2836" t="s">
        <v>17</v>
      </c>
      <c r="N2836">
        <v>1047</v>
      </c>
      <c r="O2836">
        <v>266.14999999999998</v>
      </c>
      <c r="P2836">
        <v>198.94</v>
      </c>
      <c r="Q2836" s="1" t="str">
        <v/>
      </c>
      <c r="R2836" s="1" t="str">
        <v/>
      </c>
      <c r="S2836" s="3">
        <v>0</v>
      </c>
      <c r="T2836" s="3">
        <v>0</v>
      </c>
    </row>
    <row r="2837" spans="1:20" x14ac:dyDescent="0.25">
      <c r="A2837" t="s">
        <v>78</v>
      </c>
      <c r="B2837" t="s">
        <v>79</v>
      </c>
      <c r="C2837" t="s">
        <v>4271</v>
      </c>
      <c r="D2837" t="s">
        <v>4092</v>
      </c>
      <c r="E2837">
        <v>272.06</v>
      </c>
      <c r="F2837">
        <v>280.2</v>
      </c>
      <c r="G2837">
        <v>280.2</v>
      </c>
      <c r="H2837">
        <v>270.55</v>
      </c>
      <c r="I2837" s="1">
        <v>274.11</v>
      </c>
      <c r="J2837">
        <v>69242293.349999994</v>
      </c>
      <c r="K2837">
        <v>254079</v>
      </c>
      <c r="L2837" t="s">
        <v>78</v>
      </c>
      <c r="M2837" t="s">
        <v>17</v>
      </c>
      <c r="N2837">
        <v>7124</v>
      </c>
      <c r="O2837">
        <v>280.2</v>
      </c>
      <c r="P2837">
        <v>207.2</v>
      </c>
      <c r="Q2837" s="1" t="str">
        <v/>
      </c>
      <c r="R2837" s="1" t="str">
        <v/>
      </c>
      <c r="S2837" s="3">
        <v>0</v>
      </c>
      <c r="T2837" s="3">
        <v>0</v>
      </c>
    </row>
    <row r="2838" spans="1:20" x14ac:dyDescent="0.25">
      <c r="A2838" t="s">
        <v>78</v>
      </c>
      <c r="B2838" t="s">
        <v>79</v>
      </c>
      <c r="C2838" t="s">
        <v>4270</v>
      </c>
      <c r="D2838" t="s">
        <v>4269</v>
      </c>
      <c r="E2838">
        <v>22.34</v>
      </c>
      <c r="F2838">
        <v>22.39</v>
      </c>
      <c r="G2838">
        <v>22.54</v>
      </c>
      <c r="H2838">
        <v>22.09</v>
      </c>
      <c r="I2838" s="1">
        <v>22.31</v>
      </c>
      <c r="J2838">
        <v>1356008.03</v>
      </c>
      <c r="K2838">
        <v>61015</v>
      </c>
      <c r="L2838" t="s">
        <v>78</v>
      </c>
      <c r="M2838" t="s">
        <v>17</v>
      </c>
      <c r="N2838">
        <v>588</v>
      </c>
      <c r="O2838">
        <v>23.8</v>
      </c>
      <c r="P2838">
        <v>15.5</v>
      </c>
      <c r="Q2838" s="1" t="str">
        <v/>
      </c>
      <c r="R2838" s="1" t="str">
        <v/>
      </c>
      <c r="S2838" s="3">
        <v>0</v>
      </c>
      <c r="T2838" s="3">
        <v>0</v>
      </c>
    </row>
    <row r="2839" spans="1:20" x14ac:dyDescent="0.25">
      <c r="A2839" t="s">
        <v>78</v>
      </c>
      <c r="B2839" t="s">
        <v>79</v>
      </c>
      <c r="C2839" t="s">
        <v>4181</v>
      </c>
      <c r="D2839" t="s">
        <v>4182</v>
      </c>
      <c r="E2839">
        <v>267.5</v>
      </c>
      <c r="F2839">
        <v>269.86</v>
      </c>
      <c r="G2839">
        <v>269.86</v>
      </c>
      <c r="H2839">
        <v>267.5</v>
      </c>
      <c r="I2839" s="1">
        <v>268.16000000000003</v>
      </c>
      <c r="J2839">
        <v>177115.82</v>
      </c>
      <c r="K2839">
        <v>660</v>
      </c>
      <c r="L2839" t="s">
        <v>78</v>
      </c>
      <c r="M2839" t="s">
        <v>17</v>
      </c>
      <c r="N2839">
        <v>46</v>
      </c>
      <c r="O2839">
        <v>274.91000000000003</v>
      </c>
      <c r="P2839">
        <v>224.35</v>
      </c>
      <c r="Q2839" s="1">
        <v>186.57</v>
      </c>
      <c r="R2839" s="1" t="str">
        <v/>
      </c>
      <c r="S2839" s="3">
        <v>3.0693052829055656E-2</v>
      </c>
      <c r="T2839" s="3">
        <v>0</v>
      </c>
    </row>
    <row r="2840" spans="1:20" x14ac:dyDescent="0.25">
      <c r="A2840" t="s">
        <v>78</v>
      </c>
      <c r="B2840" t="s">
        <v>79</v>
      </c>
      <c r="C2840" t="s">
        <v>4268</v>
      </c>
      <c r="D2840" t="s">
        <v>4124</v>
      </c>
      <c r="E2840">
        <v>157.15</v>
      </c>
      <c r="F2840">
        <v>158.49</v>
      </c>
      <c r="G2840">
        <v>158.99</v>
      </c>
      <c r="H2840">
        <v>156.01</v>
      </c>
      <c r="I2840" s="1">
        <v>158.43</v>
      </c>
      <c r="J2840">
        <v>2250276.36</v>
      </c>
      <c r="K2840">
        <v>14278</v>
      </c>
      <c r="L2840" t="s">
        <v>78</v>
      </c>
      <c r="M2840" t="s">
        <v>17</v>
      </c>
      <c r="N2840">
        <v>335</v>
      </c>
      <c r="O2840">
        <v>158.99</v>
      </c>
      <c r="P2840">
        <v>110.01</v>
      </c>
      <c r="Q2840" s="1" t="str">
        <v/>
      </c>
      <c r="R2840" s="1" t="str">
        <v/>
      </c>
      <c r="S2840" s="3">
        <v>0</v>
      </c>
      <c r="T2840" s="3">
        <v>0</v>
      </c>
    </row>
    <row r="2841" spans="1:20" x14ac:dyDescent="0.25">
      <c r="A2841" t="s">
        <v>78</v>
      </c>
      <c r="B2841" t="s">
        <v>79</v>
      </c>
      <c r="C2841" t="s">
        <v>4267</v>
      </c>
      <c r="D2841" t="s">
        <v>4174</v>
      </c>
      <c r="E2841">
        <v>157.91</v>
      </c>
      <c r="F2841">
        <v>162.65</v>
      </c>
      <c r="G2841">
        <v>162.65</v>
      </c>
      <c r="H2841">
        <v>157.37</v>
      </c>
      <c r="I2841" s="1">
        <v>159.34</v>
      </c>
      <c r="J2841">
        <v>3846340.75</v>
      </c>
      <c r="K2841">
        <v>24289</v>
      </c>
      <c r="L2841" t="s">
        <v>78</v>
      </c>
      <c r="M2841" t="s">
        <v>17</v>
      </c>
      <c r="N2841">
        <v>420</v>
      </c>
      <c r="O2841">
        <v>162.65</v>
      </c>
      <c r="P2841">
        <v>110.59</v>
      </c>
      <c r="Q2841" s="1" t="str">
        <v/>
      </c>
      <c r="R2841" s="1" t="str">
        <v/>
      </c>
      <c r="S2841" s="3">
        <v>0</v>
      </c>
      <c r="T2841" s="3">
        <v>0</v>
      </c>
    </row>
    <row r="2842" spans="1:20" x14ac:dyDescent="0.25">
      <c r="A2842" t="s">
        <v>78</v>
      </c>
      <c r="B2842" t="s">
        <v>79</v>
      </c>
      <c r="C2842" t="s">
        <v>4266</v>
      </c>
      <c r="D2842" t="s">
        <v>4094</v>
      </c>
      <c r="E2842">
        <v>15.39</v>
      </c>
      <c r="F2842">
        <v>15.85</v>
      </c>
      <c r="G2842">
        <v>15.85</v>
      </c>
      <c r="H2842">
        <v>15.32</v>
      </c>
      <c r="I2842" s="1">
        <v>15.54</v>
      </c>
      <c r="J2842">
        <v>15694003.560000001</v>
      </c>
      <c r="K2842">
        <v>1016327</v>
      </c>
      <c r="L2842" t="s">
        <v>78</v>
      </c>
      <c r="M2842" t="s">
        <v>17</v>
      </c>
      <c r="N2842">
        <v>3049</v>
      </c>
      <c r="O2842">
        <v>141.30000000000001</v>
      </c>
      <c r="P2842">
        <v>12.85</v>
      </c>
      <c r="Q2842" s="1" t="str">
        <v/>
      </c>
      <c r="R2842" s="1" t="str">
        <v/>
      </c>
      <c r="S2842" s="3">
        <v>0</v>
      </c>
      <c r="T2842" s="3">
        <v>0</v>
      </c>
    </row>
    <row r="2843" spans="1:20" x14ac:dyDescent="0.25">
      <c r="A2843" t="s">
        <v>78</v>
      </c>
      <c r="B2843" t="s">
        <v>79</v>
      </c>
      <c r="C2843" t="s">
        <v>4265</v>
      </c>
      <c r="D2843" t="s">
        <v>4176</v>
      </c>
      <c r="E2843">
        <v>21.17</v>
      </c>
      <c r="F2843">
        <v>21.36</v>
      </c>
      <c r="G2843">
        <v>21.44</v>
      </c>
      <c r="H2843">
        <v>20.96</v>
      </c>
      <c r="I2843" s="1">
        <v>21.11</v>
      </c>
      <c r="J2843">
        <v>86055623.909999996</v>
      </c>
      <c r="K2843">
        <v>4078844</v>
      </c>
      <c r="L2843" t="s">
        <v>78</v>
      </c>
      <c r="M2843" t="s">
        <v>17</v>
      </c>
      <c r="N2843">
        <v>13162</v>
      </c>
      <c r="O2843">
        <v>21.44</v>
      </c>
      <c r="P2843">
        <v>14.11</v>
      </c>
      <c r="Q2843" s="1" t="str">
        <v/>
      </c>
      <c r="R2843" s="1" t="str">
        <v/>
      </c>
      <c r="S2843" s="3">
        <v>0</v>
      </c>
      <c r="T2843" s="3">
        <v>0</v>
      </c>
    </row>
    <row r="2844" spans="1:20" x14ac:dyDescent="0.25">
      <c r="A2844" t="s">
        <v>78</v>
      </c>
      <c r="B2844" t="s">
        <v>79</v>
      </c>
      <c r="C2844" t="s">
        <v>4264</v>
      </c>
      <c r="D2844" t="s">
        <v>4126</v>
      </c>
      <c r="E2844">
        <v>739.85</v>
      </c>
      <c r="F2844">
        <v>739.99</v>
      </c>
      <c r="G2844">
        <v>746.66</v>
      </c>
      <c r="H2844">
        <v>732.24</v>
      </c>
      <c r="I2844" s="1">
        <v>739.1</v>
      </c>
      <c r="J2844">
        <v>42474531.43</v>
      </c>
      <c r="K2844">
        <v>57431</v>
      </c>
      <c r="L2844" t="s">
        <v>78</v>
      </c>
      <c r="M2844" t="s">
        <v>17</v>
      </c>
      <c r="N2844">
        <v>1944</v>
      </c>
      <c r="O2844">
        <v>896.99</v>
      </c>
      <c r="P2844">
        <v>428.33</v>
      </c>
      <c r="Q2844" s="1" t="str">
        <v/>
      </c>
      <c r="R2844" s="1" t="str">
        <v/>
      </c>
      <c r="S2844" s="3">
        <v>0</v>
      </c>
      <c r="T2844" s="3">
        <v>0</v>
      </c>
    </row>
    <row r="2845" spans="1:20" x14ac:dyDescent="0.25">
      <c r="A2845" t="s">
        <v>78</v>
      </c>
      <c r="B2845" t="s">
        <v>79</v>
      </c>
      <c r="C2845" t="s">
        <v>4263</v>
      </c>
      <c r="D2845" t="s">
        <v>4262</v>
      </c>
      <c r="E2845">
        <v>74.22</v>
      </c>
      <c r="F2845">
        <v>73.760000000000005</v>
      </c>
      <c r="G2845">
        <v>75.11</v>
      </c>
      <c r="H2845">
        <v>73.75</v>
      </c>
      <c r="I2845" s="1">
        <v>74.22</v>
      </c>
      <c r="J2845">
        <v>7922878.9500000002</v>
      </c>
      <c r="K2845">
        <v>106791</v>
      </c>
      <c r="L2845" t="s">
        <v>78</v>
      </c>
      <c r="M2845" t="s">
        <v>17</v>
      </c>
      <c r="N2845">
        <v>286</v>
      </c>
      <c r="O2845">
        <v>82.9</v>
      </c>
      <c r="P2845">
        <v>43.92</v>
      </c>
      <c r="Q2845" s="1" t="str">
        <v/>
      </c>
      <c r="R2845" s="1" t="str">
        <v/>
      </c>
      <c r="S2845" s="3">
        <v>0</v>
      </c>
      <c r="T2845" s="3">
        <v>0</v>
      </c>
    </row>
    <row r="2846" spans="1:20" x14ac:dyDescent="0.25">
      <c r="A2846" t="s">
        <v>78</v>
      </c>
      <c r="B2846" t="s">
        <v>79</v>
      </c>
      <c r="C2846" t="s">
        <v>4183</v>
      </c>
      <c r="D2846" t="s">
        <v>4184</v>
      </c>
      <c r="E2846">
        <v>82.47</v>
      </c>
      <c r="F2846">
        <v>84.82</v>
      </c>
      <c r="G2846">
        <v>84.82</v>
      </c>
      <c r="H2846">
        <v>81.8</v>
      </c>
      <c r="I2846" s="1">
        <v>82.73</v>
      </c>
      <c r="J2846">
        <v>373601565.72000003</v>
      </c>
      <c r="K2846">
        <v>4509980</v>
      </c>
      <c r="L2846" t="s">
        <v>78</v>
      </c>
      <c r="M2846" t="s">
        <v>17</v>
      </c>
      <c r="N2846">
        <v>10843</v>
      </c>
      <c r="O2846">
        <v>90.3</v>
      </c>
      <c r="P2846">
        <v>48.7</v>
      </c>
      <c r="Q2846" s="1">
        <v>26.5</v>
      </c>
      <c r="R2846" s="1">
        <v>331</v>
      </c>
      <c r="S2846" s="3">
        <v>9.9515685217672845E-2</v>
      </c>
      <c r="T2846" s="3">
        <v>-6.6942860852321151E-2</v>
      </c>
    </row>
    <row r="2847" spans="1:20" x14ac:dyDescent="0.25">
      <c r="A2847" t="s">
        <v>78</v>
      </c>
      <c r="B2847" t="s">
        <v>79</v>
      </c>
      <c r="C2847" t="s">
        <v>4261</v>
      </c>
      <c r="D2847" t="s">
        <v>4260</v>
      </c>
      <c r="E2847">
        <v>74.84</v>
      </c>
      <c r="F2847">
        <v>74.84</v>
      </c>
      <c r="G2847">
        <v>75.69</v>
      </c>
      <c r="H2847">
        <v>73.989999999999995</v>
      </c>
      <c r="I2847" s="1">
        <v>74.75</v>
      </c>
      <c r="J2847">
        <v>36490639.670000002</v>
      </c>
      <c r="K2847">
        <v>487491</v>
      </c>
      <c r="L2847" t="s">
        <v>78</v>
      </c>
      <c r="M2847" t="s">
        <v>17</v>
      </c>
      <c r="N2847">
        <v>2084</v>
      </c>
      <c r="O2847">
        <v>86.7</v>
      </c>
      <c r="P2847">
        <v>44.09</v>
      </c>
      <c r="Q2847" s="1" t="str">
        <v/>
      </c>
      <c r="R2847" s="1" t="str">
        <v/>
      </c>
      <c r="S2847" s="3">
        <v>0</v>
      </c>
      <c r="T2847" s="3">
        <v>0</v>
      </c>
    </row>
    <row r="2848" spans="1:20" x14ac:dyDescent="0.25">
      <c r="A2848" t="s">
        <v>78</v>
      </c>
      <c r="B2848" t="s">
        <v>79</v>
      </c>
      <c r="C2848" t="s">
        <v>4259</v>
      </c>
      <c r="D2848" t="s">
        <v>4078</v>
      </c>
      <c r="E2848">
        <v>26.14</v>
      </c>
      <c r="F2848">
        <v>26.84</v>
      </c>
      <c r="G2848">
        <v>26.84</v>
      </c>
      <c r="H2848">
        <v>26.05</v>
      </c>
      <c r="I2848" s="1">
        <v>26.23</v>
      </c>
      <c r="J2848">
        <v>80820472.5</v>
      </c>
      <c r="K2848">
        <v>3089942</v>
      </c>
      <c r="L2848" t="s">
        <v>78</v>
      </c>
      <c r="M2848" t="s">
        <v>17</v>
      </c>
      <c r="N2848">
        <v>1804</v>
      </c>
      <c r="O2848">
        <v>251.1</v>
      </c>
      <c r="P2848">
        <v>22.65</v>
      </c>
      <c r="Q2848" s="1" t="str">
        <v/>
      </c>
      <c r="R2848" s="1" t="str">
        <v/>
      </c>
      <c r="S2848" s="3">
        <v>0</v>
      </c>
      <c r="T2848" s="3">
        <v>0</v>
      </c>
    </row>
    <row r="2849" spans="1:20" x14ac:dyDescent="0.25">
      <c r="A2849" t="s">
        <v>78</v>
      </c>
      <c r="B2849" t="s">
        <v>79</v>
      </c>
      <c r="C2849" t="s">
        <v>4258</v>
      </c>
      <c r="D2849" t="s">
        <v>4257</v>
      </c>
      <c r="E2849">
        <v>26.36</v>
      </c>
      <c r="F2849">
        <v>26.36</v>
      </c>
      <c r="G2849">
        <v>26.5</v>
      </c>
      <c r="H2849">
        <v>26.13</v>
      </c>
      <c r="I2849" s="1">
        <v>26.33</v>
      </c>
      <c r="J2849">
        <v>1891162.77</v>
      </c>
      <c r="K2849">
        <v>71764</v>
      </c>
      <c r="L2849" t="s">
        <v>78</v>
      </c>
      <c r="M2849" t="s">
        <v>17</v>
      </c>
      <c r="N2849">
        <v>328</v>
      </c>
      <c r="O2849">
        <v>31</v>
      </c>
      <c r="P2849">
        <v>21.75</v>
      </c>
      <c r="Q2849" s="1" t="str">
        <v/>
      </c>
      <c r="R2849" s="1" t="str">
        <v/>
      </c>
      <c r="S2849" s="3">
        <v>0</v>
      </c>
      <c r="T2849" s="3">
        <v>0</v>
      </c>
    </row>
    <row r="2850" spans="1:20" x14ac:dyDescent="0.25">
      <c r="A2850" t="s">
        <v>78</v>
      </c>
      <c r="B2850" t="s">
        <v>79</v>
      </c>
      <c r="C2850" t="s">
        <v>4185</v>
      </c>
      <c r="D2850" t="s">
        <v>4186</v>
      </c>
      <c r="E2850">
        <v>62.16</v>
      </c>
      <c r="F2850">
        <v>62.31</v>
      </c>
      <c r="G2850">
        <v>62.79</v>
      </c>
      <c r="H2850">
        <v>62.31</v>
      </c>
      <c r="I2850" s="1">
        <v>62.63</v>
      </c>
      <c r="J2850">
        <v>6265576.1399999997</v>
      </c>
      <c r="K2850">
        <v>100068</v>
      </c>
      <c r="L2850" t="s">
        <v>78</v>
      </c>
      <c r="M2850" t="s">
        <v>17</v>
      </c>
      <c r="N2850">
        <v>692</v>
      </c>
      <c r="O2850">
        <v>63.69</v>
      </c>
      <c r="P2850">
        <v>47.89</v>
      </c>
      <c r="Q2850" s="1">
        <v>2061</v>
      </c>
      <c r="R2850" s="1">
        <v>1546.15</v>
      </c>
      <c r="S2850" s="3">
        <v>-0.25259034858610074</v>
      </c>
      <c r="T2850" s="3">
        <v>-0.14804889941105626</v>
      </c>
    </row>
    <row r="2851" spans="1:20" x14ac:dyDescent="0.25">
      <c r="A2851" t="s">
        <v>78</v>
      </c>
      <c r="B2851" t="s">
        <v>79</v>
      </c>
      <c r="C2851" t="s">
        <v>4187</v>
      </c>
      <c r="D2851" t="s">
        <v>4256</v>
      </c>
      <c r="E2851">
        <v>2647.07</v>
      </c>
      <c r="F2851">
        <v>2700.01</v>
      </c>
      <c r="G2851">
        <v>2700.01</v>
      </c>
      <c r="H2851">
        <v>2640.01</v>
      </c>
      <c r="I2851" s="1">
        <v>2670.25</v>
      </c>
      <c r="J2851">
        <v>358383.8</v>
      </c>
      <c r="K2851">
        <v>135</v>
      </c>
      <c r="L2851" t="s">
        <v>78</v>
      </c>
      <c r="M2851" t="s">
        <v>17</v>
      </c>
      <c r="N2851">
        <v>32</v>
      </c>
      <c r="O2851">
        <v>2700.01</v>
      </c>
      <c r="P2851">
        <v>2016</v>
      </c>
      <c r="Q2851" s="1">
        <v>1642</v>
      </c>
      <c r="R2851" s="1">
        <v>1166</v>
      </c>
      <c r="S2851" s="3">
        <v>4.1353619593342161E-2</v>
      </c>
      <c r="T2851" s="3">
        <v>4.2276185951303002E-2</v>
      </c>
    </row>
    <row r="2852" spans="1:20" x14ac:dyDescent="0.25">
      <c r="A2852" t="s">
        <v>78</v>
      </c>
      <c r="B2852" t="s">
        <v>79</v>
      </c>
      <c r="C2852" t="s">
        <v>4255</v>
      </c>
      <c r="D2852" t="s">
        <v>4254</v>
      </c>
      <c r="E2852">
        <v>22.14</v>
      </c>
      <c r="F2852">
        <v>22.1</v>
      </c>
      <c r="G2852">
        <v>22.19</v>
      </c>
      <c r="H2852">
        <v>21.92</v>
      </c>
      <c r="I2852" s="1">
        <v>22.14</v>
      </c>
      <c r="J2852">
        <v>25886587.710000001</v>
      </c>
      <c r="K2852">
        <v>1169494</v>
      </c>
      <c r="L2852" t="s">
        <v>78</v>
      </c>
      <c r="M2852" t="s">
        <v>17</v>
      </c>
      <c r="N2852">
        <v>394</v>
      </c>
      <c r="O2852">
        <v>227</v>
      </c>
      <c r="P2852">
        <v>18.66</v>
      </c>
      <c r="Q2852" s="1" t="str">
        <v/>
      </c>
      <c r="R2852" s="1" t="str">
        <v/>
      </c>
      <c r="S2852" s="3">
        <v>0</v>
      </c>
      <c r="T2852" s="3">
        <v>0</v>
      </c>
    </row>
    <row r="2853" spans="1:20" x14ac:dyDescent="0.25">
      <c r="A2853" t="s">
        <v>78</v>
      </c>
      <c r="B2853" t="s">
        <v>79</v>
      </c>
      <c r="C2853" t="s">
        <v>4253</v>
      </c>
      <c r="D2853" t="s">
        <v>4252</v>
      </c>
      <c r="E2853">
        <v>116.92</v>
      </c>
      <c r="F2853">
        <v>114.58</v>
      </c>
      <c r="G2853">
        <v>117.9</v>
      </c>
      <c r="H2853">
        <v>114.58</v>
      </c>
      <c r="I2853" s="1">
        <v>117.57</v>
      </c>
      <c r="J2853">
        <v>1204732.6200000001</v>
      </c>
      <c r="K2853">
        <v>10310</v>
      </c>
      <c r="L2853" t="s">
        <v>78</v>
      </c>
      <c r="M2853" t="s">
        <v>17</v>
      </c>
      <c r="N2853">
        <v>238</v>
      </c>
      <c r="O2853">
        <v>133</v>
      </c>
      <c r="P2853">
        <v>81.75</v>
      </c>
      <c r="Q2853" s="1" t="str">
        <v/>
      </c>
      <c r="R2853" s="1" t="str">
        <v/>
      </c>
      <c r="S2853" s="3">
        <v>0</v>
      </c>
      <c r="T2853" s="3">
        <v>0</v>
      </c>
    </row>
    <row r="2854" spans="1:20" x14ac:dyDescent="0.25">
      <c r="A2854" t="s">
        <v>78</v>
      </c>
      <c r="B2854" t="s">
        <v>79</v>
      </c>
      <c r="C2854" t="s">
        <v>4189</v>
      </c>
      <c r="D2854" t="s">
        <v>4190</v>
      </c>
      <c r="E2854">
        <v>417.08</v>
      </c>
      <c r="F2854">
        <v>419.9</v>
      </c>
      <c r="G2854">
        <v>427.84</v>
      </c>
      <c r="H2854">
        <v>411.5</v>
      </c>
      <c r="I2854" s="1">
        <v>426.73</v>
      </c>
      <c r="J2854">
        <v>13590061.939999999</v>
      </c>
      <c r="K2854">
        <v>32188</v>
      </c>
      <c r="L2854" t="s">
        <v>78</v>
      </c>
      <c r="M2854" t="s">
        <v>17</v>
      </c>
      <c r="N2854">
        <v>688</v>
      </c>
      <c r="O2854">
        <v>427.84</v>
      </c>
      <c r="P2854">
        <v>308.08</v>
      </c>
      <c r="Q2854" s="1">
        <v>295</v>
      </c>
      <c r="R2854" s="1" t="str">
        <v/>
      </c>
      <c r="S2854" s="3">
        <v>3.1242801417923793E-2</v>
      </c>
      <c r="T2854" s="3">
        <v>0</v>
      </c>
    </row>
    <row r="2855" spans="1:20" x14ac:dyDescent="0.25">
      <c r="A2855" t="s">
        <v>78</v>
      </c>
      <c r="B2855" t="s">
        <v>79</v>
      </c>
      <c r="C2855" t="s">
        <v>4191</v>
      </c>
      <c r="D2855" t="s">
        <v>4192</v>
      </c>
      <c r="E2855">
        <v>264.93</v>
      </c>
      <c r="F2855">
        <v>264.39</v>
      </c>
      <c r="G2855">
        <v>266.14999999999998</v>
      </c>
      <c r="H2855">
        <v>262.94</v>
      </c>
      <c r="I2855" s="1">
        <v>265.83</v>
      </c>
      <c r="J2855">
        <v>3105740.83</v>
      </c>
      <c r="K2855">
        <v>11720</v>
      </c>
      <c r="L2855" t="s">
        <v>78</v>
      </c>
      <c r="M2855" t="s">
        <v>17</v>
      </c>
      <c r="N2855">
        <v>220</v>
      </c>
      <c r="O2855">
        <v>269.52</v>
      </c>
      <c r="P2855">
        <v>221</v>
      </c>
      <c r="Q2855" s="1">
        <v>183</v>
      </c>
      <c r="R2855" s="1" t="str">
        <v/>
      </c>
      <c r="S2855" s="3">
        <v>3.1603345276637551E-2</v>
      </c>
      <c r="T2855" s="3">
        <v>0</v>
      </c>
    </row>
    <row r="2856" spans="1:20" x14ac:dyDescent="0.25">
      <c r="A2856" t="s">
        <v>78</v>
      </c>
      <c r="B2856" t="s">
        <v>79</v>
      </c>
      <c r="C2856" t="s">
        <v>4193</v>
      </c>
      <c r="D2856" t="s">
        <v>4194</v>
      </c>
      <c r="E2856">
        <v>232.79</v>
      </c>
      <c r="F2856">
        <v>232.79</v>
      </c>
      <c r="G2856">
        <v>233.44</v>
      </c>
      <c r="H2856">
        <v>229.65</v>
      </c>
      <c r="I2856" s="1">
        <v>232.8</v>
      </c>
      <c r="J2856">
        <v>5407340.3499999996</v>
      </c>
      <c r="K2856">
        <v>23237</v>
      </c>
      <c r="L2856" t="s">
        <v>78</v>
      </c>
      <c r="M2856" t="s">
        <v>17</v>
      </c>
      <c r="N2856">
        <v>127</v>
      </c>
      <c r="O2856">
        <v>236</v>
      </c>
      <c r="P2856">
        <v>155.11000000000001</v>
      </c>
      <c r="Q2856" s="1">
        <v>137.04</v>
      </c>
      <c r="R2856" s="1">
        <v>91.9</v>
      </c>
      <c r="S2856" s="3">
        <v>4.5148421163945462E-2</v>
      </c>
      <c r="T2856" s="3">
        <v>4.7544111454408622E-2</v>
      </c>
    </row>
    <row r="2857" spans="1:20" x14ac:dyDescent="0.25">
      <c r="A2857" t="s">
        <v>78</v>
      </c>
      <c r="B2857" t="s">
        <v>79</v>
      </c>
      <c r="C2857" t="s">
        <v>4251</v>
      </c>
      <c r="D2857" t="s">
        <v>4250</v>
      </c>
      <c r="E2857">
        <v>91.79</v>
      </c>
      <c r="F2857">
        <v>91.79</v>
      </c>
      <c r="G2857">
        <v>91.98</v>
      </c>
      <c r="H2857">
        <v>91.03</v>
      </c>
      <c r="I2857" s="1">
        <v>91.52</v>
      </c>
      <c r="J2857">
        <v>11365799.26</v>
      </c>
      <c r="K2857">
        <v>124556</v>
      </c>
      <c r="L2857" t="s">
        <v>78</v>
      </c>
      <c r="M2857" t="s">
        <v>17</v>
      </c>
      <c r="N2857">
        <v>262</v>
      </c>
      <c r="O2857">
        <v>93.28</v>
      </c>
      <c r="P2857">
        <v>90.1</v>
      </c>
      <c r="Q2857" s="1" t="str">
        <v/>
      </c>
      <c r="R2857" s="1" t="str">
        <v/>
      </c>
      <c r="S2857" s="3">
        <v>0</v>
      </c>
      <c r="T2857" s="3">
        <v>0</v>
      </c>
    </row>
    <row r="2858" spans="1:20" x14ac:dyDescent="0.25">
      <c r="A2858" t="s">
        <v>78</v>
      </c>
      <c r="B2858" t="s">
        <v>79</v>
      </c>
      <c r="C2858" t="s">
        <v>4249</v>
      </c>
      <c r="D2858" t="s">
        <v>4156</v>
      </c>
      <c r="E2858">
        <v>122.89</v>
      </c>
      <c r="F2858">
        <v>122.99</v>
      </c>
      <c r="G2858">
        <v>123.15</v>
      </c>
      <c r="H2858">
        <v>122.4</v>
      </c>
      <c r="I2858" s="1">
        <v>123.11</v>
      </c>
      <c r="J2858">
        <v>64054.02</v>
      </c>
      <c r="K2858">
        <v>521</v>
      </c>
      <c r="L2858" t="s">
        <v>78</v>
      </c>
      <c r="M2858" t="s">
        <v>17</v>
      </c>
      <c r="N2858">
        <v>54</v>
      </c>
      <c r="O2858">
        <v>126</v>
      </c>
      <c r="P2858">
        <v>114.58</v>
      </c>
      <c r="Q2858" s="1" t="str">
        <v/>
      </c>
      <c r="R2858" s="1" t="str">
        <v/>
      </c>
      <c r="S2858" s="3">
        <v>0</v>
      </c>
      <c r="T2858" s="3">
        <v>0</v>
      </c>
    </row>
    <row r="2859" spans="1:20" x14ac:dyDescent="0.25">
      <c r="A2859" t="s">
        <v>78</v>
      </c>
      <c r="B2859" t="s">
        <v>79</v>
      </c>
      <c r="C2859" t="s">
        <v>4248</v>
      </c>
      <c r="D2859" t="s">
        <v>4178</v>
      </c>
      <c r="E2859">
        <v>122.23</v>
      </c>
      <c r="F2859">
        <v>122.25</v>
      </c>
      <c r="G2859">
        <v>123.01</v>
      </c>
      <c r="H2859">
        <v>122.25</v>
      </c>
      <c r="I2859" s="1">
        <v>122.79</v>
      </c>
      <c r="J2859">
        <v>38648.959999999999</v>
      </c>
      <c r="K2859">
        <v>315</v>
      </c>
      <c r="L2859" t="s">
        <v>78</v>
      </c>
      <c r="M2859" t="s">
        <v>17</v>
      </c>
      <c r="N2859">
        <v>22</v>
      </c>
      <c r="O2859">
        <v>126.1</v>
      </c>
      <c r="P2859">
        <v>111</v>
      </c>
      <c r="Q2859" s="1" t="str">
        <v/>
      </c>
      <c r="R2859" s="1" t="str">
        <v/>
      </c>
      <c r="S2859" s="3">
        <v>0</v>
      </c>
      <c r="T2859" s="3">
        <v>0</v>
      </c>
    </row>
    <row r="2860" spans="1:20" x14ac:dyDescent="0.25">
      <c r="A2860" t="s">
        <v>78</v>
      </c>
      <c r="B2860" t="s">
        <v>79</v>
      </c>
      <c r="C2860" t="s">
        <v>4247</v>
      </c>
      <c r="D2860" t="s">
        <v>4246</v>
      </c>
      <c r="E2860">
        <v>81.77</v>
      </c>
      <c r="F2860">
        <v>81.77</v>
      </c>
      <c r="G2860">
        <v>82</v>
      </c>
      <c r="H2860">
        <v>80.95</v>
      </c>
      <c r="I2860" s="1">
        <v>81.87</v>
      </c>
      <c r="J2860">
        <v>163306.99</v>
      </c>
      <c r="K2860">
        <v>1996</v>
      </c>
      <c r="L2860" t="s">
        <v>78</v>
      </c>
      <c r="M2860" t="s">
        <v>17</v>
      </c>
      <c r="N2860">
        <v>52</v>
      </c>
      <c r="O2860">
        <v>83</v>
      </c>
      <c r="P2860">
        <v>63.03</v>
      </c>
      <c r="Q2860" s="1" t="str">
        <v/>
      </c>
      <c r="R2860" s="1" t="str">
        <v/>
      </c>
      <c r="S2860" s="3">
        <v>0</v>
      </c>
      <c r="T2860" s="3">
        <v>0</v>
      </c>
    </row>
    <row r="2861" spans="1:20" x14ac:dyDescent="0.25">
      <c r="A2861" t="s">
        <v>78</v>
      </c>
      <c r="B2861" t="s">
        <v>79</v>
      </c>
      <c r="C2861" t="s">
        <v>4245</v>
      </c>
      <c r="D2861" t="s">
        <v>4244</v>
      </c>
      <c r="E2861">
        <v>81.36</v>
      </c>
      <c r="F2861">
        <v>81.349999999999994</v>
      </c>
      <c r="G2861">
        <v>82.3</v>
      </c>
      <c r="H2861">
        <v>81.05</v>
      </c>
      <c r="I2861" s="1">
        <v>82.18</v>
      </c>
      <c r="J2861">
        <v>1394563.24</v>
      </c>
      <c r="K2861">
        <v>17136</v>
      </c>
      <c r="L2861" t="s">
        <v>78</v>
      </c>
      <c r="M2861" t="s">
        <v>17</v>
      </c>
      <c r="N2861">
        <v>148</v>
      </c>
      <c r="O2861">
        <v>82.3</v>
      </c>
      <c r="P2861">
        <v>62.27</v>
      </c>
      <c r="Q2861" s="1" t="str">
        <v/>
      </c>
      <c r="R2861" s="1" t="str">
        <v/>
      </c>
      <c r="S2861" s="3">
        <v>0</v>
      </c>
      <c r="T2861" s="3">
        <v>0</v>
      </c>
    </row>
    <row r="2862" spans="1:20" x14ac:dyDescent="0.25">
      <c r="A2862" t="s">
        <v>78</v>
      </c>
      <c r="B2862" t="s">
        <v>79</v>
      </c>
      <c r="C2862" t="s">
        <v>4243</v>
      </c>
      <c r="D2862" t="s">
        <v>4100</v>
      </c>
      <c r="E2862">
        <v>905.64</v>
      </c>
      <c r="F2862">
        <v>905</v>
      </c>
      <c r="G2862">
        <v>914</v>
      </c>
      <c r="H2862">
        <v>903.79</v>
      </c>
      <c r="I2862" s="1">
        <v>912.54</v>
      </c>
      <c r="J2862">
        <v>1905581.23</v>
      </c>
      <c r="K2862">
        <v>2096</v>
      </c>
      <c r="L2862" t="s">
        <v>78</v>
      </c>
      <c r="M2862" t="s">
        <v>17</v>
      </c>
      <c r="N2862">
        <v>233</v>
      </c>
      <c r="O2862">
        <v>975</v>
      </c>
      <c r="P2862">
        <v>704.1</v>
      </c>
      <c r="Q2862" s="1" t="str">
        <v/>
      </c>
      <c r="R2862" s="1" t="str">
        <v/>
      </c>
      <c r="S2862" s="3">
        <v>0</v>
      </c>
      <c r="T2862" s="3">
        <v>0</v>
      </c>
    </row>
    <row r="2863" spans="1:20" x14ac:dyDescent="0.25">
      <c r="A2863" t="s">
        <v>78</v>
      </c>
      <c r="B2863" t="s">
        <v>79</v>
      </c>
      <c r="C2863" t="s">
        <v>4195</v>
      </c>
      <c r="D2863" t="s">
        <v>4196</v>
      </c>
      <c r="E2863">
        <v>233.21</v>
      </c>
      <c r="F2863">
        <v>233.81</v>
      </c>
      <c r="G2863">
        <v>233.81</v>
      </c>
      <c r="H2863">
        <v>232.77</v>
      </c>
      <c r="I2863" s="1">
        <v>233.38</v>
      </c>
      <c r="J2863">
        <v>8636597.2899999991</v>
      </c>
      <c r="K2863">
        <v>37048</v>
      </c>
      <c r="L2863" t="s">
        <v>78</v>
      </c>
      <c r="M2863" t="s">
        <v>17</v>
      </c>
      <c r="N2863">
        <v>68</v>
      </c>
      <c r="O2863">
        <v>267</v>
      </c>
      <c r="P2863">
        <v>213.32</v>
      </c>
      <c r="Q2863" s="1">
        <v>204</v>
      </c>
      <c r="R2863" s="1">
        <v>187.99</v>
      </c>
      <c r="S2863" s="3">
        <v>1.1275429873507603E-2</v>
      </c>
      <c r="T2863" s="3">
        <v>1.0866658470539914E-2</v>
      </c>
    </row>
    <row r="2864" spans="1:20" x14ac:dyDescent="0.25">
      <c r="A2864" t="s">
        <v>78</v>
      </c>
      <c r="B2864" t="s">
        <v>79</v>
      </c>
      <c r="C2864" t="s">
        <v>4197</v>
      </c>
      <c r="D2864" t="s">
        <v>4198</v>
      </c>
      <c r="E2864">
        <v>64.45</v>
      </c>
      <c r="F2864">
        <v>65.34</v>
      </c>
      <c r="G2864">
        <v>65.34</v>
      </c>
      <c r="H2864">
        <v>64.63</v>
      </c>
      <c r="I2864" s="1">
        <v>64.87</v>
      </c>
      <c r="J2864">
        <v>63769624.18</v>
      </c>
      <c r="K2864">
        <v>983742</v>
      </c>
      <c r="L2864" t="s">
        <v>78</v>
      </c>
      <c r="M2864" t="s">
        <v>17</v>
      </c>
      <c r="N2864">
        <v>3424</v>
      </c>
      <c r="O2864">
        <v>65.95</v>
      </c>
      <c r="P2864">
        <v>49.11</v>
      </c>
      <c r="Q2864" s="1">
        <v>4256.25</v>
      </c>
      <c r="R2864" s="1">
        <v>3140.15</v>
      </c>
      <c r="S2864" s="3">
        <v>-0.29435749873849004</v>
      </c>
      <c r="T2864" s="3">
        <v>-0.17623978756501102</v>
      </c>
    </row>
    <row r="2865" spans="1:20" x14ac:dyDescent="0.25">
      <c r="A2865" t="s">
        <v>78</v>
      </c>
      <c r="B2865" t="s">
        <v>79</v>
      </c>
      <c r="C2865" t="s">
        <v>4199</v>
      </c>
      <c r="D2865" t="s">
        <v>4200</v>
      </c>
      <c r="E2865">
        <v>258.58999999999997</v>
      </c>
      <c r="F2865">
        <v>258.58999999999997</v>
      </c>
      <c r="G2865">
        <v>260.79000000000002</v>
      </c>
      <c r="H2865">
        <v>257.56</v>
      </c>
      <c r="I2865" s="1">
        <v>260.37</v>
      </c>
      <c r="J2865">
        <v>227926668.61000001</v>
      </c>
      <c r="K2865">
        <v>877073</v>
      </c>
      <c r="L2865" t="s">
        <v>78</v>
      </c>
      <c r="M2865" t="s">
        <v>17</v>
      </c>
      <c r="N2865">
        <v>4245</v>
      </c>
      <c r="O2865">
        <v>260.79000000000002</v>
      </c>
      <c r="P2865">
        <v>196.9</v>
      </c>
      <c r="Q2865" s="1">
        <v>160.16999999999999</v>
      </c>
      <c r="R2865" s="1">
        <v>117.35</v>
      </c>
      <c r="S2865" s="3">
        <v>4.1319850360896027E-2</v>
      </c>
      <c r="T2865" s="3">
        <v>4.062897771694951E-2</v>
      </c>
    </row>
    <row r="2866" spans="1:20" x14ac:dyDescent="0.25">
      <c r="A2866" t="s">
        <v>78</v>
      </c>
      <c r="B2866" t="s">
        <v>79</v>
      </c>
      <c r="C2866" t="s">
        <v>4201</v>
      </c>
      <c r="D2866" t="s">
        <v>4202</v>
      </c>
      <c r="E2866">
        <v>532.12</v>
      </c>
      <c r="F2866">
        <v>532.28</v>
      </c>
      <c r="G2866">
        <v>535.16999999999996</v>
      </c>
      <c r="H2866">
        <v>530</v>
      </c>
      <c r="I2866" s="1">
        <v>533.79</v>
      </c>
      <c r="J2866">
        <v>90465606.049999997</v>
      </c>
      <c r="K2866">
        <v>169902</v>
      </c>
      <c r="L2866" t="s">
        <v>78</v>
      </c>
      <c r="M2866" t="s">
        <v>17</v>
      </c>
      <c r="N2866">
        <v>540</v>
      </c>
      <c r="O2866">
        <v>554.29999999999995</v>
      </c>
      <c r="P2866">
        <v>426.45</v>
      </c>
      <c r="Q2866" s="1">
        <v>349.25</v>
      </c>
      <c r="R2866" s="1">
        <v>301</v>
      </c>
      <c r="S2866" s="3">
        <v>3.5983491385397581E-2</v>
      </c>
      <c r="T2866" s="3">
        <v>2.9042671444274415E-2</v>
      </c>
    </row>
    <row r="2867" spans="1:20" x14ac:dyDescent="0.25">
      <c r="A2867" t="s">
        <v>78</v>
      </c>
      <c r="B2867" t="s">
        <v>79</v>
      </c>
      <c r="C2867" t="s">
        <v>4203</v>
      </c>
      <c r="D2867" t="s">
        <v>4204</v>
      </c>
      <c r="E2867">
        <v>779.87</v>
      </c>
      <c r="F2867">
        <v>783.59</v>
      </c>
      <c r="G2867">
        <v>783.6</v>
      </c>
      <c r="H2867">
        <v>766.08</v>
      </c>
      <c r="I2867" s="1">
        <v>771.04</v>
      </c>
      <c r="J2867">
        <v>30612090.760000002</v>
      </c>
      <c r="K2867">
        <v>39706</v>
      </c>
      <c r="L2867" t="s">
        <v>78</v>
      </c>
      <c r="M2867" t="s">
        <v>17</v>
      </c>
      <c r="N2867">
        <v>2798</v>
      </c>
      <c r="O2867">
        <v>788</v>
      </c>
      <c r="P2867">
        <v>445.65</v>
      </c>
      <c r="Q2867" s="1">
        <v>400</v>
      </c>
      <c r="R2867" s="1">
        <v>273</v>
      </c>
      <c r="S2867" s="3">
        <v>5.6212759879267438E-2</v>
      </c>
      <c r="T2867" s="3">
        <v>5.3254603634522502E-2</v>
      </c>
    </row>
    <row r="2868" spans="1:20" x14ac:dyDescent="0.25">
      <c r="A2868" t="s">
        <v>78</v>
      </c>
      <c r="B2868" t="s">
        <v>79</v>
      </c>
      <c r="C2868" t="s">
        <v>4205</v>
      </c>
      <c r="D2868" t="s">
        <v>4206</v>
      </c>
      <c r="E2868">
        <v>554.30999999999995</v>
      </c>
      <c r="F2868">
        <v>554.22</v>
      </c>
      <c r="G2868">
        <v>563</v>
      </c>
      <c r="H2868">
        <v>552.01</v>
      </c>
      <c r="I2868" s="1">
        <v>561.51</v>
      </c>
      <c r="J2868">
        <v>7256662.7599999998</v>
      </c>
      <c r="K2868">
        <v>12943</v>
      </c>
      <c r="L2868" t="s">
        <v>78</v>
      </c>
      <c r="M2868" t="s">
        <v>17</v>
      </c>
      <c r="N2868">
        <v>331</v>
      </c>
      <c r="O2868">
        <v>563</v>
      </c>
      <c r="P2868">
        <v>420.66</v>
      </c>
      <c r="Q2868" s="1">
        <v>401.99</v>
      </c>
      <c r="R2868" s="1">
        <v>245.2</v>
      </c>
      <c r="S2868" s="3">
        <v>2.8241639781419137E-2</v>
      </c>
      <c r="T2868" s="3">
        <v>4.2274225793694997E-2</v>
      </c>
    </row>
    <row r="2869" spans="1:20" x14ac:dyDescent="0.25">
      <c r="A2869" t="s">
        <v>78</v>
      </c>
      <c r="B2869" t="s">
        <v>79</v>
      </c>
      <c r="C2869" t="s">
        <v>4242</v>
      </c>
      <c r="D2869" t="s">
        <v>4241</v>
      </c>
      <c r="E2869">
        <v>93.24</v>
      </c>
      <c r="F2869">
        <v>93.2</v>
      </c>
      <c r="G2869">
        <v>93.2</v>
      </c>
      <c r="H2869">
        <v>92.05</v>
      </c>
      <c r="I2869" s="1">
        <v>93</v>
      </c>
      <c r="J2869">
        <v>22846855.640000001</v>
      </c>
      <c r="K2869">
        <v>245705</v>
      </c>
      <c r="L2869" t="s">
        <v>78</v>
      </c>
      <c r="M2869" t="s">
        <v>17</v>
      </c>
      <c r="N2869">
        <v>666</v>
      </c>
      <c r="O2869">
        <v>96.88</v>
      </c>
      <c r="P2869">
        <v>68.7</v>
      </c>
      <c r="Q2869" s="1" t="str">
        <v/>
      </c>
      <c r="R2869" s="1" t="str">
        <v/>
      </c>
      <c r="S2869" s="3">
        <v>0</v>
      </c>
      <c r="T2869" s="3">
        <v>0</v>
      </c>
    </row>
    <row r="2870" spans="1:20" x14ac:dyDescent="0.25">
      <c r="A2870" t="s">
        <v>78</v>
      </c>
      <c r="B2870" t="s">
        <v>79</v>
      </c>
      <c r="C2870" t="s">
        <v>4240</v>
      </c>
      <c r="D2870" t="s">
        <v>4239</v>
      </c>
      <c r="E2870">
        <v>90.85</v>
      </c>
      <c r="F2870">
        <v>90.85</v>
      </c>
      <c r="G2870">
        <v>91.78</v>
      </c>
      <c r="H2870">
        <v>90</v>
      </c>
      <c r="I2870" s="1">
        <v>90.58</v>
      </c>
      <c r="J2870">
        <v>15213716.91</v>
      </c>
      <c r="K2870">
        <v>168155</v>
      </c>
      <c r="L2870" t="s">
        <v>78</v>
      </c>
      <c r="M2870" t="s">
        <v>17</v>
      </c>
      <c r="N2870">
        <v>326</v>
      </c>
      <c r="O2870">
        <v>94.05</v>
      </c>
      <c r="P2870">
        <v>67.39</v>
      </c>
      <c r="Q2870" s="1" t="str">
        <v/>
      </c>
      <c r="R2870" s="1" t="str">
        <v/>
      </c>
      <c r="S2870" s="3">
        <v>0</v>
      </c>
      <c r="T2870" s="3">
        <v>0</v>
      </c>
    </row>
    <row r="2871" spans="1:20" x14ac:dyDescent="0.25">
      <c r="A2871" t="s">
        <v>78</v>
      </c>
      <c r="B2871" t="s">
        <v>79</v>
      </c>
      <c r="C2871" t="s">
        <v>4238</v>
      </c>
      <c r="D2871" t="s">
        <v>4237</v>
      </c>
      <c r="E2871">
        <v>89.97</v>
      </c>
      <c r="F2871">
        <v>92.43</v>
      </c>
      <c r="G2871">
        <v>92.43</v>
      </c>
      <c r="H2871">
        <v>89.12</v>
      </c>
      <c r="I2871" s="1">
        <v>89.96</v>
      </c>
      <c r="J2871">
        <v>52513261.359999999</v>
      </c>
      <c r="K2871">
        <v>585838</v>
      </c>
      <c r="L2871" t="s">
        <v>78</v>
      </c>
      <c r="M2871" t="s">
        <v>17</v>
      </c>
      <c r="N2871">
        <v>205</v>
      </c>
      <c r="O2871">
        <v>94.4</v>
      </c>
      <c r="P2871">
        <v>66.2</v>
      </c>
      <c r="Q2871" s="1" t="str">
        <v/>
      </c>
      <c r="R2871" s="1" t="str">
        <v/>
      </c>
      <c r="S2871" s="3">
        <v>0</v>
      </c>
      <c r="T2871" s="3">
        <v>0</v>
      </c>
    </row>
    <row r="2872" spans="1:20" x14ac:dyDescent="0.25">
      <c r="A2872" t="s">
        <v>78</v>
      </c>
      <c r="B2872" t="s">
        <v>79</v>
      </c>
      <c r="C2872" t="s">
        <v>4236</v>
      </c>
      <c r="D2872" t="s">
        <v>4235</v>
      </c>
      <c r="E2872">
        <v>89.78</v>
      </c>
      <c r="F2872">
        <v>89.24</v>
      </c>
      <c r="G2872">
        <v>89.52</v>
      </c>
      <c r="H2872">
        <v>89.01</v>
      </c>
      <c r="I2872" s="1">
        <v>89.43</v>
      </c>
      <c r="J2872">
        <v>497176695.12</v>
      </c>
      <c r="K2872">
        <v>5570956</v>
      </c>
      <c r="L2872" t="s">
        <v>78</v>
      </c>
      <c r="M2872" t="s">
        <v>17</v>
      </c>
      <c r="N2872">
        <v>14426</v>
      </c>
      <c r="O2872">
        <v>100</v>
      </c>
      <c r="P2872">
        <v>66.099999999999994</v>
      </c>
      <c r="Q2872" s="1" t="str">
        <v/>
      </c>
      <c r="R2872" s="1" t="str">
        <v/>
      </c>
      <c r="S2872" s="3">
        <v>0</v>
      </c>
      <c r="T2872" s="3">
        <v>0</v>
      </c>
    </row>
    <row r="2873" spans="1:20" x14ac:dyDescent="0.25">
      <c r="A2873" t="s">
        <v>78</v>
      </c>
      <c r="B2873" t="s">
        <v>79</v>
      </c>
      <c r="C2873" t="s">
        <v>4234</v>
      </c>
      <c r="D2873" t="s">
        <v>4233</v>
      </c>
      <c r="E2873">
        <v>92.87</v>
      </c>
      <c r="F2873">
        <v>92.87</v>
      </c>
      <c r="G2873">
        <v>92.87</v>
      </c>
      <c r="H2873">
        <v>92.2</v>
      </c>
      <c r="I2873" s="1">
        <v>92.66</v>
      </c>
      <c r="J2873">
        <v>23282662.530000001</v>
      </c>
      <c r="K2873">
        <v>251603</v>
      </c>
      <c r="L2873" t="s">
        <v>78</v>
      </c>
      <c r="M2873" t="s">
        <v>17</v>
      </c>
      <c r="N2873">
        <v>834</v>
      </c>
      <c r="O2873">
        <v>96</v>
      </c>
      <c r="P2873">
        <v>68</v>
      </c>
      <c r="Q2873" s="1" t="str">
        <v/>
      </c>
      <c r="R2873" s="1" t="str">
        <v/>
      </c>
      <c r="S2873" s="3">
        <v>0</v>
      </c>
      <c r="T2873" s="3">
        <v>0</v>
      </c>
    </row>
    <row r="2874" spans="1:20" x14ac:dyDescent="0.25">
      <c r="A2874" t="s">
        <v>78</v>
      </c>
      <c r="B2874" t="s">
        <v>79</v>
      </c>
      <c r="C2874" t="s">
        <v>4232</v>
      </c>
      <c r="D2874" t="s">
        <v>4231</v>
      </c>
      <c r="E2874">
        <v>93.39</v>
      </c>
      <c r="F2874">
        <v>93.29</v>
      </c>
      <c r="G2874">
        <v>93.3</v>
      </c>
      <c r="H2874">
        <v>92.5</v>
      </c>
      <c r="I2874" s="1">
        <v>93.08</v>
      </c>
      <c r="J2874">
        <v>181753756.34</v>
      </c>
      <c r="K2874">
        <v>1954246</v>
      </c>
      <c r="L2874" t="s">
        <v>78</v>
      </c>
      <c r="M2874" t="s">
        <v>17</v>
      </c>
      <c r="N2874">
        <v>2531</v>
      </c>
      <c r="O2874">
        <v>96.76</v>
      </c>
      <c r="P2874">
        <v>68.010000000000005</v>
      </c>
      <c r="Q2874" s="1" t="str">
        <v/>
      </c>
      <c r="R2874" s="1" t="str">
        <v/>
      </c>
      <c r="S2874" s="3">
        <v>0</v>
      </c>
      <c r="T2874" s="3">
        <v>0</v>
      </c>
    </row>
    <row r="2875" spans="1:20" x14ac:dyDescent="0.25">
      <c r="A2875" t="s">
        <v>78</v>
      </c>
      <c r="B2875" t="s">
        <v>79</v>
      </c>
      <c r="C2875" t="s">
        <v>4230</v>
      </c>
      <c r="D2875" t="s">
        <v>4229</v>
      </c>
      <c r="E2875">
        <v>91</v>
      </c>
      <c r="F2875">
        <v>90.82</v>
      </c>
      <c r="G2875">
        <v>90.9</v>
      </c>
      <c r="H2875">
        <v>90</v>
      </c>
      <c r="I2875" s="1">
        <v>90.89</v>
      </c>
      <c r="J2875">
        <v>530163.62</v>
      </c>
      <c r="K2875">
        <v>5856</v>
      </c>
      <c r="L2875" t="s">
        <v>78</v>
      </c>
      <c r="M2875" t="s">
        <v>17</v>
      </c>
      <c r="N2875">
        <v>129</v>
      </c>
      <c r="O2875">
        <v>94.65</v>
      </c>
      <c r="P2875">
        <v>68.010000000000005</v>
      </c>
      <c r="Q2875" s="1" t="str">
        <v/>
      </c>
      <c r="R2875" s="1" t="str">
        <v/>
      </c>
      <c r="S2875" s="3">
        <v>0</v>
      </c>
      <c r="T2875" s="3">
        <v>0</v>
      </c>
    </row>
    <row r="2876" spans="1:20" x14ac:dyDescent="0.25">
      <c r="A2876" t="s">
        <v>78</v>
      </c>
      <c r="B2876" t="s">
        <v>79</v>
      </c>
      <c r="C2876" t="s">
        <v>4228</v>
      </c>
      <c r="D2876" t="s">
        <v>4227</v>
      </c>
      <c r="E2876">
        <v>53.71</v>
      </c>
      <c r="F2876">
        <v>53.71</v>
      </c>
      <c r="G2876">
        <v>53.8</v>
      </c>
      <c r="H2876">
        <v>52.65</v>
      </c>
      <c r="I2876" s="1">
        <v>53.03</v>
      </c>
      <c r="J2876">
        <v>71767206.590000004</v>
      </c>
      <c r="K2876">
        <v>1352388</v>
      </c>
      <c r="L2876" t="s">
        <v>78</v>
      </c>
      <c r="M2876" t="s">
        <v>17</v>
      </c>
      <c r="N2876">
        <v>6278</v>
      </c>
      <c r="O2876">
        <v>55.25</v>
      </c>
      <c r="P2876">
        <v>39.24</v>
      </c>
      <c r="Q2876" s="1" t="str">
        <v/>
      </c>
      <c r="R2876" s="1" t="str">
        <v/>
      </c>
      <c r="S2876" s="3">
        <v>0</v>
      </c>
      <c r="T2876" s="3">
        <v>0</v>
      </c>
    </row>
    <row r="2877" spans="1:20" x14ac:dyDescent="0.25">
      <c r="A2877" t="s">
        <v>78</v>
      </c>
      <c r="B2877" t="s">
        <v>79</v>
      </c>
      <c r="C2877" t="s">
        <v>4226</v>
      </c>
      <c r="D2877" t="s">
        <v>4225</v>
      </c>
      <c r="E2877">
        <v>7.32</v>
      </c>
      <c r="F2877">
        <v>7.35</v>
      </c>
      <c r="G2877">
        <v>7.42</v>
      </c>
      <c r="H2877">
        <v>7.32</v>
      </c>
      <c r="I2877" s="1">
        <v>7.37</v>
      </c>
      <c r="J2877">
        <v>26188266.530000001</v>
      </c>
      <c r="K2877">
        <v>3550796</v>
      </c>
      <c r="L2877" t="s">
        <v>78</v>
      </c>
      <c r="M2877" t="s">
        <v>17</v>
      </c>
      <c r="N2877">
        <v>12029</v>
      </c>
      <c r="O2877">
        <v>8.5</v>
      </c>
      <c r="P2877">
        <v>6</v>
      </c>
      <c r="Q2877" s="1" t="str">
        <v/>
      </c>
      <c r="R2877" s="1" t="str">
        <v/>
      </c>
      <c r="S2877" s="3">
        <v>0</v>
      </c>
      <c r="T2877" s="3">
        <v>0</v>
      </c>
    </row>
    <row r="2878" spans="1:20" x14ac:dyDescent="0.25">
      <c r="A2878" t="s">
        <v>78</v>
      </c>
      <c r="B2878" t="s">
        <v>79</v>
      </c>
      <c r="C2878" t="s">
        <v>4224</v>
      </c>
      <c r="D2878" t="s">
        <v>4223</v>
      </c>
      <c r="E2878">
        <v>9.0500000000000007</v>
      </c>
      <c r="F2878">
        <v>9.06</v>
      </c>
      <c r="G2878">
        <v>9.09</v>
      </c>
      <c r="H2878">
        <v>8.93</v>
      </c>
      <c r="I2878" s="1">
        <v>9.0399999999999991</v>
      </c>
      <c r="J2878">
        <v>8718397.1300000008</v>
      </c>
      <c r="K2878">
        <v>965061</v>
      </c>
      <c r="L2878" t="s">
        <v>78</v>
      </c>
      <c r="M2878" t="s">
        <v>17</v>
      </c>
      <c r="N2878">
        <v>2457</v>
      </c>
      <c r="O2878">
        <v>10.32</v>
      </c>
      <c r="P2878">
        <v>6.74</v>
      </c>
      <c r="Q2878" s="1" t="str">
        <v/>
      </c>
      <c r="R2878" s="1" t="str">
        <v/>
      </c>
      <c r="S2878" s="3">
        <v>0</v>
      </c>
      <c r="T2878" s="3">
        <v>0</v>
      </c>
    </row>
    <row r="2879" spans="1:20" x14ac:dyDescent="0.25">
      <c r="A2879" t="s">
        <v>78</v>
      </c>
      <c r="B2879" t="s">
        <v>79</v>
      </c>
      <c r="C2879" t="s">
        <v>4222</v>
      </c>
      <c r="D2879" t="s">
        <v>4221</v>
      </c>
      <c r="E2879">
        <v>41.04</v>
      </c>
      <c r="F2879">
        <v>41.04</v>
      </c>
      <c r="G2879">
        <v>41.8</v>
      </c>
      <c r="H2879">
        <v>40.54</v>
      </c>
      <c r="I2879" s="1">
        <v>41.72</v>
      </c>
      <c r="J2879">
        <v>2798510.18</v>
      </c>
      <c r="K2879">
        <v>67622</v>
      </c>
      <c r="L2879" t="s">
        <v>78</v>
      </c>
      <c r="M2879" t="s">
        <v>17</v>
      </c>
      <c r="N2879">
        <v>428</v>
      </c>
      <c r="O2879">
        <v>42.13</v>
      </c>
      <c r="P2879">
        <v>26.63</v>
      </c>
      <c r="Q2879" s="1" t="str">
        <v/>
      </c>
      <c r="R2879" s="1" t="str">
        <v/>
      </c>
      <c r="S2879" s="3">
        <v>0</v>
      </c>
      <c r="T2879" s="3">
        <v>0</v>
      </c>
    </row>
    <row r="2880" spans="1:20" x14ac:dyDescent="0.25">
      <c r="A2880" t="s">
        <v>78</v>
      </c>
      <c r="B2880" t="s">
        <v>79</v>
      </c>
      <c r="C2880" t="s">
        <v>4220</v>
      </c>
      <c r="D2880" t="s">
        <v>4219</v>
      </c>
      <c r="E2880">
        <v>89.92</v>
      </c>
      <c r="F2880">
        <v>90.24</v>
      </c>
      <c r="G2880">
        <v>90.86</v>
      </c>
      <c r="H2880">
        <v>89.13</v>
      </c>
      <c r="I2880" s="1">
        <v>90.68</v>
      </c>
      <c r="J2880">
        <v>38325156.850000001</v>
      </c>
      <c r="K2880">
        <v>422853</v>
      </c>
      <c r="L2880" t="s">
        <v>78</v>
      </c>
      <c r="M2880" t="s">
        <v>17</v>
      </c>
      <c r="N2880">
        <v>1182</v>
      </c>
      <c r="O2880">
        <v>90.86</v>
      </c>
      <c r="P2880">
        <v>60.51</v>
      </c>
      <c r="Q2880" s="1" t="str">
        <v/>
      </c>
      <c r="R2880" s="1" t="str">
        <v/>
      </c>
      <c r="S2880" s="3">
        <v>0</v>
      </c>
      <c r="T2880" s="3">
        <v>0</v>
      </c>
    </row>
    <row r="2881" spans="1:20" x14ac:dyDescent="0.25">
      <c r="A2881" t="s">
        <v>78</v>
      </c>
      <c r="B2881" t="s">
        <v>79</v>
      </c>
      <c r="C2881" t="s">
        <v>4218</v>
      </c>
      <c r="D2881" t="s">
        <v>4217</v>
      </c>
      <c r="E2881">
        <v>10.58</v>
      </c>
      <c r="F2881">
        <v>10.9</v>
      </c>
      <c r="G2881">
        <v>10.9</v>
      </c>
      <c r="H2881">
        <v>10.46</v>
      </c>
      <c r="I2881" s="1">
        <v>10.58</v>
      </c>
      <c r="J2881">
        <v>1597682.32</v>
      </c>
      <c r="K2881">
        <v>151504</v>
      </c>
      <c r="L2881" t="s">
        <v>78</v>
      </c>
      <c r="M2881" t="s">
        <v>17</v>
      </c>
      <c r="N2881">
        <v>573</v>
      </c>
      <c r="O2881">
        <v>11.99</v>
      </c>
      <c r="P2881">
        <v>10</v>
      </c>
      <c r="Q2881" s="1" t="str">
        <v/>
      </c>
      <c r="R2881" s="1" t="str">
        <v/>
      </c>
      <c r="S2881" s="3">
        <v>0</v>
      </c>
      <c r="T2881" s="3">
        <v>0</v>
      </c>
    </row>
    <row r="2882" spans="1:20" x14ac:dyDescent="0.25">
      <c r="A2882" t="s">
        <v>78</v>
      </c>
      <c r="B2882" t="s">
        <v>79</v>
      </c>
      <c r="C2882" t="s">
        <v>4207</v>
      </c>
      <c r="D2882" t="s">
        <v>4208</v>
      </c>
      <c r="E2882">
        <v>53.6</v>
      </c>
      <c r="F2882">
        <v>53.97</v>
      </c>
      <c r="G2882">
        <v>53.98</v>
      </c>
      <c r="H2882">
        <v>53.14</v>
      </c>
      <c r="I2882" s="1">
        <v>53.8</v>
      </c>
      <c r="J2882">
        <v>63064156.340000004</v>
      </c>
      <c r="K2882">
        <v>1175867</v>
      </c>
      <c r="L2882" t="s">
        <v>78</v>
      </c>
      <c r="M2882" t="s">
        <v>17</v>
      </c>
      <c r="N2882">
        <v>569</v>
      </c>
      <c r="O2882">
        <v>54.74</v>
      </c>
      <c r="P2882">
        <v>41</v>
      </c>
      <c r="Q2882" s="1">
        <v>35.03</v>
      </c>
      <c r="R2882" s="1" t="str">
        <v/>
      </c>
      <c r="S2882" s="3">
        <v>3.6402642260994211E-2</v>
      </c>
      <c r="T2882" s="3">
        <v>0</v>
      </c>
    </row>
    <row r="2883" spans="1:20" x14ac:dyDescent="0.25">
      <c r="A2883" t="s">
        <v>78</v>
      </c>
      <c r="B2883" t="s">
        <v>79</v>
      </c>
      <c r="C2883" t="s">
        <v>4209</v>
      </c>
      <c r="D2883" t="s">
        <v>4210</v>
      </c>
      <c r="E2883">
        <v>78.489999999999995</v>
      </c>
      <c r="F2883">
        <v>78.56</v>
      </c>
      <c r="G2883">
        <v>79.180000000000007</v>
      </c>
      <c r="H2883">
        <v>77.16</v>
      </c>
      <c r="I2883" s="1">
        <v>77.56</v>
      </c>
      <c r="J2883">
        <v>17628825.690000001</v>
      </c>
      <c r="K2883">
        <v>227453</v>
      </c>
      <c r="L2883" t="s">
        <v>78</v>
      </c>
      <c r="M2883" t="s">
        <v>17</v>
      </c>
      <c r="N2883">
        <v>2396</v>
      </c>
      <c r="O2883">
        <v>80.599999999999994</v>
      </c>
      <c r="P2883">
        <v>44.85</v>
      </c>
      <c r="Q2883" s="1">
        <v>40.270000000000003</v>
      </c>
      <c r="R2883" s="1">
        <v>274.32</v>
      </c>
      <c r="S2883" s="3">
        <v>5.6139650458204127E-2</v>
      </c>
      <c r="T2883" s="3">
        <v>-6.1176312300492586E-2</v>
      </c>
    </row>
    <row r="2884" spans="1:20" x14ac:dyDescent="0.25">
      <c r="A2884" t="s">
        <v>78</v>
      </c>
      <c r="B2884" t="s">
        <v>79</v>
      </c>
      <c r="C2884" t="s">
        <v>4211</v>
      </c>
      <c r="D2884" t="s">
        <v>4212</v>
      </c>
      <c r="E2884">
        <v>266.87</v>
      </c>
      <c r="F2884">
        <v>268.99</v>
      </c>
      <c r="G2884">
        <v>269.18</v>
      </c>
      <c r="H2884">
        <v>265.45999999999998</v>
      </c>
      <c r="I2884" s="1">
        <v>268.52999999999997</v>
      </c>
      <c r="J2884">
        <v>2622296.9900000002</v>
      </c>
      <c r="K2884">
        <v>9834</v>
      </c>
      <c r="L2884" t="s">
        <v>78</v>
      </c>
      <c r="M2884" t="s">
        <v>17</v>
      </c>
      <c r="N2884">
        <v>289</v>
      </c>
      <c r="O2884">
        <v>2168.8000000000002</v>
      </c>
      <c r="P2884">
        <v>202.55</v>
      </c>
      <c r="Q2884" s="1">
        <v>1636.6</v>
      </c>
      <c r="R2884" s="1">
        <v>1201.95</v>
      </c>
      <c r="S2884" s="3">
        <v>-0.13982360176870501</v>
      </c>
      <c r="T2884" s="3">
        <v>-7.2159888833974506E-2</v>
      </c>
    </row>
    <row r="2885" spans="1:20" x14ac:dyDescent="0.25">
      <c r="A2885" t="s">
        <v>78</v>
      </c>
      <c r="B2885" t="s">
        <v>79</v>
      </c>
      <c r="C2885" t="s">
        <v>4213</v>
      </c>
      <c r="D2885" t="s">
        <v>4214</v>
      </c>
      <c r="E2885">
        <v>872.08</v>
      </c>
      <c r="F2885">
        <v>879.95</v>
      </c>
      <c r="G2885">
        <v>898</v>
      </c>
      <c r="H2885">
        <v>862.02</v>
      </c>
      <c r="I2885" s="1">
        <v>881.52</v>
      </c>
      <c r="J2885">
        <v>848600.95</v>
      </c>
      <c r="K2885">
        <v>968</v>
      </c>
      <c r="L2885" t="s">
        <v>78</v>
      </c>
      <c r="M2885" t="s">
        <v>17</v>
      </c>
      <c r="N2885">
        <v>135</v>
      </c>
      <c r="O2885">
        <v>898</v>
      </c>
      <c r="P2885">
        <v>673.02</v>
      </c>
      <c r="Q2885" s="1">
        <v>548.41999999999996</v>
      </c>
      <c r="R2885" s="1">
        <v>409.01</v>
      </c>
      <c r="S2885" s="3">
        <v>4.0343058586431946E-2</v>
      </c>
      <c r="T2885" s="3">
        <v>3.9120182942305348E-2</v>
      </c>
    </row>
    <row r="2886" spans="1:20" x14ac:dyDescent="0.25">
      <c r="A2886" t="s">
        <v>78</v>
      </c>
      <c r="B2886" t="s">
        <v>79</v>
      </c>
      <c r="C2886" t="s">
        <v>4215</v>
      </c>
      <c r="D2886" t="s">
        <v>4216</v>
      </c>
      <c r="E2886">
        <v>89.36</v>
      </c>
      <c r="F2886">
        <v>90.27</v>
      </c>
      <c r="G2886">
        <v>90.97</v>
      </c>
      <c r="H2886">
        <v>87.96</v>
      </c>
      <c r="I2886" s="1">
        <v>88.93</v>
      </c>
      <c r="J2886">
        <v>812790.38</v>
      </c>
      <c r="K2886">
        <v>9102</v>
      </c>
      <c r="L2886" t="s">
        <v>78</v>
      </c>
      <c r="M2886" t="s">
        <v>17</v>
      </c>
      <c r="N2886">
        <v>196</v>
      </c>
      <c r="O2886">
        <v>90.97</v>
      </c>
      <c r="P2886">
        <v>46.88</v>
      </c>
      <c r="Q2886" s="1">
        <v>44.1</v>
      </c>
      <c r="R2886" s="1">
        <v>317</v>
      </c>
      <c r="S2886" s="3">
        <v>6.0191070158535531E-2</v>
      </c>
      <c r="T2886" s="3">
        <v>-6.1542592189434031E-2</v>
      </c>
    </row>
  </sheetData>
  <autoFilter ref="U81:U2886" xr:uid="{A4F908B0-D11F-4796-AFFE-A4D8E5DB1650}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E46A-D48B-4DE3-852D-AE36109E1F28}">
  <sheetPr codeName="Sheet2"/>
  <dimension ref="A1:Q2183"/>
  <sheetViews>
    <sheetView topLeftCell="A98" workbookViewId="0">
      <selection activeCell="F107" sqref="F107:J107"/>
    </sheetView>
  </sheetViews>
  <sheetFormatPr defaultRowHeight="15" x14ac:dyDescent="0.25"/>
  <cols>
    <col min="4" max="4" width="14.140625" bestFit="1" customWidth="1"/>
    <col min="5" max="5" width="30" bestFit="1" customWidth="1"/>
    <col min="6" max="6" width="11.42578125" bestFit="1" customWidth="1"/>
    <col min="7" max="7" width="11.85546875" bestFit="1" customWidth="1"/>
    <col min="8" max="8" width="11.28515625" bestFit="1" customWidth="1"/>
    <col min="9" max="9" width="10.85546875" bestFit="1" customWidth="1"/>
    <col min="10" max="10" width="12.28515625" style="1" bestFit="1" customWidth="1"/>
    <col min="11" max="11" width="12" bestFit="1" customWidth="1"/>
    <col min="12" max="12" width="12.140625" bestFit="1" customWidth="1"/>
    <col min="13" max="13" width="8.28515625" bestFit="1" customWidth="1"/>
    <col min="14" max="14" width="10" bestFit="1" customWidth="1"/>
    <col min="15" max="15" width="9" bestFit="1" customWidth="1"/>
    <col min="16" max="16" width="9.42578125" bestFit="1" customWidth="1"/>
    <col min="17" max="17" width="9.85546875" bestFit="1" customWidth="1"/>
  </cols>
  <sheetData>
    <row r="1" spans="2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2:17" x14ac:dyDescent="0.25">
      <c r="B2" t="s">
        <v>16</v>
      </c>
      <c r="C2" t="s">
        <v>17</v>
      </c>
      <c r="D2" t="s">
        <v>17</v>
      </c>
      <c r="E2" t="s">
        <v>18</v>
      </c>
      <c r="F2">
        <v>15923.4</v>
      </c>
      <c r="G2">
        <v>15754.5</v>
      </c>
      <c r="H2">
        <v>15836.9</v>
      </c>
      <c r="I2">
        <v>15707.5</v>
      </c>
      <c r="J2" s="1">
        <v>15752.4</v>
      </c>
      <c r="K2">
        <v>659216532666.68005</v>
      </c>
      <c r="L2">
        <v>3426466591</v>
      </c>
      <c r="M2" t="s">
        <v>16</v>
      </c>
      <c r="N2" t="s">
        <v>17</v>
      </c>
      <c r="O2">
        <v>23568929</v>
      </c>
      <c r="P2">
        <v>15962.25</v>
      </c>
      <c r="Q2">
        <v>10790.2</v>
      </c>
    </row>
    <row r="3" spans="2:17" x14ac:dyDescent="0.25">
      <c r="B3" t="s">
        <v>16</v>
      </c>
      <c r="C3" t="s">
        <v>17</v>
      </c>
      <c r="D3" t="s">
        <v>17</v>
      </c>
      <c r="E3" t="s">
        <v>19</v>
      </c>
      <c r="F3">
        <v>17905.75</v>
      </c>
      <c r="G3">
        <v>17769.900000000001</v>
      </c>
      <c r="H3">
        <v>17874.55</v>
      </c>
      <c r="I3">
        <v>17706.349999999999</v>
      </c>
      <c r="J3" s="1">
        <v>17772.849999999999</v>
      </c>
      <c r="K3">
        <v>0</v>
      </c>
      <c r="L3">
        <v>0</v>
      </c>
      <c r="M3" t="s">
        <v>16</v>
      </c>
      <c r="N3" t="s">
        <v>17</v>
      </c>
      <c r="O3">
        <v>0</v>
      </c>
      <c r="P3">
        <v>0</v>
      </c>
      <c r="Q3">
        <v>0</v>
      </c>
    </row>
    <row r="4" spans="2:17" x14ac:dyDescent="0.25">
      <c r="B4" t="s">
        <v>16</v>
      </c>
      <c r="C4" t="s">
        <v>17</v>
      </c>
      <c r="D4" t="s">
        <v>17</v>
      </c>
      <c r="E4" t="s">
        <v>20</v>
      </c>
      <c r="F4">
        <v>19146.849999999999</v>
      </c>
      <c r="G4">
        <v>19029.400000000001</v>
      </c>
      <c r="H4">
        <v>19131.8</v>
      </c>
      <c r="I4">
        <v>18932.05</v>
      </c>
      <c r="J4" s="1">
        <v>19007.75</v>
      </c>
      <c r="K4">
        <v>0</v>
      </c>
      <c r="L4">
        <v>0</v>
      </c>
      <c r="M4" t="s">
        <v>16</v>
      </c>
      <c r="N4" t="s">
        <v>17</v>
      </c>
      <c r="O4">
        <v>0</v>
      </c>
      <c r="P4">
        <v>0</v>
      </c>
      <c r="Q4">
        <v>0</v>
      </c>
    </row>
    <row r="5" spans="2:17" x14ac:dyDescent="0.25">
      <c r="B5" t="s">
        <v>16</v>
      </c>
      <c r="C5" t="s">
        <v>17</v>
      </c>
      <c r="D5" t="s">
        <v>17</v>
      </c>
      <c r="E5" t="s">
        <v>21</v>
      </c>
      <c r="F5">
        <v>12416.65</v>
      </c>
      <c r="G5">
        <v>12354.95</v>
      </c>
      <c r="H5">
        <v>12423.7</v>
      </c>
      <c r="I5">
        <v>12339.45</v>
      </c>
      <c r="J5" s="1">
        <v>12389.55</v>
      </c>
      <c r="K5">
        <v>0</v>
      </c>
      <c r="L5">
        <v>0</v>
      </c>
      <c r="M5" t="s">
        <v>16</v>
      </c>
      <c r="N5" t="s">
        <v>17</v>
      </c>
      <c r="O5">
        <v>0</v>
      </c>
      <c r="P5">
        <v>0</v>
      </c>
      <c r="Q5">
        <v>0</v>
      </c>
    </row>
    <row r="6" spans="2:17" x14ac:dyDescent="0.25">
      <c r="B6" t="s">
        <v>16</v>
      </c>
      <c r="C6" t="s">
        <v>17</v>
      </c>
      <c r="D6" t="s">
        <v>17</v>
      </c>
      <c r="E6" t="s">
        <v>22</v>
      </c>
      <c r="F6">
        <v>28361.35</v>
      </c>
      <c r="G6">
        <v>28186</v>
      </c>
      <c r="H6">
        <v>28389.9</v>
      </c>
      <c r="I6">
        <v>27920.95</v>
      </c>
      <c r="J6" s="1">
        <v>28055.7</v>
      </c>
      <c r="K6">
        <v>0</v>
      </c>
      <c r="L6">
        <v>0</v>
      </c>
      <c r="M6" t="s">
        <v>16</v>
      </c>
      <c r="N6" t="s">
        <v>17</v>
      </c>
      <c r="O6">
        <v>0</v>
      </c>
      <c r="P6">
        <v>0</v>
      </c>
      <c r="Q6">
        <v>0</v>
      </c>
    </row>
    <row r="7" spans="2:17" x14ac:dyDescent="0.25">
      <c r="B7" t="s">
        <v>16</v>
      </c>
      <c r="C7" t="s">
        <v>17</v>
      </c>
      <c r="D7" t="s">
        <v>17</v>
      </c>
      <c r="E7" t="s">
        <v>23</v>
      </c>
      <c r="F7">
        <v>10501.05</v>
      </c>
      <c r="G7">
        <v>10454.049999999999</v>
      </c>
      <c r="H7">
        <v>10494.15</v>
      </c>
      <c r="I7">
        <v>10382.35</v>
      </c>
      <c r="J7" s="1">
        <v>10434.450000000001</v>
      </c>
      <c r="K7">
        <v>0</v>
      </c>
      <c r="L7">
        <v>0</v>
      </c>
      <c r="M7" t="s">
        <v>16</v>
      </c>
      <c r="N7" t="s">
        <v>17</v>
      </c>
      <c r="O7">
        <v>0</v>
      </c>
      <c r="P7">
        <v>10518.1</v>
      </c>
      <c r="Q7">
        <v>5805.5</v>
      </c>
    </row>
    <row r="8" spans="2:17" x14ac:dyDescent="0.25">
      <c r="B8" t="s">
        <v>16</v>
      </c>
      <c r="C8" t="s">
        <v>17</v>
      </c>
      <c r="D8" t="s">
        <v>17</v>
      </c>
      <c r="E8" t="s">
        <v>24</v>
      </c>
      <c r="F8">
        <v>5327.25</v>
      </c>
      <c r="G8">
        <v>5290.05</v>
      </c>
      <c r="H8">
        <v>5358.2</v>
      </c>
      <c r="I8">
        <v>5260.2</v>
      </c>
      <c r="J8" s="1">
        <v>5315.7</v>
      </c>
      <c r="K8">
        <v>0</v>
      </c>
      <c r="L8">
        <v>0</v>
      </c>
      <c r="M8" t="s">
        <v>16</v>
      </c>
      <c r="N8" t="s">
        <v>17</v>
      </c>
      <c r="O8">
        <v>0</v>
      </c>
      <c r="P8">
        <v>5358.2</v>
      </c>
      <c r="Q8">
        <v>2345.1</v>
      </c>
    </row>
    <row r="9" spans="2:17" x14ac:dyDescent="0.25">
      <c r="B9" t="s">
        <v>16</v>
      </c>
      <c r="C9" t="s">
        <v>17</v>
      </c>
      <c r="D9" t="s">
        <v>17</v>
      </c>
      <c r="E9" t="s">
        <v>25</v>
      </c>
      <c r="F9">
        <v>9057.0499999999993</v>
      </c>
      <c r="G9">
        <v>9008.85</v>
      </c>
      <c r="H9">
        <v>9113.15</v>
      </c>
      <c r="I9">
        <v>8978.7999999999993</v>
      </c>
      <c r="J9" s="1">
        <v>9054.5</v>
      </c>
      <c r="K9">
        <v>0</v>
      </c>
      <c r="L9">
        <v>0</v>
      </c>
      <c r="M9" t="s">
        <v>16</v>
      </c>
      <c r="N9" t="s">
        <v>17</v>
      </c>
      <c r="O9">
        <v>0</v>
      </c>
      <c r="P9">
        <v>9113.15</v>
      </c>
      <c r="Q9">
        <v>4256.8999999999996</v>
      </c>
    </row>
    <row r="10" spans="2:17" x14ac:dyDescent="0.25">
      <c r="B10" t="s">
        <v>16</v>
      </c>
      <c r="C10" t="s">
        <v>17</v>
      </c>
      <c r="D10" t="s">
        <v>17</v>
      </c>
      <c r="E10" t="s">
        <v>26</v>
      </c>
      <c r="F10">
        <v>9978.4500000000007</v>
      </c>
      <c r="G10">
        <v>9931.1</v>
      </c>
      <c r="H10">
        <v>9990.6</v>
      </c>
      <c r="I10">
        <v>9888.5</v>
      </c>
      <c r="J10" s="1">
        <v>9934.5</v>
      </c>
      <c r="K10">
        <v>0</v>
      </c>
      <c r="L10">
        <v>0</v>
      </c>
      <c r="M10" t="s">
        <v>16</v>
      </c>
      <c r="N10" t="s">
        <v>17</v>
      </c>
      <c r="O10">
        <v>0</v>
      </c>
      <c r="P10">
        <v>9990.6</v>
      </c>
      <c r="Q10">
        <v>5249.5</v>
      </c>
    </row>
    <row r="11" spans="2:17" x14ac:dyDescent="0.25">
      <c r="B11" t="s">
        <v>16</v>
      </c>
      <c r="C11" t="s">
        <v>17</v>
      </c>
      <c r="D11" t="s">
        <v>17</v>
      </c>
      <c r="E11" t="s">
        <v>27</v>
      </c>
      <c r="F11">
        <v>13623.65</v>
      </c>
      <c r="G11">
        <v>13570.45</v>
      </c>
      <c r="H11">
        <v>13646.65</v>
      </c>
      <c r="I11">
        <v>13549.65</v>
      </c>
      <c r="J11" s="1">
        <v>13603.25</v>
      </c>
      <c r="K11">
        <v>0</v>
      </c>
      <c r="L11">
        <v>0</v>
      </c>
      <c r="M11" t="s">
        <v>16</v>
      </c>
      <c r="N11" t="s">
        <v>17</v>
      </c>
      <c r="O11">
        <v>0</v>
      </c>
      <c r="P11">
        <v>0</v>
      </c>
      <c r="Q11">
        <v>0</v>
      </c>
    </row>
    <row r="12" spans="2:17" x14ac:dyDescent="0.25">
      <c r="B12" t="s">
        <v>16</v>
      </c>
      <c r="C12" t="s">
        <v>17</v>
      </c>
      <c r="D12" t="s">
        <v>17</v>
      </c>
      <c r="E12" t="s">
        <v>28</v>
      </c>
      <c r="F12">
        <v>16952.150000000001</v>
      </c>
      <c r="G12">
        <v>16708.3</v>
      </c>
      <c r="H12">
        <v>16780.7</v>
      </c>
      <c r="I12">
        <v>16579.349999999999</v>
      </c>
      <c r="J12" s="1">
        <v>16629.7</v>
      </c>
      <c r="K12">
        <v>0</v>
      </c>
      <c r="L12">
        <v>0</v>
      </c>
      <c r="M12" t="s">
        <v>16</v>
      </c>
      <c r="N12" t="s">
        <v>17</v>
      </c>
      <c r="O12">
        <v>0</v>
      </c>
      <c r="P12">
        <v>0</v>
      </c>
      <c r="Q12">
        <v>0</v>
      </c>
    </row>
    <row r="13" spans="2:17" x14ac:dyDescent="0.25">
      <c r="B13" t="s">
        <v>16</v>
      </c>
      <c r="C13" t="s">
        <v>17</v>
      </c>
      <c r="D13" t="s">
        <v>17</v>
      </c>
      <c r="E13" t="s">
        <v>29</v>
      </c>
      <c r="F13">
        <v>15995.35</v>
      </c>
      <c r="G13">
        <v>15936.25</v>
      </c>
      <c r="H13">
        <v>16014.9</v>
      </c>
      <c r="I13">
        <v>15915.85</v>
      </c>
      <c r="J13" s="1">
        <v>15995.1</v>
      </c>
      <c r="K13">
        <v>0</v>
      </c>
      <c r="L13">
        <v>0</v>
      </c>
      <c r="M13" t="s">
        <v>16</v>
      </c>
      <c r="N13" t="s">
        <v>17</v>
      </c>
      <c r="O13">
        <v>0</v>
      </c>
      <c r="P13">
        <v>0</v>
      </c>
      <c r="Q13">
        <v>0</v>
      </c>
    </row>
    <row r="14" spans="2:17" x14ac:dyDescent="0.25">
      <c r="B14" t="s">
        <v>16</v>
      </c>
      <c r="C14" t="s">
        <v>17</v>
      </c>
      <c r="D14" t="s">
        <v>17</v>
      </c>
      <c r="E14" t="s">
        <v>30</v>
      </c>
      <c r="F14">
        <v>18246.150000000001</v>
      </c>
      <c r="G14">
        <v>18118.45</v>
      </c>
      <c r="H14">
        <v>18268.25</v>
      </c>
      <c r="I14">
        <v>17970.599999999999</v>
      </c>
      <c r="J14" s="1">
        <v>18087.849999999999</v>
      </c>
      <c r="K14">
        <v>0</v>
      </c>
      <c r="L14">
        <v>0</v>
      </c>
      <c r="M14" t="s">
        <v>16</v>
      </c>
      <c r="N14" t="s">
        <v>17</v>
      </c>
      <c r="O14">
        <v>0</v>
      </c>
      <c r="P14">
        <v>0</v>
      </c>
      <c r="Q14">
        <v>0</v>
      </c>
    </row>
    <row r="15" spans="2:17" x14ac:dyDescent="0.25">
      <c r="B15" t="s">
        <v>16</v>
      </c>
      <c r="C15" t="s">
        <v>17</v>
      </c>
      <c r="D15" t="s">
        <v>17</v>
      </c>
      <c r="E15" t="s">
        <v>31</v>
      </c>
      <c r="F15">
        <v>2709</v>
      </c>
      <c r="G15">
        <v>2684.8</v>
      </c>
      <c r="H15">
        <v>2694.95</v>
      </c>
      <c r="I15">
        <v>2675.05</v>
      </c>
      <c r="J15" s="1">
        <v>2681.15</v>
      </c>
      <c r="K15">
        <v>0</v>
      </c>
      <c r="L15">
        <v>0</v>
      </c>
      <c r="M15" t="s">
        <v>16</v>
      </c>
      <c r="N15" t="s">
        <v>17</v>
      </c>
      <c r="O15">
        <v>0</v>
      </c>
      <c r="P15">
        <v>0</v>
      </c>
      <c r="Q15">
        <v>0</v>
      </c>
    </row>
    <row r="16" spans="2:17" x14ac:dyDescent="0.25">
      <c r="B16" t="s">
        <v>16</v>
      </c>
      <c r="C16" t="s">
        <v>17</v>
      </c>
      <c r="D16" t="s">
        <v>17</v>
      </c>
      <c r="E16" t="s">
        <v>32</v>
      </c>
      <c r="F16">
        <v>29400.25</v>
      </c>
      <c r="G16">
        <v>29248.3</v>
      </c>
      <c r="H16">
        <v>29592.35</v>
      </c>
      <c r="I16">
        <v>29167.35</v>
      </c>
      <c r="J16" s="1">
        <v>29264</v>
      </c>
      <c r="K16">
        <v>0</v>
      </c>
      <c r="L16">
        <v>0</v>
      </c>
      <c r="M16" t="s">
        <v>16</v>
      </c>
      <c r="N16" t="s">
        <v>17</v>
      </c>
      <c r="O16">
        <v>0</v>
      </c>
      <c r="P16">
        <v>29835.9</v>
      </c>
      <c r="Q16">
        <v>16944.55</v>
      </c>
    </row>
    <row r="17" spans="2:17" x14ac:dyDescent="0.25">
      <c r="B17" t="s">
        <v>16</v>
      </c>
      <c r="C17" t="s">
        <v>17</v>
      </c>
      <c r="D17" t="s">
        <v>17</v>
      </c>
      <c r="E17" t="s">
        <v>33</v>
      </c>
      <c r="F17">
        <v>39188.15</v>
      </c>
      <c r="G17">
        <v>39020.35</v>
      </c>
      <c r="H17">
        <v>39234.699999999997</v>
      </c>
      <c r="I17">
        <v>38760.050000000003</v>
      </c>
      <c r="J17" s="1">
        <v>38934.75</v>
      </c>
      <c r="K17">
        <v>0</v>
      </c>
      <c r="L17">
        <v>0</v>
      </c>
      <c r="M17" t="s">
        <v>16</v>
      </c>
      <c r="N17" t="s">
        <v>17</v>
      </c>
      <c r="O17">
        <v>0</v>
      </c>
      <c r="P17">
        <v>39399.599999999999</v>
      </c>
      <c r="Q17">
        <v>25636.7</v>
      </c>
    </row>
    <row r="18" spans="2:17" x14ac:dyDescent="0.25">
      <c r="B18" t="s">
        <v>16</v>
      </c>
      <c r="C18" t="s">
        <v>17</v>
      </c>
      <c r="D18" t="s">
        <v>17</v>
      </c>
      <c r="E18" t="s">
        <v>34</v>
      </c>
      <c r="F18">
        <v>35751.800000000003</v>
      </c>
      <c r="G18">
        <v>35070.5</v>
      </c>
      <c r="H18">
        <v>35347.050000000003</v>
      </c>
      <c r="I18">
        <v>34899.199999999997</v>
      </c>
      <c r="J18" s="1">
        <v>35079.199999999997</v>
      </c>
      <c r="K18">
        <v>0</v>
      </c>
      <c r="L18">
        <v>0</v>
      </c>
      <c r="M18" t="s">
        <v>16</v>
      </c>
      <c r="N18" t="s">
        <v>17</v>
      </c>
      <c r="O18">
        <v>0</v>
      </c>
      <c r="P18">
        <v>37708.75</v>
      </c>
      <c r="Q18">
        <v>20404.900000000001</v>
      </c>
    </row>
    <row r="19" spans="2:17" x14ac:dyDescent="0.25">
      <c r="B19" t="s">
        <v>16</v>
      </c>
      <c r="C19" t="s">
        <v>17</v>
      </c>
      <c r="D19" t="s">
        <v>17</v>
      </c>
      <c r="E19" t="s">
        <v>35</v>
      </c>
      <c r="F19">
        <v>27851.15</v>
      </c>
      <c r="G19">
        <v>27703.9</v>
      </c>
      <c r="H19">
        <v>27818.65</v>
      </c>
      <c r="I19">
        <v>27472.5</v>
      </c>
      <c r="J19" s="1">
        <v>27625.4</v>
      </c>
      <c r="K19">
        <v>0</v>
      </c>
      <c r="L19">
        <v>0</v>
      </c>
      <c r="M19" t="s">
        <v>16</v>
      </c>
      <c r="N19" t="s">
        <v>17</v>
      </c>
      <c r="O19">
        <v>0</v>
      </c>
      <c r="P19">
        <v>27894.45</v>
      </c>
      <c r="Q19">
        <v>15302.5</v>
      </c>
    </row>
    <row r="20" spans="2:17" x14ac:dyDescent="0.25">
      <c r="B20" t="s">
        <v>16</v>
      </c>
      <c r="C20" t="s">
        <v>17</v>
      </c>
      <c r="D20" t="s">
        <v>17</v>
      </c>
      <c r="E20" t="s">
        <v>36</v>
      </c>
      <c r="F20">
        <v>13742.35</v>
      </c>
      <c r="G20">
        <v>13624.3</v>
      </c>
      <c r="H20">
        <v>13693.35</v>
      </c>
      <c r="I20">
        <v>13573.65</v>
      </c>
      <c r="J20" s="1">
        <v>13619.85</v>
      </c>
      <c r="K20">
        <v>0</v>
      </c>
      <c r="L20">
        <v>0</v>
      </c>
      <c r="M20" t="s">
        <v>16</v>
      </c>
      <c r="N20" t="s">
        <v>17</v>
      </c>
      <c r="O20">
        <v>0</v>
      </c>
      <c r="P20">
        <v>13761.1</v>
      </c>
      <c r="Q20">
        <v>8925.0499999999993</v>
      </c>
    </row>
    <row r="21" spans="2:17" x14ac:dyDescent="0.25">
      <c r="B21" t="s">
        <v>16</v>
      </c>
      <c r="C21" t="s">
        <v>17</v>
      </c>
      <c r="D21" t="s">
        <v>17</v>
      </c>
      <c r="E21" t="s">
        <v>37</v>
      </c>
      <c r="F21">
        <v>16172.05</v>
      </c>
      <c r="G21">
        <v>16015.05</v>
      </c>
      <c r="H21">
        <v>16097.4</v>
      </c>
      <c r="I21">
        <v>15958.3</v>
      </c>
      <c r="J21" s="1">
        <v>16006.9</v>
      </c>
      <c r="K21">
        <v>0</v>
      </c>
      <c r="L21">
        <v>0</v>
      </c>
      <c r="M21" t="s">
        <v>16</v>
      </c>
      <c r="N21" t="s">
        <v>17</v>
      </c>
      <c r="O21">
        <v>0</v>
      </c>
      <c r="P21">
        <v>16200.3</v>
      </c>
      <c r="Q21">
        <v>10906.7</v>
      </c>
    </row>
    <row r="22" spans="2:17" x14ac:dyDescent="0.25">
      <c r="B22" t="s">
        <v>16</v>
      </c>
      <c r="C22" t="s">
        <v>17</v>
      </c>
      <c r="D22" t="s">
        <v>17</v>
      </c>
      <c r="E22" t="s">
        <v>38</v>
      </c>
      <c r="F22">
        <v>7707.95</v>
      </c>
      <c r="G22">
        <v>7664.4</v>
      </c>
      <c r="H22">
        <v>7693.2</v>
      </c>
      <c r="I22">
        <v>7580.35</v>
      </c>
      <c r="J22" s="1">
        <v>7630.55</v>
      </c>
      <c r="K22">
        <v>0</v>
      </c>
      <c r="L22">
        <v>0</v>
      </c>
      <c r="M22" t="s">
        <v>16</v>
      </c>
      <c r="N22" t="s">
        <v>17</v>
      </c>
      <c r="O22">
        <v>0</v>
      </c>
      <c r="P22">
        <v>7718.2</v>
      </c>
      <c r="Q22">
        <v>4216.95</v>
      </c>
    </row>
    <row r="23" spans="2:17" x14ac:dyDescent="0.25">
      <c r="B23" t="s">
        <v>16</v>
      </c>
      <c r="C23" t="s">
        <v>17</v>
      </c>
      <c r="D23" t="s">
        <v>17</v>
      </c>
      <c r="E23" t="s">
        <v>39</v>
      </c>
      <c r="F23">
        <v>397.55</v>
      </c>
      <c r="G23">
        <v>393.45</v>
      </c>
      <c r="H23">
        <v>404.7</v>
      </c>
      <c r="I23">
        <v>391.65</v>
      </c>
      <c r="J23" s="1">
        <v>399.25</v>
      </c>
      <c r="K23">
        <v>0</v>
      </c>
      <c r="L23">
        <v>0</v>
      </c>
      <c r="M23" t="s">
        <v>16</v>
      </c>
      <c r="N23" t="s">
        <v>17</v>
      </c>
      <c r="O23">
        <v>0</v>
      </c>
      <c r="P23">
        <v>404.7</v>
      </c>
      <c r="Q23">
        <v>194.25</v>
      </c>
    </row>
    <row r="24" spans="2:17" x14ac:dyDescent="0.25">
      <c r="B24" t="s">
        <v>16</v>
      </c>
      <c r="C24" t="s">
        <v>17</v>
      </c>
      <c r="D24" t="s">
        <v>17</v>
      </c>
      <c r="E24" t="s">
        <v>40</v>
      </c>
      <c r="F24">
        <v>4456.75</v>
      </c>
      <c r="G24">
        <v>4433.55</v>
      </c>
      <c r="H24">
        <v>4478.8500000000004</v>
      </c>
      <c r="I24">
        <v>4415.2</v>
      </c>
      <c r="J24" s="1">
        <v>4438.5</v>
      </c>
      <c r="K24">
        <v>0</v>
      </c>
      <c r="L24">
        <v>0</v>
      </c>
      <c r="M24" t="s">
        <v>16</v>
      </c>
      <c r="N24" t="s">
        <v>17</v>
      </c>
      <c r="O24">
        <v>0</v>
      </c>
      <c r="P24">
        <v>4530</v>
      </c>
      <c r="Q24">
        <v>2952.65</v>
      </c>
    </row>
    <row r="25" spans="2:17" x14ac:dyDescent="0.25">
      <c r="B25" t="s">
        <v>16</v>
      </c>
      <c r="C25" t="s">
        <v>17</v>
      </c>
      <c r="D25" t="s">
        <v>17</v>
      </c>
      <c r="E25" t="s">
        <v>41</v>
      </c>
      <c r="F25">
        <v>19567.900000000001</v>
      </c>
      <c r="G25">
        <v>19506.900000000001</v>
      </c>
      <c r="H25">
        <v>19660.349999999999</v>
      </c>
      <c r="I25">
        <v>19428.75</v>
      </c>
      <c r="J25" s="1">
        <v>19517.3</v>
      </c>
      <c r="K25">
        <v>0</v>
      </c>
      <c r="L25">
        <v>0</v>
      </c>
      <c r="M25" t="s">
        <v>16</v>
      </c>
      <c r="N25" t="s">
        <v>17</v>
      </c>
      <c r="O25">
        <v>0</v>
      </c>
      <c r="P25">
        <v>21066.1</v>
      </c>
      <c r="Q25">
        <v>14399.65</v>
      </c>
    </row>
    <row r="26" spans="2:17" x14ac:dyDescent="0.25">
      <c r="B26" t="s">
        <v>16</v>
      </c>
      <c r="C26" t="s">
        <v>17</v>
      </c>
      <c r="D26" t="s">
        <v>17</v>
      </c>
      <c r="E26" t="s">
        <v>42</v>
      </c>
      <c r="F26">
        <v>36253.550000000003</v>
      </c>
      <c r="G26">
        <v>36073.35</v>
      </c>
      <c r="H26">
        <v>36295.35</v>
      </c>
      <c r="I26">
        <v>36054.75</v>
      </c>
      <c r="J26" s="1">
        <v>36180.400000000001</v>
      </c>
      <c r="K26">
        <v>0</v>
      </c>
      <c r="L26">
        <v>0</v>
      </c>
      <c r="M26" t="s">
        <v>16</v>
      </c>
      <c r="N26" t="s">
        <v>17</v>
      </c>
      <c r="O26">
        <v>0</v>
      </c>
      <c r="P26">
        <v>36565.25</v>
      </c>
      <c r="Q26">
        <v>28969.35</v>
      </c>
    </row>
    <row r="27" spans="2:17" x14ac:dyDescent="0.25">
      <c r="B27" t="s">
        <v>16</v>
      </c>
      <c r="C27" t="s">
        <v>17</v>
      </c>
      <c r="D27" t="s">
        <v>17</v>
      </c>
      <c r="E27" t="s">
        <v>43</v>
      </c>
      <c r="F27">
        <v>17720.349999999999</v>
      </c>
      <c r="G27">
        <v>17658.45</v>
      </c>
      <c r="H27">
        <v>17731.45</v>
      </c>
      <c r="I27">
        <v>17577.599999999999</v>
      </c>
      <c r="J27" s="1">
        <v>17636.7</v>
      </c>
      <c r="K27">
        <v>0</v>
      </c>
      <c r="L27">
        <v>0</v>
      </c>
      <c r="M27" t="s">
        <v>16</v>
      </c>
      <c r="N27" t="s">
        <v>17</v>
      </c>
      <c r="O27">
        <v>0</v>
      </c>
      <c r="P27">
        <v>17735.900000000001</v>
      </c>
      <c r="Q27">
        <v>13398.1</v>
      </c>
    </row>
    <row r="28" spans="2:17" x14ac:dyDescent="0.25">
      <c r="B28" t="s">
        <v>16</v>
      </c>
      <c r="C28" t="s">
        <v>17</v>
      </c>
      <c r="D28" t="s">
        <v>17</v>
      </c>
      <c r="E28" t="s">
        <v>44</v>
      </c>
      <c r="F28">
        <v>14635.05</v>
      </c>
      <c r="G28">
        <v>14556.75</v>
      </c>
      <c r="H28">
        <v>14707</v>
      </c>
      <c r="I28">
        <v>14549.85</v>
      </c>
      <c r="J28" s="1">
        <v>14669.9</v>
      </c>
      <c r="K28">
        <v>0</v>
      </c>
      <c r="L28">
        <v>0</v>
      </c>
      <c r="M28" t="s">
        <v>16</v>
      </c>
      <c r="N28" t="s">
        <v>17</v>
      </c>
      <c r="O28">
        <v>0</v>
      </c>
      <c r="P28">
        <v>14715.15</v>
      </c>
      <c r="Q28">
        <v>9994.7999999999993</v>
      </c>
    </row>
    <row r="29" spans="2:17" x14ac:dyDescent="0.25">
      <c r="B29" t="s">
        <v>16</v>
      </c>
      <c r="C29" t="s">
        <v>17</v>
      </c>
      <c r="D29" t="s">
        <v>17</v>
      </c>
      <c r="E29" t="s">
        <v>45</v>
      </c>
      <c r="F29">
        <v>3605.35</v>
      </c>
      <c r="G29">
        <v>3589.15</v>
      </c>
      <c r="H29">
        <v>3631.3</v>
      </c>
      <c r="I29">
        <v>3583.55</v>
      </c>
      <c r="J29" s="1">
        <v>3608.85</v>
      </c>
      <c r="K29">
        <v>0</v>
      </c>
      <c r="L29">
        <v>0</v>
      </c>
      <c r="M29" t="s">
        <v>16</v>
      </c>
      <c r="N29" t="s">
        <v>17</v>
      </c>
      <c r="O29">
        <v>0</v>
      </c>
      <c r="P29">
        <v>3766.05</v>
      </c>
      <c r="Q29">
        <v>2141.1999999999998</v>
      </c>
    </row>
    <row r="30" spans="2:17" x14ac:dyDescent="0.25">
      <c r="B30" t="s">
        <v>16</v>
      </c>
      <c r="C30" t="s">
        <v>17</v>
      </c>
      <c r="D30" t="s">
        <v>17</v>
      </c>
      <c r="E30" t="s">
        <v>46</v>
      </c>
      <c r="F30">
        <v>2462.65</v>
      </c>
      <c r="G30">
        <v>2441.6999999999998</v>
      </c>
      <c r="H30">
        <v>2451.85</v>
      </c>
      <c r="I30">
        <v>2419.35</v>
      </c>
      <c r="J30" s="1">
        <v>2435.0500000000002</v>
      </c>
      <c r="K30">
        <v>0</v>
      </c>
      <c r="L30">
        <v>0</v>
      </c>
      <c r="M30" t="s">
        <v>16</v>
      </c>
      <c r="N30" t="s">
        <v>17</v>
      </c>
      <c r="O30">
        <v>0</v>
      </c>
      <c r="P30">
        <v>2660.6</v>
      </c>
      <c r="Q30">
        <v>1232.55</v>
      </c>
    </row>
    <row r="31" spans="2:17" x14ac:dyDescent="0.25">
      <c r="B31" t="s">
        <v>16</v>
      </c>
      <c r="C31" t="s">
        <v>17</v>
      </c>
      <c r="D31" t="s">
        <v>17</v>
      </c>
      <c r="E31" t="s">
        <v>47</v>
      </c>
      <c r="F31">
        <v>22150.5</v>
      </c>
      <c r="G31">
        <v>21866.45</v>
      </c>
      <c r="H31">
        <v>21970.1</v>
      </c>
      <c r="I31">
        <v>21767.9</v>
      </c>
      <c r="J31" s="1">
        <v>21829.55</v>
      </c>
      <c r="K31">
        <v>0</v>
      </c>
      <c r="L31">
        <v>0</v>
      </c>
      <c r="M31" t="s">
        <v>16</v>
      </c>
      <c r="N31" t="s">
        <v>17</v>
      </c>
      <c r="O31">
        <v>0</v>
      </c>
      <c r="P31">
        <v>22309.7</v>
      </c>
      <c r="Q31">
        <v>13884.95</v>
      </c>
    </row>
    <row r="32" spans="2:17" x14ac:dyDescent="0.25">
      <c r="B32" t="s">
        <v>16</v>
      </c>
      <c r="C32" t="s">
        <v>17</v>
      </c>
      <c r="D32" t="s">
        <v>17</v>
      </c>
      <c r="E32" t="s">
        <v>48</v>
      </c>
      <c r="F32">
        <v>11.705</v>
      </c>
      <c r="G32">
        <v>11.705</v>
      </c>
      <c r="H32">
        <v>13.1975</v>
      </c>
      <c r="I32">
        <v>11.705</v>
      </c>
      <c r="J32" s="1">
        <v>12.68</v>
      </c>
      <c r="K32">
        <v>0</v>
      </c>
      <c r="L32">
        <v>0</v>
      </c>
      <c r="M32" t="s">
        <v>16</v>
      </c>
      <c r="N32" t="s">
        <v>17</v>
      </c>
      <c r="O32">
        <v>0</v>
      </c>
      <c r="P32">
        <v>29.645</v>
      </c>
      <c r="Q32">
        <v>10.484999999999999</v>
      </c>
    </row>
    <row r="33" spans="2:17" x14ac:dyDescent="0.25">
      <c r="B33" t="s">
        <v>16</v>
      </c>
      <c r="C33" t="s">
        <v>17</v>
      </c>
      <c r="D33" t="s">
        <v>17</v>
      </c>
      <c r="E33" t="s">
        <v>49</v>
      </c>
      <c r="F33">
        <v>10428.450000000001</v>
      </c>
      <c r="G33">
        <v>10372.299999999999</v>
      </c>
      <c r="H33">
        <v>10379.700000000001</v>
      </c>
      <c r="I33">
        <v>10268.4</v>
      </c>
      <c r="J33" s="1">
        <v>10310.9</v>
      </c>
      <c r="K33">
        <v>0</v>
      </c>
      <c r="L33">
        <v>0</v>
      </c>
      <c r="M33" t="s">
        <v>16</v>
      </c>
      <c r="N33" t="s">
        <v>17</v>
      </c>
      <c r="O33">
        <v>0</v>
      </c>
      <c r="P33">
        <v>11093.15</v>
      </c>
      <c r="Q33">
        <v>7121.95</v>
      </c>
    </row>
    <row r="34" spans="2:17" x14ac:dyDescent="0.25">
      <c r="B34" t="s">
        <v>16</v>
      </c>
      <c r="C34" t="s">
        <v>17</v>
      </c>
      <c r="D34" t="s">
        <v>17</v>
      </c>
      <c r="E34" t="s">
        <v>50</v>
      </c>
      <c r="F34">
        <v>5391.3</v>
      </c>
      <c r="G34">
        <v>5334.5</v>
      </c>
      <c r="H34">
        <v>5412.05</v>
      </c>
      <c r="I34">
        <v>5278.55</v>
      </c>
      <c r="J34" s="1">
        <v>5317.85</v>
      </c>
      <c r="K34">
        <v>0</v>
      </c>
      <c r="L34">
        <v>0</v>
      </c>
      <c r="M34" t="s">
        <v>16</v>
      </c>
      <c r="N34" t="s">
        <v>17</v>
      </c>
      <c r="O34">
        <v>0</v>
      </c>
      <c r="P34">
        <v>5524.25</v>
      </c>
      <c r="Q34">
        <v>2064.5</v>
      </c>
    </row>
    <row r="35" spans="2:17" x14ac:dyDescent="0.25">
      <c r="B35" t="s">
        <v>16</v>
      </c>
      <c r="C35" t="s">
        <v>17</v>
      </c>
      <c r="D35" t="s">
        <v>17</v>
      </c>
      <c r="E35" t="s">
        <v>51</v>
      </c>
      <c r="F35">
        <v>1800.9</v>
      </c>
      <c r="G35">
        <v>1792.1</v>
      </c>
      <c r="H35">
        <v>1810.3</v>
      </c>
      <c r="I35">
        <v>1783.3</v>
      </c>
      <c r="J35" s="1">
        <v>1791.45</v>
      </c>
      <c r="K35">
        <v>0</v>
      </c>
      <c r="L35">
        <v>0</v>
      </c>
      <c r="M35" t="s">
        <v>16</v>
      </c>
      <c r="N35" t="s">
        <v>17</v>
      </c>
      <c r="O35">
        <v>0</v>
      </c>
      <c r="P35">
        <v>1927.25</v>
      </c>
      <c r="Q35">
        <v>1270.2</v>
      </c>
    </row>
    <row r="36" spans="2:17" x14ac:dyDescent="0.25">
      <c r="B36" t="s">
        <v>16</v>
      </c>
      <c r="C36" t="s">
        <v>17</v>
      </c>
      <c r="D36" t="s">
        <v>17</v>
      </c>
      <c r="E36" t="s">
        <v>52</v>
      </c>
      <c r="F36">
        <v>10447.049999999999</v>
      </c>
      <c r="G36">
        <v>10382.5</v>
      </c>
      <c r="H36">
        <v>10497.5</v>
      </c>
      <c r="I36">
        <v>10340.25</v>
      </c>
      <c r="J36" s="1">
        <v>10450.700000000001</v>
      </c>
      <c r="K36">
        <v>0</v>
      </c>
      <c r="L36">
        <v>0</v>
      </c>
      <c r="M36" t="s">
        <v>16</v>
      </c>
      <c r="N36" t="s">
        <v>17</v>
      </c>
      <c r="O36">
        <v>0</v>
      </c>
      <c r="P36">
        <v>10497.5</v>
      </c>
      <c r="Q36">
        <v>4933.3999999999996</v>
      </c>
    </row>
    <row r="37" spans="2:17" x14ac:dyDescent="0.25">
      <c r="B37" t="s">
        <v>16</v>
      </c>
      <c r="C37" t="s">
        <v>17</v>
      </c>
      <c r="D37" t="s">
        <v>17</v>
      </c>
      <c r="E37" t="s">
        <v>53</v>
      </c>
      <c r="F37">
        <v>8457.4500000000007</v>
      </c>
      <c r="G37">
        <v>8380.2999999999993</v>
      </c>
      <c r="H37">
        <v>8420.9</v>
      </c>
      <c r="I37">
        <v>8345.2999999999993</v>
      </c>
      <c r="J37" s="1">
        <v>8373.4500000000007</v>
      </c>
      <c r="K37">
        <v>0</v>
      </c>
      <c r="L37">
        <v>0</v>
      </c>
      <c r="M37" t="s">
        <v>16</v>
      </c>
      <c r="N37" t="s">
        <v>17</v>
      </c>
      <c r="O37">
        <v>0</v>
      </c>
      <c r="P37">
        <v>8469.2000000000007</v>
      </c>
      <c r="Q37">
        <v>5593.35</v>
      </c>
    </row>
    <row r="38" spans="2:17" x14ac:dyDescent="0.25">
      <c r="B38" t="s">
        <v>16</v>
      </c>
      <c r="C38" t="s">
        <v>17</v>
      </c>
      <c r="D38" t="s">
        <v>17</v>
      </c>
      <c r="E38" t="s">
        <v>54</v>
      </c>
      <c r="F38">
        <v>3390.3</v>
      </c>
      <c r="G38">
        <v>3369.25</v>
      </c>
      <c r="H38">
        <v>3396.75</v>
      </c>
      <c r="I38">
        <v>3366.8</v>
      </c>
      <c r="J38" s="1">
        <v>3381.45</v>
      </c>
      <c r="K38">
        <v>0</v>
      </c>
      <c r="L38">
        <v>0</v>
      </c>
      <c r="M38" t="s">
        <v>16</v>
      </c>
      <c r="N38" t="s">
        <v>17</v>
      </c>
      <c r="O38">
        <v>0</v>
      </c>
      <c r="P38">
        <v>3396.75</v>
      </c>
      <c r="Q38">
        <v>2282.6</v>
      </c>
    </row>
    <row r="39" spans="2:17" x14ac:dyDescent="0.25">
      <c r="B39" t="s">
        <v>16</v>
      </c>
      <c r="C39" t="s">
        <v>17</v>
      </c>
      <c r="D39" t="s">
        <v>17</v>
      </c>
      <c r="E39" t="s">
        <v>55</v>
      </c>
      <c r="F39">
        <v>5297.1</v>
      </c>
      <c r="G39">
        <v>5263.5</v>
      </c>
      <c r="H39">
        <v>5308.8</v>
      </c>
      <c r="I39">
        <v>5244.75</v>
      </c>
      <c r="J39" s="1">
        <v>5273.35</v>
      </c>
      <c r="K39">
        <v>0</v>
      </c>
      <c r="L39">
        <v>0</v>
      </c>
      <c r="M39" t="s">
        <v>16</v>
      </c>
      <c r="N39" t="s">
        <v>17</v>
      </c>
      <c r="O39">
        <v>0</v>
      </c>
      <c r="P39">
        <v>5323.5</v>
      </c>
      <c r="Q39">
        <v>2957.85</v>
      </c>
    </row>
    <row r="40" spans="2:17" x14ac:dyDescent="0.25">
      <c r="B40" t="s">
        <v>16</v>
      </c>
      <c r="C40" t="s">
        <v>17</v>
      </c>
      <c r="D40" t="s">
        <v>17</v>
      </c>
      <c r="E40" t="s">
        <v>56</v>
      </c>
      <c r="F40">
        <v>6378.2</v>
      </c>
      <c r="G40">
        <v>6352.4</v>
      </c>
      <c r="H40">
        <v>6380.3</v>
      </c>
      <c r="I40">
        <v>6334.6</v>
      </c>
      <c r="J40" s="1">
        <v>6354</v>
      </c>
      <c r="K40">
        <v>0</v>
      </c>
      <c r="L40">
        <v>0</v>
      </c>
      <c r="M40" t="s">
        <v>16</v>
      </c>
      <c r="N40" t="s">
        <v>17</v>
      </c>
      <c r="O40">
        <v>0</v>
      </c>
      <c r="P40">
        <v>6438.6</v>
      </c>
      <c r="Q40">
        <v>4796.75</v>
      </c>
    </row>
    <row r="41" spans="2:17" x14ac:dyDescent="0.25">
      <c r="B41" t="s">
        <v>16</v>
      </c>
      <c r="C41" t="s">
        <v>17</v>
      </c>
      <c r="D41" t="s">
        <v>17</v>
      </c>
      <c r="E41" t="s">
        <v>57</v>
      </c>
      <c r="F41">
        <v>16884.099999999999</v>
      </c>
      <c r="G41">
        <v>16594.3</v>
      </c>
      <c r="H41">
        <v>16680.05</v>
      </c>
      <c r="I41">
        <v>16501.150000000001</v>
      </c>
      <c r="J41" s="1">
        <v>16555.75</v>
      </c>
      <c r="K41">
        <v>0</v>
      </c>
      <c r="L41">
        <v>0</v>
      </c>
      <c r="M41" t="s">
        <v>16</v>
      </c>
      <c r="N41" t="s">
        <v>17</v>
      </c>
      <c r="O41">
        <v>0</v>
      </c>
      <c r="P41">
        <v>17654.45</v>
      </c>
      <c r="Q41">
        <v>10113.549999999999</v>
      </c>
    </row>
    <row r="42" spans="2:17" x14ac:dyDescent="0.25">
      <c r="B42" t="s">
        <v>16</v>
      </c>
      <c r="C42" t="s">
        <v>17</v>
      </c>
      <c r="D42" t="s">
        <v>17</v>
      </c>
      <c r="E42" t="s">
        <v>58</v>
      </c>
      <c r="F42">
        <v>83.96</v>
      </c>
      <c r="G42">
        <v>83.96</v>
      </c>
      <c r="H42">
        <v>83.96</v>
      </c>
      <c r="I42">
        <v>83.96</v>
      </c>
      <c r="J42" s="1">
        <v>83.96</v>
      </c>
      <c r="K42">
        <v>0</v>
      </c>
      <c r="L42">
        <v>0</v>
      </c>
      <c r="M42" t="s">
        <v>16</v>
      </c>
      <c r="N42" t="s">
        <v>17</v>
      </c>
      <c r="O42">
        <v>0</v>
      </c>
      <c r="P42">
        <v>0</v>
      </c>
      <c r="Q42">
        <v>0</v>
      </c>
    </row>
    <row r="43" spans="2:17" x14ac:dyDescent="0.25">
      <c r="B43" t="s">
        <v>16</v>
      </c>
      <c r="C43" t="s">
        <v>17</v>
      </c>
      <c r="D43" t="s">
        <v>17</v>
      </c>
      <c r="E43" t="s">
        <v>59</v>
      </c>
      <c r="F43">
        <v>4082.05</v>
      </c>
      <c r="G43">
        <v>4030.85</v>
      </c>
      <c r="H43">
        <v>4073.2</v>
      </c>
      <c r="I43">
        <v>4018.7</v>
      </c>
      <c r="J43" s="1">
        <v>4041.35</v>
      </c>
      <c r="K43">
        <v>0</v>
      </c>
      <c r="L43">
        <v>0</v>
      </c>
      <c r="M43" t="s">
        <v>16</v>
      </c>
      <c r="N43" t="s">
        <v>17</v>
      </c>
      <c r="O43">
        <v>0</v>
      </c>
      <c r="P43">
        <v>4084.6</v>
      </c>
      <c r="Q43">
        <v>2478.5</v>
      </c>
    </row>
    <row r="44" spans="2:17" x14ac:dyDescent="0.25">
      <c r="B44" t="s">
        <v>16</v>
      </c>
      <c r="C44" t="s">
        <v>17</v>
      </c>
      <c r="D44" t="s">
        <v>17</v>
      </c>
      <c r="E44" t="s">
        <v>60</v>
      </c>
      <c r="F44">
        <v>2055</v>
      </c>
      <c r="G44">
        <v>2044.25</v>
      </c>
      <c r="H44">
        <v>2061.5500000000002</v>
      </c>
      <c r="I44">
        <v>2040.4</v>
      </c>
      <c r="J44" s="1">
        <v>2054.65</v>
      </c>
      <c r="K44">
        <v>0</v>
      </c>
      <c r="L44">
        <v>0</v>
      </c>
      <c r="M44" t="s">
        <v>16</v>
      </c>
      <c r="N44" t="s">
        <v>17</v>
      </c>
      <c r="O44">
        <v>0</v>
      </c>
      <c r="P44">
        <v>2125.4499999999998</v>
      </c>
      <c r="Q44">
        <v>1252.3499999999999</v>
      </c>
    </row>
    <row r="45" spans="2:17" x14ac:dyDescent="0.25">
      <c r="B45" t="s">
        <v>16</v>
      </c>
      <c r="C45" t="s">
        <v>17</v>
      </c>
      <c r="D45" t="s">
        <v>17</v>
      </c>
      <c r="E45" t="s">
        <v>61</v>
      </c>
      <c r="F45">
        <v>7670.7</v>
      </c>
      <c r="G45">
        <v>7633.95</v>
      </c>
      <c r="H45">
        <v>7680.6</v>
      </c>
      <c r="I45">
        <v>7627.85</v>
      </c>
      <c r="J45" s="1">
        <v>7658.05</v>
      </c>
      <c r="K45">
        <v>0</v>
      </c>
      <c r="L45">
        <v>0</v>
      </c>
      <c r="M45" t="s">
        <v>16</v>
      </c>
      <c r="N45" t="s">
        <v>17</v>
      </c>
      <c r="O45">
        <v>0</v>
      </c>
      <c r="P45">
        <v>7760.2</v>
      </c>
      <c r="Q45">
        <v>5019.95</v>
      </c>
    </row>
    <row r="46" spans="2:17" x14ac:dyDescent="0.25">
      <c r="B46" t="s">
        <v>16</v>
      </c>
      <c r="C46" t="s">
        <v>17</v>
      </c>
      <c r="D46" t="s">
        <v>17</v>
      </c>
      <c r="E46" t="s">
        <v>62</v>
      </c>
      <c r="F46">
        <v>7608.45</v>
      </c>
      <c r="G46">
        <v>7445</v>
      </c>
      <c r="H46">
        <v>7523.6</v>
      </c>
      <c r="I46">
        <v>7400.2</v>
      </c>
      <c r="J46" s="1">
        <v>7442.95</v>
      </c>
      <c r="K46">
        <v>0</v>
      </c>
      <c r="L46">
        <v>0</v>
      </c>
      <c r="M46" t="s">
        <v>16</v>
      </c>
      <c r="N46" t="s">
        <v>17</v>
      </c>
      <c r="O46">
        <v>0</v>
      </c>
      <c r="P46">
        <v>7644.65</v>
      </c>
      <c r="Q46">
        <v>3669.55</v>
      </c>
    </row>
    <row r="47" spans="2:17" x14ac:dyDescent="0.25">
      <c r="B47" t="s">
        <v>16</v>
      </c>
      <c r="C47" t="s">
        <v>17</v>
      </c>
      <c r="D47" t="s">
        <v>17</v>
      </c>
      <c r="E47" t="s">
        <v>63</v>
      </c>
      <c r="F47">
        <v>276.5</v>
      </c>
      <c r="G47">
        <v>279.5</v>
      </c>
      <c r="H47">
        <v>280.3</v>
      </c>
      <c r="I47">
        <v>278.05</v>
      </c>
      <c r="J47" s="1">
        <v>279.5</v>
      </c>
      <c r="K47">
        <v>0</v>
      </c>
      <c r="L47">
        <v>0</v>
      </c>
      <c r="M47" t="s">
        <v>16</v>
      </c>
      <c r="N47" t="s">
        <v>17</v>
      </c>
      <c r="O47">
        <v>0</v>
      </c>
      <c r="P47">
        <v>406.5</v>
      </c>
      <c r="Q47">
        <v>275.8</v>
      </c>
    </row>
    <row r="48" spans="2:17" x14ac:dyDescent="0.25">
      <c r="B48" t="s">
        <v>16</v>
      </c>
      <c r="C48" t="s">
        <v>17</v>
      </c>
      <c r="D48" t="s">
        <v>17</v>
      </c>
      <c r="E48" t="s">
        <v>64</v>
      </c>
      <c r="F48">
        <v>10264.25</v>
      </c>
      <c r="G48">
        <v>10043.700000000001</v>
      </c>
      <c r="H48">
        <v>10149.75</v>
      </c>
      <c r="I48">
        <v>9983.2999999999993</v>
      </c>
      <c r="J48" s="1">
        <v>10040.950000000001</v>
      </c>
      <c r="K48">
        <v>0</v>
      </c>
      <c r="L48">
        <v>0</v>
      </c>
      <c r="M48" t="s">
        <v>16</v>
      </c>
      <c r="N48" t="s">
        <v>17</v>
      </c>
      <c r="O48">
        <v>0</v>
      </c>
      <c r="P48">
        <v>10313.049999999999</v>
      </c>
      <c r="Q48">
        <v>4852</v>
      </c>
    </row>
    <row r="49" spans="2:17" x14ac:dyDescent="0.25">
      <c r="B49" t="s">
        <v>16</v>
      </c>
      <c r="C49" t="s">
        <v>17</v>
      </c>
      <c r="D49" t="s">
        <v>17</v>
      </c>
      <c r="E49" t="s">
        <v>65</v>
      </c>
      <c r="F49">
        <v>238.15</v>
      </c>
      <c r="G49">
        <v>240.75</v>
      </c>
      <c r="H49">
        <v>241.45</v>
      </c>
      <c r="I49">
        <v>239.5</v>
      </c>
      <c r="J49" s="1">
        <v>240.75</v>
      </c>
      <c r="K49">
        <v>0</v>
      </c>
      <c r="L49">
        <v>0</v>
      </c>
      <c r="M49" t="s">
        <v>16</v>
      </c>
      <c r="N49" t="s">
        <v>17</v>
      </c>
      <c r="O49">
        <v>0</v>
      </c>
      <c r="P49">
        <v>353.7</v>
      </c>
      <c r="Q49">
        <v>237.6</v>
      </c>
    </row>
    <row r="50" spans="2:17" x14ac:dyDescent="0.25">
      <c r="B50" t="s">
        <v>16</v>
      </c>
      <c r="C50" t="s">
        <v>17</v>
      </c>
      <c r="D50" t="s">
        <v>17</v>
      </c>
      <c r="E50" t="s">
        <v>66</v>
      </c>
      <c r="F50">
        <v>8125.9</v>
      </c>
      <c r="G50">
        <v>8064.45</v>
      </c>
      <c r="H50">
        <v>8116.2</v>
      </c>
      <c r="I50">
        <v>8059.55</v>
      </c>
      <c r="J50" s="1">
        <v>8077.75</v>
      </c>
      <c r="K50">
        <v>0</v>
      </c>
      <c r="L50">
        <v>0</v>
      </c>
      <c r="M50" t="s">
        <v>16</v>
      </c>
      <c r="N50" t="s">
        <v>17</v>
      </c>
      <c r="O50">
        <v>0</v>
      </c>
      <c r="P50">
        <v>8163.7</v>
      </c>
      <c r="Q50">
        <v>5372.2</v>
      </c>
    </row>
    <row r="51" spans="2:17" x14ac:dyDescent="0.25">
      <c r="B51" t="s">
        <v>16</v>
      </c>
      <c r="C51" t="s">
        <v>17</v>
      </c>
      <c r="D51" t="s">
        <v>17</v>
      </c>
      <c r="E51" t="s">
        <v>67</v>
      </c>
      <c r="F51">
        <v>6494.6</v>
      </c>
      <c r="G51">
        <v>6447.95</v>
      </c>
      <c r="H51">
        <v>6470.15</v>
      </c>
      <c r="I51">
        <v>6391.05</v>
      </c>
      <c r="J51" s="1">
        <v>6429.2</v>
      </c>
      <c r="K51">
        <v>0</v>
      </c>
      <c r="L51">
        <v>0</v>
      </c>
      <c r="M51" t="s">
        <v>16</v>
      </c>
      <c r="N51" t="s">
        <v>17</v>
      </c>
      <c r="O51">
        <v>0</v>
      </c>
      <c r="P51">
        <v>6506.3</v>
      </c>
      <c r="Q51">
        <v>3567.8</v>
      </c>
    </row>
    <row r="52" spans="2:17" x14ac:dyDescent="0.25">
      <c r="B52" t="s">
        <v>16</v>
      </c>
      <c r="C52" t="s">
        <v>17</v>
      </c>
      <c r="D52" t="s">
        <v>17</v>
      </c>
      <c r="E52" t="s">
        <v>68</v>
      </c>
      <c r="F52">
        <v>18710</v>
      </c>
      <c r="G52">
        <v>18354.25</v>
      </c>
      <c r="H52">
        <v>18501.150000000001</v>
      </c>
      <c r="I52">
        <v>18260.55</v>
      </c>
      <c r="J52" s="1">
        <v>18330.2</v>
      </c>
      <c r="K52">
        <v>0</v>
      </c>
      <c r="L52">
        <v>0</v>
      </c>
      <c r="M52" t="s">
        <v>16</v>
      </c>
      <c r="N52" t="s">
        <v>17</v>
      </c>
      <c r="O52">
        <v>0</v>
      </c>
      <c r="P52">
        <v>20068.55</v>
      </c>
      <c r="Q52">
        <v>11219</v>
      </c>
    </row>
    <row r="53" spans="2:17" x14ac:dyDescent="0.25">
      <c r="B53" t="s">
        <v>16</v>
      </c>
      <c r="C53" t="s">
        <v>17</v>
      </c>
      <c r="D53" t="s">
        <v>17</v>
      </c>
      <c r="E53" t="s">
        <v>69</v>
      </c>
      <c r="F53">
        <v>3638.2</v>
      </c>
      <c r="G53">
        <v>3617.65</v>
      </c>
      <c r="H53">
        <v>3634.1</v>
      </c>
      <c r="I53">
        <v>3606.55</v>
      </c>
      <c r="J53" s="1">
        <v>3616.1</v>
      </c>
      <c r="K53">
        <v>0</v>
      </c>
      <c r="L53">
        <v>0</v>
      </c>
      <c r="M53" t="s">
        <v>16</v>
      </c>
      <c r="N53" t="s">
        <v>17</v>
      </c>
      <c r="O53">
        <v>0</v>
      </c>
      <c r="P53">
        <v>0</v>
      </c>
      <c r="Q53">
        <v>0</v>
      </c>
    </row>
    <row r="54" spans="2:17" x14ac:dyDescent="0.25">
      <c r="B54" t="s">
        <v>16</v>
      </c>
      <c r="C54" t="s">
        <v>17</v>
      </c>
      <c r="D54" t="s">
        <v>17</v>
      </c>
      <c r="E54" t="s">
        <v>70</v>
      </c>
      <c r="F54">
        <v>2261.41</v>
      </c>
      <c r="G54">
        <v>2261.8000000000002</v>
      </c>
      <c r="H54">
        <v>2263.8000000000002</v>
      </c>
      <c r="I54">
        <v>2261.23</v>
      </c>
      <c r="J54" s="1">
        <v>2263.4499999999998</v>
      </c>
      <c r="K54">
        <v>0</v>
      </c>
      <c r="L54">
        <v>0</v>
      </c>
      <c r="M54" t="s">
        <v>16</v>
      </c>
      <c r="N54" t="s">
        <v>17</v>
      </c>
      <c r="O54">
        <v>0</v>
      </c>
      <c r="P54">
        <v>0</v>
      </c>
      <c r="Q54">
        <v>0</v>
      </c>
    </row>
    <row r="55" spans="2:17" x14ac:dyDescent="0.25">
      <c r="B55" t="s">
        <v>16</v>
      </c>
      <c r="C55" t="s">
        <v>17</v>
      </c>
      <c r="D55" t="s">
        <v>17</v>
      </c>
      <c r="E55" t="s">
        <v>71</v>
      </c>
      <c r="F55">
        <v>2046.46</v>
      </c>
      <c r="G55">
        <v>2046.8</v>
      </c>
      <c r="H55">
        <v>2050.2399999999998</v>
      </c>
      <c r="I55">
        <v>2046.8</v>
      </c>
      <c r="J55" s="1">
        <v>2049.7199999999998</v>
      </c>
      <c r="K55">
        <v>0</v>
      </c>
      <c r="L55">
        <v>0</v>
      </c>
      <c r="M55" t="s">
        <v>16</v>
      </c>
      <c r="N55" t="s">
        <v>17</v>
      </c>
      <c r="O55">
        <v>0</v>
      </c>
      <c r="P55">
        <v>0</v>
      </c>
      <c r="Q55">
        <v>0</v>
      </c>
    </row>
    <row r="56" spans="2:17" x14ac:dyDescent="0.25">
      <c r="B56" t="s">
        <v>16</v>
      </c>
      <c r="C56" t="s">
        <v>17</v>
      </c>
      <c r="D56" t="s">
        <v>17</v>
      </c>
      <c r="E56" t="s">
        <v>72</v>
      </c>
      <c r="F56">
        <v>943.44</v>
      </c>
      <c r="G56">
        <v>943.44</v>
      </c>
      <c r="H56">
        <v>945.03</v>
      </c>
      <c r="I56">
        <v>943.44</v>
      </c>
      <c r="J56" s="1">
        <v>944.79</v>
      </c>
      <c r="K56">
        <v>0</v>
      </c>
      <c r="L56">
        <v>0</v>
      </c>
      <c r="M56" t="s">
        <v>16</v>
      </c>
      <c r="N56" t="s">
        <v>17</v>
      </c>
      <c r="O56">
        <v>0</v>
      </c>
      <c r="P56">
        <v>0</v>
      </c>
      <c r="Q56">
        <v>0</v>
      </c>
    </row>
    <row r="57" spans="2:17" x14ac:dyDescent="0.25">
      <c r="B57" t="s">
        <v>16</v>
      </c>
      <c r="C57" t="s">
        <v>17</v>
      </c>
      <c r="D57" t="s">
        <v>17</v>
      </c>
      <c r="E57" t="s">
        <v>73</v>
      </c>
      <c r="F57">
        <v>2430.1</v>
      </c>
      <c r="G57">
        <v>2430.4899999999998</v>
      </c>
      <c r="H57">
        <v>2434.04</v>
      </c>
      <c r="I57">
        <v>2430.0100000000002</v>
      </c>
      <c r="J57" s="1">
        <v>2433.66</v>
      </c>
      <c r="K57">
        <v>0</v>
      </c>
      <c r="L57">
        <v>0</v>
      </c>
      <c r="M57" t="s">
        <v>16</v>
      </c>
      <c r="N57" t="s">
        <v>17</v>
      </c>
      <c r="O57">
        <v>0</v>
      </c>
      <c r="P57">
        <v>0</v>
      </c>
      <c r="Q57">
        <v>0</v>
      </c>
    </row>
    <row r="58" spans="2:17" x14ac:dyDescent="0.25">
      <c r="B58" t="s">
        <v>16</v>
      </c>
      <c r="C58" t="s">
        <v>17</v>
      </c>
      <c r="D58" t="s">
        <v>17</v>
      </c>
      <c r="E58" t="s">
        <v>74</v>
      </c>
      <c r="F58">
        <v>2415.7600000000002</v>
      </c>
      <c r="G58">
        <v>2416.21</v>
      </c>
      <c r="H58">
        <v>2417.88</v>
      </c>
      <c r="I58">
        <v>2415.7600000000002</v>
      </c>
      <c r="J58" s="1">
        <v>2417.04</v>
      </c>
      <c r="K58">
        <v>0</v>
      </c>
      <c r="L58">
        <v>0</v>
      </c>
      <c r="M58" t="s">
        <v>16</v>
      </c>
      <c r="N58" t="s">
        <v>17</v>
      </c>
      <c r="O58">
        <v>0</v>
      </c>
      <c r="P58">
        <v>0</v>
      </c>
      <c r="Q58">
        <v>0</v>
      </c>
    </row>
    <row r="59" spans="2:17" x14ac:dyDescent="0.25">
      <c r="B59" t="s">
        <v>16</v>
      </c>
      <c r="C59" t="s">
        <v>17</v>
      </c>
      <c r="D59" t="s">
        <v>17</v>
      </c>
      <c r="E59" t="s">
        <v>75</v>
      </c>
      <c r="F59">
        <v>2569.44</v>
      </c>
      <c r="G59">
        <v>2569.94</v>
      </c>
      <c r="H59">
        <v>2576.5</v>
      </c>
      <c r="I59">
        <v>2569.94</v>
      </c>
      <c r="J59" s="1">
        <v>2576.5</v>
      </c>
      <c r="K59">
        <v>0</v>
      </c>
      <c r="L59">
        <v>0</v>
      </c>
      <c r="M59" t="s">
        <v>16</v>
      </c>
      <c r="N59" t="s">
        <v>17</v>
      </c>
      <c r="O59">
        <v>0</v>
      </c>
      <c r="P59">
        <v>0</v>
      </c>
      <c r="Q59">
        <v>0</v>
      </c>
    </row>
    <row r="60" spans="2:17" x14ac:dyDescent="0.25">
      <c r="B60" t="s">
        <v>16</v>
      </c>
      <c r="C60" t="s">
        <v>17</v>
      </c>
      <c r="D60" t="s">
        <v>17</v>
      </c>
      <c r="E60" t="s">
        <v>76</v>
      </c>
      <c r="F60">
        <v>2311.59</v>
      </c>
      <c r="G60">
        <v>2311.98</v>
      </c>
      <c r="H60">
        <v>2315.13</v>
      </c>
      <c r="I60">
        <v>2311.79</v>
      </c>
      <c r="J60" s="1">
        <v>2314.75</v>
      </c>
      <c r="K60">
        <v>0</v>
      </c>
      <c r="L60">
        <v>0</v>
      </c>
      <c r="M60" t="s">
        <v>16</v>
      </c>
      <c r="N60" t="s">
        <v>17</v>
      </c>
      <c r="O60">
        <v>0</v>
      </c>
      <c r="P60">
        <v>0</v>
      </c>
      <c r="Q60">
        <v>0</v>
      </c>
    </row>
    <row r="61" spans="2:17" x14ac:dyDescent="0.25">
      <c r="B61" t="s">
        <v>17</v>
      </c>
      <c r="C61" t="s">
        <v>17</v>
      </c>
      <c r="D61" t="s">
        <v>17</v>
      </c>
      <c r="E61" t="s">
        <v>17</v>
      </c>
      <c r="F61" t="s">
        <v>17</v>
      </c>
      <c r="G61" t="s">
        <v>17</v>
      </c>
      <c r="H61" t="s">
        <v>17</v>
      </c>
      <c r="I61" t="s">
        <v>17</v>
      </c>
      <c r="J61" s="1" t="s">
        <v>17</v>
      </c>
      <c r="K61" t="s">
        <v>17</v>
      </c>
      <c r="L61" t="s">
        <v>17</v>
      </c>
      <c r="M61" t="s">
        <v>16</v>
      </c>
      <c r="N61" t="s">
        <v>17</v>
      </c>
      <c r="O61" t="s">
        <v>17</v>
      </c>
      <c r="P61" t="s">
        <v>17</v>
      </c>
      <c r="Q61" t="s">
        <v>17</v>
      </c>
    </row>
    <row r="62" spans="2:17" x14ac:dyDescent="0.25">
      <c r="B62" t="s">
        <v>17</v>
      </c>
      <c r="C62" t="s">
        <v>17</v>
      </c>
      <c r="D62" t="s">
        <v>17</v>
      </c>
      <c r="E62" t="s">
        <v>17</v>
      </c>
      <c r="F62" t="s">
        <v>17</v>
      </c>
      <c r="G62" t="s">
        <v>17</v>
      </c>
      <c r="H62" t="s">
        <v>17</v>
      </c>
      <c r="I62" t="s">
        <v>17</v>
      </c>
      <c r="J62" s="1" t="s">
        <v>17</v>
      </c>
      <c r="K62" t="s">
        <v>17</v>
      </c>
      <c r="L62" t="s">
        <v>17</v>
      </c>
      <c r="M62" t="s">
        <v>16</v>
      </c>
      <c r="N62" t="s">
        <v>17</v>
      </c>
      <c r="O62" t="s">
        <v>17</v>
      </c>
      <c r="P62" t="s">
        <v>17</v>
      </c>
      <c r="Q62" t="s">
        <v>17</v>
      </c>
    </row>
    <row r="63" spans="2:17" x14ac:dyDescent="0.25">
      <c r="B63" t="s">
        <v>17</v>
      </c>
      <c r="C63" t="s">
        <v>17</v>
      </c>
      <c r="D63" t="s">
        <v>17</v>
      </c>
      <c r="E63" t="s">
        <v>77</v>
      </c>
      <c r="F63" t="s">
        <v>17</v>
      </c>
      <c r="G63" t="s">
        <v>17</v>
      </c>
      <c r="H63" t="s">
        <v>17</v>
      </c>
      <c r="I63" t="s">
        <v>17</v>
      </c>
      <c r="J63" s="1" t="s">
        <v>17</v>
      </c>
      <c r="K63" t="s">
        <v>17</v>
      </c>
      <c r="L63" t="s">
        <v>17</v>
      </c>
      <c r="M63" t="s">
        <v>16</v>
      </c>
      <c r="N63" t="s">
        <v>17</v>
      </c>
      <c r="O63" t="s">
        <v>17</v>
      </c>
      <c r="P63" t="s">
        <v>17</v>
      </c>
      <c r="Q63" t="s">
        <v>17</v>
      </c>
    </row>
    <row r="64" spans="2:17" x14ac:dyDescent="0.25">
      <c r="B64" t="s">
        <v>78</v>
      </c>
      <c r="C64" t="s">
        <v>79</v>
      </c>
      <c r="D64" t="s">
        <v>80</v>
      </c>
      <c r="E64" t="s">
        <v>81</v>
      </c>
      <c r="F64">
        <v>687.6</v>
      </c>
      <c r="G64">
        <v>686</v>
      </c>
      <c r="H64">
        <v>693</v>
      </c>
      <c r="I64">
        <v>661.4</v>
      </c>
      <c r="J64" s="1">
        <v>673.7</v>
      </c>
      <c r="K64">
        <v>9232645826.7999992</v>
      </c>
      <c r="L64">
        <v>13618862</v>
      </c>
      <c r="M64" t="s">
        <v>16</v>
      </c>
      <c r="N64" t="s">
        <v>17</v>
      </c>
      <c r="O64">
        <v>209938</v>
      </c>
      <c r="P64">
        <v>901</v>
      </c>
      <c r="Q64">
        <v>298</v>
      </c>
    </row>
    <row r="65" spans="2:17" x14ac:dyDescent="0.25">
      <c r="B65" t="s">
        <v>78</v>
      </c>
      <c r="C65" t="s">
        <v>79</v>
      </c>
      <c r="D65" t="s">
        <v>82</v>
      </c>
      <c r="E65" t="s">
        <v>83</v>
      </c>
      <c r="F65">
        <v>2989.3</v>
      </c>
      <c r="G65">
        <v>2989.3</v>
      </c>
      <c r="H65">
        <v>2999.7</v>
      </c>
      <c r="I65">
        <v>2965</v>
      </c>
      <c r="J65" s="1">
        <v>2981.95</v>
      </c>
      <c r="K65">
        <v>2498124639.4000001</v>
      </c>
      <c r="L65">
        <v>837836</v>
      </c>
      <c r="M65" t="s">
        <v>16</v>
      </c>
      <c r="N65" t="s">
        <v>17</v>
      </c>
      <c r="O65">
        <v>55888</v>
      </c>
      <c r="P65">
        <v>3092.85</v>
      </c>
      <c r="Q65">
        <v>1682</v>
      </c>
    </row>
    <row r="66" spans="2:17" x14ac:dyDescent="0.25">
      <c r="B66" t="s">
        <v>78</v>
      </c>
      <c r="C66" t="s">
        <v>79</v>
      </c>
      <c r="D66" t="s">
        <v>84</v>
      </c>
      <c r="E66" t="s">
        <v>85</v>
      </c>
      <c r="F66">
        <v>771.15</v>
      </c>
      <c r="G66">
        <v>752.3</v>
      </c>
      <c r="H66">
        <v>766.65</v>
      </c>
      <c r="I66">
        <v>749.6</v>
      </c>
      <c r="J66" s="1">
        <v>755.2</v>
      </c>
      <c r="K66">
        <v>4208529923.6999998</v>
      </c>
      <c r="L66">
        <v>5554486</v>
      </c>
      <c r="M66" t="s">
        <v>16</v>
      </c>
      <c r="N66" t="s">
        <v>17</v>
      </c>
      <c r="O66">
        <v>105202</v>
      </c>
      <c r="P66">
        <v>799</v>
      </c>
      <c r="Q66">
        <v>400.15</v>
      </c>
    </row>
    <row r="67" spans="2:17" x14ac:dyDescent="0.25">
      <c r="B67" t="s">
        <v>78</v>
      </c>
      <c r="C67" t="s">
        <v>79</v>
      </c>
      <c r="D67" t="s">
        <v>86</v>
      </c>
      <c r="E67" t="s">
        <v>87</v>
      </c>
      <c r="F67">
        <v>3931.95</v>
      </c>
      <c r="G67">
        <v>3922</v>
      </c>
      <c r="H67">
        <v>3939</v>
      </c>
      <c r="I67">
        <v>3875</v>
      </c>
      <c r="J67" s="1">
        <v>3882.85</v>
      </c>
      <c r="K67">
        <v>1589867471.55</v>
      </c>
      <c r="L67">
        <v>408067</v>
      </c>
      <c r="M67" t="s">
        <v>16</v>
      </c>
      <c r="N67" t="s">
        <v>17</v>
      </c>
      <c r="O67">
        <v>46342</v>
      </c>
      <c r="P67">
        <v>4361.3999999999996</v>
      </c>
      <c r="Q67">
        <v>2822.45</v>
      </c>
    </row>
    <row r="68" spans="2:17" x14ac:dyDescent="0.25">
      <c r="B68" t="s">
        <v>78</v>
      </c>
      <c r="C68" t="s">
        <v>79</v>
      </c>
      <c r="D68" t="s">
        <v>88</v>
      </c>
      <c r="E68" t="s">
        <v>89</v>
      </c>
      <c r="F68">
        <f>12745.7*(1/5)</f>
        <v>2549.1400000000003</v>
      </c>
      <c r="G68">
        <f>12680*(1/5)</f>
        <v>2536</v>
      </c>
      <c r="H68">
        <f>12820*(1/5)</f>
        <v>2564</v>
      </c>
      <c r="I68">
        <f>12643.2*(1/5)</f>
        <v>2528.6400000000003</v>
      </c>
      <c r="J68" s="1">
        <f>12721.1*(1/5)</f>
        <v>2544.2200000000003</v>
      </c>
      <c r="K68">
        <v>2395310711.9000001</v>
      </c>
      <c r="L68">
        <v>188197</v>
      </c>
      <c r="M68" t="s">
        <v>16</v>
      </c>
      <c r="N68" t="s">
        <v>17</v>
      </c>
      <c r="O68">
        <v>26561</v>
      </c>
      <c r="P68">
        <v>13110</v>
      </c>
      <c r="Q68">
        <v>5400</v>
      </c>
    </row>
    <row r="69" spans="2:17" x14ac:dyDescent="0.25">
      <c r="B69" t="s">
        <v>78</v>
      </c>
      <c r="C69" t="s">
        <v>79</v>
      </c>
      <c r="D69" t="s">
        <v>90</v>
      </c>
      <c r="E69" t="s">
        <v>91</v>
      </c>
      <c r="F69">
        <v>6125.45</v>
      </c>
      <c r="G69">
        <v>6088</v>
      </c>
      <c r="H69">
        <v>6123</v>
      </c>
      <c r="I69">
        <v>5935</v>
      </c>
      <c r="J69" s="1">
        <v>6015.4</v>
      </c>
      <c r="K69">
        <v>7797277360</v>
      </c>
      <c r="L69">
        <v>1290532</v>
      </c>
      <c r="M69" t="s">
        <v>16</v>
      </c>
      <c r="N69" t="s">
        <v>17</v>
      </c>
      <c r="O69">
        <v>97115</v>
      </c>
      <c r="P69">
        <v>6342.8</v>
      </c>
      <c r="Q69">
        <v>3006.9</v>
      </c>
    </row>
    <row r="70" spans="2:17" x14ac:dyDescent="0.25">
      <c r="B70" t="s">
        <v>78</v>
      </c>
      <c r="C70" t="s">
        <v>79</v>
      </c>
      <c r="D70" t="s">
        <v>92</v>
      </c>
      <c r="E70" t="s">
        <v>93</v>
      </c>
      <c r="F70">
        <v>541.15</v>
      </c>
      <c r="G70">
        <v>539</v>
      </c>
      <c r="H70">
        <v>544.70000000000005</v>
      </c>
      <c r="I70">
        <v>529.29999999999995</v>
      </c>
      <c r="J70" s="1">
        <v>538.45000000000005</v>
      </c>
      <c r="K70">
        <v>4836579078.1499996</v>
      </c>
      <c r="L70">
        <v>8962285</v>
      </c>
      <c r="M70" t="s">
        <v>16</v>
      </c>
      <c r="N70" t="s">
        <v>17</v>
      </c>
      <c r="O70">
        <v>124002</v>
      </c>
      <c r="P70">
        <v>623</v>
      </c>
      <c r="Q70">
        <v>394</v>
      </c>
    </row>
    <row r="71" spans="2:17" x14ac:dyDescent="0.25">
      <c r="B71" t="s">
        <v>78</v>
      </c>
      <c r="C71" t="s">
        <v>79</v>
      </c>
      <c r="D71" t="s">
        <v>94</v>
      </c>
      <c r="E71" t="s">
        <v>95</v>
      </c>
      <c r="F71">
        <v>448</v>
      </c>
      <c r="G71">
        <v>446</v>
      </c>
      <c r="H71">
        <v>459</v>
      </c>
      <c r="I71">
        <v>445.2</v>
      </c>
      <c r="J71" s="1">
        <v>453.9</v>
      </c>
      <c r="K71">
        <v>3352490717.8000002</v>
      </c>
      <c r="L71">
        <v>7368974</v>
      </c>
      <c r="M71" t="s">
        <v>16</v>
      </c>
      <c r="N71" t="s">
        <v>17</v>
      </c>
      <c r="O71">
        <v>90605</v>
      </c>
      <c r="P71">
        <v>493.9</v>
      </c>
      <c r="Q71">
        <v>325</v>
      </c>
    </row>
    <row r="72" spans="2:17" x14ac:dyDescent="0.25">
      <c r="B72" t="s">
        <v>78</v>
      </c>
      <c r="C72" t="s">
        <v>79</v>
      </c>
      <c r="D72" t="s">
        <v>96</v>
      </c>
      <c r="E72" t="s">
        <v>97</v>
      </c>
      <c r="F72">
        <v>3441</v>
      </c>
      <c r="G72">
        <v>3440.4</v>
      </c>
      <c r="H72">
        <v>3457.5</v>
      </c>
      <c r="I72">
        <v>3426.1</v>
      </c>
      <c r="J72" s="1">
        <v>3450.15</v>
      </c>
      <c r="K72">
        <v>780928133</v>
      </c>
      <c r="L72">
        <v>226731</v>
      </c>
      <c r="M72" t="s">
        <v>16</v>
      </c>
      <c r="N72" t="s">
        <v>17</v>
      </c>
      <c r="O72">
        <v>22741</v>
      </c>
      <c r="P72">
        <v>4010</v>
      </c>
      <c r="Q72">
        <v>3317.3</v>
      </c>
    </row>
    <row r="73" spans="2:17" x14ac:dyDescent="0.25">
      <c r="B73" t="s">
        <v>78</v>
      </c>
      <c r="C73" t="s">
        <v>79</v>
      </c>
      <c r="D73" t="s">
        <v>98</v>
      </c>
      <c r="E73" t="s">
        <v>99</v>
      </c>
      <c r="F73">
        <v>977.15</v>
      </c>
      <c r="G73">
        <v>972.1</v>
      </c>
      <c r="H73">
        <v>983.6</v>
      </c>
      <c r="I73">
        <v>971.25</v>
      </c>
      <c r="J73" s="1">
        <v>974</v>
      </c>
      <c r="K73">
        <v>833980372.39999998</v>
      </c>
      <c r="L73">
        <v>854347</v>
      </c>
      <c r="M73" t="s">
        <v>16</v>
      </c>
      <c r="N73" t="s">
        <v>17</v>
      </c>
      <c r="O73">
        <v>29906</v>
      </c>
      <c r="P73">
        <v>997</v>
      </c>
      <c r="Q73">
        <v>644.25</v>
      </c>
    </row>
    <row r="74" spans="2:17" x14ac:dyDescent="0.25">
      <c r="B74" t="s">
        <v>78</v>
      </c>
      <c r="C74" t="s">
        <v>79</v>
      </c>
      <c r="D74" t="s">
        <v>100</v>
      </c>
      <c r="E74" t="s">
        <v>101</v>
      </c>
      <c r="F74">
        <v>145.55000000000001</v>
      </c>
      <c r="G74">
        <v>145</v>
      </c>
      <c r="H74">
        <v>146.4</v>
      </c>
      <c r="I74">
        <v>144</v>
      </c>
      <c r="J74" s="1">
        <v>144.44999999999999</v>
      </c>
      <c r="K74">
        <v>748657198</v>
      </c>
      <c r="L74">
        <v>5158738</v>
      </c>
      <c r="M74" t="s">
        <v>16</v>
      </c>
      <c r="N74" t="s">
        <v>17</v>
      </c>
      <c r="O74">
        <v>38011</v>
      </c>
      <c r="P74">
        <v>165</v>
      </c>
      <c r="Q74">
        <v>109.55</v>
      </c>
    </row>
    <row r="75" spans="2:17" x14ac:dyDescent="0.25">
      <c r="B75" t="s">
        <v>78</v>
      </c>
      <c r="C75" t="s">
        <v>79</v>
      </c>
      <c r="D75" t="s">
        <v>102</v>
      </c>
      <c r="E75" t="s">
        <v>103</v>
      </c>
      <c r="F75">
        <v>4757.6000000000004</v>
      </c>
      <c r="G75">
        <v>4749.95</v>
      </c>
      <c r="H75">
        <v>4832.7</v>
      </c>
      <c r="I75">
        <v>4735.55</v>
      </c>
      <c r="J75" s="1">
        <v>4807.45</v>
      </c>
      <c r="K75">
        <v>2366506655.9000001</v>
      </c>
      <c r="L75">
        <v>493155</v>
      </c>
      <c r="M75" t="s">
        <v>16</v>
      </c>
      <c r="N75" t="s">
        <v>17</v>
      </c>
      <c r="O75">
        <v>44698</v>
      </c>
      <c r="P75">
        <v>4832.7</v>
      </c>
      <c r="Q75">
        <v>2241.5500000000002</v>
      </c>
    </row>
    <row r="76" spans="2:17" x14ac:dyDescent="0.25">
      <c r="B76" t="s">
        <v>78</v>
      </c>
      <c r="C76" t="s">
        <v>79</v>
      </c>
      <c r="D76" t="s">
        <v>104</v>
      </c>
      <c r="E76" t="s">
        <v>105</v>
      </c>
      <c r="F76">
        <v>5406.55</v>
      </c>
      <c r="G76">
        <v>5398</v>
      </c>
      <c r="H76">
        <v>5445</v>
      </c>
      <c r="I76">
        <v>5382.1</v>
      </c>
      <c r="J76" s="1">
        <v>5419.35</v>
      </c>
      <c r="K76">
        <v>1304191609.8</v>
      </c>
      <c r="L76">
        <v>240858</v>
      </c>
      <c r="M76" t="s">
        <v>16</v>
      </c>
      <c r="N76" t="s">
        <v>17</v>
      </c>
      <c r="O76">
        <v>22653</v>
      </c>
      <c r="P76">
        <v>5614.6</v>
      </c>
      <c r="Q76">
        <v>3962.95</v>
      </c>
    </row>
    <row r="77" spans="2:17" x14ac:dyDescent="0.25">
      <c r="B77" t="s">
        <v>78</v>
      </c>
      <c r="C77" t="s">
        <v>79</v>
      </c>
      <c r="D77" t="s">
        <v>106</v>
      </c>
      <c r="E77" t="s">
        <v>107</v>
      </c>
      <c r="F77">
        <v>2617.25</v>
      </c>
      <c r="G77">
        <v>2609</v>
      </c>
      <c r="H77">
        <v>2617.25</v>
      </c>
      <c r="I77">
        <v>2571</v>
      </c>
      <c r="J77" s="1">
        <v>2579.75</v>
      </c>
      <c r="K77">
        <v>1455291609.7</v>
      </c>
      <c r="L77">
        <v>561172</v>
      </c>
      <c r="M77" t="s">
        <v>16</v>
      </c>
      <c r="N77" t="s">
        <v>17</v>
      </c>
      <c r="O77">
        <v>39265</v>
      </c>
      <c r="P77">
        <v>22339.95</v>
      </c>
      <c r="Q77">
        <v>2015.2</v>
      </c>
    </row>
    <row r="78" spans="2:17" x14ac:dyDescent="0.25">
      <c r="B78" t="s">
        <v>78</v>
      </c>
      <c r="C78" t="s">
        <v>79</v>
      </c>
      <c r="D78" t="s">
        <v>108</v>
      </c>
      <c r="E78" t="s">
        <v>109</v>
      </c>
      <c r="F78">
        <v>144.80000000000001</v>
      </c>
      <c r="G78">
        <v>144.80000000000001</v>
      </c>
      <c r="H78">
        <v>148</v>
      </c>
      <c r="I78">
        <v>143.80000000000001</v>
      </c>
      <c r="J78" s="1">
        <v>144.35</v>
      </c>
      <c r="K78">
        <v>1911610305.9000001</v>
      </c>
      <c r="L78">
        <v>13184154</v>
      </c>
      <c r="M78" t="s">
        <v>16</v>
      </c>
      <c r="N78" t="s">
        <v>17</v>
      </c>
      <c r="O78">
        <v>54081</v>
      </c>
      <c r="P78">
        <v>170.3</v>
      </c>
      <c r="Q78">
        <v>81.2</v>
      </c>
    </row>
    <row r="79" spans="2:17" x14ac:dyDescent="0.25">
      <c r="B79" t="s">
        <v>78</v>
      </c>
      <c r="C79" t="s">
        <v>79</v>
      </c>
      <c r="D79" t="s">
        <v>110</v>
      </c>
      <c r="E79" t="s">
        <v>111</v>
      </c>
      <c r="F79">
        <v>1572.3</v>
      </c>
      <c r="G79">
        <v>1558.8</v>
      </c>
      <c r="H79">
        <v>1575.6</v>
      </c>
      <c r="I79">
        <v>1544.85</v>
      </c>
      <c r="J79" s="1">
        <v>1558.8</v>
      </c>
      <c r="K79">
        <v>874853760.5</v>
      </c>
      <c r="L79">
        <v>559807</v>
      </c>
      <c r="M79" t="s">
        <v>16</v>
      </c>
      <c r="N79" t="s">
        <v>17</v>
      </c>
      <c r="O79">
        <v>21791</v>
      </c>
      <c r="P79">
        <v>1582.15</v>
      </c>
      <c r="Q79">
        <v>565</v>
      </c>
    </row>
    <row r="80" spans="2:17" x14ac:dyDescent="0.25">
      <c r="B80" t="s">
        <v>78</v>
      </c>
      <c r="C80" t="s">
        <v>79</v>
      </c>
      <c r="D80" t="s">
        <v>112</v>
      </c>
      <c r="E80" t="s">
        <v>113</v>
      </c>
      <c r="F80">
        <v>1005</v>
      </c>
      <c r="G80">
        <v>1005</v>
      </c>
      <c r="H80">
        <v>1018.3</v>
      </c>
      <c r="I80">
        <v>992.5</v>
      </c>
      <c r="J80" s="1">
        <v>1000.2</v>
      </c>
      <c r="K80">
        <v>4653727315.3000002</v>
      </c>
      <c r="L80">
        <v>4644600</v>
      </c>
      <c r="M80" t="s">
        <v>16</v>
      </c>
      <c r="N80" t="s">
        <v>17</v>
      </c>
      <c r="O80">
        <v>118571</v>
      </c>
      <c r="P80">
        <v>1067</v>
      </c>
      <c r="Q80">
        <v>626.85</v>
      </c>
    </row>
    <row r="81" spans="2:17" x14ac:dyDescent="0.25">
      <c r="B81" t="s">
        <v>78</v>
      </c>
      <c r="C81" t="s">
        <v>79</v>
      </c>
      <c r="D81" t="s">
        <v>114</v>
      </c>
      <c r="E81" t="s">
        <v>115</v>
      </c>
      <c r="F81">
        <v>2536.9</v>
      </c>
      <c r="G81">
        <v>2488</v>
      </c>
      <c r="H81">
        <v>2497.6999999999998</v>
      </c>
      <c r="I81">
        <v>2470.9</v>
      </c>
      <c r="J81" s="1">
        <v>2481.65</v>
      </c>
      <c r="K81">
        <v>5618202369.75</v>
      </c>
      <c r="L81">
        <v>2262325</v>
      </c>
      <c r="M81" t="s">
        <v>16</v>
      </c>
      <c r="N81" t="s">
        <v>17</v>
      </c>
      <c r="O81">
        <v>94500</v>
      </c>
      <c r="P81">
        <v>2896</v>
      </c>
      <c r="Q81">
        <v>1623</v>
      </c>
    </row>
    <row r="82" spans="2:17" x14ac:dyDescent="0.25">
      <c r="B82" t="s">
        <v>78</v>
      </c>
      <c r="C82" t="s">
        <v>79</v>
      </c>
      <c r="D82" t="s">
        <v>116</v>
      </c>
      <c r="E82" t="s">
        <v>117</v>
      </c>
      <c r="F82">
        <v>1522.35</v>
      </c>
      <c r="G82">
        <v>1487</v>
      </c>
      <c r="H82">
        <v>1488.85</v>
      </c>
      <c r="I82">
        <v>1466</v>
      </c>
      <c r="J82" s="1">
        <v>1471</v>
      </c>
      <c r="K82">
        <v>18552779056.099998</v>
      </c>
      <c r="L82">
        <v>12555800</v>
      </c>
      <c r="M82" t="s">
        <v>16</v>
      </c>
      <c r="N82" t="s">
        <v>17</v>
      </c>
      <c r="O82">
        <v>410524</v>
      </c>
      <c r="P82">
        <v>1641</v>
      </c>
      <c r="Q82">
        <v>993</v>
      </c>
    </row>
    <row r="83" spans="2:17" x14ac:dyDescent="0.25">
      <c r="B83" t="s">
        <v>78</v>
      </c>
      <c r="C83" t="s">
        <v>79</v>
      </c>
      <c r="D83" t="s">
        <v>118</v>
      </c>
      <c r="E83" t="s">
        <v>119</v>
      </c>
      <c r="F83">
        <v>698</v>
      </c>
      <c r="G83">
        <v>696.5</v>
      </c>
      <c r="H83">
        <v>696.5</v>
      </c>
      <c r="I83">
        <v>677</v>
      </c>
      <c r="J83" s="1">
        <v>678.7</v>
      </c>
      <c r="K83">
        <v>1962967110.75</v>
      </c>
      <c r="L83">
        <v>2866929</v>
      </c>
      <c r="M83" t="s">
        <v>16</v>
      </c>
      <c r="N83" t="s">
        <v>17</v>
      </c>
      <c r="O83">
        <v>81562</v>
      </c>
      <c r="P83">
        <v>746</v>
      </c>
      <c r="Q83">
        <v>555.95000000000005</v>
      </c>
    </row>
    <row r="84" spans="2:17" x14ac:dyDescent="0.25">
      <c r="B84" t="s">
        <v>78</v>
      </c>
      <c r="C84" t="s">
        <v>79</v>
      </c>
      <c r="D84" t="s">
        <v>120</v>
      </c>
      <c r="E84" t="s">
        <v>121</v>
      </c>
      <c r="F84">
        <v>2904.7</v>
      </c>
      <c r="G84">
        <v>2886</v>
      </c>
      <c r="H84">
        <v>2894.4</v>
      </c>
      <c r="I84">
        <v>2870.1</v>
      </c>
      <c r="J84" s="1">
        <v>2887.1</v>
      </c>
      <c r="K84">
        <v>976834191.20000005</v>
      </c>
      <c r="L84">
        <v>338468</v>
      </c>
      <c r="M84" t="s">
        <v>16</v>
      </c>
      <c r="N84" t="s">
        <v>17</v>
      </c>
      <c r="O84">
        <v>30649</v>
      </c>
      <c r="P84">
        <v>3629.05</v>
      </c>
      <c r="Q84">
        <v>2620.75</v>
      </c>
    </row>
    <row r="85" spans="2:17" x14ac:dyDescent="0.25">
      <c r="B85" t="s">
        <v>78</v>
      </c>
      <c r="C85" t="s">
        <v>79</v>
      </c>
      <c r="D85" t="s">
        <v>122</v>
      </c>
      <c r="E85" t="s">
        <v>123</v>
      </c>
      <c r="F85">
        <v>405.5</v>
      </c>
      <c r="G85">
        <v>398</v>
      </c>
      <c r="H85">
        <v>404.95</v>
      </c>
      <c r="I85">
        <v>396.2</v>
      </c>
      <c r="J85" s="1">
        <v>396.95</v>
      </c>
      <c r="K85">
        <v>2286447483.5999999</v>
      </c>
      <c r="L85">
        <v>5708367</v>
      </c>
      <c r="M85" t="s">
        <v>16</v>
      </c>
      <c r="N85" t="s">
        <v>17</v>
      </c>
      <c r="O85">
        <v>53997</v>
      </c>
      <c r="P85">
        <v>427.5</v>
      </c>
      <c r="Q85">
        <v>154.30000000000001</v>
      </c>
    </row>
    <row r="86" spans="2:17" x14ac:dyDescent="0.25">
      <c r="B86" t="s">
        <v>78</v>
      </c>
      <c r="C86" t="s">
        <v>79</v>
      </c>
      <c r="D86" t="s">
        <v>124</v>
      </c>
      <c r="E86" t="s">
        <v>125</v>
      </c>
      <c r="F86">
        <v>2417.4</v>
      </c>
      <c r="G86">
        <v>2400.0500000000002</v>
      </c>
      <c r="H86">
        <v>2417</v>
      </c>
      <c r="I86">
        <v>2398.5</v>
      </c>
      <c r="J86" s="1">
        <v>2408.65</v>
      </c>
      <c r="K86">
        <v>1116192555.05</v>
      </c>
      <c r="L86">
        <v>463873</v>
      </c>
      <c r="M86" t="s">
        <v>16</v>
      </c>
      <c r="N86" t="s">
        <v>17</v>
      </c>
      <c r="O86">
        <v>39753</v>
      </c>
      <c r="P86">
        <v>2533.9499999999998</v>
      </c>
      <c r="Q86">
        <v>2000.05</v>
      </c>
    </row>
    <row r="87" spans="2:17" x14ac:dyDescent="0.25">
      <c r="B87" t="s">
        <v>78</v>
      </c>
      <c r="C87" t="s">
        <v>79</v>
      </c>
      <c r="D87" t="s">
        <v>126</v>
      </c>
      <c r="E87" t="s">
        <v>127</v>
      </c>
      <c r="F87">
        <v>660.3</v>
      </c>
      <c r="G87">
        <v>645.65</v>
      </c>
      <c r="H87">
        <v>656.9</v>
      </c>
      <c r="I87">
        <v>645.54999999999995</v>
      </c>
      <c r="J87" s="1">
        <v>655.9</v>
      </c>
      <c r="K87">
        <v>5966020535.9499998</v>
      </c>
      <c r="L87">
        <v>9121737</v>
      </c>
      <c r="M87" t="s">
        <v>16</v>
      </c>
      <c r="N87" t="s">
        <v>17</v>
      </c>
      <c r="O87">
        <v>196932</v>
      </c>
      <c r="P87">
        <v>679.4</v>
      </c>
      <c r="Q87">
        <v>333.75</v>
      </c>
    </row>
    <row r="88" spans="2:17" x14ac:dyDescent="0.25">
      <c r="B88" t="s">
        <v>78</v>
      </c>
      <c r="C88" t="s">
        <v>79</v>
      </c>
      <c r="D88" t="s">
        <v>128</v>
      </c>
      <c r="E88" t="s">
        <v>129</v>
      </c>
      <c r="F88">
        <v>1044.3</v>
      </c>
      <c r="G88">
        <v>1024</v>
      </c>
      <c r="H88">
        <v>1034.7</v>
      </c>
      <c r="I88">
        <v>1005.55</v>
      </c>
      <c r="J88" s="1">
        <v>1015.85</v>
      </c>
      <c r="K88">
        <v>2697539536.0999999</v>
      </c>
      <c r="L88">
        <v>2644846</v>
      </c>
      <c r="M88" t="s">
        <v>16</v>
      </c>
      <c r="N88" t="s">
        <v>17</v>
      </c>
      <c r="O88">
        <v>62267</v>
      </c>
      <c r="P88">
        <v>1119.5</v>
      </c>
      <c r="Q88">
        <v>483.25</v>
      </c>
    </row>
    <row r="89" spans="2:17" x14ac:dyDescent="0.25">
      <c r="B89" t="s">
        <v>78</v>
      </c>
      <c r="C89" t="s">
        <v>79</v>
      </c>
      <c r="D89" t="s">
        <v>130</v>
      </c>
      <c r="E89" t="s">
        <v>131</v>
      </c>
      <c r="F89">
        <v>1555.45</v>
      </c>
      <c r="G89">
        <v>1544.7</v>
      </c>
      <c r="H89">
        <v>1552.9</v>
      </c>
      <c r="I89">
        <v>1537.55</v>
      </c>
      <c r="J89" s="1">
        <v>1541.7</v>
      </c>
      <c r="K89">
        <v>8743641778.75</v>
      </c>
      <c r="L89">
        <v>5669162</v>
      </c>
      <c r="M89" t="s">
        <v>16</v>
      </c>
      <c r="N89" t="s">
        <v>17</v>
      </c>
      <c r="O89">
        <v>192818</v>
      </c>
      <c r="P89">
        <v>1596.85</v>
      </c>
      <c r="Q89">
        <v>900.65</v>
      </c>
    </row>
    <row r="90" spans="2:17" x14ac:dyDescent="0.25">
      <c r="B90" t="s">
        <v>78</v>
      </c>
      <c r="C90" t="s">
        <v>79</v>
      </c>
      <c r="D90" t="s">
        <v>132</v>
      </c>
      <c r="E90" t="s">
        <v>133</v>
      </c>
      <c r="F90">
        <v>106.1</v>
      </c>
      <c r="G90">
        <v>105.75</v>
      </c>
      <c r="H90">
        <v>107.9</v>
      </c>
      <c r="I90">
        <v>105.1</v>
      </c>
      <c r="J90" s="1">
        <v>105.95</v>
      </c>
      <c r="K90">
        <v>1245586842.9000001</v>
      </c>
      <c r="L90">
        <v>11688575</v>
      </c>
      <c r="M90" t="s">
        <v>16</v>
      </c>
      <c r="N90" t="s">
        <v>17</v>
      </c>
      <c r="O90">
        <v>67078</v>
      </c>
      <c r="P90">
        <v>117.85</v>
      </c>
      <c r="Q90">
        <v>71.650000000000006</v>
      </c>
    </row>
    <row r="91" spans="2:17" x14ac:dyDescent="0.25">
      <c r="B91" t="s">
        <v>78</v>
      </c>
      <c r="C91" t="s">
        <v>79</v>
      </c>
      <c r="D91" t="s">
        <v>134</v>
      </c>
      <c r="E91" t="s">
        <v>135</v>
      </c>
      <c r="F91">
        <v>207.9</v>
      </c>
      <c r="G91">
        <v>206.8</v>
      </c>
      <c r="H91">
        <v>209.5</v>
      </c>
      <c r="I91">
        <v>206.35</v>
      </c>
      <c r="J91" s="1">
        <v>207.75</v>
      </c>
      <c r="K91">
        <v>3426472698.5</v>
      </c>
      <c r="L91">
        <v>16464973</v>
      </c>
      <c r="M91" t="s">
        <v>16</v>
      </c>
      <c r="N91" t="s">
        <v>17</v>
      </c>
      <c r="O91">
        <v>110856</v>
      </c>
      <c r="P91">
        <v>239.2</v>
      </c>
      <c r="Q91">
        <v>163.35</v>
      </c>
    </row>
    <row r="92" spans="2:17" x14ac:dyDescent="0.25">
      <c r="B92" t="s">
        <v>78</v>
      </c>
      <c r="C92" t="s">
        <v>79</v>
      </c>
      <c r="D92" t="s">
        <v>136</v>
      </c>
      <c r="E92" t="s">
        <v>137</v>
      </c>
      <c r="F92">
        <v>703.6</v>
      </c>
      <c r="G92">
        <v>697</v>
      </c>
      <c r="H92">
        <v>712.35</v>
      </c>
      <c r="I92">
        <v>694</v>
      </c>
      <c r="J92" s="1">
        <v>698.4</v>
      </c>
      <c r="K92">
        <v>3776723709.0500002</v>
      </c>
      <c r="L92">
        <v>5377227</v>
      </c>
      <c r="M92" t="s">
        <v>16</v>
      </c>
      <c r="N92" t="s">
        <v>17</v>
      </c>
      <c r="O92">
        <v>84436</v>
      </c>
      <c r="P92">
        <v>773</v>
      </c>
      <c r="Q92">
        <v>200.1</v>
      </c>
    </row>
    <row r="93" spans="2:17" x14ac:dyDescent="0.25">
      <c r="B93" t="s">
        <v>78</v>
      </c>
      <c r="C93" t="s">
        <v>79</v>
      </c>
      <c r="D93" t="s">
        <v>138</v>
      </c>
      <c r="E93" t="s">
        <v>139</v>
      </c>
      <c r="F93">
        <v>1749.5</v>
      </c>
      <c r="G93">
        <v>1733.9</v>
      </c>
      <c r="H93">
        <v>1740</v>
      </c>
      <c r="I93">
        <v>1712</v>
      </c>
      <c r="J93" s="1">
        <v>1722.8</v>
      </c>
      <c r="K93">
        <v>3700213634.3000002</v>
      </c>
      <c r="L93">
        <v>2146337</v>
      </c>
      <c r="M93" t="s">
        <v>16</v>
      </c>
      <c r="N93" t="s">
        <v>17</v>
      </c>
      <c r="O93">
        <v>75555</v>
      </c>
      <c r="P93">
        <v>2049</v>
      </c>
      <c r="Q93">
        <v>1230.5999999999999</v>
      </c>
    </row>
    <row r="94" spans="2:17" x14ac:dyDescent="0.25">
      <c r="B94" t="s">
        <v>78</v>
      </c>
      <c r="C94" t="s">
        <v>79</v>
      </c>
      <c r="D94" t="s">
        <v>140</v>
      </c>
      <c r="E94" t="s">
        <v>141</v>
      </c>
      <c r="F94">
        <v>1618.75</v>
      </c>
      <c r="G94">
        <v>1600</v>
      </c>
      <c r="H94">
        <v>1639.4</v>
      </c>
      <c r="I94">
        <v>1597.6</v>
      </c>
      <c r="J94" s="1">
        <v>1609.6</v>
      </c>
      <c r="K94">
        <v>4899943001.8500004</v>
      </c>
      <c r="L94">
        <v>3027093</v>
      </c>
      <c r="M94" t="s">
        <v>16</v>
      </c>
      <c r="N94" t="s">
        <v>17</v>
      </c>
      <c r="O94">
        <v>116309</v>
      </c>
      <c r="P94">
        <v>1639.4</v>
      </c>
      <c r="Q94">
        <v>843</v>
      </c>
    </row>
    <row r="95" spans="2:17" x14ac:dyDescent="0.25">
      <c r="B95" t="s">
        <v>78</v>
      </c>
      <c r="C95" t="s">
        <v>79</v>
      </c>
      <c r="D95" t="s">
        <v>142</v>
      </c>
      <c r="E95" t="s">
        <v>143</v>
      </c>
      <c r="F95">
        <v>779.8</v>
      </c>
      <c r="G95">
        <v>775.8</v>
      </c>
      <c r="H95">
        <v>780.7</v>
      </c>
      <c r="I95">
        <v>770</v>
      </c>
      <c r="J95" s="1">
        <v>775.8</v>
      </c>
      <c r="K95">
        <v>980871435</v>
      </c>
      <c r="L95">
        <v>1265906</v>
      </c>
      <c r="M95" t="s">
        <v>16</v>
      </c>
      <c r="N95" t="s">
        <v>17</v>
      </c>
      <c r="O95">
        <v>57602</v>
      </c>
      <c r="P95">
        <v>952.05</v>
      </c>
      <c r="Q95">
        <v>567.5</v>
      </c>
    </row>
    <row r="96" spans="2:17" x14ac:dyDescent="0.25">
      <c r="B96" t="s">
        <v>78</v>
      </c>
      <c r="C96" t="s">
        <v>79</v>
      </c>
      <c r="D96" t="s">
        <v>144</v>
      </c>
      <c r="E96" t="s">
        <v>145</v>
      </c>
      <c r="F96">
        <v>7303.55</v>
      </c>
      <c r="G96">
        <v>7251.7</v>
      </c>
      <c r="H96">
        <v>7297</v>
      </c>
      <c r="I96">
        <v>7151.1</v>
      </c>
      <c r="J96" s="1">
        <v>7165.55</v>
      </c>
      <c r="K96">
        <v>2785659741.75</v>
      </c>
      <c r="L96">
        <v>386598</v>
      </c>
      <c r="M96" t="s">
        <v>16</v>
      </c>
      <c r="N96" t="s">
        <v>17</v>
      </c>
      <c r="O96">
        <v>62117</v>
      </c>
      <c r="P96">
        <v>8329</v>
      </c>
      <c r="Q96">
        <v>5812</v>
      </c>
    </row>
    <row r="97" spans="1:17" x14ac:dyDescent="0.25">
      <c r="A97">
        <v>10</v>
      </c>
      <c r="B97" t="s">
        <v>78</v>
      </c>
      <c r="C97" t="s">
        <v>79</v>
      </c>
      <c r="D97" t="s">
        <v>146</v>
      </c>
      <c r="E97" t="s">
        <v>147</v>
      </c>
      <c r="F97">
        <v>1765.42</v>
      </c>
      <c r="G97">
        <v>1755</v>
      </c>
      <c r="H97">
        <v>1784.5</v>
      </c>
      <c r="I97">
        <v>1755</v>
      </c>
      <c r="J97" s="1">
        <v>1775.2450000000001</v>
      </c>
      <c r="K97">
        <v>911045838.85000002</v>
      </c>
      <c r="L97">
        <v>51402</v>
      </c>
      <c r="M97" t="s">
        <v>16</v>
      </c>
      <c r="N97" t="s">
        <v>17</v>
      </c>
      <c r="O97">
        <v>15118</v>
      </c>
      <c r="P97">
        <v>18844</v>
      </c>
      <c r="Q97">
        <v>15100</v>
      </c>
    </row>
    <row r="98" spans="1:17" x14ac:dyDescent="0.25">
      <c r="B98" t="s">
        <v>78</v>
      </c>
      <c r="C98" t="s">
        <v>79</v>
      </c>
      <c r="D98" t="s">
        <v>148</v>
      </c>
      <c r="E98" t="s">
        <v>149</v>
      </c>
      <c r="F98">
        <v>119.1</v>
      </c>
      <c r="G98">
        <v>119.1</v>
      </c>
      <c r="H98">
        <v>121.85</v>
      </c>
      <c r="I98">
        <v>118.5</v>
      </c>
      <c r="J98" s="1">
        <v>121.4</v>
      </c>
      <c r="K98">
        <v>1731209982.75</v>
      </c>
      <c r="L98">
        <v>14364285</v>
      </c>
      <c r="M98" t="s">
        <v>16</v>
      </c>
      <c r="N98" t="s">
        <v>17</v>
      </c>
      <c r="O98">
        <v>61586</v>
      </c>
      <c r="P98">
        <v>122</v>
      </c>
      <c r="Q98">
        <v>78.099999999999994</v>
      </c>
    </row>
    <row r="99" spans="1:17" x14ac:dyDescent="0.25">
      <c r="B99" t="s">
        <v>78</v>
      </c>
      <c r="C99" t="s">
        <v>79</v>
      </c>
      <c r="D99" t="s">
        <v>150</v>
      </c>
      <c r="E99" t="s">
        <v>151</v>
      </c>
      <c r="F99">
        <v>116.8</v>
      </c>
      <c r="G99">
        <v>114.8</v>
      </c>
      <c r="H99">
        <v>116.55</v>
      </c>
      <c r="I99">
        <v>114.2</v>
      </c>
      <c r="J99" s="1">
        <v>114.6</v>
      </c>
      <c r="K99">
        <v>1658420892.8499999</v>
      </c>
      <c r="L99">
        <v>14395883</v>
      </c>
      <c r="M99" t="s">
        <v>16</v>
      </c>
      <c r="N99" t="s">
        <v>17</v>
      </c>
      <c r="O99">
        <v>67107</v>
      </c>
      <c r="P99">
        <v>128.5</v>
      </c>
      <c r="Q99">
        <v>64.099999999999994</v>
      </c>
    </row>
    <row r="100" spans="1:17" x14ac:dyDescent="0.25">
      <c r="B100" t="s">
        <v>78</v>
      </c>
      <c r="C100" t="s">
        <v>79</v>
      </c>
      <c r="D100" t="s">
        <v>152</v>
      </c>
      <c r="E100" t="s">
        <v>153</v>
      </c>
      <c r="F100">
        <v>233.85</v>
      </c>
      <c r="G100">
        <v>233.85</v>
      </c>
      <c r="H100">
        <v>234.65</v>
      </c>
      <c r="I100">
        <v>231.5</v>
      </c>
      <c r="J100" s="1">
        <v>233.15</v>
      </c>
      <c r="K100">
        <v>1803152479.45</v>
      </c>
      <c r="L100">
        <v>7720835</v>
      </c>
      <c r="M100" t="s">
        <v>16</v>
      </c>
      <c r="N100" t="s">
        <v>17</v>
      </c>
      <c r="O100">
        <v>60323</v>
      </c>
      <c r="P100">
        <v>251.5</v>
      </c>
      <c r="Q100">
        <v>154.6</v>
      </c>
    </row>
    <row r="101" spans="1:17" x14ac:dyDescent="0.25">
      <c r="B101" t="s">
        <v>78</v>
      </c>
      <c r="C101" t="s">
        <v>79</v>
      </c>
      <c r="D101" t="s">
        <v>154</v>
      </c>
      <c r="E101" t="s">
        <v>155</v>
      </c>
      <c r="F101">
        <v>2112.4</v>
      </c>
      <c r="G101">
        <v>2100</v>
      </c>
      <c r="H101">
        <v>2124</v>
      </c>
      <c r="I101">
        <v>2092.25</v>
      </c>
      <c r="J101" s="1">
        <v>2098.9499999999998</v>
      </c>
      <c r="K101">
        <v>8129763377.9499998</v>
      </c>
      <c r="L101">
        <v>3855577</v>
      </c>
      <c r="M101" t="s">
        <v>16</v>
      </c>
      <c r="N101" t="s">
        <v>17</v>
      </c>
      <c r="O101">
        <v>129037</v>
      </c>
      <c r="P101">
        <v>2369.35</v>
      </c>
      <c r="Q101">
        <v>1830</v>
      </c>
    </row>
    <row r="102" spans="1:17" x14ac:dyDescent="0.25">
      <c r="B102" t="s">
        <v>78</v>
      </c>
      <c r="C102" t="s">
        <v>79</v>
      </c>
      <c r="D102" t="s">
        <v>156</v>
      </c>
      <c r="E102" t="s">
        <v>157</v>
      </c>
      <c r="F102">
        <v>1050.25</v>
      </c>
      <c r="G102">
        <v>1044.9000000000001</v>
      </c>
      <c r="H102">
        <v>1050.25</v>
      </c>
      <c r="I102">
        <v>1027.3</v>
      </c>
      <c r="J102" s="1">
        <v>1037.8499999999999</v>
      </c>
      <c r="K102">
        <v>669593764.70000005</v>
      </c>
      <c r="L102">
        <v>643558</v>
      </c>
      <c r="M102" t="s">
        <v>16</v>
      </c>
      <c r="N102" t="s">
        <v>17</v>
      </c>
      <c r="O102">
        <v>29775</v>
      </c>
      <c r="P102">
        <v>1064.95</v>
      </c>
      <c r="Q102">
        <v>755.25</v>
      </c>
    </row>
    <row r="103" spans="1:17" x14ac:dyDescent="0.25">
      <c r="B103" t="s">
        <v>78</v>
      </c>
      <c r="C103" t="s">
        <v>79</v>
      </c>
      <c r="D103" t="s">
        <v>158</v>
      </c>
      <c r="E103" t="s">
        <v>159</v>
      </c>
      <c r="F103">
        <v>430</v>
      </c>
      <c r="G103">
        <v>423.4</v>
      </c>
      <c r="H103">
        <v>429.45</v>
      </c>
      <c r="I103">
        <v>418.85</v>
      </c>
      <c r="J103" s="1">
        <v>427.9</v>
      </c>
      <c r="K103">
        <v>6146559784.5500002</v>
      </c>
      <c r="L103">
        <v>14426686</v>
      </c>
      <c r="M103" t="s">
        <v>16</v>
      </c>
      <c r="N103" t="s">
        <v>17</v>
      </c>
      <c r="O103">
        <v>142972</v>
      </c>
      <c r="P103">
        <v>441.95</v>
      </c>
      <c r="Q103">
        <v>175.5</v>
      </c>
    </row>
    <row r="104" spans="1:17" x14ac:dyDescent="0.25">
      <c r="B104" t="s">
        <v>78</v>
      </c>
      <c r="C104" t="s">
        <v>79</v>
      </c>
      <c r="D104" t="s">
        <v>160</v>
      </c>
      <c r="E104" t="s">
        <v>161</v>
      </c>
      <c r="F104">
        <v>28096.15</v>
      </c>
      <c r="G104">
        <v>28050</v>
      </c>
      <c r="H104">
        <v>28108.1</v>
      </c>
      <c r="I104">
        <v>27817.1</v>
      </c>
      <c r="J104" s="1">
        <v>27996.85</v>
      </c>
      <c r="K104">
        <v>683843300.79999995</v>
      </c>
      <c r="L104">
        <v>24450</v>
      </c>
      <c r="M104" t="s">
        <v>16</v>
      </c>
      <c r="N104" t="s">
        <v>17</v>
      </c>
      <c r="O104">
        <v>8876</v>
      </c>
      <c r="P104">
        <v>32048</v>
      </c>
      <c r="Q104">
        <v>18183.55</v>
      </c>
    </row>
    <row r="105" spans="1:17" x14ac:dyDescent="0.25">
      <c r="B105" t="s">
        <v>78</v>
      </c>
      <c r="C105" t="s">
        <v>79</v>
      </c>
      <c r="D105" t="s">
        <v>162</v>
      </c>
      <c r="E105" t="s">
        <v>163</v>
      </c>
      <c r="F105">
        <v>688.6</v>
      </c>
      <c r="G105">
        <v>678.05</v>
      </c>
      <c r="H105">
        <v>691.5</v>
      </c>
      <c r="I105">
        <v>678.05</v>
      </c>
      <c r="J105" s="1">
        <v>689.25</v>
      </c>
      <c r="K105">
        <v>1334907233.2</v>
      </c>
      <c r="L105">
        <v>1940882</v>
      </c>
      <c r="M105" t="s">
        <v>16</v>
      </c>
      <c r="N105" t="s">
        <v>17</v>
      </c>
      <c r="O105">
        <v>33378</v>
      </c>
      <c r="P105">
        <v>721.85</v>
      </c>
      <c r="Q105">
        <v>452.25</v>
      </c>
    </row>
    <row r="106" spans="1:17" x14ac:dyDescent="0.25">
      <c r="B106" t="s">
        <v>78</v>
      </c>
      <c r="C106" t="s">
        <v>79</v>
      </c>
      <c r="D106" t="s">
        <v>164</v>
      </c>
      <c r="E106" t="s">
        <v>165</v>
      </c>
      <c r="F106">
        <v>311.25</v>
      </c>
      <c r="G106">
        <v>308.95</v>
      </c>
      <c r="H106">
        <v>310.3</v>
      </c>
      <c r="I106">
        <v>306</v>
      </c>
      <c r="J106" s="1">
        <v>308.85000000000002</v>
      </c>
      <c r="K106">
        <v>6580662107.25</v>
      </c>
      <c r="L106">
        <v>21346348</v>
      </c>
      <c r="M106" t="s">
        <v>16</v>
      </c>
      <c r="N106" t="s">
        <v>17</v>
      </c>
      <c r="O106">
        <v>212078</v>
      </c>
      <c r="P106">
        <v>360.75</v>
      </c>
      <c r="Q106">
        <v>101.3</v>
      </c>
    </row>
    <row r="107" spans="1:17" x14ac:dyDescent="0.25">
      <c r="A107">
        <v>10</v>
      </c>
      <c r="B107" t="s">
        <v>78</v>
      </c>
      <c r="C107" t="s">
        <v>79</v>
      </c>
      <c r="D107" t="s">
        <v>166</v>
      </c>
      <c r="E107" t="s">
        <v>167</v>
      </c>
      <c r="F107">
        <v>127.845</v>
      </c>
      <c r="G107">
        <v>125.9</v>
      </c>
      <c r="H107">
        <v>129.09</v>
      </c>
      <c r="I107">
        <v>125.37</v>
      </c>
      <c r="J107" s="1">
        <v>126.64000000000001</v>
      </c>
      <c r="K107">
        <v>11346974829.049999</v>
      </c>
      <c r="L107">
        <v>8904629</v>
      </c>
      <c r="M107" t="s">
        <v>16</v>
      </c>
      <c r="N107" t="s">
        <v>17</v>
      </c>
      <c r="O107">
        <v>173387</v>
      </c>
      <c r="P107">
        <v>1290.9000000000001</v>
      </c>
      <c r="Q107">
        <v>342.55</v>
      </c>
    </row>
    <row r="108" spans="1:17" x14ac:dyDescent="0.25">
      <c r="B108" t="s">
        <v>78</v>
      </c>
      <c r="C108" t="s">
        <v>79</v>
      </c>
      <c r="D108" t="s">
        <v>168</v>
      </c>
      <c r="E108" t="s">
        <v>169</v>
      </c>
      <c r="F108">
        <v>3194.8</v>
      </c>
      <c r="G108">
        <v>3180</v>
      </c>
      <c r="H108">
        <v>3199.8</v>
      </c>
      <c r="I108">
        <v>3176</v>
      </c>
      <c r="J108" s="1">
        <v>3184.6</v>
      </c>
      <c r="K108">
        <v>5087041968.6499996</v>
      </c>
      <c r="L108">
        <v>1597058</v>
      </c>
      <c r="M108" t="s">
        <v>16</v>
      </c>
      <c r="N108" t="s">
        <v>17</v>
      </c>
      <c r="O108">
        <v>78047</v>
      </c>
      <c r="P108">
        <v>3399.65</v>
      </c>
      <c r="Q108">
        <v>2125.1</v>
      </c>
    </row>
    <row r="109" spans="1:17" x14ac:dyDescent="0.25">
      <c r="B109" t="s">
        <v>78</v>
      </c>
      <c r="C109" t="s">
        <v>79</v>
      </c>
      <c r="D109" t="s">
        <v>170</v>
      </c>
      <c r="E109" t="s">
        <v>171</v>
      </c>
      <c r="F109">
        <v>1103.1500000000001</v>
      </c>
      <c r="G109">
        <v>1088</v>
      </c>
      <c r="H109">
        <v>1110.45</v>
      </c>
      <c r="I109">
        <v>1086.0999999999999</v>
      </c>
      <c r="J109" s="1">
        <v>1094.2</v>
      </c>
      <c r="K109">
        <v>1546794195.8499999</v>
      </c>
      <c r="L109">
        <v>1409001</v>
      </c>
      <c r="M109" t="s">
        <v>16</v>
      </c>
      <c r="N109" t="s">
        <v>17</v>
      </c>
      <c r="O109">
        <v>42229</v>
      </c>
      <c r="P109">
        <v>1119.7</v>
      </c>
      <c r="Q109">
        <v>598.5</v>
      </c>
    </row>
    <row r="110" spans="1:17" x14ac:dyDescent="0.25">
      <c r="B110" t="s">
        <v>78</v>
      </c>
      <c r="C110" t="s">
        <v>79</v>
      </c>
      <c r="D110" t="s">
        <v>172</v>
      </c>
      <c r="E110" t="s">
        <v>173</v>
      </c>
      <c r="F110">
        <v>1695.35</v>
      </c>
      <c r="G110">
        <v>1694.35</v>
      </c>
      <c r="H110">
        <v>1709.25</v>
      </c>
      <c r="I110">
        <v>1674.9</v>
      </c>
      <c r="J110" s="1">
        <v>1680.35</v>
      </c>
      <c r="K110">
        <v>1405527048</v>
      </c>
      <c r="L110">
        <v>831260</v>
      </c>
      <c r="M110" t="s">
        <v>16</v>
      </c>
      <c r="N110" t="s">
        <v>17</v>
      </c>
      <c r="O110">
        <v>39686</v>
      </c>
      <c r="P110">
        <v>1792.95</v>
      </c>
      <c r="Q110">
        <v>986</v>
      </c>
    </row>
    <row r="111" spans="1:17" x14ac:dyDescent="0.25">
      <c r="B111" t="s">
        <v>78</v>
      </c>
      <c r="C111" t="s">
        <v>79</v>
      </c>
      <c r="D111" t="s">
        <v>174</v>
      </c>
      <c r="E111" t="s">
        <v>175</v>
      </c>
      <c r="F111">
        <v>7334.55</v>
      </c>
      <c r="G111">
        <v>7304.8</v>
      </c>
      <c r="H111">
        <v>7385</v>
      </c>
      <c r="I111">
        <v>7245</v>
      </c>
      <c r="J111" s="1">
        <v>7312.35</v>
      </c>
      <c r="K111">
        <v>2669546332.5500002</v>
      </c>
      <c r="L111">
        <v>365109</v>
      </c>
      <c r="M111" t="s">
        <v>16</v>
      </c>
      <c r="N111" t="s">
        <v>17</v>
      </c>
      <c r="O111">
        <v>41710</v>
      </c>
      <c r="P111">
        <v>7385</v>
      </c>
      <c r="Q111">
        <v>3735.35</v>
      </c>
    </row>
    <row r="112" spans="1:17" x14ac:dyDescent="0.25">
      <c r="B112" t="s">
        <v>78</v>
      </c>
      <c r="C112" t="s">
        <v>79</v>
      </c>
      <c r="D112" t="s">
        <v>176</v>
      </c>
      <c r="E112" t="s">
        <v>177</v>
      </c>
      <c r="F112">
        <v>837.55</v>
      </c>
      <c r="G112">
        <v>834.9</v>
      </c>
      <c r="H112">
        <v>849</v>
      </c>
      <c r="I112">
        <v>822.3</v>
      </c>
      <c r="J112" s="1">
        <v>833.25</v>
      </c>
      <c r="K112">
        <v>3950722414.5</v>
      </c>
      <c r="L112">
        <v>4744590</v>
      </c>
      <c r="M112" t="s">
        <v>16</v>
      </c>
      <c r="N112" t="s">
        <v>17</v>
      </c>
      <c r="O112">
        <v>82872</v>
      </c>
      <c r="P112">
        <v>864.7</v>
      </c>
      <c r="Q112">
        <v>399</v>
      </c>
    </row>
    <row r="113" spans="2:17" x14ac:dyDescent="0.25">
      <c r="B113" t="s">
        <v>78</v>
      </c>
      <c r="C113" t="s">
        <v>79</v>
      </c>
      <c r="D113" t="s">
        <v>178</v>
      </c>
      <c r="E113" t="s">
        <v>179</v>
      </c>
      <c r="F113">
        <v>577.75</v>
      </c>
      <c r="G113">
        <v>572.54999999999995</v>
      </c>
      <c r="H113">
        <v>584</v>
      </c>
      <c r="I113">
        <v>570</v>
      </c>
      <c r="J113" s="1">
        <v>573.79999999999995</v>
      </c>
      <c r="K113">
        <v>6267991209.3500004</v>
      </c>
      <c r="L113">
        <v>10857851</v>
      </c>
      <c r="M113" t="s">
        <v>16</v>
      </c>
      <c r="N113" t="s">
        <v>17</v>
      </c>
      <c r="O113">
        <v>146244</v>
      </c>
      <c r="P113">
        <v>589.25</v>
      </c>
      <c r="Q113">
        <v>259</v>
      </c>
    </row>
    <row r="114" spans="2:17" x14ac:dyDescent="0.25">
      <c r="B114" t="s">
        <v>17</v>
      </c>
      <c r="C114" t="s">
        <v>17</v>
      </c>
      <c r="D114" t="s">
        <v>17</v>
      </c>
      <c r="E114" t="s">
        <v>17</v>
      </c>
      <c r="F114" t="s">
        <v>17</v>
      </c>
      <c r="G114" t="s">
        <v>17</v>
      </c>
      <c r="H114" t="s">
        <v>17</v>
      </c>
      <c r="I114" t="s">
        <v>17</v>
      </c>
      <c r="J114" s="1" t="s">
        <v>17</v>
      </c>
      <c r="K114" t="s">
        <v>17</v>
      </c>
      <c r="L114" t="s">
        <v>17</v>
      </c>
      <c r="M114" t="s">
        <v>78</v>
      </c>
      <c r="N114" t="s">
        <v>17</v>
      </c>
      <c r="O114" t="s">
        <v>17</v>
      </c>
      <c r="P114" t="s">
        <v>17</v>
      </c>
      <c r="Q114" t="s">
        <v>17</v>
      </c>
    </row>
    <row r="115" spans="2:17" x14ac:dyDescent="0.25">
      <c r="B115" t="s">
        <v>17</v>
      </c>
      <c r="C115" t="s">
        <v>17</v>
      </c>
      <c r="D115" t="s">
        <v>17</v>
      </c>
      <c r="E115" t="s">
        <v>180</v>
      </c>
      <c r="F115" t="s">
        <v>17</v>
      </c>
      <c r="G115" t="s">
        <v>17</v>
      </c>
      <c r="H115" t="s">
        <v>17</v>
      </c>
      <c r="I115" t="s">
        <v>17</v>
      </c>
      <c r="J115" s="1" t="s">
        <v>17</v>
      </c>
      <c r="K115" t="s">
        <v>17</v>
      </c>
      <c r="L115" t="s">
        <v>17</v>
      </c>
      <c r="M115" t="s">
        <v>78</v>
      </c>
      <c r="N115" t="s">
        <v>17</v>
      </c>
      <c r="O115" t="s">
        <v>17</v>
      </c>
      <c r="P115" t="s">
        <v>17</v>
      </c>
      <c r="Q115" t="s">
        <v>17</v>
      </c>
    </row>
    <row r="116" spans="2:17" x14ac:dyDescent="0.25">
      <c r="B116" t="s">
        <v>78</v>
      </c>
      <c r="C116" t="s">
        <v>79</v>
      </c>
      <c r="D116" t="s">
        <v>181</v>
      </c>
      <c r="E116" t="s">
        <v>182</v>
      </c>
      <c r="F116">
        <v>17484.45</v>
      </c>
      <c r="G116">
        <v>17250</v>
      </c>
      <c r="H116">
        <v>17430</v>
      </c>
      <c r="I116">
        <v>17222.75</v>
      </c>
      <c r="J116" s="1">
        <v>17344.25</v>
      </c>
      <c r="K116">
        <v>149793475.69999999</v>
      </c>
      <c r="L116">
        <v>8646</v>
      </c>
      <c r="M116" t="s">
        <v>78</v>
      </c>
      <c r="N116" t="s">
        <v>183</v>
      </c>
      <c r="O116">
        <v>2300</v>
      </c>
      <c r="P116">
        <v>17649</v>
      </c>
      <c r="Q116">
        <v>13959.8</v>
      </c>
    </row>
    <row r="117" spans="2:17" x14ac:dyDescent="0.25">
      <c r="B117" t="s">
        <v>78</v>
      </c>
      <c r="C117" t="s">
        <v>79</v>
      </c>
      <c r="D117" t="s">
        <v>184</v>
      </c>
      <c r="E117" t="s">
        <v>185</v>
      </c>
      <c r="F117">
        <v>2129.35</v>
      </c>
      <c r="G117">
        <v>2117.9</v>
      </c>
      <c r="H117">
        <v>2168</v>
      </c>
      <c r="I117">
        <v>2105.1999999999998</v>
      </c>
      <c r="J117" s="1">
        <v>2151.9</v>
      </c>
      <c r="K117">
        <v>1425453487.05</v>
      </c>
      <c r="L117">
        <v>666887</v>
      </c>
      <c r="M117" t="s">
        <v>78</v>
      </c>
      <c r="N117" t="s">
        <v>17</v>
      </c>
      <c r="O117">
        <v>37990</v>
      </c>
      <c r="P117">
        <v>2168</v>
      </c>
      <c r="Q117">
        <v>1289</v>
      </c>
    </row>
    <row r="118" spans="2:17" x14ac:dyDescent="0.25">
      <c r="B118" t="s">
        <v>78</v>
      </c>
      <c r="C118" t="s">
        <v>79</v>
      </c>
      <c r="D118" t="s">
        <v>186</v>
      </c>
      <c r="E118" t="s">
        <v>187</v>
      </c>
      <c r="F118">
        <v>3351.15</v>
      </c>
      <c r="G118">
        <v>3350</v>
      </c>
      <c r="H118">
        <v>3461.3</v>
      </c>
      <c r="I118">
        <v>3320</v>
      </c>
      <c r="J118" s="1">
        <v>3448.7</v>
      </c>
      <c r="K118">
        <v>838665616.5</v>
      </c>
      <c r="L118">
        <v>245909</v>
      </c>
      <c r="M118" t="s">
        <v>78</v>
      </c>
      <c r="N118" t="s">
        <v>17</v>
      </c>
      <c r="O118">
        <v>21944</v>
      </c>
      <c r="P118">
        <v>3558.9</v>
      </c>
      <c r="Q118">
        <v>2415.1</v>
      </c>
    </row>
    <row r="119" spans="2:17" x14ac:dyDescent="0.25">
      <c r="B119" t="s">
        <v>78</v>
      </c>
      <c r="C119" t="s">
        <v>79</v>
      </c>
      <c r="D119" t="s">
        <v>188</v>
      </c>
      <c r="E119" t="s">
        <v>189</v>
      </c>
      <c r="F119">
        <v>383.05</v>
      </c>
      <c r="G119">
        <v>382.3</v>
      </c>
      <c r="H119">
        <v>388.35</v>
      </c>
      <c r="I119">
        <v>380.4</v>
      </c>
      <c r="J119" s="1">
        <v>386.55</v>
      </c>
      <c r="K119">
        <v>1423025782.25</v>
      </c>
      <c r="L119">
        <v>3708612</v>
      </c>
      <c r="M119" t="s">
        <v>78</v>
      </c>
      <c r="N119" t="s">
        <v>17</v>
      </c>
      <c r="O119">
        <v>51056</v>
      </c>
      <c r="P119">
        <v>389</v>
      </c>
      <c r="Q119">
        <v>194.5</v>
      </c>
    </row>
    <row r="120" spans="2:17" x14ac:dyDescent="0.25">
      <c r="B120" t="s">
        <v>78</v>
      </c>
      <c r="C120" t="s">
        <v>79</v>
      </c>
      <c r="D120" t="s">
        <v>190</v>
      </c>
      <c r="E120" t="s">
        <v>191</v>
      </c>
      <c r="F120">
        <v>975.55</v>
      </c>
      <c r="G120">
        <v>966.1</v>
      </c>
      <c r="H120">
        <v>975</v>
      </c>
      <c r="I120">
        <v>959.15</v>
      </c>
      <c r="J120" s="1">
        <v>965.1</v>
      </c>
      <c r="K120">
        <v>734406789.95000005</v>
      </c>
      <c r="L120">
        <v>759192</v>
      </c>
      <c r="M120" t="s">
        <v>78</v>
      </c>
      <c r="N120" t="s">
        <v>17</v>
      </c>
      <c r="O120">
        <v>26508</v>
      </c>
      <c r="P120">
        <v>1063.9000000000001</v>
      </c>
      <c r="Q120">
        <v>738.05</v>
      </c>
    </row>
    <row r="121" spans="2:17" x14ac:dyDescent="0.25">
      <c r="B121" t="s">
        <v>78</v>
      </c>
      <c r="C121" t="s">
        <v>79</v>
      </c>
      <c r="D121" t="s">
        <v>192</v>
      </c>
      <c r="E121" t="s">
        <v>193</v>
      </c>
      <c r="F121">
        <v>3981.3</v>
      </c>
      <c r="G121">
        <v>3975</v>
      </c>
      <c r="H121">
        <v>4060</v>
      </c>
      <c r="I121">
        <v>3899.95</v>
      </c>
      <c r="J121" s="1">
        <v>3915.6</v>
      </c>
      <c r="K121">
        <v>167376232.80000001</v>
      </c>
      <c r="L121">
        <v>42148</v>
      </c>
      <c r="M121" t="s">
        <v>78</v>
      </c>
      <c r="N121" t="s">
        <v>17</v>
      </c>
      <c r="O121">
        <v>6964</v>
      </c>
      <c r="P121">
        <v>4060</v>
      </c>
      <c r="Q121">
        <v>2212.65</v>
      </c>
    </row>
    <row r="122" spans="2:17" x14ac:dyDescent="0.25">
      <c r="B122" t="s">
        <v>78</v>
      </c>
      <c r="C122" t="s">
        <v>79</v>
      </c>
      <c r="D122" t="s">
        <v>194</v>
      </c>
      <c r="E122" t="s">
        <v>195</v>
      </c>
      <c r="F122">
        <v>309.14999999999998</v>
      </c>
      <c r="G122">
        <v>308</v>
      </c>
      <c r="H122">
        <v>312.5</v>
      </c>
      <c r="I122">
        <v>305.45</v>
      </c>
      <c r="J122" s="1">
        <v>308.39999999999998</v>
      </c>
      <c r="K122">
        <v>1346961051.2</v>
      </c>
      <c r="L122">
        <v>4358924</v>
      </c>
      <c r="M122" t="s">
        <v>78</v>
      </c>
      <c r="N122" t="s">
        <v>17</v>
      </c>
      <c r="O122">
        <v>51883</v>
      </c>
      <c r="P122">
        <v>430.7</v>
      </c>
      <c r="Q122">
        <v>251.4</v>
      </c>
    </row>
    <row r="123" spans="2:17" x14ac:dyDescent="0.25">
      <c r="B123" t="s">
        <v>78</v>
      </c>
      <c r="C123" t="s">
        <v>79</v>
      </c>
      <c r="D123" t="s">
        <v>196</v>
      </c>
      <c r="E123" t="s">
        <v>197</v>
      </c>
      <c r="F123">
        <v>81.7</v>
      </c>
      <c r="G123">
        <v>81.400000000000006</v>
      </c>
      <c r="H123">
        <v>81.599999999999994</v>
      </c>
      <c r="I123">
        <v>79.599999999999994</v>
      </c>
      <c r="J123" s="1">
        <v>80.150000000000006</v>
      </c>
      <c r="K123">
        <v>2276271797.0500002</v>
      </c>
      <c r="L123">
        <v>28260629</v>
      </c>
      <c r="M123" t="s">
        <v>78</v>
      </c>
      <c r="N123" t="s">
        <v>17</v>
      </c>
      <c r="O123">
        <v>70591</v>
      </c>
      <c r="P123">
        <v>99.85</v>
      </c>
      <c r="Q123">
        <v>39.5</v>
      </c>
    </row>
    <row r="124" spans="2:17" x14ac:dyDescent="0.25">
      <c r="B124" t="s">
        <v>78</v>
      </c>
      <c r="C124" t="s">
        <v>79</v>
      </c>
      <c r="D124" t="s">
        <v>198</v>
      </c>
      <c r="E124" t="s">
        <v>199</v>
      </c>
      <c r="F124">
        <v>843.85</v>
      </c>
      <c r="G124">
        <v>842</v>
      </c>
      <c r="H124">
        <v>842</v>
      </c>
      <c r="I124">
        <v>830</v>
      </c>
      <c r="J124" s="1">
        <v>835.3</v>
      </c>
      <c r="K124">
        <v>355625744.10000002</v>
      </c>
      <c r="L124">
        <v>425438</v>
      </c>
      <c r="M124" t="s">
        <v>78</v>
      </c>
      <c r="N124" t="s">
        <v>17</v>
      </c>
      <c r="O124">
        <v>18734</v>
      </c>
      <c r="P124">
        <v>859.8</v>
      </c>
      <c r="Q124">
        <v>509.3</v>
      </c>
    </row>
    <row r="125" spans="2:17" x14ac:dyDescent="0.25">
      <c r="B125" t="s">
        <v>78</v>
      </c>
      <c r="C125" t="s">
        <v>79</v>
      </c>
      <c r="D125" t="s">
        <v>200</v>
      </c>
      <c r="E125" t="s">
        <v>201</v>
      </c>
      <c r="F125">
        <v>409.3</v>
      </c>
      <c r="G125">
        <v>408.9</v>
      </c>
      <c r="H125">
        <v>414.4</v>
      </c>
      <c r="I125">
        <v>405.1</v>
      </c>
      <c r="J125" s="1">
        <v>411.4</v>
      </c>
      <c r="K125">
        <v>1089616883.8</v>
      </c>
      <c r="L125">
        <v>2649721</v>
      </c>
      <c r="M125" t="s">
        <v>78</v>
      </c>
      <c r="N125" t="s">
        <v>17</v>
      </c>
      <c r="O125">
        <v>38883</v>
      </c>
      <c r="P125">
        <v>487.75</v>
      </c>
      <c r="Q125">
        <v>363.25</v>
      </c>
    </row>
    <row r="126" spans="2:17" x14ac:dyDescent="0.25">
      <c r="B126" t="s">
        <v>78</v>
      </c>
      <c r="C126" t="s">
        <v>79</v>
      </c>
      <c r="D126" t="s">
        <v>202</v>
      </c>
      <c r="E126" t="s">
        <v>203</v>
      </c>
      <c r="F126">
        <v>15287.95</v>
      </c>
      <c r="G126">
        <v>15250</v>
      </c>
      <c r="H126">
        <v>15298.6</v>
      </c>
      <c r="I126">
        <v>15108.15</v>
      </c>
      <c r="J126" s="1">
        <v>15218.5</v>
      </c>
      <c r="K126">
        <v>344919133.94999999</v>
      </c>
      <c r="L126">
        <v>22645</v>
      </c>
      <c r="M126" t="s">
        <v>78</v>
      </c>
      <c r="N126" t="s">
        <v>17</v>
      </c>
      <c r="O126">
        <v>5732</v>
      </c>
      <c r="P126">
        <v>16830.05</v>
      </c>
      <c r="Q126">
        <v>11265.05</v>
      </c>
    </row>
    <row r="127" spans="2:17" x14ac:dyDescent="0.25">
      <c r="B127" t="s">
        <v>78</v>
      </c>
      <c r="C127" t="s">
        <v>79</v>
      </c>
      <c r="D127" t="s">
        <v>204</v>
      </c>
      <c r="E127" t="s">
        <v>205</v>
      </c>
      <c r="F127">
        <v>643.85</v>
      </c>
      <c r="G127">
        <v>643.85</v>
      </c>
      <c r="H127">
        <v>650.9</v>
      </c>
      <c r="I127">
        <v>637</v>
      </c>
      <c r="J127" s="1">
        <v>639.5</v>
      </c>
      <c r="K127">
        <v>2359011990.6500001</v>
      </c>
      <c r="L127">
        <v>3666811</v>
      </c>
      <c r="M127" t="s">
        <v>78</v>
      </c>
      <c r="N127" t="s">
        <v>17</v>
      </c>
      <c r="O127">
        <v>47557</v>
      </c>
      <c r="P127">
        <v>673.7</v>
      </c>
      <c r="Q127">
        <v>350.5</v>
      </c>
    </row>
    <row r="128" spans="2:17" x14ac:dyDescent="0.25">
      <c r="B128" t="s">
        <v>78</v>
      </c>
      <c r="C128" t="s">
        <v>79</v>
      </c>
      <c r="D128" t="s">
        <v>206</v>
      </c>
      <c r="E128" t="s">
        <v>207</v>
      </c>
      <c r="F128">
        <v>1745.6</v>
      </c>
      <c r="G128">
        <v>1746</v>
      </c>
      <c r="H128">
        <v>1758.7</v>
      </c>
      <c r="I128">
        <v>1732.8</v>
      </c>
      <c r="J128" s="1">
        <v>1753.3</v>
      </c>
      <c r="K128">
        <v>390658367.60000002</v>
      </c>
      <c r="L128">
        <v>224045</v>
      </c>
      <c r="M128" t="s">
        <v>78</v>
      </c>
      <c r="N128" t="s">
        <v>17</v>
      </c>
      <c r="O128">
        <v>16084</v>
      </c>
      <c r="P128">
        <v>1794.85</v>
      </c>
      <c r="Q128">
        <v>1322.15</v>
      </c>
    </row>
    <row r="129" spans="2:17" x14ac:dyDescent="0.25">
      <c r="B129" t="s">
        <v>78</v>
      </c>
      <c r="C129" t="s">
        <v>79</v>
      </c>
      <c r="D129" t="s">
        <v>208</v>
      </c>
      <c r="E129" t="s">
        <v>209</v>
      </c>
      <c r="F129">
        <v>661.4</v>
      </c>
      <c r="G129">
        <v>658.7</v>
      </c>
      <c r="H129">
        <v>664.55</v>
      </c>
      <c r="I129">
        <v>652</v>
      </c>
      <c r="J129" s="1">
        <v>658</v>
      </c>
      <c r="K129">
        <v>928759055.79999995</v>
      </c>
      <c r="L129">
        <v>1409373</v>
      </c>
      <c r="M129" t="s">
        <v>78</v>
      </c>
      <c r="N129" t="s">
        <v>17</v>
      </c>
      <c r="O129">
        <v>20794</v>
      </c>
      <c r="P129">
        <v>748</v>
      </c>
      <c r="Q129">
        <v>351</v>
      </c>
    </row>
    <row r="130" spans="2:17" x14ac:dyDescent="0.25">
      <c r="B130" t="s">
        <v>78</v>
      </c>
      <c r="C130" t="s">
        <v>79</v>
      </c>
      <c r="D130" t="s">
        <v>210</v>
      </c>
      <c r="E130" t="s">
        <v>211</v>
      </c>
      <c r="F130">
        <v>580.29999999999995</v>
      </c>
      <c r="G130">
        <v>578.79999999999995</v>
      </c>
      <c r="H130">
        <v>590</v>
      </c>
      <c r="I130">
        <v>576</v>
      </c>
      <c r="J130" s="1">
        <v>588.79999999999995</v>
      </c>
      <c r="K130">
        <v>1147727655.05</v>
      </c>
      <c r="L130">
        <v>1953706</v>
      </c>
      <c r="M130" t="s">
        <v>78</v>
      </c>
      <c r="N130" t="s">
        <v>17</v>
      </c>
      <c r="O130">
        <v>36662</v>
      </c>
      <c r="P130">
        <v>605</v>
      </c>
      <c r="Q130">
        <v>462.95</v>
      </c>
    </row>
    <row r="131" spans="2:17" x14ac:dyDescent="0.25">
      <c r="B131" t="s">
        <v>78</v>
      </c>
      <c r="C131" t="s">
        <v>79</v>
      </c>
      <c r="D131" t="s">
        <v>212</v>
      </c>
      <c r="E131" t="s">
        <v>213</v>
      </c>
      <c r="F131">
        <v>330.8</v>
      </c>
      <c r="G131">
        <v>325.89999999999998</v>
      </c>
      <c r="H131">
        <v>338.8</v>
      </c>
      <c r="I131">
        <v>324.45</v>
      </c>
      <c r="J131" s="1">
        <v>331.25</v>
      </c>
      <c r="K131">
        <v>7868895443</v>
      </c>
      <c r="L131">
        <v>23622887</v>
      </c>
      <c r="M131" t="s">
        <v>78</v>
      </c>
      <c r="N131" t="s">
        <v>17</v>
      </c>
      <c r="O131">
        <v>156770</v>
      </c>
      <c r="P131">
        <v>338.8</v>
      </c>
      <c r="Q131">
        <v>134.5</v>
      </c>
    </row>
    <row r="132" spans="2:17" x14ac:dyDescent="0.25">
      <c r="B132" t="s">
        <v>78</v>
      </c>
      <c r="C132" t="s">
        <v>79</v>
      </c>
      <c r="D132" t="s">
        <v>214</v>
      </c>
      <c r="E132" t="s">
        <v>215</v>
      </c>
      <c r="F132">
        <v>3349.2</v>
      </c>
      <c r="G132">
        <v>3320</v>
      </c>
      <c r="H132">
        <v>3348.9</v>
      </c>
      <c r="I132">
        <v>3315.15</v>
      </c>
      <c r="J132" s="1">
        <v>3331.6</v>
      </c>
      <c r="K132">
        <v>478596323</v>
      </c>
      <c r="L132">
        <v>143633</v>
      </c>
      <c r="M132" t="s">
        <v>78</v>
      </c>
      <c r="N132" t="s">
        <v>17</v>
      </c>
      <c r="O132">
        <v>18511</v>
      </c>
      <c r="P132">
        <v>3425</v>
      </c>
      <c r="Q132">
        <v>1954.85</v>
      </c>
    </row>
    <row r="133" spans="2:17" x14ac:dyDescent="0.25">
      <c r="B133" t="s">
        <v>78</v>
      </c>
      <c r="C133" t="s">
        <v>79</v>
      </c>
      <c r="D133" t="s">
        <v>216</v>
      </c>
      <c r="E133" t="s">
        <v>217</v>
      </c>
      <c r="F133">
        <v>184.9</v>
      </c>
      <c r="G133">
        <v>185</v>
      </c>
      <c r="H133">
        <v>185.35</v>
      </c>
      <c r="I133">
        <v>181.8</v>
      </c>
      <c r="J133" s="1">
        <v>183.25</v>
      </c>
      <c r="K133">
        <v>75518499.349999994</v>
      </c>
      <c r="L133">
        <v>411936</v>
      </c>
      <c r="M133" t="s">
        <v>78</v>
      </c>
      <c r="N133" t="s">
        <v>17</v>
      </c>
      <c r="O133">
        <v>18542</v>
      </c>
      <c r="P133">
        <v>244.2</v>
      </c>
      <c r="Q133">
        <v>115</v>
      </c>
    </row>
    <row r="134" spans="2:17" x14ac:dyDescent="0.25">
      <c r="B134" t="s">
        <v>78</v>
      </c>
      <c r="C134" t="s">
        <v>79</v>
      </c>
      <c r="D134" t="s">
        <v>218</v>
      </c>
      <c r="E134" t="s">
        <v>219</v>
      </c>
      <c r="F134">
        <v>951.1</v>
      </c>
      <c r="G134">
        <v>949.1</v>
      </c>
      <c r="H134">
        <v>958.45</v>
      </c>
      <c r="I134">
        <v>942.1</v>
      </c>
      <c r="J134" s="1">
        <v>944</v>
      </c>
      <c r="K134">
        <v>582471030.79999995</v>
      </c>
      <c r="L134">
        <v>613585</v>
      </c>
      <c r="M134" t="s">
        <v>78</v>
      </c>
      <c r="N134" t="s">
        <v>17</v>
      </c>
      <c r="O134">
        <v>28795</v>
      </c>
      <c r="P134">
        <v>980.7</v>
      </c>
      <c r="Q134">
        <v>641</v>
      </c>
    </row>
    <row r="135" spans="2:17" x14ac:dyDescent="0.25">
      <c r="B135" t="s">
        <v>78</v>
      </c>
      <c r="C135" t="s">
        <v>79</v>
      </c>
      <c r="D135" t="s">
        <v>220</v>
      </c>
      <c r="E135" t="s">
        <v>221</v>
      </c>
      <c r="F135">
        <v>1077.6500000000001</v>
      </c>
      <c r="G135">
        <v>1075</v>
      </c>
      <c r="H135">
        <v>1108</v>
      </c>
      <c r="I135">
        <v>1069.25</v>
      </c>
      <c r="J135" s="1">
        <v>1089.6500000000001</v>
      </c>
      <c r="K135">
        <v>3511508212.5</v>
      </c>
      <c r="L135">
        <v>3216454</v>
      </c>
      <c r="M135" t="s">
        <v>78</v>
      </c>
      <c r="N135" t="s">
        <v>17</v>
      </c>
      <c r="O135">
        <v>84752</v>
      </c>
      <c r="P135">
        <v>1231.9000000000001</v>
      </c>
      <c r="Q135">
        <v>568.4</v>
      </c>
    </row>
    <row r="136" spans="2:17" x14ac:dyDescent="0.25">
      <c r="B136" t="s">
        <v>78</v>
      </c>
      <c r="C136" t="s">
        <v>79</v>
      </c>
      <c r="D136" t="s">
        <v>222</v>
      </c>
      <c r="E136" t="s">
        <v>223</v>
      </c>
      <c r="F136">
        <v>3094.45</v>
      </c>
      <c r="G136">
        <v>3050</v>
      </c>
      <c r="H136">
        <v>3050</v>
      </c>
      <c r="I136">
        <v>2971</v>
      </c>
      <c r="J136" s="1">
        <v>2992.25</v>
      </c>
      <c r="K136">
        <v>2275790385.6999998</v>
      </c>
      <c r="L136">
        <v>758422</v>
      </c>
      <c r="M136" t="s">
        <v>78</v>
      </c>
      <c r="N136" t="s">
        <v>17</v>
      </c>
      <c r="O136">
        <v>70482</v>
      </c>
      <c r="P136">
        <v>3358.9</v>
      </c>
      <c r="Q136">
        <v>2070.0500000000002</v>
      </c>
    </row>
    <row r="137" spans="2:17" x14ac:dyDescent="0.25">
      <c r="B137" t="s">
        <v>78</v>
      </c>
      <c r="C137" t="s">
        <v>79</v>
      </c>
      <c r="D137" t="s">
        <v>224</v>
      </c>
      <c r="E137" t="s">
        <v>225</v>
      </c>
      <c r="F137">
        <v>268.10000000000002</v>
      </c>
      <c r="G137">
        <v>269.75</v>
      </c>
      <c r="H137">
        <v>274.89999999999998</v>
      </c>
      <c r="I137">
        <v>268.35000000000002</v>
      </c>
      <c r="J137" s="1">
        <v>272.05</v>
      </c>
      <c r="K137">
        <v>1715089830.8499999</v>
      </c>
      <c r="L137">
        <v>6286202</v>
      </c>
      <c r="M137" t="s">
        <v>78</v>
      </c>
      <c r="N137" t="s">
        <v>17</v>
      </c>
      <c r="O137">
        <v>67736</v>
      </c>
      <c r="P137">
        <v>312</v>
      </c>
      <c r="Q137">
        <v>162.9</v>
      </c>
    </row>
    <row r="138" spans="2:17" x14ac:dyDescent="0.25">
      <c r="B138" t="s">
        <v>78</v>
      </c>
      <c r="C138" t="s">
        <v>79</v>
      </c>
      <c r="D138" t="s">
        <v>226</v>
      </c>
      <c r="E138" t="s">
        <v>227</v>
      </c>
      <c r="F138">
        <v>344.1</v>
      </c>
      <c r="G138">
        <v>345</v>
      </c>
      <c r="H138">
        <v>345</v>
      </c>
      <c r="I138">
        <v>337.8</v>
      </c>
      <c r="J138" s="1">
        <v>339.95</v>
      </c>
      <c r="K138">
        <v>261477278</v>
      </c>
      <c r="L138">
        <v>767837</v>
      </c>
      <c r="M138" t="s">
        <v>78</v>
      </c>
      <c r="N138" t="s">
        <v>17</v>
      </c>
      <c r="O138">
        <v>14613</v>
      </c>
      <c r="P138">
        <v>362.1</v>
      </c>
      <c r="Q138">
        <v>182.25</v>
      </c>
    </row>
    <row r="139" spans="2:17" x14ac:dyDescent="0.25">
      <c r="B139" t="s">
        <v>78</v>
      </c>
      <c r="C139" t="s">
        <v>79</v>
      </c>
      <c r="D139" t="s">
        <v>228</v>
      </c>
      <c r="E139" t="s">
        <v>229</v>
      </c>
      <c r="F139">
        <v>1521.45</v>
      </c>
      <c r="G139">
        <v>1526</v>
      </c>
      <c r="H139">
        <v>1534.15</v>
      </c>
      <c r="I139">
        <v>1483.05</v>
      </c>
      <c r="J139" s="1">
        <v>1489.75</v>
      </c>
      <c r="K139">
        <v>961330379.29999995</v>
      </c>
      <c r="L139">
        <v>639322</v>
      </c>
      <c r="M139" t="s">
        <v>78</v>
      </c>
      <c r="N139" t="s">
        <v>17</v>
      </c>
      <c r="O139">
        <v>23313</v>
      </c>
      <c r="P139">
        <v>1626.45</v>
      </c>
      <c r="Q139">
        <v>1200</v>
      </c>
    </row>
    <row r="140" spans="2:17" x14ac:dyDescent="0.25">
      <c r="B140" t="s">
        <v>78</v>
      </c>
      <c r="C140" t="s">
        <v>79</v>
      </c>
      <c r="D140" t="s">
        <v>230</v>
      </c>
      <c r="E140" t="s">
        <v>231</v>
      </c>
      <c r="F140">
        <v>627.04999999999995</v>
      </c>
      <c r="G140">
        <v>623</v>
      </c>
      <c r="H140">
        <v>629.45000000000005</v>
      </c>
      <c r="I140">
        <v>618</v>
      </c>
      <c r="J140" s="1">
        <v>626.25</v>
      </c>
      <c r="K140">
        <v>361499838.80000001</v>
      </c>
      <c r="L140">
        <v>578318</v>
      </c>
      <c r="M140" t="s">
        <v>78</v>
      </c>
      <c r="N140" t="s">
        <v>17</v>
      </c>
      <c r="O140">
        <v>18566</v>
      </c>
      <c r="P140">
        <v>635.4</v>
      </c>
      <c r="Q140">
        <v>397.55</v>
      </c>
    </row>
    <row r="141" spans="2:17" x14ac:dyDescent="0.25">
      <c r="B141" t="s">
        <v>78</v>
      </c>
      <c r="C141" t="s">
        <v>79</v>
      </c>
      <c r="D141" t="s">
        <v>232</v>
      </c>
      <c r="E141" t="s">
        <v>233</v>
      </c>
      <c r="F141">
        <v>552.6</v>
      </c>
      <c r="G141">
        <v>552.6</v>
      </c>
      <c r="H141">
        <v>556</v>
      </c>
      <c r="I141">
        <v>547.65</v>
      </c>
      <c r="J141" s="1">
        <v>549.70000000000005</v>
      </c>
      <c r="K141">
        <v>830841099.20000005</v>
      </c>
      <c r="L141">
        <v>1508022</v>
      </c>
      <c r="M141" t="s">
        <v>78</v>
      </c>
      <c r="N141" t="s">
        <v>17</v>
      </c>
      <c r="O141">
        <v>21317</v>
      </c>
      <c r="P141">
        <v>594.85</v>
      </c>
      <c r="Q141">
        <v>364.1</v>
      </c>
    </row>
    <row r="142" spans="2:17" x14ac:dyDescent="0.25">
      <c r="B142" t="s">
        <v>78</v>
      </c>
      <c r="C142" t="s">
        <v>79</v>
      </c>
      <c r="D142" t="s">
        <v>234</v>
      </c>
      <c r="E142" t="s">
        <v>235</v>
      </c>
      <c r="F142">
        <v>1809.05</v>
      </c>
      <c r="G142">
        <v>1800</v>
      </c>
      <c r="H142">
        <v>1800</v>
      </c>
      <c r="I142">
        <v>1760.15</v>
      </c>
      <c r="J142" s="1">
        <v>1765.9</v>
      </c>
      <c r="K142">
        <v>936128983.14999998</v>
      </c>
      <c r="L142">
        <v>526822</v>
      </c>
      <c r="M142" t="s">
        <v>78</v>
      </c>
      <c r="N142" t="s">
        <v>17</v>
      </c>
      <c r="O142">
        <v>30475</v>
      </c>
      <c r="P142">
        <v>1860</v>
      </c>
      <c r="Q142">
        <v>875.25</v>
      </c>
    </row>
    <row r="143" spans="2:17" x14ac:dyDescent="0.25">
      <c r="B143" t="s">
        <v>78</v>
      </c>
      <c r="C143" t="s">
        <v>79</v>
      </c>
      <c r="D143" t="s">
        <v>236</v>
      </c>
      <c r="E143" t="s">
        <v>237</v>
      </c>
      <c r="F143">
        <v>4288.6000000000004</v>
      </c>
      <c r="G143">
        <v>4269.8999999999996</v>
      </c>
      <c r="H143">
        <v>4466.75</v>
      </c>
      <c r="I143">
        <v>4220</v>
      </c>
      <c r="J143" s="1">
        <v>4379.6000000000004</v>
      </c>
      <c r="K143">
        <v>3971503488.1999998</v>
      </c>
      <c r="L143">
        <v>908381</v>
      </c>
      <c r="M143" t="s">
        <v>78</v>
      </c>
      <c r="N143" t="s">
        <v>17</v>
      </c>
      <c r="O143">
        <v>71265</v>
      </c>
      <c r="P143">
        <v>4600</v>
      </c>
      <c r="Q143">
        <v>2195</v>
      </c>
    </row>
    <row r="144" spans="2:17" x14ac:dyDescent="0.25">
      <c r="B144" t="s">
        <v>78</v>
      </c>
      <c r="C144" t="s">
        <v>79</v>
      </c>
      <c r="D144" t="s">
        <v>238</v>
      </c>
      <c r="E144" t="s">
        <v>239</v>
      </c>
      <c r="F144">
        <v>1179.75</v>
      </c>
      <c r="G144">
        <v>1176.9000000000001</v>
      </c>
      <c r="H144">
        <v>1191.55</v>
      </c>
      <c r="I144">
        <v>1170</v>
      </c>
      <c r="J144" s="1">
        <v>1186.6500000000001</v>
      </c>
      <c r="K144">
        <v>951100401.89999998</v>
      </c>
      <c r="L144">
        <v>804486</v>
      </c>
      <c r="M144" t="s">
        <v>78</v>
      </c>
      <c r="N144" t="s">
        <v>17</v>
      </c>
      <c r="O144">
        <v>19971</v>
      </c>
      <c r="P144">
        <v>1267.6500000000001</v>
      </c>
      <c r="Q144">
        <v>828.4</v>
      </c>
    </row>
    <row r="145" spans="2:17" x14ac:dyDescent="0.25">
      <c r="B145" t="s">
        <v>78</v>
      </c>
      <c r="C145" t="s">
        <v>79</v>
      </c>
      <c r="D145" t="s">
        <v>240</v>
      </c>
      <c r="E145" t="s">
        <v>241</v>
      </c>
      <c r="F145">
        <v>524.70000000000005</v>
      </c>
      <c r="G145">
        <v>521.95000000000005</v>
      </c>
      <c r="H145">
        <v>531</v>
      </c>
      <c r="I145">
        <v>521.04999999999995</v>
      </c>
      <c r="J145" s="1">
        <v>526</v>
      </c>
      <c r="K145">
        <v>806291352.95000005</v>
      </c>
      <c r="L145">
        <v>1531013</v>
      </c>
      <c r="M145" t="s">
        <v>78</v>
      </c>
      <c r="N145" t="s">
        <v>17</v>
      </c>
      <c r="O145">
        <v>25905</v>
      </c>
      <c r="P145">
        <v>549.6</v>
      </c>
      <c r="Q145">
        <v>333</v>
      </c>
    </row>
    <row r="146" spans="2:17" x14ac:dyDescent="0.25">
      <c r="B146" t="s">
        <v>78</v>
      </c>
      <c r="C146" t="s">
        <v>79</v>
      </c>
      <c r="D146" t="s">
        <v>242</v>
      </c>
      <c r="E146" t="s">
        <v>243</v>
      </c>
      <c r="F146">
        <v>667.4</v>
      </c>
      <c r="G146">
        <v>666.8</v>
      </c>
      <c r="H146">
        <v>677</v>
      </c>
      <c r="I146">
        <v>656.6</v>
      </c>
      <c r="J146" s="1">
        <v>659.95</v>
      </c>
      <c r="K146">
        <v>1548757017.3</v>
      </c>
      <c r="L146">
        <v>2325938</v>
      </c>
      <c r="M146" t="s">
        <v>78</v>
      </c>
      <c r="N146" t="s">
        <v>17</v>
      </c>
      <c r="O146">
        <v>48884</v>
      </c>
      <c r="P146">
        <v>684</v>
      </c>
      <c r="Q146">
        <v>494</v>
      </c>
    </row>
    <row r="147" spans="2:17" x14ac:dyDescent="0.25">
      <c r="B147" t="s">
        <v>78</v>
      </c>
      <c r="C147" t="s">
        <v>79</v>
      </c>
      <c r="D147" t="s">
        <v>244</v>
      </c>
      <c r="E147" t="s">
        <v>245</v>
      </c>
      <c r="F147">
        <v>244.15</v>
      </c>
      <c r="G147">
        <v>241.5</v>
      </c>
      <c r="H147">
        <v>246</v>
      </c>
      <c r="I147">
        <v>240.75</v>
      </c>
      <c r="J147" s="1">
        <v>244.65</v>
      </c>
      <c r="K147">
        <v>1083116247.1500001</v>
      </c>
      <c r="L147">
        <v>4433523</v>
      </c>
      <c r="M147" t="s">
        <v>78</v>
      </c>
      <c r="N147" t="s">
        <v>17</v>
      </c>
      <c r="O147">
        <v>54162</v>
      </c>
      <c r="P147">
        <v>272.85000000000002</v>
      </c>
      <c r="Q147">
        <v>91.7</v>
      </c>
    </row>
    <row r="148" spans="2:17" x14ac:dyDescent="0.25">
      <c r="B148" t="s">
        <v>78</v>
      </c>
      <c r="C148" t="s">
        <v>79</v>
      </c>
      <c r="D148" t="s">
        <v>246</v>
      </c>
      <c r="E148" t="s">
        <v>247</v>
      </c>
      <c r="F148">
        <v>1569.2</v>
      </c>
      <c r="G148">
        <v>1559</v>
      </c>
      <c r="H148">
        <v>1574.8</v>
      </c>
      <c r="I148">
        <v>1533</v>
      </c>
      <c r="J148" s="1">
        <v>1541.85</v>
      </c>
      <c r="K148">
        <v>639483450.10000002</v>
      </c>
      <c r="L148">
        <v>411561</v>
      </c>
      <c r="M148" t="s">
        <v>78</v>
      </c>
      <c r="N148" t="s">
        <v>17</v>
      </c>
      <c r="O148">
        <v>21331</v>
      </c>
      <c r="P148">
        <v>1584.5</v>
      </c>
      <c r="Q148">
        <v>1000</v>
      </c>
    </row>
    <row r="149" spans="2:17" x14ac:dyDescent="0.25">
      <c r="B149" t="s">
        <v>78</v>
      </c>
      <c r="C149" t="s">
        <v>79</v>
      </c>
      <c r="D149" t="s">
        <v>248</v>
      </c>
      <c r="E149" t="s">
        <v>249</v>
      </c>
      <c r="F149">
        <v>5102.55</v>
      </c>
      <c r="G149">
        <v>5100</v>
      </c>
      <c r="H149">
        <v>5170</v>
      </c>
      <c r="I149">
        <v>5018</v>
      </c>
      <c r="J149" s="1">
        <v>5122.75</v>
      </c>
      <c r="K149">
        <v>1697369552.5999999</v>
      </c>
      <c r="L149">
        <v>332799</v>
      </c>
      <c r="M149" t="s">
        <v>78</v>
      </c>
      <c r="N149" t="s">
        <v>17</v>
      </c>
      <c r="O149">
        <v>32639</v>
      </c>
      <c r="P149">
        <v>5880</v>
      </c>
      <c r="Q149">
        <v>3090</v>
      </c>
    </row>
    <row r="150" spans="2:17" x14ac:dyDescent="0.25">
      <c r="B150" t="s">
        <v>78</v>
      </c>
      <c r="C150" t="s">
        <v>79</v>
      </c>
      <c r="D150" t="s">
        <v>250</v>
      </c>
      <c r="E150" t="s">
        <v>251</v>
      </c>
      <c r="F150">
        <v>178.7</v>
      </c>
      <c r="G150">
        <v>176.9</v>
      </c>
      <c r="H150">
        <v>179.25</v>
      </c>
      <c r="I150">
        <v>172.5</v>
      </c>
      <c r="J150" s="1">
        <v>174.85</v>
      </c>
      <c r="K150">
        <v>2887358697.9000001</v>
      </c>
      <c r="L150">
        <v>16371993</v>
      </c>
      <c r="M150" t="s">
        <v>78</v>
      </c>
      <c r="N150" t="s">
        <v>17</v>
      </c>
      <c r="O150">
        <v>60295</v>
      </c>
      <c r="P150">
        <v>213.2</v>
      </c>
      <c r="Q150">
        <v>75.599999999999994</v>
      </c>
    </row>
    <row r="151" spans="2:17" x14ac:dyDescent="0.25">
      <c r="B151" t="s">
        <v>78</v>
      </c>
      <c r="C151" t="s">
        <v>79</v>
      </c>
      <c r="D151" t="s">
        <v>252</v>
      </c>
      <c r="E151" t="s">
        <v>253</v>
      </c>
      <c r="F151">
        <v>4019.4</v>
      </c>
      <c r="G151">
        <v>4050</v>
      </c>
      <c r="H151">
        <v>4121</v>
      </c>
      <c r="I151">
        <v>4006</v>
      </c>
      <c r="J151" s="1">
        <v>4072.15</v>
      </c>
      <c r="K151">
        <v>633015344.04999995</v>
      </c>
      <c r="L151">
        <v>155649</v>
      </c>
      <c r="M151" t="s">
        <v>78</v>
      </c>
      <c r="N151" t="s">
        <v>17</v>
      </c>
      <c r="O151">
        <v>19971</v>
      </c>
      <c r="P151">
        <v>4198</v>
      </c>
      <c r="Q151">
        <v>2880</v>
      </c>
    </row>
    <row r="152" spans="2:17" x14ac:dyDescent="0.25">
      <c r="B152" t="s">
        <v>78</v>
      </c>
      <c r="C152" t="s">
        <v>79</v>
      </c>
      <c r="D152" t="s">
        <v>254</v>
      </c>
      <c r="E152" t="s">
        <v>255</v>
      </c>
      <c r="F152">
        <v>2351.25</v>
      </c>
      <c r="G152">
        <v>2340</v>
      </c>
      <c r="H152">
        <v>2348.25</v>
      </c>
      <c r="I152">
        <v>2275.4</v>
      </c>
      <c r="J152" s="1">
        <v>2298.6</v>
      </c>
      <c r="K152">
        <v>1413731883.8</v>
      </c>
      <c r="L152">
        <v>610980</v>
      </c>
      <c r="M152" t="s">
        <v>78</v>
      </c>
      <c r="N152" t="s">
        <v>17</v>
      </c>
      <c r="O152">
        <v>26252</v>
      </c>
      <c r="P152">
        <v>2520.9</v>
      </c>
      <c r="Q152">
        <v>1178.55</v>
      </c>
    </row>
    <row r="153" spans="2:17" x14ac:dyDescent="0.25">
      <c r="B153" t="s">
        <v>78</v>
      </c>
      <c r="C153" t="s">
        <v>79</v>
      </c>
      <c r="D153" t="s">
        <v>256</v>
      </c>
      <c r="E153" t="s">
        <v>257</v>
      </c>
      <c r="F153">
        <v>221.65</v>
      </c>
      <c r="G153">
        <v>221.55</v>
      </c>
      <c r="H153">
        <v>225.35</v>
      </c>
      <c r="I153">
        <v>221</v>
      </c>
      <c r="J153" s="1">
        <v>222.05</v>
      </c>
      <c r="K153">
        <v>722229620.60000002</v>
      </c>
      <c r="L153">
        <v>3237530</v>
      </c>
      <c r="M153" t="s">
        <v>78</v>
      </c>
      <c r="N153" t="s">
        <v>17</v>
      </c>
      <c r="O153">
        <v>26392</v>
      </c>
      <c r="P153">
        <v>275.35000000000002</v>
      </c>
      <c r="Q153">
        <v>207.25</v>
      </c>
    </row>
    <row r="154" spans="2:17" x14ac:dyDescent="0.25">
      <c r="B154" t="s">
        <v>78</v>
      </c>
      <c r="C154" t="s">
        <v>79</v>
      </c>
      <c r="D154" t="s">
        <v>258</v>
      </c>
      <c r="E154" t="s">
        <v>259</v>
      </c>
      <c r="F154">
        <v>127.55</v>
      </c>
      <c r="G154">
        <v>127</v>
      </c>
      <c r="H154">
        <v>130.19999999999999</v>
      </c>
      <c r="I154">
        <v>125.5</v>
      </c>
      <c r="J154" s="1">
        <v>127.1</v>
      </c>
      <c r="K154">
        <v>1100500033.8499999</v>
      </c>
      <c r="L154">
        <v>8553431</v>
      </c>
      <c r="M154" t="s">
        <v>78</v>
      </c>
      <c r="N154" t="s">
        <v>17</v>
      </c>
      <c r="O154">
        <v>35971</v>
      </c>
      <c r="P154">
        <v>140.5</v>
      </c>
      <c r="Q154">
        <v>80.3</v>
      </c>
    </row>
    <row r="155" spans="2:17" x14ac:dyDescent="0.25">
      <c r="B155" t="s">
        <v>78</v>
      </c>
      <c r="C155" t="s">
        <v>79</v>
      </c>
      <c r="D155" t="s">
        <v>260</v>
      </c>
      <c r="E155" t="s">
        <v>261</v>
      </c>
      <c r="F155">
        <v>12908.15</v>
      </c>
      <c r="G155">
        <v>12955</v>
      </c>
      <c r="H155">
        <v>12956.6</v>
      </c>
      <c r="I155">
        <v>12825</v>
      </c>
      <c r="J155" s="1">
        <v>12839.1</v>
      </c>
      <c r="K155">
        <v>198887841.75</v>
      </c>
      <c r="L155">
        <v>15435</v>
      </c>
      <c r="M155" t="s">
        <v>78</v>
      </c>
      <c r="N155" t="s">
        <v>17</v>
      </c>
      <c r="O155">
        <v>3037</v>
      </c>
      <c r="P155">
        <v>14135.65</v>
      </c>
      <c r="Q155">
        <v>9691.4</v>
      </c>
    </row>
    <row r="156" spans="2:17" x14ac:dyDescent="0.25">
      <c r="B156" t="s">
        <v>78</v>
      </c>
      <c r="C156" t="s">
        <v>79</v>
      </c>
      <c r="D156" t="s">
        <v>262</v>
      </c>
      <c r="E156" t="s">
        <v>263</v>
      </c>
      <c r="F156">
        <v>2244.1999999999998</v>
      </c>
      <c r="G156">
        <v>2234</v>
      </c>
      <c r="H156">
        <v>2269</v>
      </c>
      <c r="I156">
        <v>2232</v>
      </c>
      <c r="J156" s="1">
        <v>2260.25</v>
      </c>
      <c r="K156">
        <v>433605805.75</v>
      </c>
      <c r="L156">
        <v>192179</v>
      </c>
      <c r="M156" t="s">
        <v>78</v>
      </c>
      <c r="N156" t="s">
        <v>17</v>
      </c>
      <c r="O156">
        <v>16868</v>
      </c>
      <c r="P156">
        <v>2302</v>
      </c>
      <c r="Q156">
        <v>1306.95</v>
      </c>
    </row>
    <row r="157" spans="2:17" x14ac:dyDescent="0.25">
      <c r="B157" t="s">
        <v>78</v>
      </c>
      <c r="C157" t="s">
        <v>79</v>
      </c>
      <c r="D157" t="s">
        <v>264</v>
      </c>
      <c r="E157" t="s">
        <v>265</v>
      </c>
      <c r="F157">
        <v>40.85</v>
      </c>
      <c r="G157">
        <v>40.5</v>
      </c>
      <c r="H157">
        <v>40.700000000000003</v>
      </c>
      <c r="I157">
        <v>40.1</v>
      </c>
      <c r="J157" s="1">
        <v>40.299999999999997</v>
      </c>
      <c r="K157">
        <v>1287513547.8</v>
      </c>
      <c r="L157">
        <v>31864818</v>
      </c>
      <c r="M157" t="s">
        <v>78</v>
      </c>
      <c r="N157" t="s">
        <v>17</v>
      </c>
      <c r="O157">
        <v>86483</v>
      </c>
      <c r="P157">
        <v>46.35</v>
      </c>
      <c r="Q157">
        <v>26.3</v>
      </c>
    </row>
    <row r="158" spans="2:17" x14ac:dyDescent="0.25">
      <c r="B158" t="s">
        <v>78</v>
      </c>
      <c r="C158" t="s">
        <v>79</v>
      </c>
      <c r="D158" t="s">
        <v>266</v>
      </c>
      <c r="E158" t="s">
        <v>267</v>
      </c>
      <c r="F158">
        <v>990</v>
      </c>
      <c r="G158">
        <v>981</v>
      </c>
      <c r="H158">
        <v>983.7</v>
      </c>
      <c r="I158">
        <v>971</v>
      </c>
      <c r="J158" s="1">
        <v>972.65</v>
      </c>
      <c r="K158">
        <v>934390184.20000005</v>
      </c>
      <c r="L158">
        <v>957347</v>
      </c>
      <c r="M158" t="s">
        <v>78</v>
      </c>
      <c r="N158" t="s">
        <v>17</v>
      </c>
      <c r="O158">
        <v>41043</v>
      </c>
      <c r="P158">
        <v>1139.5</v>
      </c>
      <c r="Q158">
        <v>720.9</v>
      </c>
    </row>
    <row r="159" spans="2:17" x14ac:dyDescent="0.25">
      <c r="B159" t="s">
        <v>78</v>
      </c>
      <c r="C159" t="s">
        <v>79</v>
      </c>
      <c r="D159" t="s">
        <v>268</v>
      </c>
      <c r="E159" t="s">
        <v>269</v>
      </c>
      <c r="F159">
        <v>2013.3</v>
      </c>
      <c r="G159">
        <v>2008.6</v>
      </c>
      <c r="H159">
        <v>2008.6</v>
      </c>
      <c r="I159">
        <v>1967.1</v>
      </c>
      <c r="J159" s="1">
        <v>1973.35</v>
      </c>
      <c r="K159">
        <v>658387628.60000002</v>
      </c>
      <c r="L159">
        <v>331691</v>
      </c>
      <c r="M159" t="s">
        <v>78</v>
      </c>
      <c r="N159" t="s">
        <v>17</v>
      </c>
      <c r="O159">
        <v>21179</v>
      </c>
      <c r="P159">
        <v>2178</v>
      </c>
      <c r="Q159">
        <v>1118.0999999999999</v>
      </c>
    </row>
    <row r="160" spans="2:17" x14ac:dyDescent="0.25">
      <c r="B160" t="s">
        <v>78</v>
      </c>
      <c r="C160" t="s">
        <v>79</v>
      </c>
      <c r="D160" t="s">
        <v>270</v>
      </c>
      <c r="E160" t="s">
        <v>271</v>
      </c>
      <c r="F160">
        <v>763</v>
      </c>
      <c r="G160">
        <v>761</v>
      </c>
      <c r="H160">
        <v>770</v>
      </c>
      <c r="I160">
        <v>758.55</v>
      </c>
      <c r="J160" s="1">
        <v>765.55</v>
      </c>
      <c r="K160">
        <v>1298963608.95</v>
      </c>
      <c r="L160">
        <v>1695546</v>
      </c>
      <c r="M160" t="s">
        <v>78</v>
      </c>
      <c r="N160" t="s">
        <v>17</v>
      </c>
      <c r="O160">
        <v>30712</v>
      </c>
      <c r="P160">
        <v>786.85</v>
      </c>
      <c r="Q160">
        <v>402.35</v>
      </c>
    </row>
    <row r="161" spans="2:17" x14ac:dyDescent="0.25">
      <c r="B161" t="s">
        <v>78</v>
      </c>
      <c r="C161" t="s">
        <v>79</v>
      </c>
      <c r="D161" t="s">
        <v>272</v>
      </c>
      <c r="E161" t="s">
        <v>273</v>
      </c>
      <c r="F161">
        <v>2990.75</v>
      </c>
      <c r="G161">
        <v>2985</v>
      </c>
      <c r="H161">
        <v>3003.5</v>
      </c>
      <c r="I161">
        <v>2954.5</v>
      </c>
      <c r="J161" s="1">
        <v>2969.2</v>
      </c>
      <c r="K161">
        <v>282769329.80000001</v>
      </c>
      <c r="L161">
        <v>94987</v>
      </c>
      <c r="M161" t="s">
        <v>78</v>
      </c>
      <c r="N161" t="s">
        <v>17</v>
      </c>
      <c r="O161">
        <v>6457</v>
      </c>
      <c r="P161">
        <v>3085.6</v>
      </c>
      <c r="Q161">
        <v>2231.85</v>
      </c>
    </row>
    <row r="162" spans="2:17" x14ac:dyDescent="0.25">
      <c r="B162" t="s">
        <v>78</v>
      </c>
      <c r="C162" t="s">
        <v>79</v>
      </c>
      <c r="D162" t="s">
        <v>274</v>
      </c>
      <c r="E162" t="s">
        <v>275</v>
      </c>
      <c r="F162">
        <v>1447.9</v>
      </c>
      <c r="G162">
        <v>1439.95</v>
      </c>
      <c r="H162">
        <v>1447</v>
      </c>
      <c r="I162">
        <v>1412.6</v>
      </c>
      <c r="J162" s="1">
        <v>1419.3</v>
      </c>
      <c r="K162">
        <v>263369457.94999999</v>
      </c>
      <c r="L162">
        <v>184253</v>
      </c>
      <c r="M162" t="s">
        <v>78</v>
      </c>
      <c r="N162" t="s">
        <v>17</v>
      </c>
      <c r="O162">
        <v>8518</v>
      </c>
      <c r="P162">
        <v>1498.95</v>
      </c>
      <c r="Q162">
        <v>897</v>
      </c>
    </row>
    <row r="163" spans="2:17" x14ac:dyDescent="0.25">
      <c r="B163" t="s">
        <v>17</v>
      </c>
      <c r="C163" t="s">
        <v>79</v>
      </c>
      <c r="D163" t="s">
        <v>17</v>
      </c>
      <c r="E163" t="s">
        <v>17</v>
      </c>
      <c r="F163" t="s">
        <v>17</v>
      </c>
      <c r="G163" t="s">
        <v>17</v>
      </c>
      <c r="H163" t="s">
        <v>17</v>
      </c>
      <c r="I163" t="s">
        <v>17</v>
      </c>
      <c r="J163" s="1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  <c r="Q163" t="s">
        <v>17</v>
      </c>
    </row>
    <row r="164" spans="2:17" x14ac:dyDescent="0.25">
      <c r="B164" t="s">
        <v>17</v>
      </c>
      <c r="C164" t="s">
        <v>79</v>
      </c>
      <c r="D164" t="s">
        <v>17</v>
      </c>
      <c r="E164" t="s">
        <v>276</v>
      </c>
      <c r="F164" t="s">
        <v>17</v>
      </c>
      <c r="G164" t="s">
        <v>17</v>
      </c>
      <c r="H164" t="s">
        <v>17</v>
      </c>
      <c r="I164" t="s">
        <v>17</v>
      </c>
      <c r="J164" s="1" t="s">
        <v>17</v>
      </c>
      <c r="K164" t="s">
        <v>17</v>
      </c>
      <c r="L164" t="s">
        <v>17</v>
      </c>
      <c r="M164" t="s">
        <v>17</v>
      </c>
      <c r="N164" t="s">
        <v>17</v>
      </c>
      <c r="O164" t="s">
        <v>17</v>
      </c>
      <c r="P164" t="s">
        <v>17</v>
      </c>
      <c r="Q164" t="s">
        <v>17</v>
      </c>
    </row>
    <row r="165" spans="2:17" x14ac:dyDescent="0.25">
      <c r="B165" t="s">
        <v>78</v>
      </c>
      <c r="C165" t="s">
        <v>79</v>
      </c>
      <c r="D165" t="s">
        <v>277</v>
      </c>
      <c r="E165" t="s">
        <v>278</v>
      </c>
      <c r="F165">
        <v>65.150000000000006</v>
      </c>
      <c r="G165">
        <v>65.55</v>
      </c>
      <c r="H165">
        <v>70</v>
      </c>
      <c r="I165">
        <v>65.55</v>
      </c>
      <c r="J165" s="1">
        <v>67.599999999999994</v>
      </c>
      <c r="K165">
        <v>34479090.100000001</v>
      </c>
      <c r="L165">
        <v>506566</v>
      </c>
      <c r="M165" t="s">
        <v>78</v>
      </c>
      <c r="N165" t="s">
        <v>17</v>
      </c>
      <c r="O165">
        <v>5697</v>
      </c>
      <c r="P165">
        <v>74.900000000000006</v>
      </c>
      <c r="Q165">
        <v>25.35</v>
      </c>
    </row>
    <row r="166" spans="2:17" x14ac:dyDescent="0.25">
      <c r="B166" t="s">
        <v>78</v>
      </c>
      <c r="C166" t="s">
        <v>79</v>
      </c>
      <c r="D166" t="s">
        <v>279</v>
      </c>
      <c r="E166" t="s">
        <v>280</v>
      </c>
      <c r="F166">
        <v>23.25</v>
      </c>
      <c r="G166">
        <v>23.25</v>
      </c>
      <c r="H166">
        <v>23.25</v>
      </c>
      <c r="I166">
        <v>22.8</v>
      </c>
      <c r="J166" s="1">
        <v>22.8</v>
      </c>
      <c r="K166">
        <v>20537.900000000001</v>
      </c>
      <c r="L166">
        <v>899</v>
      </c>
      <c r="M166" t="s">
        <v>78</v>
      </c>
      <c r="N166" t="s">
        <v>17</v>
      </c>
      <c r="O166">
        <v>27</v>
      </c>
      <c r="P166">
        <v>25.8</v>
      </c>
      <c r="Q166">
        <v>9.4499999999999993</v>
      </c>
    </row>
    <row r="167" spans="2:17" x14ac:dyDescent="0.25">
      <c r="B167" t="s">
        <v>78</v>
      </c>
      <c r="C167" t="s">
        <v>79</v>
      </c>
      <c r="D167" t="s">
        <v>281</v>
      </c>
      <c r="E167" t="s">
        <v>282</v>
      </c>
      <c r="F167">
        <v>24733.65</v>
      </c>
      <c r="G167">
        <v>24665</v>
      </c>
      <c r="H167">
        <v>24688</v>
      </c>
      <c r="I167">
        <v>24351</v>
      </c>
      <c r="J167" s="1">
        <v>24455.5</v>
      </c>
      <c r="K167">
        <v>30544685.199999999</v>
      </c>
      <c r="L167">
        <v>1248</v>
      </c>
      <c r="M167" t="s">
        <v>78</v>
      </c>
      <c r="N167" t="s">
        <v>17</v>
      </c>
      <c r="O167">
        <v>861</v>
      </c>
      <c r="P167">
        <v>31000</v>
      </c>
      <c r="Q167">
        <v>18024.25</v>
      </c>
    </row>
    <row r="168" spans="2:17" x14ac:dyDescent="0.25">
      <c r="B168" t="s">
        <v>78</v>
      </c>
      <c r="C168" t="s">
        <v>79</v>
      </c>
      <c r="D168" t="s">
        <v>283</v>
      </c>
      <c r="E168" t="s">
        <v>284</v>
      </c>
      <c r="F168">
        <v>16.2</v>
      </c>
      <c r="G168">
        <v>16.95</v>
      </c>
      <c r="H168">
        <v>17</v>
      </c>
      <c r="I168">
        <v>16.2</v>
      </c>
      <c r="J168" s="1">
        <v>17</v>
      </c>
      <c r="K168">
        <v>562628.80000000005</v>
      </c>
      <c r="L168">
        <v>33244</v>
      </c>
      <c r="M168" t="s">
        <v>78</v>
      </c>
      <c r="N168" t="s">
        <v>17</v>
      </c>
      <c r="O168">
        <v>132</v>
      </c>
      <c r="P168">
        <v>18.8</v>
      </c>
      <c r="Q168">
        <v>5.8</v>
      </c>
    </row>
    <row r="169" spans="2:17" x14ac:dyDescent="0.25">
      <c r="B169" t="s">
        <v>78</v>
      </c>
      <c r="C169" t="s">
        <v>79</v>
      </c>
      <c r="D169" t="s">
        <v>285</v>
      </c>
      <c r="E169" t="s">
        <v>286</v>
      </c>
      <c r="F169">
        <v>552.20000000000005</v>
      </c>
      <c r="G169">
        <v>551</v>
      </c>
      <c r="H169">
        <v>564.79999999999995</v>
      </c>
      <c r="I169">
        <v>530.1</v>
      </c>
      <c r="J169" s="1">
        <v>538.95000000000005</v>
      </c>
      <c r="K169">
        <v>104816003.2</v>
      </c>
      <c r="L169">
        <v>190010</v>
      </c>
      <c r="M169" t="s">
        <v>78</v>
      </c>
      <c r="N169" t="s">
        <v>17</v>
      </c>
      <c r="O169">
        <v>7399</v>
      </c>
      <c r="P169">
        <v>580</v>
      </c>
      <c r="Q169">
        <v>235.65</v>
      </c>
    </row>
    <row r="170" spans="2:17" x14ac:dyDescent="0.25">
      <c r="B170" t="s">
        <v>78</v>
      </c>
      <c r="C170" t="s">
        <v>287</v>
      </c>
      <c r="D170" t="s">
        <v>288</v>
      </c>
      <c r="E170" t="s">
        <v>289</v>
      </c>
      <c r="F170">
        <v>57.05</v>
      </c>
      <c r="G170">
        <v>58</v>
      </c>
      <c r="H170">
        <v>58.45</v>
      </c>
      <c r="I170">
        <v>58</v>
      </c>
      <c r="J170" s="1">
        <v>58.45</v>
      </c>
      <c r="K170">
        <v>2090550</v>
      </c>
      <c r="L170">
        <v>36000</v>
      </c>
      <c r="M170" t="s">
        <v>78</v>
      </c>
      <c r="N170" t="s">
        <v>17</v>
      </c>
      <c r="O170">
        <v>5</v>
      </c>
      <c r="P170">
        <v>72.45</v>
      </c>
      <c r="Q170">
        <v>42</v>
      </c>
    </row>
    <row r="171" spans="2:17" x14ac:dyDescent="0.25">
      <c r="B171" t="s">
        <v>78</v>
      </c>
      <c r="C171" t="s">
        <v>79</v>
      </c>
      <c r="D171" t="s">
        <v>290</v>
      </c>
      <c r="E171" t="s">
        <v>291</v>
      </c>
      <c r="F171">
        <v>224.35</v>
      </c>
      <c r="G171">
        <v>223.5</v>
      </c>
      <c r="H171">
        <v>230</v>
      </c>
      <c r="I171">
        <v>217.5</v>
      </c>
      <c r="J171" s="1">
        <v>225.35</v>
      </c>
      <c r="K171">
        <v>16599607.4</v>
      </c>
      <c r="L171">
        <v>74700</v>
      </c>
      <c r="M171" t="s">
        <v>78</v>
      </c>
      <c r="N171" t="s">
        <v>17</v>
      </c>
      <c r="O171">
        <v>536</v>
      </c>
      <c r="P171">
        <v>231</v>
      </c>
      <c r="Q171">
        <v>48.35</v>
      </c>
    </row>
    <row r="172" spans="2:17" x14ac:dyDescent="0.25">
      <c r="B172" t="s">
        <v>78</v>
      </c>
      <c r="C172" t="s">
        <v>79</v>
      </c>
      <c r="D172" t="s">
        <v>292</v>
      </c>
      <c r="E172" t="s">
        <v>293</v>
      </c>
      <c r="F172">
        <v>730.65</v>
      </c>
      <c r="G172">
        <v>728.5</v>
      </c>
      <c r="H172">
        <v>728.5</v>
      </c>
      <c r="I172">
        <v>716</v>
      </c>
      <c r="J172" s="1">
        <v>720.55</v>
      </c>
      <c r="K172">
        <v>158803818.84999999</v>
      </c>
      <c r="L172">
        <v>219428</v>
      </c>
      <c r="M172" t="s">
        <v>78</v>
      </c>
      <c r="N172" t="s">
        <v>17</v>
      </c>
      <c r="O172">
        <v>8481</v>
      </c>
      <c r="P172">
        <v>3719</v>
      </c>
      <c r="Q172">
        <v>615.65</v>
      </c>
    </row>
    <row r="173" spans="2:17" x14ac:dyDescent="0.25">
      <c r="B173" t="s">
        <v>78</v>
      </c>
      <c r="C173" t="s">
        <v>79</v>
      </c>
      <c r="D173" t="s">
        <v>294</v>
      </c>
      <c r="E173" t="s">
        <v>295</v>
      </c>
      <c r="F173">
        <v>856.95</v>
      </c>
      <c r="G173">
        <v>855</v>
      </c>
      <c r="H173">
        <v>861.4</v>
      </c>
      <c r="I173">
        <v>846.95</v>
      </c>
      <c r="J173" s="1">
        <v>852.55</v>
      </c>
      <c r="K173">
        <v>755303641.54999995</v>
      </c>
      <c r="L173">
        <v>883147</v>
      </c>
      <c r="M173" t="s">
        <v>78</v>
      </c>
      <c r="N173" t="s">
        <v>17</v>
      </c>
      <c r="O173">
        <v>29879</v>
      </c>
      <c r="P173">
        <v>1863.65</v>
      </c>
      <c r="Q173">
        <v>841.1</v>
      </c>
    </row>
    <row r="174" spans="2:17" x14ac:dyDescent="0.25">
      <c r="B174" t="s">
        <v>78</v>
      </c>
      <c r="C174" t="s">
        <v>79</v>
      </c>
      <c r="D174" t="s">
        <v>296</v>
      </c>
      <c r="E174" t="s">
        <v>297</v>
      </c>
      <c r="F174">
        <v>1384.75</v>
      </c>
      <c r="G174">
        <v>1380</v>
      </c>
      <c r="H174">
        <v>1480</v>
      </c>
      <c r="I174">
        <v>1380</v>
      </c>
      <c r="J174" s="1">
        <v>1415.9</v>
      </c>
      <c r="K174">
        <v>78825181.450000003</v>
      </c>
      <c r="L174">
        <v>54354</v>
      </c>
      <c r="M174" t="s">
        <v>78</v>
      </c>
      <c r="N174" t="s">
        <v>17</v>
      </c>
      <c r="O174">
        <v>7497</v>
      </c>
      <c r="P174">
        <v>1730</v>
      </c>
      <c r="Q174">
        <v>833</v>
      </c>
    </row>
    <row r="175" spans="2:17" x14ac:dyDescent="0.25">
      <c r="B175" t="s">
        <v>78</v>
      </c>
      <c r="C175" t="s">
        <v>79</v>
      </c>
      <c r="D175" t="s">
        <v>298</v>
      </c>
      <c r="E175" t="s">
        <v>299</v>
      </c>
      <c r="F175">
        <v>70.599999999999994</v>
      </c>
      <c r="G175">
        <v>71.349999999999994</v>
      </c>
      <c r="H175">
        <v>74</v>
      </c>
      <c r="I175">
        <v>70</v>
      </c>
      <c r="J175" s="1">
        <v>70.8</v>
      </c>
      <c r="K175">
        <v>6986226.4000000004</v>
      </c>
      <c r="L175">
        <v>96950</v>
      </c>
      <c r="M175" t="s">
        <v>78</v>
      </c>
      <c r="N175" t="s">
        <v>17</v>
      </c>
      <c r="O175">
        <v>1525</v>
      </c>
      <c r="P175">
        <v>78.400000000000006</v>
      </c>
      <c r="Q175">
        <v>27</v>
      </c>
    </row>
    <row r="176" spans="2:17" x14ac:dyDescent="0.25">
      <c r="B176" t="s">
        <v>78</v>
      </c>
      <c r="C176" t="s">
        <v>79</v>
      </c>
      <c r="D176" t="s">
        <v>300</v>
      </c>
      <c r="E176" t="s">
        <v>301</v>
      </c>
      <c r="F176">
        <v>2867.45</v>
      </c>
      <c r="G176">
        <v>2874</v>
      </c>
      <c r="H176">
        <v>2920</v>
      </c>
      <c r="I176">
        <v>2844.2</v>
      </c>
      <c r="J176" s="1">
        <v>2877.9</v>
      </c>
      <c r="K176">
        <v>51543495.950000003</v>
      </c>
      <c r="L176">
        <v>17825</v>
      </c>
      <c r="M176" t="s">
        <v>78</v>
      </c>
      <c r="N176" t="s">
        <v>17</v>
      </c>
      <c r="O176">
        <v>5179</v>
      </c>
      <c r="P176">
        <v>3074.35</v>
      </c>
      <c r="Q176">
        <v>1271.9000000000001</v>
      </c>
    </row>
    <row r="177" spans="2:17" x14ac:dyDescent="0.25">
      <c r="B177" t="s">
        <v>78</v>
      </c>
      <c r="C177" t="s">
        <v>79</v>
      </c>
      <c r="D177" t="s">
        <v>302</v>
      </c>
      <c r="E177" t="s">
        <v>303</v>
      </c>
      <c r="F177">
        <v>1763.2</v>
      </c>
      <c r="G177">
        <v>1772.5</v>
      </c>
      <c r="H177">
        <v>1777.9</v>
      </c>
      <c r="I177">
        <v>1731.15</v>
      </c>
      <c r="J177" s="1">
        <v>1738.8</v>
      </c>
      <c r="K177">
        <v>179871507.75</v>
      </c>
      <c r="L177">
        <v>103293</v>
      </c>
      <c r="M177" t="s">
        <v>78</v>
      </c>
      <c r="N177" t="s">
        <v>17</v>
      </c>
      <c r="O177">
        <v>9014</v>
      </c>
      <c r="P177">
        <v>1857</v>
      </c>
      <c r="Q177">
        <v>846.6</v>
      </c>
    </row>
    <row r="178" spans="2:17" x14ac:dyDescent="0.25">
      <c r="B178" t="s">
        <v>78</v>
      </c>
      <c r="C178" t="s">
        <v>79</v>
      </c>
      <c r="D178" t="s">
        <v>304</v>
      </c>
      <c r="E178" t="s">
        <v>305</v>
      </c>
      <c r="F178">
        <v>124.6</v>
      </c>
      <c r="G178">
        <v>123.9</v>
      </c>
      <c r="H178">
        <v>127.35</v>
      </c>
      <c r="I178">
        <v>123.1</v>
      </c>
      <c r="J178" s="1">
        <v>124.4</v>
      </c>
      <c r="K178">
        <v>807862986.35000002</v>
      </c>
      <c r="L178">
        <v>6445451</v>
      </c>
      <c r="M178" t="s">
        <v>78</v>
      </c>
      <c r="N178" t="s">
        <v>17</v>
      </c>
      <c r="O178">
        <v>39727</v>
      </c>
      <c r="P178">
        <v>139.69999999999999</v>
      </c>
      <c r="Q178">
        <v>53</v>
      </c>
    </row>
    <row r="179" spans="2:17" x14ac:dyDescent="0.25">
      <c r="B179" t="s">
        <v>78</v>
      </c>
      <c r="C179" t="s">
        <v>79</v>
      </c>
      <c r="D179" t="s">
        <v>306</v>
      </c>
      <c r="E179" t="s">
        <v>307</v>
      </c>
      <c r="F179">
        <v>223.55</v>
      </c>
      <c r="G179">
        <v>220.45</v>
      </c>
      <c r="H179">
        <v>224.5</v>
      </c>
      <c r="I179">
        <v>217</v>
      </c>
      <c r="J179" s="1">
        <v>218.7</v>
      </c>
      <c r="K179">
        <v>355120197.75</v>
      </c>
      <c r="L179">
        <v>1610265</v>
      </c>
      <c r="M179" t="s">
        <v>78</v>
      </c>
      <c r="N179" t="s">
        <v>17</v>
      </c>
      <c r="O179">
        <v>16889</v>
      </c>
      <c r="P179">
        <v>231.65</v>
      </c>
      <c r="Q179">
        <v>111.8</v>
      </c>
    </row>
    <row r="180" spans="2:17" x14ac:dyDescent="0.25">
      <c r="B180" t="s">
        <v>78</v>
      </c>
      <c r="C180" t="s">
        <v>287</v>
      </c>
      <c r="D180" t="s">
        <v>308</v>
      </c>
      <c r="E180" t="s">
        <v>309</v>
      </c>
      <c r="F180">
        <v>7.55</v>
      </c>
      <c r="G180">
        <v>7.2</v>
      </c>
      <c r="H180">
        <v>7.2</v>
      </c>
      <c r="I180">
        <v>7.2</v>
      </c>
      <c r="J180" s="1">
        <v>7.2</v>
      </c>
      <c r="K180">
        <v>57600</v>
      </c>
      <c r="L180">
        <v>8000</v>
      </c>
      <c r="M180" t="s">
        <v>78</v>
      </c>
      <c r="N180" t="s">
        <v>17</v>
      </c>
      <c r="O180">
        <v>2</v>
      </c>
      <c r="P180">
        <v>11.15</v>
      </c>
      <c r="Q180">
        <v>5</v>
      </c>
    </row>
    <row r="181" spans="2:17" x14ac:dyDescent="0.25">
      <c r="B181" t="s">
        <v>78</v>
      </c>
      <c r="C181" t="s">
        <v>79</v>
      </c>
      <c r="D181" t="s">
        <v>310</v>
      </c>
      <c r="E181" t="s">
        <v>311</v>
      </c>
      <c r="F181">
        <v>89.55</v>
      </c>
      <c r="G181">
        <v>94</v>
      </c>
      <c r="H181">
        <v>94</v>
      </c>
      <c r="I181">
        <v>94</v>
      </c>
      <c r="J181" s="1">
        <v>94</v>
      </c>
      <c r="K181">
        <v>295442</v>
      </c>
      <c r="L181">
        <v>3143</v>
      </c>
      <c r="M181" t="s">
        <v>78</v>
      </c>
      <c r="N181" t="s">
        <v>17</v>
      </c>
      <c r="O181">
        <v>61</v>
      </c>
      <c r="P181">
        <v>94</v>
      </c>
      <c r="Q181">
        <v>49.9</v>
      </c>
    </row>
    <row r="182" spans="2:17" x14ac:dyDescent="0.25">
      <c r="B182" t="s">
        <v>78</v>
      </c>
      <c r="C182" t="s">
        <v>79</v>
      </c>
      <c r="D182" t="s">
        <v>312</v>
      </c>
      <c r="E182" t="s">
        <v>313</v>
      </c>
      <c r="F182">
        <v>1435.05</v>
      </c>
      <c r="G182">
        <v>1432</v>
      </c>
      <c r="H182">
        <v>1446.35</v>
      </c>
      <c r="I182">
        <v>1392.7</v>
      </c>
      <c r="J182" s="1">
        <v>1403.8</v>
      </c>
      <c r="K182">
        <v>148001982.69999999</v>
      </c>
      <c r="L182">
        <v>104357</v>
      </c>
      <c r="M182" t="s">
        <v>78</v>
      </c>
      <c r="N182" t="s">
        <v>17</v>
      </c>
      <c r="O182">
        <v>7986</v>
      </c>
      <c r="P182">
        <v>1539.4</v>
      </c>
      <c r="Q182">
        <v>800</v>
      </c>
    </row>
    <row r="183" spans="2:17" x14ac:dyDescent="0.25">
      <c r="B183" t="s">
        <v>78</v>
      </c>
      <c r="C183" t="s">
        <v>79</v>
      </c>
      <c r="D183" t="s">
        <v>314</v>
      </c>
      <c r="E183" t="s">
        <v>315</v>
      </c>
      <c r="F183">
        <v>88.8</v>
      </c>
      <c r="G183">
        <v>85.05</v>
      </c>
      <c r="H183">
        <v>87.8</v>
      </c>
      <c r="I183">
        <v>83.55</v>
      </c>
      <c r="J183" s="1">
        <v>86.1</v>
      </c>
      <c r="K183">
        <v>1477377.2</v>
      </c>
      <c r="L183">
        <v>17229</v>
      </c>
      <c r="M183" t="s">
        <v>78</v>
      </c>
      <c r="N183" t="s">
        <v>17</v>
      </c>
      <c r="O183">
        <v>387</v>
      </c>
      <c r="P183">
        <v>97.8</v>
      </c>
      <c r="Q183">
        <v>31.25</v>
      </c>
    </row>
    <row r="184" spans="2:17" x14ac:dyDescent="0.25">
      <c r="B184" t="s">
        <v>78</v>
      </c>
      <c r="C184" t="s">
        <v>79</v>
      </c>
      <c r="D184" t="s">
        <v>316</v>
      </c>
      <c r="E184" t="s">
        <v>317</v>
      </c>
      <c r="F184">
        <v>231.45</v>
      </c>
      <c r="G184">
        <v>230.9</v>
      </c>
      <c r="H184">
        <v>236.5</v>
      </c>
      <c r="I184">
        <v>228.5</v>
      </c>
      <c r="J184" s="1">
        <v>234.35</v>
      </c>
      <c r="K184">
        <v>126434493.34999999</v>
      </c>
      <c r="L184">
        <v>543260</v>
      </c>
      <c r="M184" t="s">
        <v>78</v>
      </c>
      <c r="N184" t="s">
        <v>17</v>
      </c>
      <c r="O184">
        <v>15774</v>
      </c>
      <c r="P184">
        <v>253.7</v>
      </c>
      <c r="Q184">
        <v>55</v>
      </c>
    </row>
    <row r="185" spans="2:17" x14ac:dyDescent="0.25">
      <c r="B185" t="s">
        <v>78</v>
      </c>
      <c r="C185" t="s">
        <v>79</v>
      </c>
      <c r="D185" t="s">
        <v>318</v>
      </c>
      <c r="E185" t="s">
        <v>319</v>
      </c>
      <c r="F185">
        <v>612.15</v>
      </c>
      <c r="G185">
        <v>606.29999999999995</v>
      </c>
      <c r="H185">
        <v>611.1</v>
      </c>
      <c r="I185">
        <v>601.1</v>
      </c>
      <c r="J185" s="1">
        <v>602.35</v>
      </c>
      <c r="K185">
        <v>28356915.050000001</v>
      </c>
      <c r="L185">
        <v>46774</v>
      </c>
      <c r="M185" t="s">
        <v>78</v>
      </c>
      <c r="N185" t="s">
        <v>17</v>
      </c>
      <c r="O185">
        <v>2714</v>
      </c>
      <c r="P185">
        <v>666.8</v>
      </c>
      <c r="Q185">
        <v>181.25</v>
      </c>
    </row>
    <row r="186" spans="2:17" x14ac:dyDescent="0.25">
      <c r="B186" t="s">
        <v>78</v>
      </c>
      <c r="C186" t="s">
        <v>79</v>
      </c>
      <c r="D186" t="s">
        <v>320</v>
      </c>
      <c r="E186" t="s">
        <v>321</v>
      </c>
      <c r="F186">
        <v>1395.5</v>
      </c>
      <c r="G186">
        <v>1390</v>
      </c>
      <c r="H186">
        <v>1412.65</v>
      </c>
      <c r="I186">
        <v>1332.75</v>
      </c>
      <c r="J186" s="1">
        <v>1380.6</v>
      </c>
      <c r="K186">
        <v>8498908859.0500002</v>
      </c>
      <c r="L186">
        <v>6190302</v>
      </c>
      <c r="M186" t="s">
        <v>78</v>
      </c>
      <c r="N186" t="s">
        <v>17</v>
      </c>
      <c r="O186">
        <v>120662</v>
      </c>
      <c r="P186">
        <v>1717.2</v>
      </c>
      <c r="Q186">
        <v>152.1</v>
      </c>
    </row>
    <row r="187" spans="2:17" x14ac:dyDescent="0.25">
      <c r="B187" t="s">
        <v>78</v>
      </c>
      <c r="C187" t="s">
        <v>79</v>
      </c>
      <c r="D187" t="s">
        <v>322</v>
      </c>
      <c r="E187" t="s">
        <v>323</v>
      </c>
      <c r="F187">
        <v>875.2</v>
      </c>
      <c r="G187">
        <v>874.9</v>
      </c>
      <c r="H187">
        <v>900</v>
      </c>
      <c r="I187">
        <v>865.05</v>
      </c>
      <c r="J187" s="1">
        <v>871.1</v>
      </c>
      <c r="K187">
        <v>33246795.149999999</v>
      </c>
      <c r="L187">
        <v>37773</v>
      </c>
      <c r="M187" t="s">
        <v>78</v>
      </c>
      <c r="N187" t="s">
        <v>17</v>
      </c>
      <c r="O187">
        <v>4357</v>
      </c>
      <c r="P187">
        <v>1094.7</v>
      </c>
      <c r="Q187">
        <v>290.05</v>
      </c>
    </row>
    <row r="188" spans="2:17" x14ac:dyDescent="0.25">
      <c r="B188" t="s">
        <v>78</v>
      </c>
      <c r="C188" t="s">
        <v>79</v>
      </c>
      <c r="D188" t="s">
        <v>324</v>
      </c>
      <c r="E188" t="s">
        <v>325</v>
      </c>
      <c r="F188">
        <v>753.3</v>
      </c>
      <c r="G188">
        <v>753.3</v>
      </c>
      <c r="H188">
        <v>780</v>
      </c>
      <c r="I188">
        <v>741.45</v>
      </c>
      <c r="J188" s="1">
        <v>749.3</v>
      </c>
      <c r="K188">
        <v>28721022.600000001</v>
      </c>
      <c r="L188">
        <v>37709</v>
      </c>
      <c r="M188" t="s">
        <v>78</v>
      </c>
      <c r="N188" t="s">
        <v>17</v>
      </c>
      <c r="O188">
        <v>2691</v>
      </c>
      <c r="P188">
        <v>880.2</v>
      </c>
      <c r="Q188">
        <v>231.95</v>
      </c>
    </row>
    <row r="189" spans="2:17" x14ac:dyDescent="0.25">
      <c r="B189" t="s">
        <v>78</v>
      </c>
      <c r="C189" t="s">
        <v>79</v>
      </c>
      <c r="D189" t="s">
        <v>326</v>
      </c>
      <c r="E189" t="s">
        <v>327</v>
      </c>
      <c r="F189">
        <v>67.900000000000006</v>
      </c>
      <c r="G189">
        <v>67.7</v>
      </c>
      <c r="H189">
        <v>69.400000000000006</v>
      </c>
      <c r="I189">
        <v>67</v>
      </c>
      <c r="J189" s="1">
        <v>68.099999999999994</v>
      </c>
      <c r="K189">
        <v>13634274.6</v>
      </c>
      <c r="L189">
        <v>199191</v>
      </c>
      <c r="M189" t="s">
        <v>78</v>
      </c>
      <c r="N189" t="s">
        <v>17</v>
      </c>
      <c r="O189">
        <v>1720</v>
      </c>
      <c r="P189">
        <v>74.95</v>
      </c>
      <c r="Q189">
        <v>15.75</v>
      </c>
    </row>
    <row r="190" spans="2:17" x14ac:dyDescent="0.25">
      <c r="B190" t="s">
        <v>78</v>
      </c>
      <c r="C190" t="s">
        <v>79</v>
      </c>
      <c r="D190" t="s">
        <v>328</v>
      </c>
      <c r="E190" t="s">
        <v>329</v>
      </c>
      <c r="F190">
        <v>71.95</v>
      </c>
      <c r="G190">
        <v>71</v>
      </c>
      <c r="H190">
        <v>78.7</v>
      </c>
      <c r="I190">
        <v>68.55</v>
      </c>
      <c r="J190" s="1">
        <v>76.7</v>
      </c>
      <c r="K190">
        <v>24905083.25</v>
      </c>
      <c r="L190">
        <v>330392</v>
      </c>
      <c r="M190" t="s">
        <v>78</v>
      </c>
      <c r="N190" t="s">
        <v>17</v>
      </c>
      <c r="O190">
        <v>5225</v>
      </c>
      <c r="P190">
        <v>78.7</v>
      </c>
      <c r="Q190">
        <v>37.950000000000003</v>
      </c>
    </row>
    <row r="191" spans="2:17" x14ac:dyDescent="0.25">
      <c r="B191" t="s">
        <v>78</v>
      </c>
      <c r="C191" t="s">
        <v>79</v>
      </c>
      <c r="D191" t="s">
        <v>330</v>
      </c>
      <c r="E191" t="s">
        <v>331</v>
      </c>
      <c r="F191">
        <v>414</v>
      </c>
      <c r="G191">
        <v>412</v>
      </c>
      <c r="H191">
        <v>413.4</v>
      </c>
      <c r="I191">
        <v>406</v>
      </c>
      <c r="J191" s="1">
        <v>407.55</v>
      </c>
      <c r="K191">
        <v>80963944.099999994</v>
      </c>
      <c r="L191">
        <v>198057</v>
      </c>
      <c r="M191" t="s">
        <v>78</v>
      </c>
      <c r="N191" t="s">
        <v>17</v>
      </c>
      <c r="O191">
        <v>9645</v>
      </c>
      <c r="P191">
        <v>503.7</v>
      </c>
      <c r="Q191">
        <v>158</v>
      </c>
    </row>
    <row r="192" spans="2:17" x14ac:dyDescent="0.25">
      <c r="B192" t="s">
        <v>78</v>
      </c>
      <c r="C192" t="s">
        <v>79</v>
      </c>
      <c r="D192" t="s">
        <v>332</v>
      </c>
      <c r="E192" t="s">
        <v>333</v>
      </c>
      <c r="F192">
        <v>320.60000000000002</v>
      </c>
      <c r="G192">
        <v>317.85000000000002</v>
      </c>
      <c r="H192">
        <v>324.60000000000002</v>
      </c>
      <c r="I192">
        <v>316.05</v>
      </c>
      <c r="J192" s="1">
        <v>319.85000000000002</v>
      </c>
      <c r="K192">
        <v>262240249.90000001</v>
      </c>
      <c r="L192">
        <v>818704</v>
      </c>
      <c r="M192" t="s">
        <v>78</v>
      </c>
      <c r="N192" t="s">
        <v>17</v>
      </c>
      <c r="O192">
        <v>13236</v>
      </c>
      <c r="P192">
        <v>387.9</v>
      </c>
      <c r="Q192">
        <v>180.5</v>
      </c>
    </row>
    <row r="193" spans="2:17" x14ac:dyDescent="0.25">
      <c r="B193" t="s">
        <v>78</v>
      </c>
      <c r="C193" t="s">
        <v>79</v>
      </c>
      <c r="D193" t="s">
        <v>334</v>
      </c>
      <c r="E193" t="s">
        <v>335</v>
      </c>
      <c r="F193">
        <v>355.55</v>
      </c>
      <c r="G193">
        <v>360</v>
      </c>
      <c r="H193">
        <v>362</v>
      </c>
      <c r="I193">
        <v>353.05</v>
      </c>
      <c r="J193" s="1">
        <v>359.35</v>
      </c>
      <c r="K193">
        <v>12784622</v>
      </c>
      <c r="L193">
        <v>35658</v>
      </c>
      <c r="M193" t="s">
        <v>78</v>
      </c>
      <c r="N193" t="s">
        <v>17</v>
      </c>
      <c r="O193">
        <v>815</v>
      </c>
      <c r="P193">
        <v>365</v>
      </c>
      <c r="Q193">
        <v>74.099999999999994</v>
      </c>
    </row>
    <row r="194" spans="2:17" x14ac:dyDescent="0.25">
      <c r="B194" t="s">
        <v>78</v>
      </c>
      <c r="C194" t="s">
        <v>79</v>
      </c>
      <c r="D194" t="s">
        <v>336</v>
      </c>
      <c r="E194" t="s">
        <v>337</v>
      </c>
      <c r="F194">
        <v>45.15</v>
      </c>
      <c r="G194">
        <v>47.25</v>
      </c>
      <c r="H194">
        <v>47.25</v>
      </c>
      <c r="I194">
        <v>45.05</v>
      </c>
      <c r="J194" s="1">
        <v>45.35</v>
      </c>
      <c r="K194">
        <v>1434492.75</v>
      </c>
      <c r="L194">
        <v>31286</v>
      </c>
      <c r="M194" t="s">
        <v>78</v>
      </c>
      <c r="N194" t="s">
        <v>17</v>
      </c>
      <c r="O194">
        <v>652</v>
      </c>
      <c r="P194">
        <v>50.9</v>
      </c>
      <c r="Q194">
        <v>25.35</v>
      </c>
    </row>
    <row r="195" spans="2:17" x14ac:dyDescent="0.25">
      <c r="B195" t="s">
        <v>78</v>
      </c>
      <c r="C195" t="s">
        <v>79</v>
      </c>
      <c r="D195" t="s">
        <v>338</v>
      </c>
      <c r="E195" t="s">
        <v>339</v>
      </c>
      <c r="F195">
        <v>15.4</v>
      </c>
      <c r="G195">
        <v>14.9</v>
      </c>
      <c r="H195">
        <v>15.85</v>
      </c>
      <c r="I195">
        <v>14.9</v>
      </c>
      <c r="J195" s="1">
        <v>15.3</v>
      </c>
      <c r="K195">
        <v>1664478.75</v>
      </c>
      <c r="L195">
        <v>107804</v>
      </c>
      <c r="M195" t="s">
        <v>78</v>
      </c>
      <c r="N195" t="s">
        <v>17</v>
      </c>
      <c r="O195">
        <v>514</v>
      </c>
      <c r="P195">
        <v>21</v>
      </c>
      <c r="Q195">
        <v>7.45</v>
      </c>
    </row>
    <row r="196" spans="2:17" x14ac:dyDescent="0.25">
      <c r="B196" t="s">
        <v>78</v>
      </c>
      <c r="C196" t="s">
        <v>79</v>
      </c>
      <c r="D196" t="s">
        <v>340</v>
      </c>
      <c r="E196" t="s">
        <v>341</v>
      </c>
      <c r="F196">
        <v>209</v>
      </c>
      <c r="G196">
        <v>209.8</v>
      </c>
      <c r="H196">
        <v>214</v>
      </c>
      <c r="I196">
        <v>203</v>
      </c>
      <c r="J196" s="1">
        <v>203.45</v>
      </c>
      <c r="K196">
        <v>24277258.899999999</v>
      </c>
      <c r="L196">
        <v>117299</v>
      </c>
      <c r="M196" t="s">
        <v>78</v>
      </c>
      <c r="N196" t="s">
        <v>17</v>
      </c>
      <c r="O196">
        <v>2516</v>
      </c>
      <c r="P196">
        <v>232.4</v>
      </c>
      <c r="Q196">
        <v>61.15</v>
      </c>
    </row>
    <row r="197" spans="2:17" x14ac:dyDescent="0.25">
      <c r="B197" t="s">
        <v>78</v>
      </c>
      <c r="C197" t="s">
        <v>79</v>
      </c>
      <c r="D197" t="s">
        <v>342</v>
      </c>
      <c r="E197" t="s">
        <v>343</v>
      </c>
      <c r="F197">
        <v>175.35</v>
      </c>
      <c r="G197">
        <v>171.4</v>
      </c>
      <c r="H197">
        <v>179.25</v>
      </c>
      <c r="I197">
        <v>171.4</v>
      </c>
      <c r="J197" s="1">
        <v>178.55</v>
      </c>
      <c r="K197">
        <v>1027538.3</v>
      </c>
      <c r="L197">
        <v>5834</v>
      </c>
      <c r="M197" t="s">
        <v>78</v>
      </c>
      <c r="N197" t="s">
        <v>17</v>
      </c>
      <c r="O197">
        <v>251</v>
      </c>
      <c r="P197">
        <v>204.85</v>
      </c>
      <c r="Q197">
        <v>127.05</v>
      </c>
    </row>
    <row r="198" spans="2:17" x14ac:dyDescent="0.25">
      <c r="B198" t="s">
        <v>78</v>
      </c>
      <c r="C198" t="s">
        <v>79</v>
      </c>
      <c r="D198" t="s">
        <v>344</v>
      </c>
      <c r="E198" t="s">
        <v>345</v>
      </c>
      <c r="F198">
        <v>400.85</v>
      </c>
      <c r="G198">
        <v>399.9</v>
      </c>
      <c r="H198">
        <v>430</v>
      </c>
      <c r="I198">
        <v>396.55</v>
      </c>
      <c r="J198" s="1">
        <v>411.75</v>
      </c>
      <c r="K198">
        <v>67627352.950000003</v>
      </c>
      <c r="L198">
        <v>160649</v>
      </c>
      <c r="M198" t="s">
        <v>78</v>
      </c>
      <c r="N198" t="s">
        <v>17</v>
      </c>
      <c r="O198">
        <v>10769</v>
      </c>
      <c r="P198">
        <v>430</v>
      </c>
      <c r="Q198">
        <v>203</v>
      </c>
    </row>
    <row r="199" spans="2:17" x14ac:dyDescent="0.25">
      <c r="B199" t="s">
        <v>78</v>
      </c>
      <c r="C199" t="s">
        <v>79</v>
      </c>
      <c r="D199" t="s">
        <v>346</v>
      </c>
      <c r="E199" t="s">
        <v>347</v>
      </c>
      <c r="F199">
        <v>241.55</v>
      </c>
      <c r="G199">
        <v>236</v>
      </c>
      <c r="H199">
        <v>244.9</v>
      </c>
      <c r="I199">
        <v>236</v>
      </c>
      <c r="J199" s="1">
        <v>243.55</v>
      </c>
      <c r="K199">
        <v>1375663.3</v>
      </c>
      <c r="L199">
        <v>5688</v>
      </c>
      <c r="M199" t="s">
        <v>78</v>
      </c>
      <c r="N199" t="s">
        <v>17</v>
      </c>
      <c r="O199">
        <v>388</v>
      </c>
      <c r="P199">
        <v>339.4</v>
      </c>
      <c r="Q199">
        <v>191</v>
      </c>
    </row>
    <row r="200" spans="2:17" x14ac:dyDescent="0.25">
      <c r="B200" t="s">
        <v>78</v>
      </c>
      <c r="C200" t="s">
        <v>79</v>
      </c>
      <c r="D200" t="s">
        <v>348</v>
      </c>
      <c r="E200" t="s">
        <v>349</v>
      </c>
      <c r="F200">
        <v>2046.7</v>
      </c>
      <c r="G200">
        <v>2049.9499999999998</v>
      </c>
      <c r="H200">
        <v>2077</v>
      </c>
      <c r="I200">
        <v>2026</v>
      </c>
      <c r="J200" s="1">
        <v>2062.6</v>
      </c>
      <c r="K200">
        <v>21779304.350000001</v>
      </c>
      <c r="L200">
        <v>10598</v>
      </c>
      <c r="M200" t="s">
        <v>78</v>
      </c>
      <c r="N200" t="s">
        <v>17</v>
      </c>
      <c r="O200">
        <v>2118</v>
      </c>
      <c r="P200">
        <v>2234</v>
      </c>
      <c r="Q200">
        <v>1584</v>
      </c>
    </row>
    <row r="201" spans="2:17" x14ac:dyDescent="0.25">
      <c r="B201" t="s">
        <v>78</v>
      </c>
      <c r="C201" t="s">
        <v>287</v>
      </c>
      <c r="D201" t="s">
        <v>350</v>
      </c>
      <c r="E201" t="s">
        <v>351</v>
      </c>
      <c r="F201">
        <v>33.25</v>
      </c>
      <c r="G201">
        <v>30.2</v>
      </c>
      <c r="H201">
        <v>30.6</v>
      </c>
      <c r="I201">
        <v>30.2</v>
      </c>
      <c r="J201" s="1">
        <v>30.6</v>
      </c>
      <c r="K201">
        <v>182400</v>
      </c>
      <c r="L201">
        <v>6000</v>
      </c>
      <c r="M201" t="s">
        <v>78</v>
      </c>
      <c r="N201" t="s">
        <v>17</v>
      </c>
      <c r="O201">
        <v>2</v>
      </c>
      <c r="P201">
        <v>38.6</v>
      </c>
      <c r="Q201">
        <v>19</v>
      </c>
    </row>
    <row r="202" spans="2:17" x14ac:dyDescent="0.25">
      <c r="B202" t="s">
        <v>78</v>
      </c>
      <c r="C202" t="s">
        <v>287</v>
      </c>
      <c r="D202" t="s">
        <v>352</v>
      </c>
      <c r="E202" t="s">
        <v>353</v>
      </c>
      <c r="F202">
        <v>36.799999999999997</v>
      </c>
      <c r="G202">
        <v>36</v>
      </c>
      <c r="H202">
        <v>36.049999999999997</v>
      </c>
      <c r="I202">
        <v>36</v>
      </c>
      <c r="J202" s="1">
        <v>36.049999999999997</v>
      </c>
      <c r="K202">
        <v>216150</v>
      </c>
      <c r="L202">
        <v>6000</v>
      </c>
      <c r="M202" t="s">
        <v>78</v>
      </c>
      <c r="N202" t="s">
        <v>17</v>
      </c>
      <c r="O202">
        <v>2</v>
      </c>
      <c r="P202">
        <v>45.35</v>
      </c>
      <c r="Q202">
        <v>19.25</v>
      </c>
    </row>
    <row r="203" spans="2:17" x14ac:dyDescent="0.25">
      <c r="B203" t="s">
        <v>78</v>
      </c>
      <c r="C203" t="s">
        <v>287</v>
      </c>
      <c r="D203" t="s">
        <v>354</v>
      </c>
      <c r="E203" t="s">
        <v>355</v>
      </c>
      <c r="F203">
        <v>47.05</v>
      </c>
      <c r="G203">
        <v>49.95</v>
      </c>
      <c r="H203">
        <v>49.95</v>
      </c>
      <c r="I203">
        <v>47.1</v>
      </c>
      <c r="J203" s="1">
        <v>49.25</v>
      </c>
      <c r="K203">
        <v>1117140</v>
      </c>
      <c r="L203">
        <v>22800</v>
      </c>
      <c r="M203" t="s">
        <v>78</v>
      </c>
      <c r="N203" t="s">
        <v>17</v>
      </c>
      <c r="O203">
        <v>15</v>
      </c>
      <c r="P203">
        <v>55.4</v>
      </c>
      <c r="Q203">
        <v>17.600000000000001</v>
      </c>
    </row>
    <row r="204" spans="2:17" x14ac:dyDescent="0.25">
      <c r="B204" t="s">
        <v>78</v>
      </c>
      <c r="C204" t="s">
        <v>79</v>
      </c>
      <c r="D204" t="s">
        <v>356</v>
      </c>
      <c r="E204" t="s">
        <v>357</v>
      </c>
      <c r="F204">
        <v>2155.25</v>
      </c>
      <c r="G204">
        <v>2156</v>
      </c>
      <c r="H204">
        <v>2160</v>
      </c>
      <c r="I204">
        <v>2097</v>
      </c>
      <c r="J204" s="1">
        <v>2136.9</v>
      </c>
      <c r="K204">
        <v>110259910.34999999</v>
      </c>
      <c r="L204">
        <v>51941</v>
      </c>
      <c r="M204" t="s">
        <v>78</v>
      </c>
      <c r="N204" t="s">
        <v>17</v>
      </c>
      <c r="O204">
        <v>8128</v>
      </c>
      <c r="P204">
        <v>2197.9</v>
      </c>
      <c r="Q204">
        <v>1408</v>
      </c>
    </row>
    <row r="205" spans="2:17" x14ac:dyDescent="0.25">
      <c r="B205" t="s">
        <v>78</v>
      </c>
      <c r="C205" t="s">
        <v>79</v>
      </c>
      <c r="D205" t="s">
        <v>358</v>
      </c>
      <c r="E205" t="s">
        <v>359</v>
      </c>
      <c r="F205">
        <v>309</v>
      </c>
      <c r="G205">
        <v>304.10000000000002</v>
      </c>
      <c r="H205">
        <v>317</v>
      </c>
      <c r="I205">
        <v>295</v>
      </c>
      <c r="J205" s="1">
        <v>310.85000000000002</v>
      </c>
      <c r="K205">
        <v>57767120.950000003</v>
      </c>
      <c r="L205">
        <v>187688</v>
      </c>
      <c r="M205" t="s">
        <v>78</v>
      </c>
      <c r="N205" t="s">
        <v>17</v>
      </c>
      <c r="O205">
        <v>3791</v>
      </c>
      <c r="P205">
        <v>324</v>
      </c>
      <c r="Q205">
        <v>73.900000000000006</v>
      </c>
    </row>
    <row r="206" spans="2:17" x14ac:dyDescent="0.25">
      <c r="B206" t="s">
        <v>78</v>
      </c>
      <c r="C206" t="s">
        <v>79</v>
      </c>
      <c r="D206" t="s">
        <v>360</v>
      </c>
      <c r="E206" t="s">
        <v>361</v>
      </c>
      <c r="F206">
        <v>228.2</v>
      </c>
      <c r="G206">
        <v>231.85</v>
      </c>
      <c r="H206">
        <v>231.85</v>
      </c>
      <c r="I206">
        <v>218.5</v>
      </c>
      <c r="J206" s="1">
        <v>221.1</v>
      </c>
      <c r="K206">
        <v>4583314.2</v>
      </c>
      <c r="L206">
        <v>20225</v>
      </c>
      <c r="M206" t="s">
        <v>78</v>
      </c>
      <c r="N206" t="s">
        <v>17</v>
      </c>
      <c r="O206">
        <v>716</v>
      </c>
      <c r="P206">
        <v>270.60000000000002</v>
      </c>
      <c r="Q206">
        <v>157.9</v>
      </c>
    </row>
    <row r="207" spans="2:17" x14ac:dyDescent="0.25">
      <c r="B207" t="s">
        <v>78</v>
      </c>
      <c r="C207" t="s">
        <v>79</v>
      </c>
      <c r="D207" t="s">
        <v>362</v>
      </c>
      <c r="E207" t="s">
        <v>363</v>
      </c>
      <c r="F207">
        <v>26.6</v>
      </c>
      <c r="G207">
        <v>26.05</v>
      </c>
      <c r="H207">
        <v>27.15</v>
      </c>
      <c r="I207">
        <v>25.5</v>
      </c>
      <c r="J207" s="1">
        <v>25.65</v>
      </c>
      <c r="K207">
        <v>462813.55</v>
      </c>
      <c r="L207">
        <v>17748</v>
      </c>
      <c r="M207" t="s">
        <v>78</v>
      </c>
      <c r="N207" t="s">
        <v>17</v>
      </c>
      <c r="O207">
        <v>177</v>
      </c>
      <c r="P207">
        <v>112.7</v>
      </c>
      <c r="Q207">
        <v>25.5</v>
      </c>
    </row>
    <row r="208" spans="2:17" x14ac:dyDescent="0.25">
      <c r="B208" t="s">
        <v>78</v>
      </c>
      <c r="C208" t="s">
        <v>79</v>
      </c>
      <c r="D208" t="s">
        <v>364</v>
      </c>
      <c r="E208" t="s">
        <v>365</v>
      </c>
      <c r="F208">
        <v>440.95</v>
      </c>
      <c r="G208">
        <v>444.7</v>
      </c>
      <c r="H208">
        <v>474.3</v>
      </c>
      <c r="I208">
        <v>435.1</v>
      </c>
      <c r="J208" s="1">
        <v>455.55</v>
      </c>
      <c r="K208">
        <v>56652185.299999997</v>
      </c>
      <c r="L208">
        <v>124232</v>
      </c>
      <c r="M208" t="s">
        <v>78</v>
      </c>
      <c r="N208" t="s">
        <v>17</v>
      </c>
      <c r="O208">
        <v>9670</v>
      </c>
      <c r="P208">
        <v>497.7</v>
      </c>
      <c r="Q208">
        <v>197.15</v>
      </c>
    </row>
    <row r="209" spans="2:17" x14ac:dyDescent="0.25">
      <c r="B209" t="s">
        <v>78</v>
      </c>
      <c r="C209" t="s">
        <v>79</v>
      </c>
      <c r="D209" t="s">
        <v>366</v>
      </c>
      <c r="E209" t="s">
        <v>367</v>
      </c>
      <c r="F209">
        <v>2281.5500000000002</v>
      </c>
      <c r="G209">
        <v>2265</v>
      </c>
      <c r="H209">
        <v>2287.9499999999998</v>
      </c>
      <c r="I209">
        <v>2260</v>
      </c>
      <c r="J209" s="1">
        <v>2264.4</v>
      </c>
      <c r="K209">
        <v>11408136.050000001</v>
      </c>
      <c r="L209">
        <v>5022</v>
      </c>
      <c r="M209" t="s">
        <v>78</v>
      </c>
      <c r="N209" t="s">
        <v>17</v>
      </c>
      <c r="O209">
        <v>1143</v>
      </c>
      <c r="P209">
        <v>2530</v>
      </c>
      <c r="Q209">
        <v>1812</v>
      </c>
    </row>
    <row r="210" spans="2:17" x14ac:dyDescent="0.25">
      <c r="B210" t="s">
        <v>78</v>
      </c>
      <c r="C210" t="s">
        <v>79</v>
      </c>
      <c r="D210" t="s">
        <v>368</v>
      </c>
      <c r="E210" t="s">
        <v>369</v>
      </c>
      <c r="F210">
        <v>21.75</v>
      </c>
      <c r="G210">
        <v>20.25</v>
      </c>
      <c r="H210">
        <v>22.5</v>
      </c>
      <c r="I210">
        <v>20</v>
      </c>
      <c r="J210" s="1">
        <v>20.9</v>
      </c>
      <c r="K210">
        <v>74665311.900000006</v>
      </c>
      <c r="L210">
        <v>3481734</v>
      </c>
      <c r="M210" t="s">
        <v>78</v>
      </c>
      <c r="N210" t="s">
        <v>17</v>
      </c>
      <c r="O210">
        <v>7053</v>
      </c>
      <c r="P210">
        <v>27.2</v>
      </c>
      <c r="Q210">
        <v>12.65</v>
      </c>
    </row>
    <row r="211" spans="2:17" x14ac:dyDescent="0.25">
      <c r="B211" t="s">
        <v>78</v>
      </c>
      <c r="C211" t="s">
        <v>79</v>
      </c>
      <c r="D211" t="s">
        <v>370</v>
      </c>
      <c r="E211" t="s">
        <v>371</v>
      </c>
      <c r="F211">
        <v>540.79999999999995</v>
      </c>
      <c r="G211">
        <v>540</v>
      </c>
      <c r="H211">
        <v>541.75</v>
      </c>
      <c r="I211">
        <v>530</v>
      </c>
      <c r="J211" s="1">
        <v>533.29999999999995</v>
      </c>
      <c r="K211">
        <v>15408171.85</v>
      </c>
      <c r="L211">
        <v>28750</v>
      </c>
      <c r="M211" t="s">
        <v>78</v>
      </c>
      <c r="N211" t="s">
        <v>17</v>
      </c>
      <c r="O211">
        <v>2092</v>
      </c>
      <c r="P211">
        <v>574</v>
      </c>
      <c r="Q211">
        <v>374</v>
      </c>
    </row>
    <row r="212" spans="2:17" x14ac:dyDescent="0.25">
      <c r="B212" t="s">
        <v>78</v>
      </c>
      <c r="C212" t="s">
        <v>79</v>
      </c>
      <c r="D212" t="s">
        <v>372</v>
      </c>
      <c r="E212" t="s">
        <v>373</v>
      </c>
      <c r="F212">
        <v>134.5</v>
      </c>
      <c r="G212">
        <v>133.9</v>
      </c>
      <c r="H212">
        <v>139.35</v>
      </c>
      <c r="I212">
        <v>132.15</v>
      </c>
      <c r="J212" s="1">
        <v>135.65</v>
      </c>
      <c r="K212">
        <v>289984343.69999999</v>
      </c>
      <c r="L212">
        <v>2124208</v>
      </c>
      <c r="M212" t="s">
        <v>78</v>
      </c>
      <c r="N212" t="s">
        <v>17</v>
      </c>
      <c r="O212">
        <v>21665</v>
      </c>
      <c r="P212">
        <v>143.30000000000001</v>
      </c>
      <c r="Q212">
        <v>74</v>
      </c>
    </row>
    <row r="213" spans="2:17" x14ac:dyDescent="0.25">
      <c r="B213" t="s">
        <v>78</v>
      </c>
      <c r="C213" t="s">
        <v>79</v>
      </c>
      <c r="D213" t="s">
        <v>374</v>
      </c>
      <c r="E213" t="s">
        <v>375</v>
      </c>
      <c r="F213">
        <v>800.75</v>
      </c>
      <c r="G213">
        <v>802.95</v>
      </c>
      <c r="H213">
        <v>805</v>
      </c>
      <c r="I213">
        <v>763.3</v>
      </c>
      <c r="J213" s="1">
        <v>774.85</v>
      </c>
      <c r="K213">
        <v>34449441.299999997</v>
      </c>
      <c r="L213">
        <v>43984</v>
      </c>
      <c r="M213" t="s">
        <v>78</v>
      </c>
      <c r="N213" t="s">
        <v>17</v>
      </c>
      <c r="O213">
        <v>3847</v>
      </c>
      <c r="P213">
        <v>853.85</v>
      </c>
      <c r="Q213">
        <v>241.55</v>
      </c>
    </row>
    <row r="214" spans="2:17" x14ac:dyDescent="0.25">
      <c r="B214" t="s">
        <v>78</v>
      </c>
      <c r="C214" t="s">
        <v>79</v>
      </c>
      <c r="D214" t="s">
        <v>376</v>
      </c>
      <c r="E214" t="s">
        <v>377</v>
      </c>
      <c r="F214">
        <v>91.35</v>
      </c>
      <c r="G214">
        <v>89.6</v>
      </c>
      <c r="H214">
        <v>93.9</v>
      </c>
      <c r="I214">
        <v>87.5</v>
      </c>
      <c r="J214" s="1">
        <v>90.9</v>
      </c>
      <c r="K214">
        <v>14072019.4</v>
      </c>
      <c r="L214">
        <v>153942</v>
      </c>
      <c r="M214" t="s">
        <v>78</v>
      </c>
      <c r="N214" t="s">
        <v>17</v>
      </c>
      <c r="O214">
        <v>6062</v>
      </c>
      <c r="P214">
        <v>96.7</v>
      </c>
      <c r="Q214">
        <v>41.1</v>
      </c>
    </row>
    <row r="215" spans="2:17" x14ac:dyDescent="0.25">
      <c r="B215" t="s">
        <v>78</v>
      </c>
      <c r="C215" t="s">
        <v>79</v>
      </c>
      <c r="D215" t="s">
        <v>378</v>
      </c>
      <c r="E215" t="s">
        <v>379</v>
      </c>
      <c r="F215">
        <v>3764.95</v>
      </c>
      <c r="G215">
        <v>3750.05</v>
      </c>
      <c r="H215">
        <v>3775</v>
      </c>
      <c r="I215">
        <v>3678</v>
      </c>
      <c r="J215" s="1">
        <v>3692.6</v>
      </c>
      <c r="K215">
        <v>221673877.65000001</v>
      </c>
      <c r="L215">
        <v>59623</v>
      </c>
      <c r="M215" t="s">
        <v>78</v>
      </c>
      <c r="N215" t="s">
        <v>17</v>
      </c>
      <c r="O215">
        <v>11453</v>
      </c>
      <c r="P215">
        <v>8800</v>
      </c>
      <c r="Q215">
        <v>2233.0500000000002</v>
      </c>
    </row>
    <row r="216" spans="2:17" x14ac:dyDescent="0.25">
      <c r="B216" t="s">
        <v>78</v>
      </c>
      <c r="C216" t="s">
        <v>79</v>
      </c>
      <c r="D216" t="s">
        <v>380</v>
      </c>
      <c r="E216" t="s">
        <v>381</v>
      </c>
      <c r="F216">
        <v>160.69999999999999</v>
      </c>
      <c r="G216">
        <v>160</v>
      </c>
      <c r="H216">
        <v>167.5</v>
      </c>
      <c r="I216">
        <v>158.4</v>
      </c>
      <c r="J216" s="1">
        <v>162.4</v>
      </c>
      <c r="K216">
        <v>367755527.10000002</v>
      </c>
      <c r="L216">
        <v>2238586</v>
      </c>
      <c r="M216" t="s">
        <v>78</v>
      </c>
      <c r="N216" t="s">
        <v>17</v>
      </c>
      <c r="O216">
        <v>13851</v>
      </c>
      <c r="P216">
        <v>167.5</v>
      </c>
      <c r="Q216">
        <v>92</v>
      </c>
    </row>
    <row r="217" spans="2:17" x14ac:dyDescent="0.25">
      <c r="B217" t="s">
        <v>78</v>
      </c>
      <c r="C217" t="s">
        <v>79</v>
      </c>
      <c r="D217" t="s">
        <v>382</v>
      </c>
      <c r="E217" t="s">
        <v>383</v>
      </c>
      <c r="F217">
        <v>538.4</v>
      </c>
      <c r="G217">
        <v>536.29999999999995</v>
      </c>
      <c r="H217">
        <v>538.70000000000005</v>
      </c>
      <c r="I217">
        <v>525</v>
      </c>
      <c r="J217" s="1">
        <v>529.54999999999995</v>
      </c>
      <c r="K217">
        <v>21184118.399999999</v>
      </c>
      <c r="L217">
        <v>39815</v>
      </c>
      <c r="M217" t="s">
        <v>78</v>
      </c>
      <c r="N217" t="s">
        <v>17</v>
      </c>
      <c r="O217">
        <v>2398</v>
      </c>
      <c r="P217">
        <v>558.4</v>
      </c>
      <c r="Q217">
        <v>181.2</v>
      </c>
    </row>
    <row r="218" spans="2:17" x14ac:dyDescent="0.25">
      <c r="B218" t="s">
        <v>78</v>
      </c>
      <c r="C218" t="s">
        <v>79</v>
      </c>
      <c r="D218" t="s">
        <v>384</v>
      </c>
      <c r="E218" t="s">
        <v>385</v>
      </c>
      <c r="F218">
        <v>64.599999999999994</v>
      </c>
      <c r="G218">
        <v>65.95</v>
      </c>
      <c r="H218">
        <v>65.95</v>
      </c>
      <c r="I218">
        <v>61.4</v>
      </c>
      <c r="J218" s="1">
        <v>62.4</v>
      </c>
      <c r="K218">
        <v>1833061.65</v>
      </c>
      <c r="L218">
        <v>29355</v>
      </c>
      <c r="M218" t="s">
        <v>78</v>
      </c>
      <c r="N218" t="s">
        <v>17</v>
      </c>
      <c r="O218">
        <v>497</v>
      </c>
      <c r="P218">
        <v>72.75</v>
      </c>
      <c r="Q218">
        <v>8.9</v>
      </c>
    </row>
    <row r="219" spans="2:17" x14ac:dyDescent="0.25">
      <c r="B219" t="s">
        <v>78</v>
      </c>
      <c r="C219" t="s">
        <v>79</v>
      </c>
      <c r="D219" t="s">
        <v>386</v>
      </c>
      <c r="E219" t="s">
        <v>387</v>
      </c>
      <c r="F219">
        <v>27.8</v>
      </c>
      <c r="G219">
        <v>27.45</v>
      </c>
      <c r="H219">
        <v>27.85</v>
      </c>
      <c r="I219">
        <v>27.2</v>
      </c>
      <c r="J219" s="1">
        <v>27.45</v>
      </c>
      <c r="K219">
        <v>262187235.25</v>
      </c>
      <c r="L219">
        <v>9529994</v>
      </c>
      <c r="M219" t="s">
        <v>78</v>
      </c>
      <c r="N219" t="s">
        <v>17</v>
      </c>
      <c r="O219">
        <v>16114</v>
      </c>
      <c r="P219">
        <v>44.3</v>
      </c>
      <c r="Q219">
        <v>18.649999999999999</v>
      </c>
    </row>
    <row r="220" spans="2:17" x14ac:dyDescent="0.25">
      <c r="B220" t="s">
        <v>78</v>
      </c>
      <c r="C220" t="s">
        <v>79</v>
      </c>
      <c r="D220" t="s">
        <v>388</v>
      </c>
      <c r="E220" t="s">
        <v>389</v>
      </c>
      <c r="F220">
        <v>324.3</v>
      </c>
      <c r="G220">
        <v>323.5</v>
      </c>
      <c r="H220">
        <v>327.2</v>
      </c>
      <c r="I220">
        <v>315.95</v>
      </c>
      <c r="J220" s="1">
        <v>316.85000000000002</v>
      </c>
      <c r="K220">
        <v>13019473.699999999</v>
      </c>
      <c r="L220">
        <v>40572</v>
      </c>
      <c r="M220" t="s">
        <v>78</v>
      </c>
      <c r="N220" t="s">
        <v>17</v>
      </c>
      <c r="O220">
        <v>2396</v>
      </c>
      <c r="P220">
        <v>336.95</v>
      </c>
      <c r="Q220">
        <v>142.85</v>
      </c>
    </row>
    <row r="221" spans="2:17" x14ac:dyDescent="0.25">
      <c r="B221" t="s">
        <v>78</v>
      </c>
      <c r="C221" t="s">
        <v>79</v>
      </c>
      <c r="D221" t="s">
        <v>390</v>
      </c>
      <c r="E221" t="s">
        <v>391</v>
      </c>
      <c r="F221">
        <v>727.85</v>
      </c>
      <c r="G221">
        <v>727</v>
      </c>
      <c r="H221">
        <v>729.35</v>
      </c>
      <c r="I221">
        <v>721</v>
      </c>
      <c r="J221" s="1">
        <v>722.3</v>
      </c>
      <c r="K221">
        <v>783782291.35000002</v>
      </c>
      <c r="L221">
        <v>1081682</v>
      </c>
      <c r="M221" t="s">
        <v>78</v>
      </c>
      <c r="N221" t="s">
        <v>17</v>
      </c>
      <c r="O221">
        <v>32782</v>
      </c>
      <c r="P221">
        <v>1025.55</v>
      </c>
      <c r="Q221">
        <v>675.1</v>
      </c>
    </row>
    <row r="222" spans="2:17" x14ac:dyDescent="0.25">
      <c r="B222" t="s">
        <v>78</v>
      </c>
      <c r="C222" t="s">
        <v>79</v>
      </c>
      <c r="D222" t="s">
        <v>392</v>
      </c>
      <c r="E222" t="s">
        <v>393</v>
      </c>
      <c r="F222">
        <v>3031.05</v>
      </c>
      <c r="G222">
        <v>3002</v>
      </c>
      <c r="H222">
        <v>3048.75</v>
      </c>
      <c r="I222">
        <v>3000.65</v>
      </c>
      <c r="J222" s="1">
        <v>3032.4</v>
      </c>
      <c r="K222">
        <v>124848889.90000001</v>
      </c>
      <c r="L222">
        <v>41247</v>
      </c>
      <c r="M222" t="s">
        <v>78</v>
      </c>
      <c r="N222" t="s">
        <v>17</v>
      </c>
      <c r="O222">
        <v>7773</v>
      </c>
      <c r="P222">
        <v>3662</v>
      </c>
      <c r="Q222">
        <v>1442.3</v>
      </c>
    </row>
    <row r="223" spans="2:17" x14ac:dyDescent="0.25">
      <c r="B223" t="s">
        <v>78</v>
      </c>
      <c r="C223" t="s">
        <v>79</v>
      </c>
      <c r="D223" t="s">
        <v>394</v>
      </c>
      <c r="E223" t="s">
        <v>395</v>
      </c>
      <c r="F223">
        <v>20.100000000000001</v>
      </c>
      <c r="G223">
        <v>20.5</v>
      </c>
      <c r="H223">
        <v>20.5</v>
      </c>
      <c r="I223">
        <v>19.649999999999999</v>
      </c>
      <c r="J223" s="1">
        <v>19.8</v>
      </c>
      <c r="K223">
        <v>848218.5</v>
      </c>
      <c r="L223">
        <v>42383</v>
      </c>
      <c r="M223" t="s">
        <v>78</v>
      </c>
      <c r="N223" t="s">
        <v>17</v>
      </c>
      <c r="O223">
        <v>266</v>
      </c>
      <c r="P223">
        <v>39</v>
      </c>
      <c r="Q223">
        <v>18.25</v>
      </c>
    </row>
    <row r="224" spans="2:17" x14ac:dyDescent="0.25">
      <c r="B224" t="s">
        <v>78</v>
      </c>
      <c r="C224" t="s">
        <v>79</v>
      </c>
      <c r="D224" t="s">
        <v>396</v>
      </c>
      <c r="E224" t="s">
        <v>397</v>
      </c>
      <c r="F224">
        <v>1405.05</v>
      </c>
      <c r="G224">
        <v>1398.7</v>
      </c>
      <c r="H224">
        <v>1476</v>
      </c>
      <c r="I224">
        <v>1385</v>
      </c>
      <c r="J224" s="1">
        <v>1456.3</v>
      </c>
      <c r="K224">
        <v>150584642.55000001</v>
      </c>
      <c r="L224">
        <v>104308</v>
      </c>
      <c r="M224" t="s">
        <v>78</v>
      </c>
      <c r="N224" t="s">
        <v>17</v>
      </c>
      <c r="O224">
        <v>9949</v>
      </c>
      <c r="P224">
        <v>1476</v>
      </c>
      <c r="Q224">
        <v>606.1</v>
      </c>
    </row>
    <row r="225" spans="2:17" x14ac:dyDescent="0.25">
      <c r="B225" t="s">
        <v>78</v>
      </c>
      <c r="C225" t="s">
        <v>79</v>
      </c>
      <c r="D225" t="s">
        <v>398</v>
      </c>
      <c r="E225" t="s">
        <v>399</v>
      </c>
      <c r="F225">
        <v>31.1</v>
      </c>
      <c r="G225">
        <v>32</v>
      </c>
      <c r="H225">
        <v>32</v>
      </c>
      <c r="I225">
        <v>30.5</v>
      </c>
      <c r="J225" s="1">
        <v>30.65</v>
      </c>
      <c r="K225">
        <v>1027617.75</v>
      </c>
      <c r="L225">
        <v>32817</v>
      </c>
      <c r="M225" t="s">
        <v>78</v>
      </c>
      <c r="N225" t="s">
        <v>17</v>
      </c>
      <c r="O225">
        <v>346</v>
      </c>
      <c r="P225">
        <v>33.65</v>
      </c>
      <c r="Q225">
        <v>13.05</v>
      </c>
    </row>
    <row r="226" spans="2:17" x14ac:dyDescent="0.25">
      <c r="B226" t="s">
        <v>78</v>
      </c>
      <c r="C226" t="s">
        <v>79</v>
      </c>
      <c r="D226" t="s">
        <v>400</v>
      </c>
      <c r="E226" t="s">
        <v>401</v>
      </c>
      <c r="F226">
        <v>34.9</v>
      </c>
      <c r="G226">
        <v>34.65</v>
      </c>
      <c r="H226">
        <v>35.4</v>
      </c>
      <c r="I226">
        <v>33.4</v>
      </c>
      <c r="J226" s="1">
        <v>33.85</v>
      </c>
      <c r="K226">
        <v>2799374.2</v>
      </c>
      <c r="L226">
        <v>81099</v>
      </c>
      <c r="M226" t="s">
        <v>78</v>
      </c>
      <c r="N226" t="s">
        <v>17</v>
      </c>
      <c r="O226">
        <v>1109</v>
      </c>
      <c r="P226">
        <v>37.200000000000003</v>
      </c>
      <c r="Q226">
        <v>15.75</v>
      </c>
    </row>
    <row r="227" spans="2:17" x14ac:dyDescent="0.25">
      <c r="B227" t="s">
        <v>78</v>
      </c>
      <c r="C227" t="s">
        <v>79</v>
      </c>
      <c r="D227" t="s">
        <v>402</v>
      </c>
      <c r="E227" t="s">
        <v>403</v>
      </c>
      <c r="F227">
        <v>706.1</v>
      </c>
      <c r="G227">
        <v>704.4</v>
      </c>
      <c r="H227">
        <v>704.4</v>
      </c>
      <c r="I227">
        <v>690</v>
      </c>
      <c r="J227" s="1">
        <v>691.55</v>
      </c>
      <c r="K227">
        <v>35961452.549999997</v>
      </c>
      <c r="L227">
        <v>51700</v>
      </c>
      <c r="M227" t="s">
        <v>78</v>
      </c>
      <c r="N227" t="s">
        <v>17</v>
      </c>
      <c r="O227">
        <v>4380</v>
      </c>
      <c r="P227">
        <v>804.9</v>
      </c>
      <c r="Q227">
        <v>382</v>
      </c>
    </row>
    <row r="228" spans="2:17" x14ac:dyDescent="0.25">
      <c r="B228" t="s">
        <v>78</v>
      </c>
      <c r="C228" t="s">
        <v>79</v>
      </c>
      <c r="D228" t="s">
        <v>404</v>
      </c>
      <c r="E228" t="s">
        <v>405</v>
      </c>
      <c r="F228">
        <v>253</v>
      </c>
      <c r="G228">
        <v>252.95</v>
      </c>
      <c r="H228">
        <v>259</v>
      </c>
      <c r="I228">
        <v>250.35</v>
      </c>
      <c r="J228" s="1">
        <v>254.65</v>
      </c>
      <c r="K228">
        <v>11550887.6</v>
      </c>
      <c r="L228">
        <v>45126</v>
      </c>
      <c r="M228" t="s">
        <v>78</v>
      </c>
      <c r="N228" t="s">
        <v>17</v>
      </c>
      <c r="O228">
        <v>2380</v>
      </c>
      <c r="P228">
        <v>283.7</v>
      </c>
      <c r="Q228">
        <v>177.55</v>
      </c>
    </row>
    <row r="229" spans="2:17" x14ac:dyDescent="0.25">
      <c r="B229" t="s">
        <v>78</v>
      </c>
      <c r="C229" t="s">
        <v>79</v>
      </c>
      <c r="D229" t="s">
        <v>406</v>
      </c>
      <c r="E229" t="s">
        <v>407</v>
      </c>
      <c r="F229">
        <v>547.15</v>
      </c>
      <c r="G229">
        <v>549.5</v>
      </c>
      <c r="H229">
        <v>569</v>
      </c>
      <c r="I229">
        <v>545.04999999999995</v>
      </c>
      <c r="J229" s="1">
        <v>550.9</v>
      </c>
      <c r="K229">
        <v>100982571.3</v>
      </c>
      <c r="L229">
        <v>181094</v>
      </c>
      <c r="M229" t="s">
        <v>78</v>
      </c>
      <c r="N229" t="s">
        <v>17</v>
      </c>
      <c r="O229">
        <v>6611</v>
      </c>
      <c r="P229">
        <v>638</v>
      </c>
      <c r="Q229">
        <v>271</v>
      </c>
    </row>
    <row r="230" spans="2:17" x14ac:dyDescent="0.25">
      <c r="B230" t="s">
        <v>78</v>
      </c>
      <c r="C230" t="s">
        <v>79</v>
      </c>
      <c r="D230" t="s">
        <v>408</v>
      </c>
      <c r="E230" t="s">
        <v>409</v>
      </c>
      <c r="F230">
        <v>1272.1500000000001</v>
      </c>
      <c r="G230">
        <v>1318</v>
      </c>
      <c r="H230">
        <v>1475</v>
      </c>
      <c r="I230">
        <v>1302.1500000000001</v>
      </c>
      <c r="J230" s="1">
        <v>1357.25</v>
      </c>
      <c r="K230">
        <v>4397408785.8000002</v>
      </c>
      <c r="L230">
        <v>3178718</v>
      </c>
      <c r="M230" t="s">
        <v>78</v>
      </c>
      <c r="N230" t="s">
        <v>17</v>
      </c>
      <c r="O230">
        <v>153762</v>
      </c>
      <c r="P230">
        <v>1475</v>
      </c>
      <c r="Q230">
        <v>222.2</v>
      </c>
    </row>
    <row r="231" spans="2:17" x14ac:dyDescent="0.25">
      <c r="B231" t="s">
        <v>78</v>
      </c>
      <c r="C231" t="s">
        <v>79</v>
      </c>
      <c r="D231" t="s">
        <v>410</v>
      </c>
      <c r="E231" t="s">
        <v>411</v>
      </c>
      <c r="F231">
        <v>25.3</v>
      </c>
      <c r="G231">
        <v>24.35</v>
      </c>
      <c r="H231">
        <v>26.55</v>
      </c>
      <c r="I231">
        <v>24.35</v>
      </c>
      <c r="J231" s="1">
        <v>25.05</v>
      </c>
      <c r="K231">
        <v>3971769.25</v>
      </c>
      <c r="L231">
        <v>154157</v>
      </c>
      <c r="M231" t="s">
        <v>78</v>
      </c>
      <c r="N231" t="s">
        <v>17</v>
      </c>
      <c r="O231">
        <v>826</v>
      </c>
      <c r="P231">
        <v>27.1</v>
      </c>
      <c r="Q231">
        <v>10.6</v>
      </c>
    </row>
    <row r="232" spans="2:17" x14ac:dyDescent="0.25">
      <c r="B232" t="s">
        <v>78</v>
      </c>
      <c r="C232" t="s">
        <v>79</v>
      </c>
      <c r="D232" t="s">
        <v>412</v>
      </c>
      <c r="E232" t="s">
        <v>413</v>
      </c>
      <c r="F232">
        <v>171.7</v>
      </c>
      <c r="G232">
        <v>166.3</v>
      </c>
      <c r="H232">
        <v>173.9</v>
      </c>
      <c r="I232">
        <v>165</v>
      </c>
      <c r="J232" s="1">
        <v>166.6</v>
      </c>
      <c r="K232">
        <v>5249405.4000000004</v>
      </c>
      <c r="L232">
        <v>30840</v>
      </c>
      <c r="M232" t="s">
        <v>78</v>
      </c>
      <c r="N232" t="s">
        <v>17</v>
      </c>
      <c r="O232">
        <v>330</v>
      </c>
      <c r="P232">
        <v>197</v>
      </c>
      <c r="Q232">
        <v>136</v>
      </c>
    </row>
    <row r="233" spans="2:17" x14ac:dyDescent="0.25">
      <c r="B233" t="s">
        <v>78</v>
      </c>
      <c r="C233" t="s">
        <v>79</v>
      </c>
      <c r="D233" t="s">
        <v>414</v>
      </c>
      <c r="E233" t="s">
        <v>415</v>
      </c>
      <c r="F233">
        <v>9.9499999999999993</v>
      </c>
      <c r="G233">
        <v>9.5</v>
      </c>
      <c r="H233">
        <v>9.5</v>
      </c>
      <c r="I233">
        <v>9.5</v>
      </c>
      <c r="J233" s="1">
        <v>9.5</v>
      </c>
      <c r="K233">
        <v>637773</v>
      </c>
      <c r="L233">
        <v>67134</v>
      </c>
      <c r="M233" t="s">
        <v>78</v>
      </c>
      <c r="N233" t="s">
        <v>17</v>
      </c>
      <c r="O233">
        <v>129</v>
      </c>
      <c r="P233">
        <v>11.55</v>
      </c>
      <c r="Q233">
        <v>3.65</v>
      </c>
    </row>
    <row r="234" spans="2:17" x14ac:dyDescent="0.25">
      <c r="B234" t="s">
        <v>78</v>
      </c>
      <c r="C234" t="s">
        <v>79</v>
      </c>
      <c r="D234" t="s">
        <v>416</v>
      </c>
      <c r="E234" t="s">
        <v>417</v>
      </c>
      <c r="F234">
        <v>970.95</v>
      </c>
      <c r="G234">
        <v>972.7</v>
      </c>
      <c r="H234">
        <v>1032.7</v>
      </c>
      <c r="I234">
        <v>970</v>
      </c>
      <c r="J234" s="1">
        <v>995.95</v>
      </c>
      <c r="K234">
        <v>319590184.80000001</v>
      </c>
      <c r="L234">
        <v>316570</v>
      </c>
      <c r="M234" t="s">
        <v>78</v>
      </c>
      <c r="N234" t="s">
        <v>17</v>
      </c>
      <c r="O234">
        <v>23820</v>
      </c>
      <c r="P234">
        <v>1032.7</v>
      </c>
      <c r="Q234">
        <v>448</v>
      </c>
    </row>
    <row r="235" spans="2:17" x14ac:dyDescent="0.25">
      <c r="B235" t="s">
        <v>78</v>
      </c>
      <c r="C235" t="s">
        <v>79</v>
      </c>
      <c r="D235" t="s">
        <v>418</v>
      </c>
      <c r="E235" t="s">
        <v>419</v>
      </c>
      <c r="F235">
        <v>814.35</v>
      </c>
      <c r="G235">
        <v>814</v>
      </c>
      <c r="H235">
        <v>814</v>
      </c>
      <c r="I235">
        <v>791.55</v>
      </c>
      <c r="J235" s="1">
        <v>799.45</v>
      </c>
      <c r="K235">
        <v>114779148.75</v>
      </c>
      <c r="L235">
        <v>143120</v>
      </c>
      <c r="M235" t="s">
        <v>78</v>
      </c>
      <c r="N235" t="s">
        <v>17</v>
      </c>
      <c r="O235">
        <v>4075</v>
      </c>
      <c r="P235">
        <v>848.05</v>
      </c>
      <c r="Q235">
        <v>474</v>
      </c>
    </row>
    <row r="236" spans="2:17" x14ac:dyDescent="0.25">
      <c r="B236" t="s">
        <v>78</v>
      </c>
      <c r="C236" t="s">
        <v>79</v>
      </c>
      <c r="D236" t="s">
        <v>420</v>
      </c>
      <c r="E236" t="s">
        <v>421</v>
      </c>
      <c r="F236">
        <v>565</v>
      </c>
      <c r="G236">
        <v>562.70000000000005</v>
      </c>
      <c r="H236">
        <v>575</v>
      </c>
      <c r="I236">
        <v>559.9</v>
      </c>
      <c r="J236" s="1">
        <v>564.04999999999995</v>
      </c>
      <c r="K236">
        <v>24855952.5</v>
      </c>
      <c r="L236">
        <v>43854</v>
      </c>
      <c r="M236" t="s">
        <v>78</v>
      </c>
      <c r="N236" t="s">
        <v>17</v>
      </c>
      <c r="O236">
        <v>3047</v>
      </c>
      <c r="P236">
        <v>596</v>
      </c>
      <c r="Q236">
        <v>280.60000000000002</v>
      </c>
    </row>
    <row r="237" spans="2:17" x14ac:dyDescent="0.25">
      <c r="B237" t="s">
        <v>78</v>
      </c>
      <c r="C237" t="s">
        <v>79</v>
      </c>
      <c r="D237" t="s">
        <v>422</v>
      </c>
      <c r="E237" t="s">
        <v>423</v>
      </c>
      <c r="F237">
        <v>431.1</v>
      </c>
      <c r="G237">
        <v>439.75</v>
      </c>
      <c r="H237">
        <v>511</v>
      </c>
      <c r="I237">
        <v>437</v>
      </c>
      <c r="J237" s="1">
        <v>485.5</v>
      </c>
      <c r="K237">
        <v>436816853.14999998</v>
      </c>
      <c r="L237">
        <v>908623</v>
      </c>
      <c r="M237" t="s">
        <v>78</v>
      </c>
      <c r="N237" t="s">
        <v>17</v>
      </c>
      <c r="O237">
        <v>36808</v>
      </c>
      <c r="P237">
        <v>511</v>
      </c>
      <c r="Q237">
        <v>136.6</v>
      </c>
    </row>
    <row r="238" spans="2:17" x14ac:dyDescent="0.25">
      <c r="B238" t="s">
        <v>78</v>
      </c>
      <c r="C238" t="s">
        <v>79</v>
      </c>
      <c r="D238" t="s">
        <v>424</v>
      </c>
      <c r="E238" t="s">
        <v>425</v>
      </c>
      <c r="F238">
        <v>320.25</v>
      </c>
      <c r="G238">
        <v>315.5</v>
      </c>
      <c r="H238">
        <v>323.89999999999998</v>
      </c>
      <c r="I238">
        <v>315.5</v>
      </c>
      <c r="J238" s="1">
        <v>321.85000000000002</v>
      </c>
      <c r="K238">
        <v>15368208.199999999</v>
      </c>
      <c r="L238">
        <v>47888</v>
      </c>
      <c r="M238" t="s">
        <v>78</v>
      </c>
      <c r="N238" t="s">
        <v>17</v>
      </c>
      <c r="O238">
        <v>2743</v>
      </c>
      <c r="P238">
        <v>385</v>
      </c>
      <c r="Q238">
        <v>110</v>
      </c>
    </row>
    <row r="239" spans="2:17" x14ac:dyDescent="0.25">
      <c r="B239" t="s">
        <v>78</v>
      </c>
      <c r="C239" t="s">
        <v>79</v>
      </c>
      <c r="D239" t="s">
        <v>426</v>
      </c>
      <c r="E239" t="s">
        <v>427</v>
      </c>
      <c r="F239">
        <v>384.75</v>
      </c>
      <c r="G239">
        <v>378.2</v>
      </c>
      <c r="H239">
        <v>394.25</v>
      </c>
      <c r="I239">
        <v>373.25</v>
      </c>
      <c r="J239" s="1">
        <v>378.35</v>
      </c>
      <c r="K239">
        <v>48009204.799999997</v>
      </c>
      <c r="L239">
        <v>125536</v>
      </c>
      <c r="M239" t="s">
        <v>78</v>
      </c>
      <c r="N239" t="s">
        <v>17</v>
      </c>
      <c r="O239">
        <v>4745</v>
      </c>
      <c r="P239">
        <v>434.85</v>
      </c>
      <c r="Q239">
        <v>199.95</v>
      </c>
    </row>
    <row r="240" spans="2:17" x14ac:dyDescent="0.25">
      <c r="B240" t="s">
        <v>78</v>
      </c>
      <c r="C240" t="s">
        <v>79</v>
      </c>
      <c r="D240" t="s">
        <v>428</v>
      </c>
      <c r="E240" t="s">
        <v>429</v>
      </c>
      <c r="F240">
        <v>1570.8</v>
      </c>
      <c r="G240">
        <v>1599</v>
      </c>
      <c r="H240">
        <v>1599</v>
      </c>
      <c r="I240">
        <v>1516</v>
      </c>
      <c r="J240" s="1">
        <v>1531.3</v>
      </c>
      <c r="K240">
        <v>255491445.55000001</v>
      </c>
      <c r="L240">
        <v>164683</v>
      </c>
      <c r="M240" t="s">
        <v>78</v>
      </c>
      <c r="N240" t="s">
        <v>17</v>
      </c>
      <c r="O240">
        <v>22372</v>
      </c>
      <c r="P240">
        <v>3919</v>
      </c>
      <c r="Q240">
        <v>650.25</v>
      </c>
    </row>
    <row r="241" spans="2:17" x14ac:dyDescent="0.25">
      <c r="B241" t="s">
        <v>78</v>
      </c>
      <c r="C241" t="s">
        <v>79</v>
      </c>
      <c r="D241" t="s">
        <v>430</v>
      </c>
      <c r="E241" t="s">
        <v>431</v>
      </c>
      <c r="F241">
        <v>968.6</v>
      </c>
      <c r="G241">
        <v>962</v>
      </c>
      <c r="H241">
        <v>967.7</v>
      </c>
      <c r="I241">
        <v>952.3</v>
      </c>
      <c r="J241" s="1">
        <v>956.9</v>
      </c>
      <c r="K241">
        <v>215220355.75</v>
      </c>
      <c r="L241">
        <v>224201</v>
      </c>
      <c r="M241" t="s">
        <v>78</v>
      </c>
      <c r="N241" t="s">
        <v>183</v>
      </c>
      <c r="O241">
        <v>11188</v>
      </c>
      <c r="P241">
        <v>1145</v>
      </c>
      <c r="Q241">
        <v>864.3</v>
      </c>
    </row>
    <row r="242" spans="2:17" x14ac:dyDescent="0.25">
      <c r="B242" t="s">
        <v>78</v>
      </c>
      <c r="C242" t="s">
        <v>79</v>
      </c>
      <c r="D242" t="s">
        <v>432</v>
      </c>
      <c r="E242" t="s">
        <v>433</v>
      </c>
      <c r="F242">
        <v>121.7</v>
      </c>
      <c r="G242">
        <v>121.1</v>
      </c>
      <c r="H242">
        <v>123.5</v>
      </c>
      <c r="I242">
        <v>118.3</v>
      </c>
      <c r="J242" s="1">
        <v>119.4</v>
      </c>
      <c r="K242">
        <v>39595122</v>
      </c>
      <c r="L242">
        <v>330053</v>
      </c>
      <c r="M242" t="s">
        <v>78</v>
      </c>
      <c r="N242" t="s">
        <v>17</v>
      </c>
      <c r="O242">
        <v>7832</v>
      </c>
      <c r="P242">
        <v>155.9</v>
      </c>
      <c r="Q242">
        <v>86.5</v>
      </c>
    </row>
    <row r="243" spans="2:17" x14ac:dyDescent="0.25">
      <c r="B243" t="s">
        <v>78</v>
      </c>
      <c r="C243" t="s">
        <v>79</v>
      </c>
      <c r="D243" t="s">
        <v>434</v>
      </c>
      <c r="E243" t="s">
        <v>435</v>
      </c>
      <c r="F243">
        <v>3779.1</v>
      </c>
      <c r="G243">
        <v>3779.1</v>
      </c>
      <c r="H243">
        <v>3919.95</v>
      </c>
      <c r="I243">
        <v>3765</v>
      </c>
      <c r="J243" s="1">
        <v>3883.75</v>
      </c>
      <c r="K243">
        <v>4044059825.25</v>
      </c>
      <c r="L243">
        <v>1044561</v>
      </c>
      <c r="M243" t="s">
        <v>78</v>
      </c>
      <c r="N243" t="s">
        <v>17</v>
      </c>
      <c r="O243">
        <v>62108</v>
      </c>
      <c r="P243">
        <v>3919.95</v>
      </c>
      <c r="Q243">
        <v>1465.25</v>
      </c>
    </row>
    <row r="244" spans="2:17" x14ac:dyDescent="0.25">
      <c r="B244" t="s">
        <v>78</v>
      </c>
      <c r="C244" t="s">
        <v>79</v>
      </c>
      <c r="D244" t="s">
        <v>436</v>
      </c>
      <c r="E244" t="s">
        <v>437</v>
      </c>
      <c r="F244">
        <v>999.15</v>
      </c>
      <c r="G244">
        <v>1004.1</v>
      </c>
      <c r="H244">
        <v>1024</v>
      </c>
      <c r="I244">
        <v>986.2</v>
      </c>
      <c r="J244" s="1">
        <v>995.65</v>
      </c>
      <c r="K244">
        <v>26583861.600000001</v>
      </c>
      <c r="L244">
        <v>26600</v>
      </c>
      <c r="M244" t="s">
        <v>78</v>
      </c>
      <c r="N244" t="s">
        <v>17</v>
      </c>
      <c r="O244">
        <v>2932</v>
      </c>
      <c r="P244">
        <v>1209.3</v>
      </c>
      <c r="Q244">
        <v>308.45</v>
      </c>
    </row>
    <row r="245" spans="2:17" x14ac:dyDescent="0.25">
      <c r="B245" t="s">
        <v>78</v>
      </c>
      <c r="C245" t="s">
        <v>79</v>
      </c>
      <c r="D245" t="s">
        <v>438</v>
      </c>
      <c r="E245" t="s">
        <v>439</v>
      </c>
      <c r="F245">
        <v>230.85</v>
      </c>
      <c r="G245">
        <v>229.55</v>
      </c>
      <c r="H245">
        <v>229.55</v>
      </c>
      <c r="I245">
        <v>222.8</v>
      </c>
      <c r="J245" s="1">
        <v>225.35</v>
      </c>
      <c r="K245">
        <v>1346495577.0999999</v>
      </c>
      <c r="L245">
        <v>5981959</v>
      </c>
      <c r="M245" t="s">
        <v>78</v>
      </c>
      <c r="N245" t="s">
        <v>17</v>
      </c>
      <c r="O245">
        <v>53385</v>
      </c>
      <c r="P245">
        <v>261.25</v>
      </c>
      <c r="Q245">
        <v>105.9</v>
      </c>
    </row>
    <row r="246" spans="2:17" x14ac:dyDescent="0.25">
      <c r="B246" t="s">
        <v>78</v>
      </c>
      <c r="C246" t="s">
        <v>79</v>
      </c>
      <c r="D246" t="s">
        <v>440</v>
      </c>
      <c r="E246" t="s">
        <v>441</v>
      </c>
      <c r="F246">
        <v>799.6</v>
      </c>
      <c r="G246">
        <v>793</v>
      </c>
      <c r="H246">
        <v>805</v>
      </c>
      <c r="I246">
        <v>785.25</v>
      </c>
      <c r="J246" s="1">
        <v>800.3</v>
      </c>
      <c r="K246">
        <v>1012236.8</v>
      </c>
      <c r="L246">
        <v>1268</v>
      </c>
      <c r="M246" t="s">
        <v>78</v>
      </c>
      <c r="N246" t="s">
        <v>17</v>
      </c>
      <c r="O246">
        <v>239</v>
      </c>
      <c r="P246">
        <v>990</v>
      </c>
      <c r="Q246">
        <v>451.1</v>
      </c>
    </row>
    <row r="247" spans="2:17" x14ac:dyDescent="0.25">
      <c r="B247" t="s">
        <v>78</v>
      </c>
      <c r="C247" t="s">
        <v>79</v>
      </c>
      <c r="D247" t="s">
        <v>442</v>
      </c>
      <c r="E247" t="s">
        <v>443</v>
      </c>
      <c r="F247">
        <v>247.65</v>
      </c>
      <c r="G247">
        <v>246</v>
      </c>
      <c r="H247">
        <v>249</v>
      </c>
      <c r="I247">
        <v>242</v>
      </c>
      <c r="J247" s="1">
        <v>243.75</v>
      </c>
      <c r="K247">
        <v>60519055.25</v>
      </c>
      <c r="L247">
        <v>246273</v>
      </c>
      <c r="M247" t="s">
        <v>78</v>
      </c>
      <c r="N247" t="s">
        <v>17</v>
      </c>
      <c r="O247">
        <v>4770</v>
      </c>
      <c r="P247">
        <v>272.8</v>
      </c>
      <c r="Q247">
        <v>104</v>
      </c>
    </row>
    <row r="248" spans="2:17" x14ac:dyDescent="0.25">
      <c r="B248" t="s">
        <v>78</v>
      </c>
      <c r="C248" t="s">
        <v>79</v>
      </c>
      <c r="D248" t="s">
        <v>444</v>
      </c>
      <c r="E248" t="s">
        <v>445</v>
      </c>
      <c r="F248">
        <v>23.25</v>
      </c>
      <c r="G248">
        <v>25.6</v>
      </c>
      <c r="H248">
        <v>27.9</v>
      </c>
      <c r="I248">
        <v>25.4</v>
      </c>
      <c r="J248" s="1">
        <v>27.9</v>
      </c>
      <c r="K248">
        <v>111956962.25</v>
      </c>
      <c r="L248">
        <v>4125861</v>
      </c>
      <c r="M248" t="s">
        <v>78</v>
      </c>
      <c r="N248" t="s">
        <v>17</v>
      </c>
      <c r="O248">
        <v>8031</v>
      </c>
      <c r="P248">
        <v>27.9</v>
      </c>
      <c r="Q248">
        <v>9.35</v>
      </c>
    </row>
    <row r="249" spans="2:17" x14ac:dyDescent="0.25">
      <c r="B249" t="s">
        <v>78</v>
      </c>
      <c r="C249" t="s">
        <v>79</v>
      </c>
      <c r="D249" t="s">
        <v>446</v>
      </c>
      <c r="E249" t="s">
        <v>447</v>
      </c>
      <c r="F249">
        <v>16.149999999999999</v>
      </c>
      <c r="G249">
        <v>16.350000000000001</v>
      </c>
      <c r="H249">
        <v>16.899999999999999</v>
      </c>
      <c r="I249">
        <v>15.65</v>
      </c>
      <c r="J249" s="1">
        <v>16.75</v>
      </c>
      <c r="K249">
        <v>40641.15</v>
      </c>
      <c r="L249">
        <v>2469</v>
      </c>
      <c r="M249" t="s">
        <v>78</v>
      </c>
      <c r="N249" t="s">
        <v>17</v>
      </c>
      <c r="O249">
        <v>31</v>
      </c>
      <c r="P249">
        <v>18.5</v>
      </c>
      <c r="Q249">
        <v>9.3000000000000007</v>
      </c>
    </row>
    <row r="250" spans="2:17" x14ac:dyDescent="0.25">
      <c r="B250" t="s">
        <v>78</v>
      </c>
      <c r="C250" t="s">
        <v>79</v>
      </c>
      <c r="D250" t="s">
        <v>448</v>
      </c>
      <c r="E250" t="s">
        <v>449</v>
      </c>
      <c r="F250">
        <v>171.3</v>
      </c>
      <c r="G250">
        <v>171.3</v>
      </c>
      <c r="H250">
        <v>179.95</v>
      </c>
      <c r="I250">
        <v>164</v>
      </c>
      <c r="J250" s="1">
        <v>175.3</v>
      </c>
      <c r="K250">
        <v>54496901.700000003</v>
      </c>
      <c r="L250">
        <v>312443</v>
      </c>
      <c r="M250" t="s">
        <v>78</v>
      </c>
      <c r="N250" t="s">
        <v>17</v>
      </c>
      <c r="O250">
        <v>6884</v>
      </c>
      <c r="P250">
        <v>193.9</v>
      </c>
      <c r="Q250">
        <v>56.45</v>
      </c>
    </row>
    <row r="251" spans="2:17" x14ac:dyDescent="0.25">
      <c r="B251" t="s">
        <v>78</v>
      </c>
      <c r="C251" t="s">
        <v>79</v>
      </c>
      <c r="D251" t="s">
        <v>450</v>
      </c>
      <c r="E251" t="s">
        <v>451</v>
      </c>
      <c r="F251">
        <v>174.1</v>
      </c>
      <c r="G251">
        <v>174</v>
      </c>
      <c r="H251">
        <v>185.9</v>
      </c>
      <c r="I251">
        <v>170.1</v>
      </c>
      <c r="J251" s="1">
        <v>177.75</v>
      </c>
      <c r="K251">
        <v>31318238.949999999</v>
      </c>
      <c r="L251">
        <v>173252</v>
      </c>
      <c r="M251" t="s">
        <v>78</v>
      </c>
      <c r="N251" t="s">
        <v>17</v>
      </c>
      <c r="O251">
        <v>4288</v>
      </c>
      <c r="P251">
        <v>189.25</v>
      </c>
      <c r="Q251">
        <v>111.25</v>
      </c>
    </row>
    <row r="252" spans="2:17" x14ac:dyDescent="0.25">
      <c r="B252" t="s">
        <v>78</v>
      </c>
      <c r="C252" t="s">
        <v>79</v>
      </c>
      <c r="D252" t="s">
        <v>452</v>
      </c>
      <c r="E252" t="s">
        <v>453</v>
      </c>
      <c r="F252">
        <v>696.3</v>
      </c>
      <c r="G252">
        <v>697</v>
      </c>
      <c r="H252">
        <v>701.3</v>
      </c>
      <c r="I252">
        <v>677</v>
      </c>
      <c r="J252" s="1">
        <v>681.3</v>
      </c>
      <c r="K252">
        <v>6352349.3499999996</v>
      </c>
      <c r="L252">
        <v>9266</v>
      </c>
      <c r="M252" t="s">
        <v>78</v>
      </c>
      <c r="N252" t="s">
        <v>17</v>
      </c>
      <c r="O252">
        <v>1156</v>
      </c>
      <c r="P252">
        <v>817</v>
      </c>
      <c r="Q252">
        <v>429</v>
      </c>
    </row>
    <row r="253" spans="2:17" x14ac:dyDescent="0.25">
      <c r="B253" t="s">
        <v>78</v>
      </c>
      <c r="C253" t="s">
        <v>79</v>
      </c>
      <c r="D253" t="s">
        <v>454</v>
      </c>
      <c r="E253" t="s">
        <v>455</v>
      </c>
      <c r="F253">
        <v>70.150000000000006</v>
      </c>
      <c r="G253">
        <v>69.75</v>
      </c>
      <c r="H253">
        <v>72.349999999999994</v>
      </c>
      <c r="I253">
        <v>68.3</v>
      </c>
      <c r="J253" s="1">
        <v>69.5</v>
      </c>
      <c r="K253">
        <v>8332913.7999999998</v>
      </c>
      <c r="L253">
        <v>118419</v>
      </c>
      <c r="M253" t="s">
        <v>78</v>
      </c>
      <c r="N253" t="s">
        <v>17</v>
      </c>
      <c r="O253">
        <v>2502</v>
      </c>
      <c r="P253">
        <v>76.5</v>
      </c>
      <c r="Q253">
        <v>22.25</v>
      </c>
    </row>
    <row r="254" spans="2:17" x14ac:dyDescent="0.25">
      <c r="B254" t="s">
        <v>78</v>
      </c>
      <c r="C254" t="s">
        <v>79</v>
      </c>
      <c r="D254" t="s">
        <v>456</v>
      </c>
      <c r="E254" t="s">
        <v>457</v>
      </c>
      <c r="F254">
        <v>30.5</v>
      </c>
      <c r="G254">
        <v>31.8</v>
      </c>
      <c r="H254">
        <v>31.8</v>
      </c>
      <c r="I254">
        <v>29.1</v>
      </c>
      <c r="J254" s="1">
        <v>29.95</v>
      </c>
      <c r="K254">
        <v>3971804.5</v>
      </c>
      <c r="L254">
        <v>131940</v>
      </c>
      <c r="M254" t="s">
        <v>78</v>
      </c>
      <c r="N254" t="s">
        <v>17</v>
      </c>
      <c r="O254">
        <v>1153</v>
      </c>
      <c r="P254">
        <v>37.9</v>
      </c>
      <c r="Q254">
        <v>10.55</v>
      </c>
    </row>
    <row r="255" spans="2:17" x14ac:dyDescent="0.25">
      <c r="B255" t="s">
        <v>78</v>
      </c>
      <c r="C255" t="s">
        <v>79</v>
      </c>
      <c r="D255" t="s">
        <v>458</v>
      </c>
      <c r="E255" t="s">
        <v>459</v>
      </c>
      <c r="F255">
        <v>108.15</v>
      </c>
      <c r="G255">
        <v>105.5</v>
      </c>
      <c r="H255">
        <v>111</v>
      </c>
      <c r="I255">
        <v>102</v>
      </c>
      <c r="J255" s="1">
        <v>105.05</v>
      </c>
      <c r="K255">
        <v>431072398.69999999</v>
      </c>
      <c r="L255">
        <v>4011932</v>
      </c>
      <c r="M255" t="s">
        <v>78</v>
      </c>
      <c r="N255" t="s">
        <v>17</v>
      </c>
      <c r="O255">
        <v>24409</v>
      </c>
      <c r="P255">
        <v>112</v>
      </c>
      <c r="Q255">
        <v>27.5</v>
      </c>
    </row>
    <row r="256" spans="2:17" x14ac:dyDescent="0.25">
      <c r="B256" t="s">
        <v>78</v>
      </c>
      <c r="C256" t="s">
        <v>79</v>
      </c>
      <c r="D256" t="s">
        <v>460</v>
      </c>
      <c r="E256" t="s">
        <v>461</v>
      </c>
      <c r="F256">
        <v>176.8</v>
      </c>
      <c r="G256">
        <v>173.85</v>
      </c>
      <c r="H256">
        <v>181.15</v>
      </c>
      <c r="I256">
        <v>171.25</v>
      </c>
      <c r="J256" s="1">
        <v>178.85</v>
      </c>
      <c r="K256">
        <v>233861956.19999999</v>
      </c>
      <c r="L256">
        <v>1315156</v>
      </c>
      <c r="M256" t="s">
        <v>78</v>
      </c>
      <c r="N256" t="s">
        <v>17</v>
      </c>
      <c r="O256">
        <v>13216</v>
      </c>
      <c r="P256">
        <v>184.55</v>
      </c>
      <c r="Q256">
        <v>119.55</v>
      </c>
    </row>
    <row r="257" spans="2:17" x14ac:dyDescent="0.25">
      <c r="B257" t="s">
        <v>78</v>
      </c>
      <c r="C257" t="s">
        <v>79</v>
      </c>
      <c r="D257" t="s">
        <v>462</v>
      </c>
      <c r="E257" t="s">
        <v>463</v>
      </c>
      <c r="F257">
        <v>130.19999999999999</v>
      </c>
      <c r="G257">
        <v>126.1</v>
      </c>
      <c r="H257">
        <v>131.65</v>
      </c>
      <c r="I257">
        <v>125.65</v>
      </c>
      <c r="J257" s="1">
        <v>126.75</v>
      </c>
      <c r="K257">
        <v>33626563.649999999</v>
      </c>
      <c r="L257">
        <v>261789</v>
      </c>
      <c r="M257" t="s">
        <v>78</v>
      </c>
      <c r="N257" t="s">
        <v>17</v>
      </c>
      <c r="O257">
        <v>5168</v>
      </c>
      <c r="P257">
        <v>136.30000000000001</v>
      </c>
      <c r="Q257">
        <v>75</v>
      </c>
    </row>
    <row r="258" spans="2:17" x14ac:dyDescent="0.25">
      <c r="B258" t="s">
        <v>78</v>
      </c>
      <c r="C258" t="s">
        <v>79</v>
      </c>
      <c r="D258" t="s">
        <v>464</v>
      </c>
      <c r="E258" t="s">
        <v>465</v>
      </c>
      <c r="F258">
        <v>382.1</v>
      </c>
      <c r="G258">
        <v>379</v>
      </c>
      <c r="H258">
        <v>380.95</v>
      </c>
      <c r="I258">
        <v>374</v>
      </c>
      <c r="J258" s="1">
        <v>375.7</v>
      </c>
      <c r="K258">
        <v>17124677.800000001</v>
      </c>
      <c r="L258">
        <v>45341</v>
      </c>
      <c r="M258" t="s">
        <v>78</v>
      </c>
      <c r="N258" t="s">
        <v>17</v>
      </c>
      <c r="O258">
        <v>3189</v>
      </c>
      <c r="P258">
        <v>391</v>
      </c>
      <c r="Q258">
        <v>165.1</v>
      </c>
    </row>
    <row r="259" spans="2:17" x14ac:dyDescent="0.25">
      <c r="B259" t="s">
        <v>78</v>
      </c>
      <c r="C259" t="s">
        <v>79</v>
      </c>
      <c r="D259" t="s">
        <v>466</v>
      </c>
      <c r="E259" t="s">
        <v>467</v>
      </c>
      <c r="F259">
        <v>369.75</v>
      </c>
      <c r="G259">
        <v>371</v>
      </c>
      <c r="H259">
        <v>377</v>
      </c>
      <c r="I259">
        <v>363.4</v>
      </c>
      <c r="J259" s="1">
        <v>368.9</v>
      </c>
      <c r="K259">
        <v>7770438.3499999996</v>
      </c>
      <c r="L259">
        <v>21036</v>
      </c>
      <c r="M259" t="s">
        <v>78</v>
      </c>
      <c r="N259" t="s">
        <v>17</v>
      </c>
      <c r="O259">
        <v>1652</v>
      </c>
      <c r="P259">
        <v>398.8</v>
      </c>
      <c r="Q259">
        <v>169.75</v>
      </c>
    </row>
    <row r="260" spans="2:17" x14ac:dyDescent="0.25">
      <c r="B260" t="s">
        <v>78</v>
      </c>
      <c r="C260" t="s">
        <v>79</v>
      </c>
      <c r="D260" t="s">
        <v>468</v>
      </c>
      <c r="E260" t="s">
        <v>469</v>
      </c>
      <c r="F260">
        <v>473.55</v>
      </c>
      <c r="G260">
        <v>476.95</v>
      </c>
      <c r="H260">
        <v>482.95</v>
      </c>
      <c r="I260">
        <v>469.75</v>
      </c>
      <c r="J260" s="1">
        <v>471.4</v>
      </c>
      <c r="K260">
        <v>27876263.75</v>
      </c>
      <c r="L260">
        <v>58647</v>
      </c>
      <c r="M260" t="s">
        <v>78</v>
      </c>
      <c r="N260" t="s">
        <v>17</v>
      </c>
      <c r="O260">
        <v>3633</v>
      </c>
      <c r="P260">
        <v>516</v>
      </c>
      <c r="Q260">
        <v>218.1</v>
      </c>
    </row>
    <row r="261" spans="2:17" x14ac:dyDescent="0.25">
      <c r="B261" t="s">
        <v>78</v>
      </c>
      <c r="C261" t="s">
        <v>79</v>
      </c>
      <c r="D261" t="s">
        <v>470</v>
      </c>
      <c r="E261" t="s">
        <v>471</v>
      </c>
      <c r="F261">
        <v>171.7</v>
      </c>
      <c r="G261">
        <v>170</v>
      </c>
      <c r="H261">
        <v>172.9</v>
      </c>
      <c r="I261">
        <v>165.5</v>
      </c>
      <c r="J261" s="1">
        <v>167.45</v>
      </c>
      <c r="K261">
        <v>31366471.100000001</v>
      </c>
      <c r="L261">
        <v>185906</v>
      </c>
      <c r="M261" t="s">
        <v>78</v>
      </c>
      <c r="N261" t="s">
        <v>17</v>
      </c>
      <c r="O261">
        <v>4529</v>
      </c>
      <c r="P261">
        <v>174.75</v>
      </c>
      <c r="Q261">
        <v>56.3</v>
      </c>
    </row>
    <row r="262" spans="2:17" x14ac:dyDescent="0.25">
      <c r="B262" t="s">
        <v>78</v>
      </c>
      <c r="C262" t="s">
        <v>79</v>
      </c>
      <c r="D262" t="s">
        <v>472</v>
      </c>
      <c r="E262" t="s">
        <v>473</v>
      </c>
      <c r="F262">
        <v>107.6</v>
      </c>
      <c r="G262">
        <v>107.6</v>
      </c>
      <c r="H262">
        <v>109.9</v>
      </c>
      <c r="I262">
        <v>107.4</v>
      </c>
      <c r="J262" s="1">
        <v>108</v>
      </c>
      <c r="K262">
        <v>206169872.90000001</v>
      </c>
      <c r="L262">
        <v>1898992</v>
      </c>
      <c r="M262" t="s">
        <v>78</v>
      </c>
      <c r="N262" t="s">
        <v>17</v>
      </c>
      <c r="O262">
        <v>18776</v>
      </c>
      <c r="P262">
        <v>118.6</v>
      </c>
      <c r="Q262">
        <v>50</v>
      </c>
    </row>
    <row r="263" spans="2:17" x14ac:dyDescent="0.25">
      <c r="B263" t="s">
        <v>78</v>
      </c>
      <c r="C263" t="s">
        <v>79</v>
      </c>
      <c r="D263" t="s">
        <v>474</v>
      </c>
      <c r="E263" t="s">
        <v>475</v>
      </c>
      <c r="F263">
        <v>127.85</v>
      </c>
      <c r="G263">
        <v>126.4</v>
      </c>
      <c r="H263">
        <v>127.4</v>
      </c>
      <c r="I263">
        <v>123.9</v>
      </c>
      <c r="J263" s="1">
        <v>124.75</v>
      </c>
      <c r="K263">
        <v>1438641732.2</v>
      </c>
      <c r="L263">
        <v>11473685</v>
      </c>
      <c r="M263" t="s">
        <v>78</v>
      </c>
      <c r="N263" t="s">
        <v>17</v>
      </c>
      <c r="O263">
        <v>57289</v>
      </c>
      <c r="P263">
        <v>138.9</v>
      </c>
      <c r="Q263">
        <v>48</v>
      </c>
    </row>
    <row r="264" spans="2:17" x14ac:dyDescent="0.25">
      <c r="B264" t="s">
        <v>78</v>
      </c>
      <c r="C264" t="s">
        <v>79</v>
      </c>
      <c r="D264" t="s">
        <v>476</v>
      </c>
      <c r="E264" t="s">
        <v>477</v>
      </c>
      <c r="F264">
        <v>87.45</v>
      </c>
      <c r="G264">
        <v>87</v>
      </c>
      <c r="H264">
        <v>89</v>
      </c>
      <c r="I264">
        <v>84.15</v>
      </c>
      <c r="J264" s="1">
        <v>87</v>
      </c>
      <c r="K264">
        <v>2147843.9</v>
      </c>
      <c r="L264">
        <v>24847</v>
      </c>
      <c r="M264" t="s">
        <v>78</v>
      </c>
      <c r="N264" t="s">
        <v>17</v>
      </c>
      <c r="O264">
        <v>523</v>
      </c>
      <c r="P264">
        <v>104.8</v>
      </c>
      <c r="Q264">
        <v>47.6</v>
      </c>
    </row>
    <row r="265" spans="2:17" x14ac:dyDescent="0.25">
      <c r="B265" t="s">
        <v>78</v>
      </c>
      <c r="C265" t="s">
        <v>79</v>
      </c>
      <c r="D265" t="s">
        <v>478</v>
      </c>
      <c r="E265" t="s">
        <v>479</v>
      </c>
      <c r="F265">
        <v>182.65</v>
      </c>
      <c r="G265">
        <v>181.3</v>
      </c>
      <c r="H265">
        <v>183.6</v>
      </c>
      <c r="I265">
        <v>180.05</v>
      </c>
      <c r="J265" s="1">
        <v>181.05</v>
      </c>
      <c r="K265">
        <v>80490503.25</v>
      </c>
      <c r="L265">
        <v>443484</v>
      </c>
      <c r="M265" t="s">
        <v>78</v>
      </c>
      <c r="N265" t="s">
        <v>17</v>
      </c>
      <c r="O265">
        <v>7125</v>
      </c>
      <c r="P265">
        <v>314.89999999999998</v>
      </c>
      <c r="Q265">
        <v>138.15</v>
      </c>
    </row>
    <row r="266" spans="2:17" x14ac:dyDescent="0.25">
      <c r="B266" t="s">
        <v>78</v>
      </c>
      <c r="C266" t="s">
        <v>287</v>
      </c>
      <c r="D266" t="s">
        <v>480</v>
      </c>
      <c r="E266" t="s">
        <v>481</v>
      </c>
      <c r="F266">
        <v>17</v>
      </c>
      <c r="G266">
        <v>17.25</v>
      </c>
      <c r="H266">
        <v>17.25</v>
      </c>
      <c r="I266">
        <v>17.25</v>
      </c>
      <c r="J266" s="1">
        <v>17.25</v>
      </c>
      <c r="K266">
        <v>207000</v>
      </c>
      <c r="L266">
        <v>12000</v>
      </c>
      <c r="M266" t="s">
        <v>78</v>
      </c>
      <c r="N266" t="s">
        <v>17</v>
      </c>
      <c r="O266">
        <v>2</v>
      </c>
      <c r="P266">
        <v>22.1</v>
      </c>
      <c r="Q266">
        <v>4.75</v>
      </c>
    </row>
    <row r="267" spans="2:17" x14ac:dyDescent="0.25">
      <c r="B267" t="s">
        <v>78</v>
      </c>
      <c r="C267" t="s">
        <v>79</v>
      </c>
      <c r="D267" t="s">
        <v>482</v>
      </c>
      <c r="E267" t="s">
        <v>483</v>
      </c>
      <c r="F267">
        <v>221.4</v>
      </c>
      <c r="G267">
        <v>216.5</v>
      </c>
      <c r="H267">
        <v>237.8</v>
      </c>
      <c r="I267">
        <v>214.05</v>
      </c>
      <c r="J267" s="1">
        <v>226.1</v>
      </c>
      <c r="K267">
        <v>33531924.5</v>
      </c>
      <c r="L267">
        <v>146726</v>
      </c>
      <c r="M267" t="s">
        <v>78</v>
      </c>
      <c r="N267" t="s">
        <v>17</v>
      </c>
      <c r="O267">
        <v>4036</v>
      </c>
      <c r="P267">
        <v>237.8</v>
      </c>
      <c r="Q267">
        <v>93.75</v>
      </c>
    </row>
    <row r="268" spans="2:17" x14ac:dyDescent="0.25">
      <c r="B268" t="s">
        <v>78</v>
      </c>
      <c r="C268" t="s">
        <v>79</v>
      </c>
      <c r="D268" t="s">
        <v>484</v>
      </c>
      <c r="E268" t="s">
        <v>485</v>
      </c>
      <c r="F268">
        <v>1439.05</v>
      </c>
      <c r="G268">
        <v>1435</v>
      </c>
      <c r="H268">
        <v>1445</v>
      </c>
      <c r="I268">
        <v>1394</v>
      </c>
      <c r="J268" s="1">
        <v>1404.85</v>
      </c>
      <c r="K268">
        <v>29335977.149999999</v>
      </c>
      <c r="L268">
        <v>20688</v>
      </c>
      <c r="M268" t="s">
        <v>78</v>
      </c>
      <c r="N268" t="s">
        <v>17</v>
      </c>
      <c r="O268">
        <v>2700</v>
      </c>
      <c r="P268">
        <v>1530</v>
      </c>
      <c r="Q268">
        <v>901</v>
      </c>
    </row>
    <row r="269" spans="2:17" x14ac:dyDescent="0.25">
      <c r="B269" t="s">
        <v>78</v>
      </c>
      <c r="C269" t="s">
        <v>79</v>
      </c>
      <c r="D269" t="s">
        <v>486</v>
      </c>
      <c r="E269" t="s">
        <v>487</v>
      </c>
      <c r="F269">
        <v>159.44999999999999</v>
      </c>
      <c r="G269">
        <v>159</v>
      </c>
      <c r="H269">
        <v>165.9</v>
      </c>
      <c r="I269">
        <v>157.15</v>
      </c>
      <c r="J269" s="1">
        <v>159.65</v>
      </c>
      <c r="K269">
        <v>191097946.90000001</v>
      </c>
      <c r="L269">
        <v>1188981</v>
      </c>
      <c r="M269" t="s">
        <v>78</v>
      </c>
      <c r="N269" t="s">
        <v>17</v>
      </c>
      <c r="O269">
        <v>11114</v>
      </c>
      <c r="P269">
        <v>180</v>
      </c>
      <c r="Q269">
        <v>118.35</v>
      </c>
    </row>
    <row r="270" spans="2:17" x14ac:dyDescent="0.25">
      <c r="B270" t="s">
        <v>78</v>
      </c>
      <c r="C270" t="s">
        <v>79</v>
      </c>
      <c r="D270" t="s">
        <v>488</v>
      </c>
      <c r="E270" t="s">
        <v>489</v>
      </c>
      <c r="F270">
        <v>2084.6999999999998</v>
      </c>
      <c r="G270">
        <v>2090</v>
      </c>
      <c r="H270">
        <v>2109.35</v>
      </c>
      <c r="I270">
        <v>2051</v>
      </c>
      <c r="J270" s="1">
        <v>2056.5500000000002</v>
      </c>
      <c r="K270">
        <v>336094849.75</v>
      </c>
      <c r="L270">
        <v>161657</v>
      </c>
      <c r="M270" t="s">
        <v>78</v>
      </c>
      <c r="N270" t="s">
        <v>17</v>
      </c>
      <c r="O270">
        <v>15210</v>
      </c>
      <c r="P270">
        <v>2630</v>
      </c>
      <c r="Q270">
        <v>915</v>
      </c>
    </row>
    <row r="271" spans="2:17" x14ac:dyDescent="0.25">
      <c r="B271" t="s">
        <v>78</v>
      </c>
      <c r="C271" t="s">
        <v>79</v>
      </c>
      <c r="D271" t="s">
        <v>490</v>
      </c>
      <c r="E271" t="s">
        <v>491</v>
      </c>
      <c r="F271">
        <v>178.35</v>
      </c>
      <c r="G271">
        <v>174.7</v>
      </c>
      <c r="H271">
        <v>178.45</v>
      </c>
      <c r="I271">
        <v>171.45</v>
      </c>
      <c r="J271" s="1">
        <v>174.65</v>
      </c>
      <c r="K271">
        <v>224748562.09999999</v>
      </c>
      <c r="L271">
        <v>1282070</v>
      </c>
      <c r="M271" t="s">
        <v>78</v>
      </c>
      <c r="N271" t="s">
        <v>17</v>
      </c>
      <c r="O271">
        <v>17384</v>
      </c>
      <c r="P271">
        <v>187.5</v>
      </c>
      <c r="Q271">
        <v>103.35</v>
      </c>
    </row>
    <row r="272" spans="2:17" x14ac:dyDescent="0.25">
      <c r="B272" t="s">
        <v>78</v>
      </c>
      <c r="C272" t="s">
        <v>79</v>
      </c>
      <c r="D272" t="s">
        <v>492</v>
      </c>
      <c r="E272" t="s">
        <v>493</v>
      </c>
      <c r="F272">
        <v>3517.35</v>
      </c>
      <c r="G272">
        <v>3529.95</v>
      </c>
      <c r="H272">
        <v>3546.5</v>
      </c>
      <c r="I272">
        <v>3490</v>
      </c>
      <c r="J272" s="1">
        <v>3498.7</v>
      </c>
      <c r="K272">
        <v>60746929.649999999</v>
      </c>
      <c r="L272">
        <v>17280</v>
      </c>
      <c r="M272" t="s">
        <v>78</v>
      </c>
      <c r="N272" t="s">
        <v>17</v>
      </c>
      <c r="O272">
        <v>3565</v>
      </c>
      <c r="P272">
        <v>4970</v>
      </c>
      <c r="Q272">
        <v>3005</v>
      </c>
    </row>
    <row r="273" spans="2:17" x14ac:dyDescent="0.25">
      <c r="B273" t="s">
        <v>78</v>
      </c>
      <c r="C273" t="s">
        <v>79</v>
      </c>
      <c r="D273" t="s">
        <v>494</v>
      </c>
      <c r="E273" t="s">
        <v>495</v>
      </c>
      <c r="F273">
        <v>71.650000000000006</v>
      </c>
      <c r="G273">
        <v>71.349999999999994</v>
      </c>
      <c r="H273">
        <v>72.5</v>
      </c>
      <c r="I273">
        <v>69.349999999999994</v>
      </c>
      <c r="J273" s="1">
        <v>69.849999999999994</v>
      </c>
      <c r="K273">
        <v>43017638.600000001</v>
      </c>
      <c r="L273">
        <v>607495</v>
      </c>
      <c r="M273" t="s">
        <v>78</v>
      </c>
      <c r="N273" t="s">
        <v>17</v>
      </c>
      <c r="O273">
        <v>6901</v>
      </c>
      <c r="P273">
        <v>74.5</v>
      </c>
      <c r="Q273">
        <v>36.549999999999997</v>
      </c>
    </row>
    <row r="274" spans="2:17" x14ac:dyDescent="0.25">
      <c r="B274" t="s">
        <v>78</v>
      </c>
      <c r="C274" t="s">
        <v>287</v>
      </c>
      <c r="D274" t="s">
        <v>496</v>
      </c>
      <c r="E274" t="s">
        <v>497</v>
      </c>
      <c r="F274">
        <v>50.4</v>
      </c>
      <c r="G274">
        <v>53</v>
      </c>
      <c r="H274">
        <v>60</v>
      </c>
      <c r="I274">
        <v>53</v>
      </c>
      <c r="J274" s="1">
        <v>60</v>
      </c>
      <c r="K274">
        <v>545600</v>
      </c>
      <c r="L274">
        <v>9600</v>
      </c>
      <c r="M274" t="s">
        <v>78</v>
      </c>
      <c r="N274" t="s">
        <v>17</v>
      </c>
      <c r="O274">
        <v>6</v>
      </c>
      <c r="P274">
        <v>60</v>
      </c>
      <c r="Q274">
        <v>30.95</v>
      </c>
    </row>
    <row r="275" spans="2:17" x14ac:dyDescent="0.25">
      <c r="B275" t="s">
        <v>78</v>
      </c>
      <c r="C275" t="s">
        <v>79</v>
      </c>
      <c r="D275" t="s">
        <v>498</v>
      </c>
      <c r="E275" t="s">
        <v>499</v>
      </c>
      <c r="F275">
        <v>960.45</v>
      </c>
      <c r="G275">
        <v>962</v>
      </c>
      <c r="H275">
        <v>1043.25</v>
      </c>
      <c r="I275">
        <v>960</v>
      </c>
      <c r="J275" s="1">
        <v>1009.05</v>
      </c>
      <c r="K275">
        <v>67754708.700000003</v>
      </c>
      <c r="L275">
        <v>67342</v>
      </c>
      <c r="M275" t="s">
        <v>78</v>
      </c>
      <c r="N275" t="s">
        <v>17</v>
      </c>
      <c r="O275">
        <v>5830</v>
      </c>
      <c r="P275">
        <v>1081</v>
      </c>
      <c r="Q275">
        <v>521.95000000000005</v>
      </c>
    </row>
    <row r="276" spans="2:17" x14ac:dyDescent="0.25">
      <c r="B276" t="s">
        <v>78</v>
      </c>
      <c r="C276" t="s">
        <v>79</v>
      </c>
      <c r="D276" t="s">
        <v>500</v>
      </c>
      <c r="E276" t="s">
        <v>501</v>
      </c>
      <c r="F276">
        <v>9304.5</v>
      </c>
      <c r="G276">
        <v>9319.9500000000007</v>
      </c>
      <c r="H276">
        <v>9319.9500000000007</v>
      </c>
      <c r="I276">
        <v>9210</v>
      </c>
      <c r="J276" s="1">
        <v>9259.7999999999993</v>
      </c>
      <c r="K276">
        <v>54191790.299999997</v>
      </c>
      <c r="L276">
        <v>5848</v>
      </c>
      <c r="M276" t="s">
        <v>78</v>
      </c>
      <c r="N276" t="s">
        <v>17</v>
      </c>
      <c r="O276">
        <v>2148</v>
      </c>
      <c r="P276">
        <v>9660</v>
      </c>
      <c r="Q276">
        <v>4635</v>
      </c>
    </row>
    <row r="277" spans="2:17" x14ac:dyDescent="0.25">
      <c r="B277" t="s">
        <v>78</v>
      </c>
      <c r="C277" t="s">
        <v>79</v>
      </c>
      <c r="D277" t="s">
        <v>502</v>
      </c>
      <c r="E277" t="s">
        <v>503</v>
      </c>
      <c r="F277">
        <v>218.7</v>
      </c>
      <c r="G277">
        <v>216</v>
      </c>
      <c r="H277">
        <v>230.8</v>
      </c>
      <c r="I277">
        <v>214.05</v>
      </c>
      <c r="J277" s="1">
        <v>223.6</v>
      </c>
      <c r="K277">
        <v>123317132.65000001</v>
      </c>
      <c r="L277">
        <v>552116</v>
      </c>
      <c r="M277" t="s">
        <v>78</v>
      </c>
      <c r="N277" t="s">
        <v>17</v>
      </c>
      <c r="O277">
        <v>12530</v>
      </c>
      <c r="P277">
        <v>237</v>
      </c>
      <c r="Q277">
        <v>151.69999999999999</v>
      </c>
    </row>
    <row r="278" spans="2:17" x14ac:dyDescent="0.25">
      <c r="B278" t="s">
        <v>78</v>
      </c>
      <c r="C278" t="s">
        <v>79</v>
      </c>
      <c r="D278" t="s">
        <v>504</v>
      </c>
      <c r="E278" t="s">
        <v>505</v>
      </c>
      <c r="F278">
        <v>1227.45</v>
      </c>
      <c r="G278">
        <v>1219.9000000000001</v>
      </c>
      <c r="H278">
        <v>1235.5</v>
      </c>
      <c r="I278">
        <v>1176</v>
      </c>
      <c r="J278" s="1">
        <v>1208.45</v>
      </c>
      <c r="K278">
        <v>948957311.70000005</v>
      </c>
      <c r="L278">
        <v>787838</v>
      </c>
      <c r="M278" t="s">
        <v>78</v>
      </c>
      <c r="N278" t="s">
        <v>17</v>
      </c>
      <c r="O278">
        <v>28413</v>
      </c>
      <c r="P278">
        <v>1354.4</v>
      </c>
      <c r="Q278">
        <v>616.70000000000005</v>
      </c>
    </row>
    <row r="279" spans="2:17" x14ac:dyDescent="0.25">
      <c r="B279" t="s">
        <v>78</v>
      </c>
      <c r="C279" t="s">
        <v>79</v>
      </c>
      <c r="D279" t="s">
        <v>506</v>
      </c>
      <c r="E279" t="s">
        <v>507</v>
      </c>
      <c r="F279">
        <v>184.65</v>
      </c>
      <c r="G279">
        <v>186.25</v>
      </c>
      <c r="H279">
        <v>192</v>
      </c>
      <c r="I279">
        <v>184.05</v>
      </c>
      <c r="J279" s="1">
        <v>189.3</v>
      </c>
      <c r="K279">
        <v>73206535</v>
      </c>
      <c r="L279">
        <v>387895</v>
      </c>
      <c r="M279" t="s">
        <v>78</v>
      </c>
      <c r="N279" t="s">
        <v>17</v>
      </c>
      <c r="O279">
        <v>9651</v>
      </c>
      <c r="P279">
        <v>197.8</v>
      </c>
      <c r="Q279">
        <v>45.1</v>
      </c>
    </row>
    <row r="280" spans="2:17" x14ac:dyDescent="0.25">
      <c r="B280" t="s">
        <v>78</v>
      </c>
      <c r="C280" t="s">
        <v>79</v>
      </c>
      <c r="D280" t="s">
        <v>508</v>
      </c>
      <c r="E280" t="s">
        <v>509</v>
      </c>
      <c r="F280">
        <v>106.7</v>
      </c>
      <c r="G280">
        <v>105.5</v>
      </c>
      <c r="H280">
        <v>114.75</v>
      </c>
      <c r="I280">
        <v>103.65</v>
      </c>
      <c r="J280" s="1">
        <v>108.5</v>
      </c>
      <c r="K280">
        <v>11119028.449999999</v>
      </c>
      <c r="L280">
        <v>101429</v>
      </c>
      <c r="M280" t="s">
        <v>78</v>
      </c>
      <c r="N280" t="s">
        <v>17</v>
      </c>
      <c r="O280">
        <v>4090</v>
      </c>
      <c r="P280">
        <v>118</v>
      </c>
      <c r="Q280">
        <v>25.65</v>
      </c>
    </row>
    <row r="281" spans="2:17" x14ac:dyDescent="0.25">
      <c r="B281" t="s">
        <v>78</v>
      </c>
      <c r="C281" t="s">
        <v>79</v>
      </c>
      <c r="D281" t="s">
        <v>510</v>
      </c>
      <c r="E281" t="s">
        <v>511</v>
      </c>
      <c r="F281">
        <v>1407.9</v>
      </c>
      <c r="G281">
        <v>1405.2</v>
      </c>
      <c r="H281">
        <v>1405.2</v>
      </c>
      <c r="I281">
        <v>1350.1</v>
      </c>
      <c r="J281" s="1">
        <v>1388.5</v>
      </c>
      <c r="K281">
        <v>31072767</v>
      </c>
      <c r="L281">
        <v>22515</v>
      </c>
      <c r="M281" t="s">
        <v>78</v>
      </c>
      <c r="N281" t="s">
        <v>17</v>
      </c>
      <c r="O281">
        <v>3177</v>
      </c>
      <c r="P281">
        <v>1480</v>
      </c>
      <c r="Q281">
        <v>508.7</v>
      </c>
    </row>
    <row r="282" spans="2:17" x14ac:dyDescent="0.25">
      <c r="B282" t="s">
        <v>78</v>
      </c>
      <c r="C282" t="s">
        <v>79</v>
      </c>
      <c r="D282" t="s">
        <v>512</v>
      </c>
      <c r="E282" t="s">
        <v>513</v>
      </c>
      <c r="F282">
        <v>472.5</v>
      </c>
      <c r="G282">
        <v>461</v>
      </c>
      <c r="H282">
        <v>506</v>
      </c>
      <c r="I282">
        <v>461</v>
      </c>
      <c r="J282" s="1">
        <v>490.9</v>
      </c>
      <c r="K282">
        <v>133742573.84999999</v>
      </c>
      <c r="L282">
        <v>272353</v>
      </c>
      <c r="M282" t="s">
        <v>78</v>
      </c>
      <c r="N282" t="s">
        <v>17</v>
      </c>
      <c r="O282">
        <v>8790</v>
      </c>
      <c r="P282">
        <v>548</v>
      </c>
      <c r="Q282">
        <v>156.05000000000001</v>
      </c>
    </row>
    <row r="283" spans="2:17" x14ac:dyDescent="0.25">
      <c r="B283" t="s">
        <v>78</v>
      </c>
      <c r="C283" t="s">
        <v>79</v>
      </c>
      <c r="D283" t="s">
        <v>514</v>
      </c>
      <c r="E283" t="s">
        <v>515</v>
      </c>
      <c r="F283">
        <v>633.25</v>
      </c>
      <c r="G283">
        <v>627.95000000000005</v>
      </c>
      <c r="H283">
        <v>636.85</v>
      </c>
      <c r="I283">
        <v>625.29999999999995</v>
      </c>
      <c r="J283" s="1">
        <v>629.79999999999995</v>
      </c>
      <c r="K283">
        <v>182013159.90000001</v>
      </c>
      <c r="L283">
        <v>288683</v>
      </c>
      <c r="M283" t="s">
        <v>78</v>
      </c>
      <c r="N283" t="s">
        <v>17</v>
      </c>
      <c r="O283">
        <v>10798</v>
      </c>
      <c r="P283">
        <v>674.85</v>
      </c>
      <c r="Q283">
        <v>410</v>
      </c>
    </row>
    <row r="284" spans="2:17" x14ac:dyDescent="0.25">
      <c r="B284" t="s">
        <v>78</v>
      </c>
      <c r="C284" t="s">
        <v>287</v>
      </c>
      <c r="D284" t="s">
        <v>516</v>
      </c>
      <c r="E284" t="s">
        <v>517</v>
      </c>
      <c r="F284">
        <v>61</v>
      </c>
      <c r="G284">
        <v>61</v>
      </c>
      <c r="H284">
        <v>66</v>
      </c>
      <c r="I284">
        <v>61</v>
      </c>
      <c r="J284" s="1">
        <v>66</v>
      </c>
      <c r="K284">
        <v>506000</v>
      </c>
      <c r="L284">
        <v>8000</v>
      </c>
      <c r="M284" t="s">
        <v>78</v>
      </c>
      <c r="N284" t="s">
        <v>17</v>
      </c>
      <c r="O284">
        <v>4</v>
      </c>
      <c r="P284">
        <v>66</v>
      </c>
      <c r="Q284">
        <v>35</v>
      </c>
    </row>
    <row r="285" spans="2:17" x14ac:dyDescent="0.25">
      <c r="B285" t="s">
        <v>78</v>
      </c>
      <c r="C285" t="s">
        <v>79</v>
      </c>
      <c r="D285" t="s">
        <v>518</v>
      </c>
      <c r="E285" t="s">
        <v>519</v>
      </c>
      <c r="F285">
        <v>79.3</v>
      </c>
      <c r="G285">
        <v>78.599999999999994</v>
      </c>
      <c r="H285">
        <v>82.2</v>
      </c>
      <c r="I285">
        <v>78.25</v>
      </c>
      <c r="J285" s="1">
        <v>79.25</v>
      </c>
      <c r="K285">
        <v>49270969.799999997</v>
      </c>
      <c r="L285">
        <v>614169</v>
      </c>
      <c r="M285" t="s">
        <v>78</v>
      </c>
      <c r="N285" t="s">
        <v>17</v>
      </c>
      <c r="O285">
        <v>7604</v>
      </c>
      <c r="P285">
        <v>84.75</v>
      </c>
      <c r="Q285">
        <v>37</v>
      </c>
    </row>
    <row r="286" spans="2:17" x14ac:dyDescent="0.25">
      <c r="B286" t="s">
        <v>78</v>
      </c>
      <c r="C286" t="s">
        <v>79</v>
      </c>
      <c r="D286" t="s">
        <v>520</v>
      </c>
      <c r="E286" t="s">
        <v>521</v>
      </c>
      <c r="F286">
        <v>355.75</v>
      </c>
      <c r="G286">
        <v>357</v>
      </c>
      <c r="H286">
        <v>365</v>
      </c>
      <c r="I286">
        <v>356</v>
      </c>
      <c r="J286" s="1">
        <v>358.45</v>
      </c>
      <c r="K286">
        <v>70754003.599999994</v>
      </c>
      <c r="L286">
        <v>195936</v>
      </c>
      <c r="M286" t="s">
        <v>78</v>
      </c>
      <c r="N286" t="s">
        <v>17</v>
      </c>
      <c r="O286">
        <v>7793</v>
      </c>
      <c r="P286">
        <v>489.9</v>
      </c>
      <c r="Q286">
        <v>241</v>
      </c>
    </row>
    <row r="287" spans="2:17" x14ac:dyDescent="0.25">
      <c r="B287" t="s">
        <v>78</v>
      </c>
      <c r="C287" t="s">
        <v>79</v>
      </c>
      <c r="D287" t="s">
        <v>522</v>
      </c>
      <c r="E287" t="s">
        <v>523</v>
      </c>
      <c r="F287">
        <v>83.3</v>
      </c>
      <c r="G287">
        <v>84</v>
      </c>
      <c r="H287">
        <v>86.05</v>
      </c>
      <c r="I287">
        <v>80.25</v>
      </c>
      <c r="J287" s="1">
        <v>81.150000000000006</v>
      </c>
      <c r="K287">
        <v>4400774.3</v>
      </c>
      <c r="L287">
        <v>52969</v>
      </c>
      <c r="M287" t="s">
        <v>78</v>
      </c>
      <c r="N287" t="s">
        <v>17</v>
      </c>
      <c r="O287">
        <v>859</v>
      </c>
      <c r="P287">
        <v>86.05</v>
      </c>
      <c r="Q287">
        <v>20.149999999999999</v>
      </c>
    </row>
    <row r="288" spans="2:17" x14ac:dyDescent="0.25">
      <c r="B288" t="s">
        <v>78</v>
      </c>
      <c r="C288" t="s">
        <v>79</v>
      </c>
      <c r="D288" t="s">
        <v>524</v>
      </c>
      <c r="E288" t="s">
        <v>525</v>
      </c>
      <c r="F288">
        <v>163.35</v>
      </c>
      <c r="G288">
        <v>163.44999999999999</v>
      </c>
      <c r="H288">
        <v>179.65</v>
      </c>
      <c r="I288">
        <v>160.19999999999999</v>
      </c>
      <c r="J288" s="1">
        <v>179.65</v>
      </c>
      <c r="K288">
        <v>20352845.350000001</v>
      </c>
      <c r="L288">
        <v>117104</v>
      </c>
      <c r="M288" t="s">
        <v>78</v>
      </c>
      <c r="N288" t="s">
        <v>17</v>
      </c>
      <c r="O288">
        <v>2727</v>
      </c>
      <c r="P288">
        <v>196.1</v>
      </c>
      <c r="Q288">
        <v>48.2</v>
      </c>
    </row>
    <row r="289" spans="2:17" x14ac:dyDescent="0.25">
      <c r="B289" t="s">
        <v>78</v>
      </c>
      <c r="C289" t="s">
        <v>79</v>
      </c>
      <c r="D289" t="s">
        <v>526</v>
      </c>
      <c r="E289" t="s">
        <v>527</v>
      </c>
      <c r="F289">
        <v>289.2</v>
      </c>
      <c r="G289">
        <v>288</v>
      </c>
      <c r="H289">
        <v>291</v>
      </c>
      <c r="I289">
        <v>288</v>
      </c>
      <c r="J289" s="1">
        <v>289.3</v>
      </c>
      <c r="K289">
        <v>109215920.05</v>
      </c>
      <c r="L289">
        <v>377544</v>
      </c>
      <c r="M289" t="s">
        <v>78</v>
      </c>
      <c r="N289" t="s">
        <v>17</v>
      </c>
      <c r="O289">
        <v>11334</v>
      </c>
      <c r="P289">
        <v>324</v>
      </c>
      <c r="Q289">
        <v>160.6</v>
      </c>
    </row>
    <row r="290" spans="2:17" x14ac:dyDescent="0.25">
      <c r="B290" t="s">
        <v>78</v>
      </c>
      <c r="C290" t="s">
        <v>79</v>
      </c>
      <c r="D290" t="s">
        <v>528</v>
      </c>
      <c r="E290" t="s">
        <v>529</v>
      </c>
      <c r="F290">
        <v>1034.75</v>
      </c>
      <c r="G290">
        <v>1030.5</v>
      </c>
      <c r="H290">
        <v>1040</v>
      </c>
      <c r="I290">
        <v>1025.2</v>
      </c>
      <c r="J290" s="1">
        <v>1038.0999999999999</v>
      </c>
      <c r="K290">
        <v>231186366.84999999</v>
      </c>
      <c r="L290">
        <v>223058</v>
      </c>
      <c r="M290" t="s">
        <v>78</v>
      </c>
      <c r="N290" t="s">
        <v>17</v>
      </c>
      <c r="O290">
        <v>6006</v>
      </c>
      <c r="P290">
        <v>1224</v>
      </c>
      <c r="Q290">
        <v>398.25</v>
      </c>
    </row>
    <row r="291" spans="2:17" x14ac:dyDescent="0.25">
      <c r="B291" t="s">
        <v>78</v>
      </c>
      <c r="C291" t="s">
        <v>79</v>
      </c>
      <c r="D291" t="s">
        <v>530</v>
      </c>
      <c r="E291" t="s">
        <v>531</v>
      </c>
      <c r="F291">
        <v>71.400000000000006</v>
      </c>
      <c r="G291">
        <v>70.400000000000006</v>
      </c>
      <c r="H291">
        <v>72.349999999999994</v>
      </c>
      <c r="I291">
        <v>69</v>
      </c>
      <c r="J291" s="1">
        <v>69.599999999999994</v>
      </c>
      <c r="K291">
        <v>64755797.5</v>
      </c>
      <c r="L291">
        <v>913221</v>
      </c>
      <c r="M291" t="s">
        <v>78</v>
      </c>
      <c r="N291" t="s">
        <v>17</v>
      </c>
      <c r="O291">
        <v>8393</v>
      </c>
      <c r="P291">
        <v>101.8</v>
      </c>
      <c r="Q291">
        <v>50.25</v>
      </c>
    </row>
    <row r="292" spans="2:17" x14ac:dyDescent="0.25">
      <c r="B292" t="s">
        <v>78</v>
      </c>
      <c r="C292" t="s">
        <v>79</v>
      </c>
      <c r="D292" t="s">
        <v>532</v>
      </c>
      <c r="E292" t="s">
        <v>533</v>
      </c>
      <c r="F292">
        <v>2910.05</v>
      </c>
      <c r="G292">
        <v>2880</v>
      </c>
      <c r="H292">
        <v>2940.75</v>
      </c>
      <c r="I292">
        <v>2817.4</v>
      </c>
      <c r="J292" s="1">
        <v>2832.6</v>
      </c>
      <c r="K292">
        <v>179638369.80000001</v>
      </c>
      <c r="L292">
        <v>62537</v>
      </c>
      <c r="M292" t="s">
        <v>78</v>
      </c>
      <c r="N292" t="s">
        <v>17</v>
      </c>
      <c r="O292">
        <v>7927</v>
      </c>
      <c r="P292">
        <v>3180</v>
      </c>
      <c r="Q292">
        <v>555.20000000000005</v>
      </c>
    </row>
    <row r="293" spans="2:17" x14ac:dyDescent="0.25">
      <c r="B293" t="s">
        <v>78</v>
      </c>
      <c r="C293" t="s">
        <v>79</v>
      </c>
      <c r="D293" t="s">
        <v>534</v>
      </c>
      <c r="E293" t="s">
        <v>535</v>
      </c>
      <c r="F293">
        <v>617.15</v>
      </c>
      <c r="G293">
        <v>647.79999999999995</v>
      </c>
      <c r="H293">
        <v>648</v>
      </c>
      <c r="I293">
        <v>630</v>
      </c>
      <c r="J293" s="1">
        <v>648</v>
      </c>
      <c r="K293">
        <v>5682213.9500000002</v>
      </c>
      <c r="L293">
        <v>8787</v>
      </c>
      <c r="M293" t="s">
        <v>78</v>
      </c>
      <c r="N293" t="s">
        <v>17</v>
      </c>
      <c r="O293">
        <v>378</v>
      </c>
      <c r="P293">
        <v>829.95</v>
      </c>
      <c r="Q293">
        <v>158.75</v>
      </c>
    </row>
    <row r="294" spans="2:17" x14ac:dyDescent="0.25">
      <c r="B294" t="s">
        <v>78</v>
      </c>
      <c r="C294" t="s">
        <v>79</v>
      </c>
      <c r="D294" t="s">
        <v>536</v>
      </c>
      <c r="E294" t="s">
        <v>537</v>
      </c>
      <c r="F294">
        <v>24.95</v>
      </c>
      <c r="G294">
        <v>25.95</v>
      </c>
      <c r="H294">
        <v>25.95</v>
      </c>
      <c r="I294">
        <v>24.15</v>
      </c>
      <c r="J294" s="1">
        <v>25.6</v>
      </c>
      <c r="K294">
        <v>484847.5</v>
      </c>
      <c r="L294">
        <v>19044</v>
      </c>
      <c r="M294" t="s">
        <v>78</v>
      </c>
      <c r="N294" t="s">
        <v>17</v>
      </c>
      <c r="O294">
        <v>176</v>
      </c>
      <c r="P294">
        <v>28.1</v>
      </c>
      <c r="Q294">
        <v>11.05</v>
      </c>
    </row>
    <row r="295" spans="2:17" x14ac:dyDescent="0.25">
      <c r="B295" t="s">
        <v>78</v>
      </c>
      <c r="C295" t="s">
        <v>79</v>
      </c>
      <c r="D295" t="s">
        <v>538</v>
      </c>
      <c r="E295" t="s">
        <v>539</v>
      </c>
      <c r="F295">
        <v>2385.25</v>
      </c>
      <c r="G295">
        <v>2375</v>
      </c>
      <c r="H295">
        <v>2375</v>
      </c>
      <c r="I295">
        <v>2327</v>
      </c>
      <c r="J295" s="1">
        <v>2344.6999999999998</v>
      </c>
      <c r="K295">
        <v>556785320.60000002</v>
      </c>
      <c r="L295">
        <v>236587</v>
      </c>
      <c r="M295" t="s">
        <v>78</v>
      </c>
      <c r="N295" t="s">
        <v>17</v>
      </c>
      <c r="O295">
        <v>14947</v>
      </c>
      <c r="P295">
        <v>2404.3000000000002</v>
      </c>
      <c r="Q295">
        <v>1230</v>
      </c>
    </row>
    <row r="296" spans="2:17" x14ac:dyDescent="0.25">
      <c r="B296" t="s">
        <v>78</v>
      </c>
      <c r="C296" t="s">
        <v>79</v>
      </c>
      <c r="D296" t="s">
        <v>540</v>
      </c>
      <c r="E296" t="s">
        <v>541</v>
      </c>
      <c r="F296">
        <v>139.9</v>
      </c>
      <c r="G296">
        <v>138.80000000000001</v>
      </c>
      <c r="H296">
        <v>143.85</v>
      </c>
      <c r="I296">
        <v>138.30000000000001</v>
      </c>
      <c r="J296" s="1">
        <v>139.65</v>
      </c>
      <c r="K296">
        <v>107451785</v>
      </c>
      <c r="L296">
        <v>760862</v>
      </c>
      <c r="M296" t="s">
        <v>78</v>
      </c>
      <c r="N296" t="s">
        <v>17</v>
      </c>
      <c r="O296">
        <v>9458</v>
      </c>
      <c r="P296">
        <v>169.75</v>
      </c>
      <c r="Q296">
        <v>97.1</v>
      </c>
    </row>
    <row r="297" spans="2:17" x14ac:dyDescent="0.25">
      <c r="B297" t="s">
        <v>78</v>
      </c>
      <c r="C297" t="s">
        <v>79</v>
      </c>
      <c r="D297" t="s">
        <v>542</v>
      </c>
      <c r="E297" t="s">
        <v>543</v>
      </c>
      <c r="F297">
        <v>345.35</v>
      </c>
      <c r="G297">
        <v>343.8</v>
      </c>
      <c r="H297">
        <v>354.4</v>
      </c>
      <c r="I297">
        <v>340.4</v>
      </c>
      <c r="J297" s="1">
        <v>344.6</v>
      </c>
      <c r="K297">
        <v>381679475.80000001</v>
      </c>
      <c r="L297">
        <v>1100374</v>
      </c>
      <c r="M297" t="s">
        <v>78</v>
      </c>
      <c r="N297" t="s">
        <v>17</v>
      </c>
      <c r="O297">
        <v>20141</v>
      </c>
      <c r="P297">
        <v>370</v>
      </c>
      <c r="Q297">
        <v>124</v>
      </c>
    </row>
    <row r="298" spans="2:17" x14ac:dyDescent="0.25">
      <c r="B298" t="s">
        <v>78</v>
      </c>
      <c r="C298" t="s">
        <v>79</v>
      </c>
      <c r="D298" t="s">
        <v>544</v>
      </c>
      <c r="E298" t="s">
        <v>545</v>
      </c>
      <c r="F298">
        <v>72.3</v>
      </c>
      <c r="G298">
        <v>70</v>
      </c>
      <c r="H298">
        <v>71.95</v>
      </c>
      <c r="I298">
        <v>68</v>
      </c>
      <c r="J298" s="1">
        <v>68.55</v>
      </c>
      <c r="K298">
        <v>7460510.0499999998</v>
      </c>
      <c r="L298">
        <v>106588</v>
      </c>
      <c r="M298" t="s">
        <v>78</v>
      </c>
      <c r="N298" t="s">
        <v>546</v>
      </c>
      <c r="O298">
        <v>2757</v>
      </c>
      <c r="P298">
        <v>79.45</v>
      </c>
      <c r="Q298">
        <v>38.75</v>
      </c>
    </row>
    <row r="299" spans="2:17" x14ac:dyDescent="0.25">
      <c r="B299" t="s">
        <v>78</v>
      </c>
      <c r="C299" t="s">
        <v>79</v>
      </c>
      <c r="D299" t="s">
        <v>547</v>
      </c>
      <c r="E299" t="s">
        <v>548</v>
      </c>
      <c r="F299">
        <v>1799.95</v>
      </c>
      <c r="G299">
        <v>1799.95</v>
      </c>
      <c r="H299">
        <v>1850</v>
      </c>
      <c r="I299">
        <v>1785</v>
      </c>
      <c r="J299" s="1">
        <v>1786.45</v>
      </c>
      <c r="K299">
        <v>14781790.449999999</v>
      </c>
      <c r="L299">
        <v>8158</v>
      </c>
      <c r="M299" t="s">
        <v>78</v>
      </c>
      <c r="N299" t="s">
        <v>17</v>
      </c>
      <c r="O299">
        <v>665</v>
      </c>
      <c r="P299">
        <v>2175</v>
      </c>
      <c r="Q299">
        <v>1042.0999999999999</v>
      </c>
    </row>
    <row r="300" spans="2:17" x14ac:dyDescent="0.25">
      <c r="B300" t="s">
        <v>78</v>
      </c>
      <c r="C300" t="s">
        <v>79</v>
      </c>
      <c r="D300" t="s">
        <v>549</v>
      </c>
      <c r="E300" t="s">
        <v>550</v>
      </c>
      <c r="F300">
        <v>164.35</v>
      </c>
      <c r="G300">
        <v>161.15</v>
      </c>
      <c r="H300">
        <v>165</v>
      </c>
      <c r="I300">
        <v>161.15</v>
      </c>
      <c r="J300" s="1">
        <v>162.9</v>
      </c>
      <c r="K300">
        <v>13362752.85</v>
      </c>
      <c r="L300">
        <v>81857</v>
      </c>
      <c r="M300" t="s">
        <v>78</v>
      </c>
      <c r="N300" t="s">
        <v>17</v>
      </c>
      <c r="O300">
        <v>2033</v>
      </c>
      <c r="P300">
        <v>199.9</v>
      </c>
      <c r="Q300">
        <v>77.45</v>
      </c>
    </row>
    <row r="301" spans="2:17" x14ac:dyDescent="0.25">
      <c r="B301" t="s">
        <v>78</v>
      </c>
      <c r="C301" t="s">
        <v>79</v>
      </c>
      <c r="D301" t="s">
        <v>551</v>
      </c>
      <c r="E301" t="s">
        <v>552</v>
      </c>
      <c r="F301">
        <v>48.65</v>
      </c>
      <c r="G301">
        <v>48.05</v>
      </c>
      <c r="H301">
        <v>51.5</v>
      </c>
      <c r="I301">
        <v>46.3</v>
      </c>
      <c r="J301" s="1">
        <v>48.7</v>
      </c>
      <c r="K301">
        <v>6423058.0499999998</v>
      </c>
      <c r="L301">
        <v>128278</v>
      </c>
      <c r="M301" t="s">
        <v>78</v>
      </c>
      <c r="N301" t="s">
        <v>17</v>
      </c>
      <c r="O301">
        <v>2090</v>
      </c>
      <c r="P301">
        <v>53.8</v>
      </c>
      <c r="Q301">
        <v>15.05</v>
      </c>
    </row>
    <row r="302" spans="2:17" x14ac:dyDescent="0.25">
      <c r="B302" t="s">
        <v>78</v>
      </c>
      <c r="C302" t="s">
        <v>79</v>
      </c>
      <c r="D302" t="s">
        <v>553</v>
      </c>
      <c r="E302" t="s">
        <v>554</v>
      </c>
      <c r="F302">
        <v>63.55</v>
      </c>
      <c r="G302">
        <v>66</v>
      </c>
      <c r="H302">
        <v>66</v>
      </c>
      <c r="I302">
        <v>64</v>
      </c>
      <c r="J302" s="1">
        <v>65.5</v>
      </c>
      <c r="K302">
        <v>373218.4</v>
      </c>
      <c r="L302">
        <v>5756</v>
      </c>
      <c r="M302" t="s">
        <v>78</v>
      </c>
      <c r="N302" t="s">
        <v>17</v>
      </c>
      <c r="O302">
        <v>80</v>
      </c>
      <c r="P302">
        <v>86.45</v>
      </c>
      <c r="Q302">
        <v>34.75</v>
      </c>
    </row>
    <row r="303" spans="2:17" x14ac:dyDescent="0.25">
      <c r="B303" t="s">
        <v>78</v>
      </c>
      <c r="C303" t="s">
        <v>79</v>
      </c>
      <c r="D303" t="s">
        <v>555</v>
      </c>
      <c r="E303" t="s">
        <v>556</v>
      </c>
      <c r="F303">
        <v>75.2</v>
      </c>
      <c r="G303">
        <v>74.95</v>
      </c>
      <c r="H303">
        <v>74.95</v>
      </c>
      <c r="I303">
        <v>73.5</v>
      </c>
      <c r="J303" s="1">
        <v>73.900000000000006</v>
      </c>
      <c r="K303">
        <v>145429487.30000001</v>
      </c>
      <c r="L303">
        <v>1960982</v>
      </c>
      <c r="M303" t="s">
        <v>78</v>
      </c>
      <c r="N303" t="s">
        <v>17</v>
      </c>
      <c r="O303">
        <v>11037</v>
      </c>
      <c r="P303">
        <v>101.4</v>
      </c>
      <c r="Q303">
        <v>38.200000000000003</v>
      </c>
    </row>
    <row r="304" spans="2:17" x14ac:dyDescent="0.25">
      <c r="B304" t="s">
        <v>78</v>
      </c>
      <c r="C304" t="s">
        <v>79</v>
      </c>
      <c r="D304" t="s">
        <v>557</v>
      </c>
      <c r="E304" t="s">
        <v>558</v>
      </c>
      <c r="F304">
        <v>908.7</v>
      </c>
      <c r="G304">
        <v>891.7</v>
      </c>
      <c r="H304">
        <v>918.25</v>
      </c>
      <c r="I304">
        <v>865.25</v>
      </c>
      <c r="J304" s="1">
        <v>880.7</v>
      </c>
      <c r="K304">
        <v>57592707.600000001</v>
      </c>
      <c r="L304">
        <v>64421</v>
      </c>
      <c r="M304" t="s">
        <v>78</v>
      </c>
      <c r="N304" t="s">
        <v>17</v>
      </c>
      <c r="O304">
        <v>4306</v>
      </c>
      <c r="P304">
        <v>980</v>
      </c>
      <c r="Q304">
        <v>481.85</v>
      </c>
    </row>
    <row r="305" spans="2:17" x14ac:dyDescent="0.25">
      <c r="B305" t="s">
        <v>78</v>
      </c>
      <c r="C305" t="s">
        <v>79</v>
      </c>
      <c r="D305" t="s">
        <v>559</v>
      </c>
      <c r="E305" t="s">
        <v>560</v>
      </c>
      <c r="F305">
        <v>2716.9</v>
      </c>
      <c r="G305">
        <v>2704.95</v>
      </c>
      <c r="H305">
        <v>2744</v>
      </c>
      <c r="I305">
        <v>2691.15</v>
      </c>
      <c r="J305" s="1">
        <v>2718.7</v>
      </c>
      <c r="K305">
        <v>57769769</v>
      </c>
      <c r="L305">
        <v>21273</v>
      </c>
      <c r="M305" t="s">
        <v>78</v>
      </c>
      <c r="N305" t="s">
        <v>17</v>
      </c>
      <c r="O305">
        <v>2977</v>
      </c>
      <c r="P305">
        <v>2865</v>
      </c>
      <c r="Q305">
        <v>1266.25</v>
      </c>
    </row>
    <row r="306" spans="2:17" x14ac:dyDescent="0.25">
      <c r="B306" t="s">
        <v>78</v>
      </c>
      <c r="C306" t="s">
        <v>79</v>
      </c>
      <c r="D306" t="s">
        <v>561</v>
      </c>
      <c r="E306" t="s">
        <v>562</v>
      </c>
      <c r="F306">
        <v>1618.7</v>
      </c>
      <c r="G306">
        <v>1618</v>
      </c>
      <c r="H306">
        <v>1635</v>
      </c>
      <c r="I306">
        <v>1600.8</v>
      </c>
      <c r="J306" s="1">
        <v>1607</v>
      </c>
      <c r="K306">
        <v>857473002.54999995</v>
      </c>
      <c r="L306">
        <v>529078</v>
      </c>
      <c r="M306" t="s">
        <v>78</v>
      </c>
      <c r="N306" t="s">
        <v>17</v>
      </c>
      <c r="O306">
        <v>22627</v>
      </c>
      <c r="P306">
        <v>1696.95</v>
      </c>
      <c r="Q306">
        <v>1213.8</v>
      </c>
    </row>
    <row r="307" spans="2:17" x14ac:dyDescent="0.25">
      <c r="B307" t="s">
        <v>78</v>
      </c>
      <c r="C307" t="s">
        <v>79</v>
      </c>
      <c r="D307" t="s">
        <v>563</v>
      </c>
      <c r="E307" t="s">
        <v>564</v>
      </c>
      <c r="F307">
        <v>5951.35</v>
      </c>
      <c r="G307">
        <v>5950</v>
      </c>
      <c r="H307">
        <v>5950</v>
      </c>
      <c r="I307">
        <v>5858.55</v>
      </c>
      <c r="J307" s="1">
        <v>5877</v>
      </c>
      <c r="K307">
        <v>107048661.09999999</v>
      </c>
      <c r="L307">
        <v>18164</v>
      </c>
      <c r="M307" t="s">
        <v>78</v>
      </c>
      <c r="N307" t="s">
        <v>17</v>
      </c>
      <c r="O307">
        <v>3928</v>
      </c>
      <c r="P307">
        <v>6601.25</v>
      </c>
      <c r="Q307">
        <v>4921.7</v>
      </c>
    </row>
    <row r="308" spans="2:17" x14ac:dyDescent="0.25">
      <c r="B308" t="s">
        <v>78</v>
      </c>
      <c r="C308" t="s">
        <v>79</v>
      </c>
      <c r="D308" t="s">
        <v>565</v>
      </c>
      <c r="E308" t="s">
        <v>566</v>
      </c>
      <c r="F308">
        <v>1374.7</v>
      </c>
      <c r="G308">
        <v>1354</v>
      </c>
      <c r="H308">
        <v>1399.9</v>
      </c>
      <c r="I308">
        <v>1345</v>
      </c>
      <c r="J308" s="1">
        <v>1375.95</v>
      </c>
      <c r="K308">
        <v>37317345.600000001</v>
      </c>
      <c r="L308">
        <v>27057</v>
      </c>
      <c r="M308" t="s">
        <v>78</v>
      </c>
      <c r="N308" t="s">
        <v>17</v>
      </c>
      <c r="O308">
        <v>4396</v>
      </c>
      <c r="P308">
        <v>1514</v>
      </c>
      <c r="Q308">
        <v>650</v>
      </c>
    </row>
    <row r="309" spans="2:17" x14ac:dyDescent="0.25">
      <c r="B309" t="s">
        <v>78</v>
      </c>
      <c r="C309" t="s">
        <v>79</v>
      </c>
      <c r="D309" t="s">
        <v>567</v>
      </c>
      <c r="E309" t="s">
        <v>568</v>
      </c>
      <c r="F309">
        <v>1300.8499999999999</v>
      </c>
      <c r="G309">
        <v>1288</v>
      </c>
      <c r="H309">
        <v>1314</v>
      </c>
      <c r="I309">
        <v>1281.55</v>
      </c>
      <c r="J309" s="1">
        <v>1286.95</v>
      </c>
      <c r="K309">
        <v>103620612</v>
      </c>
      <c r="L309">
        <v>79787</v>
      </c>
      <c r="M309" t="s">
        <v>78</v>
      </c>
      <c r="N309" t="s">
        <v>17</v>
      </c>
      <c r="O309">
        <v>6801</v>
      </c>
      <c r="P309">
        <v>1565</v>
      </c>
      <c r="Q309">
        <v>1101</v>
      </c>
    </row>
    <row r="310" spans="2:17" x14ac:dyDescent="0.25">
      <c r="B310" t="s">
        <v>78</v>
      </c>
      <c r="C310" t="s">
        <v>287</v>
      </c>
      <c r="D310" t="s">
        <v>569</v>
      </c>
      <c r="E310" t="s">
        <v>570</v>
      </c>
      <c r="F310">
        <v>77</v>
      </c>
      <c r="G310">
        <v>77.05</v>
      </c>
      <c r="H310">
        <v>77.05</v>
      </c>
      <c r="I310">
        <v>77</v>
      </c>
      <c r="J310" s="1">
        <v>77</v>
      </c>
      <c r="K310">
        <v>462150</v>
      </c>
      <c r="L310">
        <v>6000</v>
      </c>
      <c r="M310" t="s">
        <v>78</v>
      </c>
      <c r="N310" t="s">
        <v>17</v>
      </c>
      <c r="O310">
        <v>2</v>
      </c>
      <c r="P310">
        <v>83.95</v>
      </c>
      <c r="Q310">
        <v>27.2</v>
      </c>
    </row>
    <row r="311" spans="2:17" x14ac:dyDescent="0.25">
      <c r="B311" t="s">
        <v>78</v>
      </c>
      <c r="C311" t="s">
        <v>79</v>
      </c>
      <c r="D311" t="s">
        <v>571</v>
      </c>
      <c r="E311" t="s">
        <v>572</v>
      </c>
      <c r="F311">
        <v>39.75</v>
      </c>
      <c r="G311">
        <v>41.7</v>
      </c>
      <c r="H311">
        <v>41.7</v>
      </c>
      <c r="I311">
        <v>41.7</v>
      </c>
      <c r="J311" s="1">
        <v>41.7</v>
      </c>
      <c r="K311">
        <v>14692369.5</v>
      </c>
      <c r="L311">
        <v>352335</v>
      </c>
      <c r="M311" t="s">
        <v>78</v>
      </c>
      <c r="N311" t="s">
        <v>17</v>
      </c>
      <c r="O311">
        <v>833</v>
      </c>
      <c r="P311">
        <v>41.7</v>
      </c>
      <c r="Q311">
        <v>4.7</v>
      </c>
    </row>
    <row r="312" spans="2:17" x14ac:dyDescent="0.25">
      <c r="B312" t="s">
        <v>78</v>
      </c>
      <c r="C312" t="s">
        <v>79</v>
      </c>
      <c r="D312" t="s">
        <v>573</v>
      </c>
      <c r="E312" t="s">
        <v>574</v>
      </c>
      <c r="F312">
        <v>263.35000000000002</v>
      </c>
      <c r="G312">
        <v>257</v>
      </c>
      <c r="H312">
        <v>270</v>
      </c>
      <c r="I312">
        <v>256.60000000000002</v>
      </c>
      <c r="J312" s="1">
        <v>261</v>
      </c>
      <c r="K312">
        <v>38909285.149999999</v>
      </c>
      <c r="L312">
        <v>147354</v>
      </c>
      <c r="M312" t="s">
        <v>78</v>
      </c>
      <c r="N312" t="s">
        <v>17</v>
      </c>
      <c r="O312">
        <v>10181</v>
      </c>
      <c r="P312">
        <v>289.7</v>
      </c>
      <c r="Q312">
        <v>98</v>
      </c>
    </row>
    <row r="313" spans="2:17" x14ac:dyDescent="0.25">
      <c r="B313" t="s">
        <v>78</v>
      </c>
      <c r="C313" t="s">
        <v>79</v>
      </c>
      <c r="D313" t="s">
        <v>575</v>
      </c>
      <c r="E313" t="s">
        <v>576</v>
      </c>
      <c r="F313">
        <v>374.25</v>
      </c>
      <c r="G313">
        <v>373</v>
      </c>
      <c r="H313">
        <v>383.1</v>
      </c>
      <c r="I313">
        <v>372.2</v>
      </c>
      <c r="J313" s="1">
        <v>379.8</v>
      </c>
      <c r="K313">
        <v>82049982.049999997</v>
      </c>
      <c r="L313">
        <v>217377</v>
      </c>
      <c r="M313" t="s">
        <v>78</v>
      </c>
      <c r="N313" t="s">
        <v>17</v>
      </c>
      <c r="O313">
        <v>6315</v>
      </c>
      <c r="P313">
        <v>481.7</v>
      </c>
      <c r="Q313">
        <v>280.39999999999998</v>
      </c>
    </row>
    <row r="314" spans="2:17" x14ac:dyDescent="0.25">
      <c r="B314" t="s">
        <v>78</v>
      </c>
      <c r="C314" t="s">
        <v>79</v>
      </c>
      <c r="D314" t="s">
        <v>577</v>
      </c>
      <c r="E314" t="s">
        <v>578</v>
      </c>
      <c r="F314">
        <v>438.8</v>
      </c>
      <c r="G314">
        <v>435</v>
      </c>
      <c r="H314">
        <v>457.9</v>
      </c>
      <c r="I314">
        <v>430.1</v>
      </c>
      <c r="J314" s="1">
        <v>452.8</v>
      </c>
      <c r="K314">
        <v>740746277.85000002</v>
      </c>
      <c r="L314">
        <v>1643359</v>
      </c>
      <c r="M314" t="s">
        <v>78</v>
      </c>
      <c r="N314" t="s">
        <v>17</v>
      </c>
      <c r="O314">
        <v>40923</v>
      </c>
      <c r="P314">
        <v>624</v>
      </c>
      <c r="Q314">
        <v>328.4</v>
      </c>
    </row>
    <row r="315" spans="2:17" x14ac:dyDescent="0.25">
      <c r="B315" t="s">
        <v>78</v>
      </c>
      <c r="C315" t="s">
        <v>79</v>
      </c>
      <c r="D315" t="s">
        <v>579</v>
      </c>
      <c r="E315" t="s">
        <v>580</v>
      </c>
      <c r="F315">
        <v>179.65</v>
      </c>
      <c r="G315">
        <v>179.5</v>
      </c>
      <c r="H315">
        <v>187.75</v>
      </c>
      <c r="I315">
        <v>177.65</v>
      </c>
      <c r="J315" s="1">
        <v>186</v>
      </c>
      <c r="K315">
        <v>2786054891.25</v>
      </c>
      <c r="L315">
        <v>15135709</v>
      </c>
      <c r="M315" t="s">
        <v>78</v>
      </c>
      <c r="N315" t="s">
        <v>17</v>
      </c>
      <c r="O315">
        <v>84372</v>
      </c>
      <c r="P315">
        <v>187.75</v>
      </c>
      <c r="Q315">
        <v>86.35</v>
      </c>
    </row>
    <row r="316" spans="2:17" x14ac:dyDescent="0.25">
      <c r="B316" t="s">
        <v>78</v>
      </c>
      <c r="C316" t="s">
        <v>79</v>
      </c>
      <c r="D316" t="s">
        <v>581</v>
      </c>
      <c r="E316" t="s">
        <v>582</v>
      </c>
      <c r="F316">
        <v>1306.8499999999999</v>
      </c>
      <c r="G316">
        <v>1296</v>
      </c>
      <c r="H316">
        <v>1315.9</v>
      </c>
      <c r="I316">
        <v>1292.55</v>
      </c>
      <c r="J316" s="1">
        <v>1298.05</v>
      </c>
      <c r="K316">
        <v>234601667.05000001</v>
      </c>
      <c r="L316">
        <v>180105</v>
      </c>
      <c r="M316" t="s">
        <v>78</v>
      </c>
      <c r="N316" t="s">
        <v>17</v>
      </c>
      <c r="O316">
        <v>8090</v>
      </c>
      <c r="P316">
        <v>1542.2</v>
      </c>
      <c r="Q316">
        <v>584.4</v>
      </c>
    </row>
    <row r="317" spans="2:17" x14ac:dyDescent="0.25">
      <c r="B317" t="s">
        <v>78</v>
      </c>
      <c r="C317" t="s">
        <v>79</v>
      </c>
      <c r="D317" t="s">
        <v>583</v>
      </c>
      <c r="E317" t="s">
        <v>584</v>
      </c>
      <c r="F317">
        <v>173.55</v>
      </c>
      <c r="G317">
        <v>173</v>
      </c>
      <c r="H317">
        <v>177.4</v>
      </c>
      <c r="I317">
        <v>173</v>
      </c>
      <c r="J317" s="1">
        <v>173.9</v>
      </c>
      <c r="K317">
        <v>166659575.94999999</v>
      </c>
      <c r="L317">
        <v>953246</v>
      </c>
      <c r="M317" t="s">
        <v>78</v>
      </c>
      <c r="N317" t="s">
        <v>17</v>
      </c>
      <c r="O317">
        <v>16723</v>
      </c>
      <c r="P317">
        <v>196.6</v>
      </c>
      <c r="Q317">
        <v>36.25</v>
      </c>
    </row>
    <row r="318" spans="2:17" x14ac:dyDescent="0.25">
      <c r="B318" t="s">
        <v>78</v>
      </c>
      <c r="C318" t="s">
        <v>79</v>
      </c>
      <c r="D318" t="s">
        <v>585</v>
      </c>
      <c r="E318" t="s">
        <v>586</v>
      </c>
      <c r="F318">
        <v>459.95</v>
      </c>
      <c r="G318">
        <v>459.3</v>
      </c>
      <c r="H318">
        <v>472</v>
      </c>
      <c r="I318">
        <v>443.65</v>
      </c>
      <c r="J318" s="1">
        <v>454.8</v>
      </c>
      <c r="K318">
        <v>14576014.800000001</v>
      </c>
      <c r="L318">
        <v>32045</v>
      </c>
      <c r="M318" t="s">
        <v>78</v>
      </c>
      <c r="N318" t="s">
        <v>17</v>
      </c>
      <c r="O318">
        <v>1105</v>
      </c>
      <c r="P318">
        <v>600</v>
      </c>
      <c r="Q318">
        <v>202.35</v>
      </c>
    </row>
    <row r="319" spans="2:17" x14ac:dyDescent="0.25">
      <c r="B319" t="s">
        <v>78</v>
      </c>
      <c r="C319" t="s">
        <v>287</v>
      </c>
      <c r="D319" t="s">
        <v>587</v>
      </c>
      <c r="E319" t="s">
        <v>588</v>
      </c>
      <c r="F319">
        <v>387.5</v>
      </c>
      <c r="G319">
        <v>370.6</v>
      </c>
      <c r="H319">
        <v>372.25</v>
      </c>
      <c r="I319">
        <v>368.15</v>
      </c>
      <c r="J319" s="1">
        <v>368.15</v>
      </c>
      <c r="K319">
        <v>4131480</v>
      </c>
      <c r="L319">
        <v>11200</v>
      </c>
      <c r="M319" t="s">
        <v>78</v>
      </c>
      <c r="N319" t="s">
        <v>17</v>
      </c>
      <c r="O319">
        <v>14</v>
      </c>
      <c r="P319">
        <v>404.8</v>
      </c>
      <c r="Q319">
        <v>62.65</v>
      </c>
    </row>
    <row r="320" spans="2:17" x14ac:dyDescent="0.25">
      <c r="B320" t="s">
        <v>78</v>
      </c>
      <c r="C320" t="s">
        <v>79</v>
      </c>
      <c r="D320" t="s">
        <v>589</v>
      </c>
      <c r="E320" t="s">
        <v>590</v>
      </c>
      <c r="F320">
        <v>414.7</v>
      </c>
      <c r="G320">
        <v>410</v>
      </c>
      <c r="H320">
        <v>445</v>
      </c>
      <c r="I320">
        <v>408</v>
      </c>
      <c r="J320" s="1">
        <v>423.15</v>
      </c>
      <c r="K320">
        <v>285511049.75</v>
      </c>
      <c r="L320">
        <v>664899</v>
      </c>
      <c r="M320" t="s">
        <v>78</v>
      </c>
      <c r="N320" t="s">
        <v>17</v>
      </c>
      <c r="O320">
        <v>24898</v>
      </c>
      <c r="P320">
        <v>445</v>
      </c>
      <c r="Q320">
        <v>252.95</v>
      </c>
    </row>
    <row r="321" spans="2:17" x14ac:dyDescent="0.25">
      <c r="B321" t="s">
        <v>78</v>
      </c>
      <c r="C321" t="s">
        <v>79</v>
      </c>
      <c r="D321" t="s">
        <v>591</v>
      </c>
      <c r="E321" t="s">
        <v>592</v>
      </c>
      <c r="F321">
        <v>504.05</v>
      </c>
      <c r="G321">
        <v>512.6</v>
      </c>
      <c r="H321">
        <v>539</v>
      </c>
      <c r="I321">
        <v>512.6</v>
      </c>
      <c r="J321" s="1">
        <v>521.20000000000005</v>
      </c>
      <c r="K321">
        <v>872758810.75</v>
      </c>
      <c r="L321">
        <v>1662154</v>
      </c>
      <c r="M321" t="s">
        <v>78</v>
      </c>
      <c r="N321" t="s">
        <v>17</v>
      </c>
      <c r="O321">
        <v>38708</v>
      </c>
      <c r="P321">
        <v>539</v>
      </c>
      <c r="Q321">
        <v>215.15</v>
      </c>
    </row>
    <row r="322" spans="2:17" x14ac:dyDescent="0.25">
      <c r="B322" t="s">
        <v>78</v>
      </c>
      <c r="C322" t="s">
        <v>79</v>
      </c>
      <c r="D322" t="s">
        <v>593</v>
      </c>
      <c r="E322" t="s">
        <v>594</v>
      </c>
      <c r="F322">
        <v>67.599999999999994</v>
      </c>
      <c r="G322">
        <v>67.349999999999994</v>
      </c>
      <c r="H322">
        <v>69</v>
      </c>
      <c r="I322">
        <v>65.5</v>
      </c>
      <c r="J322" s="1">
        <v>66.099999999999994</v>
      </c>
      <c r="K322">
        <v>18687094.300000001</v>
      </c>
      <c r="L322">
        <v>278212</v>
      </c>
      <c r="M322" t="s">
        <v>78</v>
      </c>
      <c r="N322" t="s">
        <v>17</v>
      </c>
      <c r="O322">
        <v>3779</v>
      </c>
      <c r="P322">
        <v>76.8</v>
      </c>
      <c r="Q322">
        <v>30.8</v>
      </c>
    </row>
    <row r="323" spans="2:17" x14ac:dyDescent="0.25">
      <c r="B323" t="s">
        <v>78</v>
      </c>
      <c r="C323" t="s">
        <v>79</v>
      </c>
      <c r="D323" t="s">
        <v>595</v>
      </c>
      <c r="E323" t="s">
        <v>596</v>
      </c>
      <c r="F323">
        <v>286.35000000000002</v>
      </c>
      <c r="G323">
        <v>286.35000000000002</v>
      </c>
      <c r="H323">
        <v>289.35000000000002</v>
      </c>
      <c r="I323">
        <v>282</v>
      </c>
      <c r="J323" s="1">
        <v>283.5</v>
      </c>
      <c r="K323">
        <v>30621651.800000001</v>
      </c>
      <c r="L323">
        <v>107037</v>
      </c>
      <c r="M323" t="s">
        <v>78</v>
      </c>
      <c r="N323" t="s">
        <v>17</v>
      </c>
      <c r="O323">
        <v>7935</v>
      </c>
      <c r="P323">
        <v>296.85000000000002</v>
      </c>
      <c r="Q323">
        <v>112.95</v>
      </c>
    </row>
    <row r="324" spans="2:17" x14ac:dyDescent="0.25">
      <c r="B324" t="s">
        <v>78</v>
      </c>
      <c r="C324" t="s">
        <v>79</v>
      </c>
      <c r="D324" t="s">
        <v>597</v>
      </c>
      <c r="E324" t="s">
        <v>598</v>
      </c>
      <c r="F324">
        <v>49.1</v>
      </c>
      <c r="G324">
        <v>48.3</v>
      </c>
      <c r="H324">
        <v>52.15</v>
      </c>
      <c r="I324">
        <v>48.05</v>
      </c>
      <c r="J324" s="1">
        <v>51.1</v>
      </c>
      <c r="K324">
        <v>7717398.4000000004</v>
      </c>
      <c r="L324">
        <v>151737</v>
      </c>
      <c r="M324" t="s">
        <v>78</v>
      </c>
      <c r="N324" t="s">
        <v>17</v>
      </c>
      <c r="O324">
        <v>916</v>
      </c>
      <c r="P324">
        <v>60</v>
      </c>
      <c r="Q324">
        <v>14.9</v>
      </c>
    </row>
    <row r="325" spans="2:17" x14ac:dyDescent="0.25">
      <c r="B325" t="s">
        <v>78</v>
      </c>
      <c r="C325" t="s">
        <v>79</v>
      </c>
      <c r="D325" t="s">
        <v>599</v>
      </c>
      <c r="E325" t="s">
        <v>600</v>
      </c>
      <c r="F325">
        <v>30.2</v>
      </c>
      <c r="G325">
        <v>30.4</v>
      </c>
      <c r="H325">
        <v>30.75</v>
      </c>
      <c r="I325">
        <v>29.75</v>
      </c>
      <c r="J325" s="1">
        <v>30.7</v>
      </c>
      <c r="K325">
        <v>594179.15</v>
      </c>
      <c r="L325">
        <v>19660</v>
      </c>
      <c r="M325" t="s">
        <v>78</v>
      </c>
      <c r="N325" t="s">
        <v>17</v>
      </c>
      <c r="O325">
        <v>177</v>
      </c>
      <c r="P325">
        <v>34.4</v>
      </c>
      <c r="Q325">
        <v>20.5</v>
      </c>
    </row>
    <row r="326" spans="2:17" x14ac:dyDescent="0.25">
      <c r="B326" t="s">
        <v>78</v>
      </c>
      <c r="C326" t="s">
        <v>79</v>
      </c>
      <c r="D326" t="s">
        <v>601</v>
      </c>
      <c r="E326" t="s">
        <v>602</v>
      </c>
      <c r="F326">
        <v>3.9</v>
      </c>
      <c r="G326">
        <v>3.9</v>
      </c>
      <c r="H326">
        <v>3.9</v>
      </c>
      <c r="I326">
        <v>3.75</v>
      </c>
      <c r="J326" s="1">
        <v>3.75</v>
      </c>
      <c r="K326">
        <v>1938069.45</v>
      </c>
      <c r="L326">
        <v>513911</v>
      </c>
      <c r="M326" t="s">
        <v>78</v>
      </c>
      <c r="N326" t="s">
        <v>17</v>
      </c>
      <c r="O326">
        <v>912</v>
      </c>
      <c r="P326">
        <v>4.6500000000000004</v>
      </c>
      <c r="Q326">
        <v>1</v>
      </c>
    </row>
    <row r="327" spans="2:17" x14ac:dyDescent="0.25">
      <c r="B327" t="s">
        <v>78</v>
      </c>
      <c r="C327" t="s">
        <v>79</v>
      </c>
      <c r="D327" t="s">
        <v>603</v>
      </c>
      <c r="E327" t="s">
        <v>604</v>
      </c>
      <c r="F327">
        <v>807.35</v>
      </c>
      <c r="G327">
        <v>804</v>
      </c>
      <c r="H327">
        <v>814.25</v>
      </c>
      <c r="I327">
        <v>792</v>
      </c>
      <c r="J327" s="1">
        <v>812.05</v>
      </c>
      <c r="K327">
        <v>954039779</v>
      </c>
      <c r="L327">
        <v>1184953</v>
      </c>
      <c r="M327" t="s">
        <v>78</v>
      </c>
      <c r="N327" t="s">
        <v>17</v>
      </c>
      <c r="O327">
        <v>19950</v>
      </c>
      <c r="P327">
        <v>832</v>
      </c>
      <c r="Q327">
        <v>376</v>
      </c>
    </row>
    <row r="328" spans="2:17" x14ac:dyDescent="0.25">
      <c r="B328" t="s">
        <v>78</v>
      </c>
      <c r="C328" t="s">
        <v>79</v>
      </c>
      <c r="D328" t="s">
        <v>605</v>
      </c>
      <c r="E328" t="s">
        <v>606</v>
      </c>
      <c r="F328">
        <v>121.75</v>
      </c>
      <c r="G328">
        <v>120.05</v>
      </c>
      <c r="H328">
        <v>124.25</v>
      </c>
      <c r="I328">
        <v>118.5</v>
      </c>
      <c r="J328" s="1">
        <v>120.1</v>
      </c>
      <c r="K328">
        <v>6506399.4000000004</v>
      </c>
      <c r="L328">
        <v>53458</v>
      </c>
      <c r="M328" t="s">
        <v>78</v>
      </c>
      <c r="N328" t="s">
        <v>17</v>
      </c>
      <c r="O328">
        <v>1991</v>
      </c>
      <c r="P328">
        <v>131.94999999999999</v>
      </c>
      <c r="Q328">
        <v>38.200000000000003</v>
      </c>
    </row>
    <row r="329" spans="2:17" x14ac:dyDescent="0.25">
      <c r="B329" t="s">
        <v>78</v>
      </c>
      <c r="C329" t="s">
        <v>79</v>
      </c>
      <c r="D329" t="s">
        <v>607</v>
      </c>
      <c r="E329" t="s">
        <v>608</v>
      </c>
      <c r="F329">
        <v>13874.2</v>
      </c>
      <c r="G329">
        <v>13850</v>
      </c>
      <c r="H329">
        <v>13997</v>
      </c>
      <c r="I329">
        <v>13555</v>
      </c>
      <c r="J329" s="1">
        <v>13623.75</v>
      </c>
      <c r="K329">
        <v>22408823.75</v>
      </c>
      <c r="L329">
        <v>1627</v>
      </c>
      <c r="M329" t="s">
        <v>78</v>
      </c>
      <c r="N329" t="s">
        <v>17</v>
      </c>
      <c r="O329">
        <v>1006</v>
      </c>
      <c r="P329">
        <v>15131.7</v>
      </c>
      <c r="Q329">
        <v>8480</v>
      </c>
    </row>
    <row r="330" spans="2:17" x14ac:dyDescent="0.25">
      <c r="B330" t="s">
        <v>78</v>
      </c>
      <c r="C330" t="s">
        <v>79</v>
      </c>
      <c r="D330" t="s">
        <v>609</v>
      </c>
      <c r="E330" t="s">
        <v>610</v>
      </c>
      <c r="F330">
        <v>81.099999999999994</v>
      </c>
      <c r="G330">
        <v>80.5</v>
      </c>
      <c r="H330">
        <v>81</v>
      </c>
      <c r="I330">
        <v>78.55</v>
      </c>
      <c r="J330" s="1">
        <v>80.2</v>
      </c>
      <c r="K330">
        <v>2233786.0499999998</v>
      </c>
      <c r="L330">
        <v>27981</v>
      </c>
      <c r="M330" t="s">
        <v>78</v>
      </c>
      <c r="N330" t="s">
        <v>17</v>
      </c>
      <c r="O330">
        <v>289</v>
      </c>
      <c r="P330">
        <v>82.55</v>
      </c>
      <c r="Q330">
        <v>19.2</v>
      </c>
    </row>
    <row r="331" spans="2:17" x14ac:dyDescent="0.25">
      <c r="B331" t="s">
        <v>78</v>
      </c>
      <c r="C331" t="s">
        <v>79</v>
      </c>
      <c r="D331" t="s">
        <v>611</v>
      </c>
      <c r="E331" t="s">
        <v>611</v>
      </c>
      <c r="F331">
        <v>66.25</v>
      </c>
      <c r="G331">
        <v>65.25</v>
      </c>
      <c r="H331">
        <v>65.75</v>
      </c>
      <c r="I331">
        <v>63.8</v>
      </c>
      <c r="J331" s="1">
        <v>64</v>
      </c>
      <c r="K331">
        <v>2963839971.9000001</v>
      </c>
      <c r="L331">
        <v>45955101</v>
      </c>
      <c r="M331" t="s">
        <v>78</v>
      </c>
      <c r="N331" t="s">
        <v>17</v>
      </c>
      <c r="O331">
        <v>65479</v>
      </c>
      <c r="P331">
        <v>79.55</v>
      </c>
      <c r="Q331">
        <v>26.75</v>
      </c>
    </row>
    <row r="332" spans="2:17" x14ac:dyDescent="0.25">
      <c r="B332" t="s">
        <v>78</v>
      </c>
      <c r="C332" t="s">
        <v>79</v>
      </c>
      <c r="D332" t="s">
        <v>612</v>
      </c>
      <c r="E332" t="s">
        <v>613</v>
      </c>
      <c r="F332">
        <v>111.1</v>
      </c>
      <c r="G332">
        <v>109</v>
      </c>
      <c r="H332">
        <v>111.1</v>
      </c>
      <c r="I332">
        <v>105.5</v>
      </c>
      <c r="J332" s="1">
        <v>107.1</v>
      </c>
      <c r="K332">
        <v>3131614.5</v>
      </c>
      <c r="L332">
        <v>28990</v>
      </c>
      <c r="M332" t="s">
        <v>78</v>
      </c>
      <c r="N332" t="s">
        <v>17</v>
      </c>
      <c r="O332">
        <v>364</v>
      </c>
      <c r="P332">
        <v>161.5</v>
      </c>
      <c r="Q332">
        <v>37.1</v>
      </c>
    </row>
    <row r="333" spans="2:17" x14ac:dyDescent="0.25">
      <c r="B333" t="s">
        <v>78</v>
      </c>
      <c r="C333" t="s">
        <v>79</v>
      </c>
      <c r="D333" t="s">
        <v>614</v>
      </c>
      <c r="E333" t="s">
        <v>615</v>
      </c>
      <c r="F333">
        <v>31.75</v>
      </c>
      <c r="G333">
        <v>31.75</v>
      </c>
      <c r="H333">
        <v>31.75</v>
      </c>
      <c r="I333">
        <v>30.5</v>
      </c>
      <c r="J333" s="1">
        <v>30.9</v>
      </c>
      <c r="K333">
        <v>10375505.35</v>
      </c>
      <c r="L333">
        <v>333102</v>
      </c>
      <c r="M333" t="s">
        <v>78</v>
      </c>
      <c r="N333" t="s">
        <v>17</v>
      </c>
      <c r="O333">
        <v>2163</v>
      </c>
      <c r="P333">
        <v>35.6</v>
      </c>
      <c r="Q333">
        <v>9.4499999999999993</v>
      </c>
    </row>
    <row r="334" spans="2:17" x14ac:dyDescent="0.25">
      <c r="B334" t="s">
        <v>78</v>
      </c>
      <c r="C334" t="s">
        <v>79</v>
      </c>
      <c r="D334" t="s">
        <v>616</v>
      </c>
      <c r="E334" t="s">
        <v>617</v>
      </c>
      <c r="F334">
        <v>83.45</v>
      </c>
      <c r="G334">
        <v>79.3</v>
      </c>
      <c r="H334">
        <v>79.3</v>
      </c>
      <c r="I334">
        <v>79.3</v>
      </c>
      <c r="J334" s="1">
        <v>79.3</v>
      </c>
      <c r="K334">
        <v>2508814.1</v>
      </c>
      <c r="L334">
        <v>31637</v>
      </c>
      <c r="M334" t="s">
        <v>78</v>
      </c>
      <c r="N334" t="s">
        <v>17</v>
      </c>
      <c r="O334">
        <v>529</v>
      </c>
      <c r="P334">
        <v>99.8</v>
      </c>
      <c r="Q334">
        <v>58.3</v>
      </c>
    </row>
    <row r="335" spans="2:17" x14ac:dyDescent="0.25">
      <c r="B335" t="s">
        <v>78</v>
      </c>
      <c r="C335" t="s">
        <v>618</v>
      </c>
      <c r="D335" t="s">
        <v>619</v>
      </c>
      <c r="E335" t="s">
        <v>620</v>
      </c>
      <c r="F335">
        <v>265.49</v>
      </c>
      <c r="G335">
        <v>265.60000000000002</v>
      </c>
      <c r="H335">
        <v>271.02</v>
      </c>
      <c r="I335">
        <v>265.49</v>
      </c>
      <c r="J335" s="1">
        <v>270.43</v>
      </c>
      <c r="K335">
        <v>34010522</v>
      </c>
      <c r="L335">
        <v>126400</v>
      </c>
      <c r="M335" t="s">
        <v>78</v>
      </c>
      <c r="N335" t="s">
        <v>17</v>
      </c>
      <c r="O335">
        <v>266</v>
      </c>
      <c r="P335">
        <v>281.7</v>
      </c>
      <c r="Q335">
        <v>215</v>
      </c>
    </row>
    <row r="336" spans="2:17" x14ac:dyDescent="0.25">
      <c r="B336" t="s">
        <v>78</v>
      </c>
      <c r="C336" t="s">
        <v>79</v>
      </c>
      <c r="D336" t="s">
        <v>621</v>
      </c>
      <c r="E336" t="s">
        <v>622</v>
      </c>
      <c r="F336">
        <v>1344.9</v>
      </c>
      <c r="G336">
        <v>1338</v>
      </c>
      <c r="H336">
        <v>1359.85</v>
      </c>
      <c r="I336">
        <v>1315</v>
      </c>
      <c r="J336" s="1">
        <v>1336.15</v>
      </c>
      <c r="K336">
        <v>84374000.849999994</v>
      </c>
      <c r="L336">
        <v>62974</v>
      </c>
      <c r="M336" t="s">
        <v>78</v>
      </c>
      <c r="N336" t="s">
        <v>17</v>
      </c>
      <c r="O336">
        <v>5955</v>
      </c>
      <c r="P336">
        <v>1384.8</v>
      </c>
      <c r="Q336">
        <v>540.54999999999995</v>
      </c>
    </row>
    <row r="337" spans="2:17" x14ac:dyDescent="0.25">
      <c r="B337" t="s">
        <v>78</v>
      </c>
      <c r="C337" t="s">
        <v>79</v>
      </c>
      <c r="D337" t="s">
        <v>623</v>
      </c>
      <c r="E337" t="s">
        <v>624</v>
      </c>
      <c r="F337">
        <v>80.099999999999994</v>
      </c>
      <c r="G337">
        <v>79.650000000000006</v>
      </c>
      <c r="H337">
        <v>83.5</v>
      </c>
      <c r="I337">
        <v>77.8</v>
      </c>
      <c r="J337" s="1">
        <v>80.2</v>
      </c>
      <c r="K337">
        <v>60113696.700000003</v>
      </c>
      <c r="L337">
        <v>739131</v>
      </c>
      <c r="M337" t="s">
        <v>78</v>
      </c>
      <c r="N337" t="s">
        <v>17</v>
      </c>
      <c r="O337">
        <v>6663</v>
      </c>
      <c r="P337">
        <v>88.8</v>
      </c>
      <c r="Q337">
        <v>33.75</v>
      </c>
    </row>
    <row r="338" spans="2:17" x14ac:dyDescent="0.25">
      <c r="B338" t="s">
        <v>78</v>
      </c>
      <c r="C338" t="s">
        <v>79</v>
      </c>
      <c r="D338" t="s">
        <v>625</v>
      </c>
      <c r="E338" t="s">
        <v>626</v>
      </c>
      <c r="F338">
        <v>28.15</v>
      </c>
      <c r="G338">
        <v>27.95</v>
      </c>
      <c r="H338">
        <v>28.35</v>
      </c>
      <c r="I338">
        <v>27.3</v>
      </c>
      <c r="J338" s="1">
        <v>27.95</v>
      </c>
      <c r="K338">
        <v>11247732.15</v>
      </c>
      <c r="L338">
        <v>401815</v>
      </c>
      <c r="M338" t="s">
        <v>78</v>
      </c>
      <c r="N338" t="s">
        <v>17</v>
      </c>
      <c r="O338">
        <v>2520</v>
      </c>
      <c r="P338">
        <v>43.05</v>
      </c>
      <c r="Q338">
        <v>17.5</v>
      </c>
    </row>
    <row r="339" spans="2:17" x14ac:dyDescent="0.25">
      <c r="B339" t="s">
        <v>78</v>
      </c>
      <c r="C339" t="s">
        <v>79</v>
      </c>
      <c r="D339" t="s">
        <v>627</v>
      </c>
      <c r="E339" t="s">
        <v>628</v>
      </c>
      <c r="F339">
        <v>9.4499999999999993</v>
      </c>
      <c r="G339">
        <v>9.5500000000000007</v>
      </c>
      <c r="H339">
        <v>9.9</v>
      </c>
      <c r="I339">
        <v>9.1999999999999993</v>
      </c>
      <c r="J339" s="1">
        <v>9.9</v>
      </c>
      <c r="K339">
        <v>2342191.0499999998</v>
      </c>
      <c r="L339">
        <v>239642</v>
      </c>
      <c r="M339" t="s">
        <v>78</v>
      </c>
      <c r="N339" t="s">
        <v>17</v>
      </c>
      <c r="O339">
        <v>450</v>
      </c>
      <c r="P339">
        <v>10.3</v>
      </c>
      <c r="Q339">
        <v>4.5</v>
      </c>
    </row>
    <row r="340" spans="2:17" x14ac:dyDescent="0.25">
      <c r="B340" t="s">
        <v>78</v>
      </c>
      <c r="C340" t="s">
        <v>79</v>
      </c>
      <c r="D340" t="s">
        <v>629</v>
      </c>
      <c r="E340" t="s">
        <v>630</v>
      </c>
      <c r="F340">
        <v>111.85</v>
      </c>
      <c r="G340">
        <v>113.4</v>
      </c>
      <c r="H340">
        <v>115.9</v>
      </c>
      <c r="I340">
        <v>112.05</v>
      </c>
      <c r="J340" s="1">
        <v>113.05</v>
      </c>
      <c r="K340">
        <v>48576590.75</v>
      </c>
      <c r="L340">
        <v>426753</v>
      </c>
      <c r="M340" t="s">
        <v>78</v>
      </c>
      <c r="N340" t="s">
        <v>17</v>
      </c>
      <c r="O340">
        <v>5622</v>
      </c>
      <c r="P340">
        <v>221</v>
      </c>
      <c r="Q340">
        <v>91.65</v>
      </c>
    </row>
    <row r="341" spans="2:17" x14ac:dyDescent="0.25">
      <c r="B341" t="s">
        <v>78</v>
      </c>
      <c r="C341" t="s">
        <v>79</v>
      </c>
      <c r="D341" t="s">
        <v>631</v>
      </c>
      <c r="E341" t="s">
        <v>632</v>
      </c>
      <c r="F341">
        <v>24.7</v>
      </c>
      <c r="G341">
        <v>24.45</v>
      </c>
      <c r="H341">
        <v>24.65</v>
      </c>
      <c r="I341">
        <v>24</v>
      </c>
      <c r="J341" s="1">
        <v>24.3</v>
      </c>
      <c r="K341">
        <v>5238598.4000000004</v>
      </c>
      <c r="L341">
        <v>215420</v>
      </c>
      <c r="M341" t="s">
        <v>78</v>
      </c>
      <c r="N341" t="s">
        <v>17</v>
      </c>
      <c r="O341">
        <v>609</v>
      </c>
      <c r="P341">
        <v>29.9</v>
      </c>
      <c r="Q341">
        <v>5.35</v>
      </c>
    </row>
    <row r="342" spans="2:17" x14ac:dyDescent="0.25">
      <c r="B342" t="s">
        <v>78</v>
      </c>
      <c r="C342" t="s">
        <v>79</v>
      </c>
      <c r="D342" t="s">
        <v>633</v>
      </c>
      <c r="E342" t="s">
        <v>634</v>
      </c>
      <c r="F342">
        <v>135.6</v>
      </c>
      <c r="G342">
        <v>134.80000000000001</v>
      </c>
      <c r="H342">
        <v>135.6</v>
      </c>
      <c r="I342">
        <v>130</v>
      </c>
      <c r="J342" s="1">
        <v>131.6</v>
      </c>
      <c r="K342">
        <v>34343135.850000001</v>
      </c>
      <c r="L342">
        <v>258773</v>
      </c>
      <c r="M342" t="s">
        <v>78</v>
      </c>
      <c r="N342" t="s">
        <v>17</v>
      </c>
      <c r="O342">
        <v>5584</v>
      </c>
      <c r="P342">
        <v>145.75</v>
      </c>
      <c r="Q342">
        <v>62</v>
      </c>
    </row>
    <row r="343" spans="2:17" x14ac:dyDescent="0.25">
      <c r="B343" t="s">
        <v>78</v>
      </c>
      <c r="C343" t="s">
        <v>79</v>
      </c>
      <c r="D343" t="s">
        <v>635</v>
      </c>
      <c r="E343" t="s">
        <v>636</v>
      </c>
      <c r="F343">
        <v>5.4</v>
      </c>
      <c r="G343">
        <v>5.65</v>
      </c>
      <c r="H343">
        <v>5.65</v>
      </c>
      <c r="I343">
        <v>5.65</v>
      </c>
      <c r="J343" s="1">
        <v>5.65</v>
      </c>
      <c r="K343">
        <v>559.35</v>
      </c>
      <c r="L343">
        <v>99</v>
      </c>
      <c r="M343" t="s">
        <v>78</v>
      </c>
      <c r="N343" t="s">
        <v>17</v>
      </c>
      <c r="O343">
        <v>1</v>
      </c>
      <c r="P343">
        <v>5.65</v>
      </c>
      <c r="Q343">
        <v>2.8</v>
      </c>
    </row>
    <row r="344" spans="2:17" x14ac:dyDescent="0.25">
      <c r="B344" t="s">
        <v>78</v>
      </c>
      <c r="C344" t="s">
        <v>79</v>
      </c>
      <c r="D344" t="s">
        <v>637</v>
      </c>
      <c r="E344" t="s">
        <v>638</v>
      </c>
      <c r="F344">
        <v>5798.95</v>
      </c>
      <c r="G344">
        <v>5818</v>
      </c>
      <c r="H344">
        <v>5875</v>
      </c>
      <c r="I344">
        <v>5763.3</v>
      </c>
      <c r="J344" s="1">
        <v>5807.2</v>
      </c>
      <c r="K344">
        <v>94608867</v>
      </c>
      <c r="L344">
        <v>16248</v>
      </c>
      <c r="M344" t="s">
        <v>78</v>
      </c>
      <c r="N344" t="s">
        <v>17</v>
      </c>
      <c r="O344">
        <v>3908</v>
      </c>
      <c r="P344">
        <v>6177.5</v>
      </c>
      <c r="Q344">
        <v>1873.05</v>
      </c>
    </row>
    <row r="345" spans="2:17" x14ac:dyDescent="0.25">
      <c r="B345" t="s">
        <v>78</v>
      </c>
      <c r="C345" t="s">
        <v>79</v>
      </c>
      <c r="D345" t="s">
        <v>639</v>
      </c>
      <c r="E345" t="s">
        <v>640</v>
      </c>
      <c r="F345">
        <v>865.35</v>
      </c>
      <c r="G345">
        <v>859</v>
      </c>
      <c r="H345">
        <v>870</v>
      </c>
      <c r="I345">
        <v>852.25</v>
      </c>
      <c r="J345" s="1">
        <v>865.05</v>
      </c>
      <c r="K345">
        <v>89244489.900000006</v>
      </c>
      <c r="L345">
        <v>103235</v>
      </c>
      <c r="M345" t="s">
        <v>78</v>
      </c>
      <c r="N345" t="s">
        <v>17</v>
      </c>
      <c r="O345">
        <v>5025</v>
      </c>
      <c r="P345">
        <v>976.6</v>
      </c>
      <c r="Q345">
        <v>474.5</v>
      </c>
    </row>
    <row r="346" spans="2:17" x14ac:dyDescent="0.25">
      <c r="B346" t="s">
        <v>78</v>
      </c>
      <c r="C346" t="s">
        <v>79</v>
      </c>
      <c r="D346" t="s">
        <v>641</v>
      </c>
      <c r="E346" t="s">
        <v>642</v>
      </c>
      <c r="F346">
        <v>116.9</v>
      </c>
      <c r="G346">
        <v>115.95</v>
      </c>
      <c r="H346">
        <v>123.7</v>
      </c>
      <c r="I346">
        <v>115.1</v>
      </c>
      <c r="J346" s="1">
        <v>121.55</v>
      </c>
      <c r="K346">
        <v>220327344.30000001</v>
      </c>
      <c r="L346">
        <v>1848296</v>
      </c>
      <c r="M346" t="s">
        <v>78</v>
      </c>
      <c r="N346" t="s">
        <v>17</v>
      </c>
      <c r="O346">
        <v>14010</v>
      </c>
      <c r="P346">
        <v>125.95</v>
      </c>
      <c r="Q346">
        <v>59.2</v>
      </c>
    </row>
    <row r="347" spans="2:17" x14ac:dyDescent="0.25">
      <c r="B347" t="s">
        <v>78</v>
      </c>
      <c r="C347" t="s">
        <v>287</v>
      </c>
      <c r="D347" t="s">
        <v>643</v>
      </c>
      <c r="E347" t="s">
        <v>644</v>
      </c>
      <c r="F347">
        <v>3.9</v>
      </c>
      <c r="G347">
        <v>3.9</v>
      </c>
      <c r="H347">
        <v>3.9</v>
      </c>
      <c r="I347">
        <v>3.9</v>
      </c>
      <c r="J347" s="1">
        <v>3.9</v>
      </c>
      <c r="K347">
        <v>23400</v>
      </c>
      <c r="L347">
        <v>6000</v>
      </c>
      <c r="M347" t="s">
        <v>78</v>
      </c>
      <c r="N347" t="s">
        <v>17</v>
      </c>
      <c r="O347">
        <v>1</v>
      </c>
      <c r="P347">
        <v>7.25</v>
      </c>
      <c r="Q347">
        <v>0.95</v>
      </c>
    </row>
    <row r="348" spans="2:17" x14ac:dyDescent="0.25">
      <c r="B348" t="s">
        <v>78</v>
      </c>
      <c r="C348" t="s">
        <v>79</v>
      </c>
      <c r="D348" t="s">
        <v>645</v>
      </c>
      <c r="E348" t="s">
        <v>646</v>
      </c>
      <c r="F348">
        <v>102.4</v>
      </c>
      <c r="G348">
        <v>100.4</v>
      </c>
      <c r="H348">
        <v>108</v>
      </c>
      <c r="I348">
        <v>100.25</v>
      </c>
      <c r="J348" s="1">
        <v>106.25</v>
      </c>
      <c r="K348">
        <v>2201071862.0999999</v>
      </c>
      <c r="L348">
        <v>20880869</v>
      </c>
      <c r="M348" t="s">
        <v>78</v>
      </c>
      <c r="N348" t="s">
        <v>17</v>
      </c>
      <c r="O348">
        <v>87388</v>
      </c>
      <c r="P348">
        <v>108</v>
      </c>
      <c r="Q348">
        <v>58.3</v>
      </c>
    </row>
    <row r="349" spans="2:17" x14ac:dyDescent="0.25">
      <c r="B349" t="s">
        <v>78</v>
      </c>
      <c r="C349" t="s">
        <v>79</v>
      </c>
      <c r="D349" t="s">
        <v>647</v>
      </c>
      <c r="E349" t="s">
        <v>648</v>
      </c>
      <c r="F349">
        <v>223.4</v>
      </c>
      <c r="G349">
        <v>218.15</v>
      </c>
      <c r="H349">
        <v>224.9</v>
      </c>
      <c r="I349">
        <v>218.15</v>
      </c>
      <c r="J349" s="1">
        <v>219.5</v>
      </c>
      <c r="K349">
        <v>20694844.050000001</v>
      </c>
      <c r="L349">
        <v>93572</v>
      </c>
      <c r="M349" t="s">
        <v>78</v>
      </c>
      <c r="N349" t="s">
        <v>17</v>
      </c>
      <c r="O349">
        <v>3015</v>
      </c>
      <c r="P349">
        <v>254</v>
      </c>
      <c r="Q349">
        <v>152.1</v>
      </c>
    </row>
    <row r="350" spans="2:17" x14ac:dyDescent="0.25">
      <c r="B350" t="s">
        <v>78</v>
      </c>
      <c r="C350" t="s">
        <v>79</v>
      </c>
      <c r="D350" t="s">
        <v>649</v>
      </c>
      <c r="E350" t="s">
        <v>650</v>
      </c>
      <c r="F350">
        <v>41.95</v>
      </c>
      <c r="G350">
        <v>41.55</v>
      </c>
      <c r="H350">
        <v>42.4</v>
      </c>
      <c r="I350">
        <v>40.549999999999997</v>
      </c>
      <c r="J350" s="1">
        <v>41.1</v>
      </c>
      <c r="K350">
        <v>8756589.1999999993</v>
      </c>
      <c r="L350">
        <v>210770</v>
      </c>
      <c r="M350" t="s">
        <v>78</v>
      </c>
      <c r="N350" t="s">
        <v>17</v>
      </c>
      <c r="O350">
        <v>1976</v>
      </c>
      <c r="P350">
        <v>44</v>
      </c>
      <c r="Q350">
        <v>15.85</v>
      </c>
    </row>
    <row r="351" spans="2:17" x14ac:dyDescent="0.25">
      <c r="B351" t="s">
        <v>78</v>
      </c>
      <c r="C351" t="s">
        <v>79</v>
      </c>
      <c r="D351" t="s">
        <v>651</v>
      </c>
      <c r="E351" t="s">
        <v>652</v>
      </c>
      <c r="F351">
        <v>339.15</v>
      </c>
      <c r="G351">
        <v>336.45</v>
      </c>
      <c r="H351">
        <v>338.4</v>
      </c>
      <c r="I351">
        <v>321.25</v>
      </c>
      <c r="J351" s="1">
        <v>323.2</v>
      </c>
      <c r="K351">
        <v>114745074.75</v>
      </c>
      <c r="L351">
        <v>347129</v>
      </c>
      <c r="M351" t="s">
        <v>78</v>
      </c>
      <c r="N351" t="s">
        <v>17</v>
      </c>
      <c r="O351">
        <v>11974</v>
      </c>
      <c r="P351">
        <v>358</v>
      </c>
      <c r="Q351">
        <v>130.69999999999999</v>
      </c>
    </row>
    <row r="352" spans="2:17" x14ac:dyDescent="0.25">
      <c r="B352" t="s">
        <v>78</v>
      </c>
      <c r="C352" t="s">
        <v>287</v>
      </c>
      <c r="D352" t="s">
        <v>653</v>
      </c>
      <c r="E352" t="s">
        <v>654</v>
      </c>
      <c r="F352">
        <v>6.3</v>
      </c>
      <c r="G352">
        <v>6.3</v>
      </c>
      <c r="H352">
        <v>6.6</v>
      </c>
      <c r="I352">
        <v>6.3</v>
      </c>
      <c r="J352" s="1">
        <v>6.6</v>
      </c>
      <c r="K352">
        <v>2463450</v>
      </c>
      <c r="L352">
        <v>375000</v>
      </c>
      <c r="M352" t="s">
        <v>78</v>
      </c>
      <c r="N352" t="s">
        <v>17</v>
      </c>
      <c r="O352">
        <v>105</v>
      </c>
      <c r="P352">
        <v>15.55</v>
      </c>
      <c r="Q352">
        <v>5.55</v>
      </c>
    </row>
    <row r="353" spans="2:17" x14ac:dyDescent="0.25">
      <c r="B353" t="s">
        <v>78</v>
      </c>
      <c r="C353" t="s">
        <v>79</v>
      </c>
      <c r="D353" t="s">
        <v>655</v>
      </c>
      <c r="E353" t="s">
        <v>656</v>
      </c>
      <c r="F353">
        <v>37.799999999999997</v>
      </c>
      <c r="G353">
        <v>37.4</v>
      </c>
      <c r="H353">
        <v>38.4</v>
      </c>
      <c r="I353">
        <v>36.1</v>
      </c>
      <c r="J353" s="1">
        <v>36.75</v>
      </c>
      <c r="K353">
        <v>7358695.2000000002</v>
      </c>
      <c r="L353">
        <v>196335</v>
      </c>
      <c r="M353" t="s">
        <v>78</v>
      </c>
      <c r="N353" t="s">
        <v>17</v>
      </c>
      <c r="O353">
        <v>1855</v>
      </c>
      <c r="P353">
        <v>41.55</v>
      </c>
      <c r="Q353">
        <v>25.75</v>
      </c>
    </row>
    <row r="354" spans="2:17" x14ac:dyDescent="0.25">
      <c r="B354" t="s">
        <v>78</v>
      </c>
      <c r="C354" t="s">
        <v>79</v>
      </c>
      <c r="D354" t="s">
        <v>657</v>
      </c>
      <c r="E354" t="s">
        <v>658</v>
      </c>
      <c r="F354">
        <v>91.85</v>
      </c>
      <c r="G354">
        <v>90</v>
      </c>
      <c r="H354">
        <v>93.65</v>
      </c>
      <c r="I354">
        <v>87.3</v>
      </c>
      <c r="J354" s="1">
        <v>91.35</v>
      </c>
      <c r="K354">
        <v>7766599.3499999996</v>
      </c>
      <c r="L354">
        <v>86440</v>
      </c>
      <c r="M354" t="s">
        <v>78</v>
      </c>
      <c r="N354" t="s">
        <v>17</v>
      </c>
      <c r="O354">
        <v>1056</v>
      </c>
      <c r="P354">
        <v>113.9</v>
      </c>
      <c r="Q354">
        <v>36.1</v>
      </c>
    </row>
    <row r="355" spans="2:17" x14ac:dyDescent="0.25">
      <c r="B355" t="s">
        <v>78</v>
      </c>
      <c r="C355" t="s">
        <v>79</v>
      </c>
      <c r="D355" t="s">
        <v>659</v>
      </c>
      <c r="E355" t="s">
        <v>660</v>
      </c>
      <c r="F355">
        <v>1191.6500000000001</v>
      </c>
      <c r="G355">
        <v>1184.8</v>
      </c>
      <c r="H355">
        <v>1406</v>
      </c>
      <c r="I355">
        <v>1173.25</v>
      </c>
      <c r="J355" s="1">
        <v>1328.45</v>
      </c>
      <c r="K355">
        <v>16041571365.299999</v>
      </c>
      <c r="L355">
        <v>12170664</v>
      </c>
      <c r="M355" t="s">
        <v>78</v>
      </c>
      <c r="N355" t="s">
        <v>17</v>
      </c>
      <c r="O355">
        <v>406226</v>
      </c>
      <c r="P355">
        <v>1406</v>
      </c>
      <c r="Q355">
        <v>466</v>
      </c>
    </row>
    <row r="356" spans="2:17" x14ac:dyDescent="0.25">
      <c r="B356" t="s">
        <v>78</v>
      </c>
      <c r="C356" t="s">
        <v>79</v>
      </c>
      <c r="D356" t="s">
        <v>661</v>
      </c>
      <c r="E356" t="s">
        <v>662</v>
      </c>
      <c r="F356">
        <v>278.89999999999998</v>
      </c>
      <c r="G356">
        <v>288</v>
      </c>
      <c r="H356">
        <v>292.8</v>
      </c>
      <c r="I356">
        <v>276</v>
      </c>
      <c r="J356" s="1">
        <v>292.8</v>
      </c>
      <c r="K356">
        <v>2666114.4500000002</v>
      </c>
      <c r="L356">
        <v>9181</v>
      </c>
      <c r="M356" t="s">
        <v>78</v>
      </c>
      <c r="N356" t="s">
        <v>17</v>
      </c>
      <c r="O356">
        <v>206</v>
      </c>
      <c r="P356">
        <v>292.8</v>
      </c>
      <c r="Q356">
        <v>75.2</v>
      </c>
    </row>
    <row r="357" spans="2:17" x14ac:dyDescent="0.25">
      <c r="B357" t="s">
        <v>78</v>
      </c>
      <c r="C357" t="s">
        <v>79</v>
      </c>
      <c r="D357" t="s">
        <v>663</v>
      </c>
      <c r="E357" t="s">
        <v>664</v>
      </c>
      <c r="F357">
        <v>60.7</v>
      </c>
      <c r="G357">
        <v>60.9</v>
      </c>
      <c r="H357">
        <v>63.7</v>
      </c>
      <c r="I357">
        <v>59.1</v>
      </c>
      <c r="J357" s="1">
        <v>61.9</v>
      </c>
      <c r="K357">
        <v>7225318.3499999996</v>
      </c>
      <c r="L357">
        <v>115216</v>
      </c>
      <c r="M357" t="s">
        <v>78</v>
      </c>
      <c r="N357" t="s">
        <v>17</v>
      </c>
      <c r="O357">
        <v>1713</v>
      </c>
      <c r="P357">
        <v>68.900000000000006</v>
      </c>
      <c r="Q357">
        <v>21.75</v>
      </c>
    </row>
    <row r="358" spans="2:17" x14ac:dyDescent="0.25">
      <c r="B358" t="s">
        <v>78</v>
      </c>
      <c r="C358" t="s">
        <v>79</v>
      </c>
      <c r="D358" t="s">
        <v>665</v>
      </c>
      <c r="E358" t="s">
        <v>666</v>
      </c>
      <c r="F358">
        <v>420.05</v>
      </c>
      <c r="G358">
        <v>413.85</v>
      </c>
      <c r="H358">
        <v>420.4</v>
      </c>
      <c r="I358">
        <v>403</v>
      </c>
      <c r="J358" s="1">
        <v>406.6</v>
      </c>
      <c r="K358">
        <v>1220972830.0999999</v>
      </c>
      <c r="L358">
        <v>2959491</v>
      </c>
      <c r="M358" t="s">
        <v>78</v>
      </c>
      <c r="N358" t="s">
        <v>17</v>
      </c>
      <c r="O358">
        <v>52545</v>
      </c>
      <c r="P358">
        <v>434.85</v>
      </c>
      <c r="Q358">
        <v>101.5</v>
      </c>
    </row>
    <row r="359" spans="2:17" x14ac:dyDescent="0.25">
      <c r="B359" t="s">
        <v>78</v>
      </c>
      <c r="C359" t="s">
        <v>79</v>
      </c>
      <c r="D359" t="s">
        <v>667</v>
      </c>
      <c r="E359" t="s">
        <v>668</v>
      </c>
      <c r="F359">
        <v>168.65</v>
      </c>
      <c r="G359">
        <v>167.8</v>
      </c>
      <c r="H359">
        <v>180</v>
      </c>
      <c r="I359">
        <v>166.6</v>
      </c>
      <c r="J359" s="1">
        <v>178.25</v>
      </c>
      <c r="K359">
        <v>1816092954.3499999</v>
      </c>
      <c r="L359">
        <v>10338618</v>
      </c>
      <c r="M359" t="s">
        <v>78</v>
      </c>
      <c r="N359" t="s">
        <v>17</v>
      </c>
      <c r="O359">
        <v>83451</v>
      </c>
      <c r="P359">
        <v>213.8</v>
      </c>
      <c r="Q359">
        <v>108.4</v>
      </c>
    </row>
    <row r="360" spans="2:17" x14ac:dyDescent="0.25">
      <c r="B360" t="s">
        <v>78</v>
      </c>
      <c r="C360" t="s">
        <v>79</v>
      </c>
      <c r="D360" t="s">
        <v>669</v>
      </c>
      <c r="E360" t="s">
        <v>670</v>
      </c>
      <c r="F360">
        <v>225.45</v>
      </c>
      <c r="G360">
        <v>225.95</v>
      </c>
      <c r="H360">
        <v>230.8</v>
      </c>
      <c r="I360">
        <v>205.25</v>
      </c>
      <c r="J360" s="1">
        <v>208.1</v>
      </c>
      <c r="K360">
        <v>699218121.39999998</v>
      </c>
      <c r="L360">
        <v>3237857</v>
      </c>
      <c r="M360" t="s">
        <v>78</v>
      </c>
      <c r="N360" t="s">
        <v>17</v>
      </c>
      <c r="O360">
        <v>44944</v>
      </c>
      <c r="P360">
        <v>230.8</v>
      </c>
      <c r="Q360">
        <v>55.05</v>
      </c>
    </row>
    <row r="361" spans="2:17" x14ac:dyDescent="0.25">
      <c r="B361" t="s">
        <v>78</v>
      </c>
      <c r="C361" t="s">
        <v>79</v>
      </c>
      <c r="D361" t="s">
        <v>671</v>
      </c>
      <c r="E361" t="s">
        <v>672</v>
      </c>
      <c r="F361">
        <v>3433.95</v>
      </c>
      <c r="G361">
        <v>3413</v>
      </c>
      <c r="H361">
        <v>3530</v>
      </c>
      <c r="I361">
        <v>3348.05</v>
      </c>
      <c r="J361" s="1">
        <v>3446.5</v>
      </c>
      <c r="K361">
        <v>2169748004</v>
      </c>
      <c r="L361">
        <v>626795</v>
      </c>
      <c r="M361" t="s">
        <v>78</v>
      </c>
      <c r="N361" t="s">
        <v>17</v>
      </c>
      <c r="O361">
        <v>61231</v>
      </c>
      <c r="P361">
        <v>3740.65</v>
      </c>
      <c r="Q361">
        <v>1260</v>
      </c>
    </row>
    <row r="362" spans="2:17" x14ac:dyDescent="0.25">
      <c r="B362" t="s">
        <v>78</v>
      </c>
      <c r="C362" t="s">
        <v>79</v>
      </c>
      <c r="D362" t="s">
        <v>673</v>
      </c>
      <c r="E362" t="s">
        <v>674</v>
      </c>
      <c r="F362">
        <v>151.30000000000001</v>
      </c>
      <c r="G362">
        <v>150.69999999999999</v>
      </c>
      <c r="H362">
        <v>150.69999999999999</v>
      </c>
      <c r="I362">
        <v>147.19999999999999</v>
      </c>
      <c r="J362" s="1">
        <v>148.15</v>
      </c>
      <c r="K362">
        <v>1119510794.8499999</v>
      </c>
      <c r="L362">
        <v>7526446</v>
      </c>
      <c r="M362" t="s">
        <v>78</v>
      </c>
      <c r="N362" t="s">
        <v>17</v>
      </c>
      <c r="O362">
        <v>35737</v>
      </c>
      <c r="P362">
        <v>174.6</v>
      </c>
      <c r="Q362">
        <v>82.25</v>
      </c>
    </row>
    <row r="363" spans="2:17" x14ac:dyDescent="0.25">
      <c r="B363" t="s">
        <v>78</v>
      </c>
      <c r="C363" t="s">
        <v>79</v>
      </c>
      <c r="D363" t="s">
        <v>675</v>
      </c>
      <c r="E363" t="s">
        <v>676</v>
      </c>
      <c r="F363">
        <v>540.65</v>
      </c>
      <c r="G363">
        <v>534.65</v>
      </c>
      <c r="H363">
        <v>541.9</v>
      </c>
      <c r="I363">
        <v>530.95000000000005</v>
      </c>
      <c r="J363" s="1">
        <v>533.1</v>
      </c>
      <c r="K363">
        <v>127864681.15000001</v>
      </c>
      <c r="L363">
        <v>238485</v>
      </c>
      <c r="M363" t="s">
        <v>78</v>
      </c>
      <c r="N363" t="s">
        <v>17</v>
      </c>
      <c r="O363">
        <v>7058</v>
      </c>
      <c r="P363">
        <v>619.9</v>
      </c>
      <c r="Q363">
        <v>356.45</v>
      </c>
    </row>
    <row r="364" spans="2:17" x14ac:dyDescent="0.25">
      <c r="B364" t="s">
        <v>78</v>
      </c>
      <c r="C364" t="s">
        <v>79</v>
      </c>
      <c r="D364" t="s">
        <v>677</v>
      </c>
      <c r="E364" t="s">
        <v>678</v>
      </c>
      <c r="F364">
        <v>424.55</v>
      </c>
      <c r="G364">
        <v>419.95</v>
      </c>
      <c r="H364">
        <v>428.45</v>
      </c>
      <c r="I364">
        <v>412.3</v>
      </c>
      <c r="J364" s="1">
        <v>414.5</v>
      </c>
      <c r="K364">
        <v>16930761.600000001</v>
      </c>
      <c r="L364">
        <v>40180</v>
      </c>
      <c r="M364" t="s">
        <v>78</v>
      </c>
      <c r="N364" t="s">
        <v>17</v>
      </c>
      <c r="O364">
        <v>3174</v>
      </c>
      <c r="P364">
        <v>460.6</v>
      </c>
      <c r="Q364">
        <v>283.5</v>
      </c>
    </row>
    <row r="365" spans="2:17" x14ac:dyDescent="0.25">
      <c r="B365" t="s">
        <v>78</v>
      </c>
      <c r="C365" t="s">
        <v>79</v>
      </c>
      <c r="D365" t="s">
        <v>679</v>
      </c>
      <c r="E365" t="s">
        <v>680</v>
      </c>
      <c r="F365">
        <v>235.3</v>
      </c>
      <c r="G365">
        <v>230.3</v>
      </c>
      <c r="H365">
        <v>238.85</v>
      </c>
      <c r="I365">
        <v>230.3</v>
      </c>
      <c r="J365" s="1">
        <v>231.6</v>
      </c>
      <c r="K365">
        <v>68124047.450000003</v>
      </c>
      <c r="L365">
        <v>290140</v>
      </c>
      <c r="M365" t="s">
        <v>78</v>
      </c>
      <c r="N365" t="s">
        <v>17</v>
      </c>
      <c r="O365">
        <v>6866</v>
      </c>
      <c r="P365">
        <v>244.95</v>
      </c>
      <c r="Q365">
        <v>90</v>
      </c>
    </row>
    <row r="366" spans="2:17" x14ac:dyDescent="0.25">
      <c r="B366" t="s">
        <v>78</v>
      </c>
      <c r="C366" t="s">
        <v>79</v>
      </c>
      <c r="D366" t="s">
        <v>681</v>
      </c>
      <c r="E366" t="s">
        <v>682</v>
      </c>
      <c r="F366">
        <v>690.2</v>
      </c>
      <c r="G366">
        <v>686.5</v>
      </c>
      <c r="H366">
        <v>711</v>
      </c>
      <c r="I366">
        <v>681.4</v>
      </c>
      <c r="J366" s="1">
        <v>703.45</v>
      </c>
      <c r="K366">
        <v>176868881.44999999</v>
      </c>
      <c r="L366">
        <v>253610</v>
      </c>
      <c r="M366" t="s">
        <v>78</v>
      </c>
      <c r="N366" t="s">
        <v>17</v>
      </c>
      <c r="O366">
        <v>8206</v>
      </c>
      <c r="P366">
        <v>722.4</v>
      </c>
      <c r="Q366">
        <v>367.5</v>
      </c>
    </row>
    <row r="367" spans="2:17" x14ac:dyDescent="0.25">
      <c r="B367" t="s">
        <v>78</v>
      </c>
      <c r="C367" t="s">
        <v>79</v>
      </c>
      <c r="D367" t="s">
        <v>683</v>
      </c>
      <c r="E367" t="s">
        <v>684</v>
      </c>
      <c r="F367">
        <v>115.85</v>
      </c>
      <c r="G367">
        <v>115.85</v>
      </c>
      <c r="H367">
        <v>120.75</v>
      </c>
      <c r="I367">
        <v>109.55</v>
      </c>
      <c r="J367" s="1">
        <v>115.9</v>
      </c>
      <c r="K367">
        <v>8000910.1500000004</v>
      </c>
      <c r="L367">
        <v>69059</v>
      </c>
      <c r="M367" t="s">
        <v>78</v>
      </c>
      <c r="N367" t="s">
        <v>17</v>
      </c>
      <c r="O367">
        <v>2270</v>
      </c>
      <c r="P367">
        <v>143.69999999999999</v>
      </c>
      <c r="Q367">
        <v>50</v>
      </c>
    </row>
    <row r="368" spans="2:17" x14ac:dyDescent="0.25">
      <c r="B368" t="s">
        <v>78</v>
      </c>
      <c r="C368" t="s">
        <v>79</v>
      </c>
      <c r="D368" t="s">
        <v>685</v>
      </c>
      <c r="E368" t="s">
        <v>686</v>
      </c>
      <c r="F368">
        <v>650.35</v>
      </c>
      <c r="G368">
        <v>654</v>
      </c>
      <c r="H368">
        <v>654</v>
      </c>
      <c r="I368">
        <v>626.35</v>
      </c>
      <c r="J368" s="1">
        <v>636.04999999999995</v>
      </c>
      <c r="K368">
        <v>102075462.65000001</v>
      </c>
      <c r="L368">
        <v>160639</v>
      </c>
      <c r="M368" t="s">
        <v>78</v>
      </c>
      <c r="N368" t="s">
        <v>17</v>
      </c>
      <c r="O368">
        <v>11148</v>
      </c>
      <c r="P368">
        <v>676.65</v>
      </c>
      <c r="Q368">
        <v>231.6</v>
      </c>
    </row>
    <row r="369" spans="2:17" x14ac:dyDescent="0.25">
      <c r="B369" t="s">
        <v>78</v>
      </c>
      <c r="C369" t="s">
        <v>79</v>
      </c>
      <c r="D369" t="s">
        <v>687</v>
      </c>
      <c r="E369" t="s">
        <v>688</v>
      </c>
      <c r="F369">
        <v>148.5</v>
      </c>
      <c r="G369">
        <v>146.05000000000001</v>
      </c>
      <c r="H369">
        <v>149.80000000000001</v>
      </c>
      <c r="I369">
        <v>144.80000000000001</v>
      </c>
      <c r="J369" s="1">
        <v>146.35</v>
      </c>
      <c r="K369">
        <v>18230161.449999999</v>
      </c>
      <c r="L369">
        <v>123786</v>
      </c>
      <c r="M369" t="s">
        <v>78</v>
      </c>
      <c r="N369" t="s">
        <v>17</v>
      </c>
      <c r="O369">
        <v>3250</v>
      </c>
      <c r="P369">
        <v>191</v>
      </c>
      <c r="Q369">
        <v>117.5</v>
      </c>
    </row>
    <row r="370" spans="2:17" x14ac:dyDescent="0.25">
      <c r="B370" t="s">
        <v>78</v>
      </c>
      <c r="C370" t="s">
        <v>79</v>
      </c>
      <c r="D370" t="s">
        <v>689</v>
      </c>
      <c r="E370" t="s">
        <v>690</v>
      </c>
      <c r="F370">
        <v>706.95</v>
      </c>
      <c r="G370">
        <v>705.5</v>
      </c>
      <c r="H370">
        <v>759.25</v>
      </c>
      <c r="I370">
        <v>698.05</v>
      </c>
      <c r="J370" s="1">
        <v>726.15</v>
      </c>
      <c r="K370">
        <v>965883199.20000005</v>
      </c>
      <c r="L370">
        <v>1304068</v>
      </c>
      <c r="M370" t="s">
        <v>78</v>
      </c>
      <c r="N370" t="s">
        <v>17</v>
      </c>
      <c r="O370">
        <v>46120</v>
      </c>
      <c r="P370">
        <v>791</v>
      </c>
      <c r="Q370">
        <v>296.14999999999998</v>
      </c>
    </row>
    <row r="371" spans="2:17" x14ac:dyDescent="0.25">
      <c r="B371" t="s">
        <v>78</v>
      </c>
      <c r="C371" t="s">
        <v>79</v>
      </c>
      <c r="D371" t="s">
        <v>691</v>
      </c>
      <c r="E371" t="s">
        <v>692</v>
      </c>
      <c r="F371">
        <v>143.35</v>
      </c>
      <c r="G371">
        <v>143.35</v>
      </c>
      <c r="H371">
        <v>144.1</v>
      </c>
      <c r="I371">
        <v>142.6</v>
      </c>
      <c r="J371" s="1">
        <v>143.44999999999999</v>
      </c>
      <c r="K371">
        <v>51905136.350000001</v>
      </c>
      <c r="L371">
        <v>361680</v>
      </c>
      <c r="M371" t="s">
        <v>78</v>
      </c>
      <c r="N371" t="s">
        <v>17</v>
      </c>
      <c r="O371">
        <v>4898</v>
      </c>
      <c r="P371">
        <v>154.9</v>
      </c>
      <c r="Q371">
        <v>104</v>
      </c>
    </row>
    <row r="372" spans="2:17" x14ac:dyDescent="0.25">
      <c r="B372" t="s">
        <v>78</v>
      </c>
      <c r="C372" t="s">
        <v>79</v>
      </c>
      <c r="D372" t="s">
        <v>693</v>
      </c>
      <c r="E372" t="s">
        <v>694</v>
      </c>
      <c r="F372">
        <v>386</v>
      </c>
      <c r="G372">
        <v>381</v>
      </c>
      <c r="H372">
        <v>390.65</v>
      </c>
      <c r="I372">
        <v>380</v>
      </c>
      <c r="J372" s="1">
        <v>381.15</v>
      </c>
      <c r="K372">
        <v>100305001.65000001</v>
      </c>
      <c r="L372">
        <v>260213</v>
      </c>
      <c r="M372" t="s">
        <v>78</v>
      </c>
      <c r="N372" t="s">
        <v>17</v>
      </c>
      <c r="O372">
        <v>12761</v>
      </c>
      <c r="P372">
        <v>431.85</v>
      </c>
      <c r="Q372">
        <v>225</v>
      </c>
    </row>
    <row r="373" spans="2:17" x14ac:dyDescent="0.25">
      <c r="B373" t="s">
        <v>78</v>
      </c>
      <c r="C373" t="s">
        <v>79</v>
      </c>
      <c r="D373" t="s">
        <v>695</v>
      </c>
      <c r="E373" t="s">
        <v>696</v>
      </c>
      <c r="F373">
        <v>1449.3</v>
      </c>
      <c r="G373">
        <v>1437.95</v>
      </c>
      <c r="H373">
        <v>1579</v>
      </c>
      <c r="I373">
        <v>1345.05</v>
      </c>
      <c r="J373" s="1">
        <v>1537.45</v>
      </c>
      <c r="K373">
        <v>7219086605.0500002</v>
      </c>
      <c r="L373">
        <v>4762878</v>
      </c>
      <c r="M373" t="s">
        <v>78</v>
      </c>
      <c r="N373" t="s">
        <v>17</v>
      </c>
      <c r="O373">
        <v>205324</v>
      </c>
      <c r="P373">
        <v>1579</v>
      </c>
      <c r="Q373">
        <v>300</v>
      </c>
    </row>
    <row r="374" spans="2:17" x14ac:dyDescent="0.25">
      <c r="B374" t="s">
        <v>78</v>
      </c>
      <c r="C374" t="s">
        <v>79</v>
      </c>
      <c r="D374" t="s">
        <v>697</v>
      </c>
      <c r="E374" t="s">
        <v>698</v>
      </c>
      <c r="F374">
        <v>1449.95</v>
      </c>
      <c r="G374">
        <v>1438</v>
      </c>
      <c r="H374">
        <v>1449</v>
      </c>
      <c r="I374">
        <v>1415.4</v>
      </c>
      <c r="J374" s="1">
        <v>1425.45</v>
      </c>
      <c r="K374">
        <v>366084529.75</v>
      </c>
      <c r="L374">
        <v>255333</v>
      </c>
      <c r="M374" t="s">
        <v>78</v>
      </c>
      <c r="N374" t="s">
        <v>17</v>
      </c>
      <c r="O374">
        <v>13877</v>
      </c>
      <c r="P374">
        <v>1763</v>
      </c>
      <c r="Q374">
        <v>835</v>
      </c>
    </row>
    <row r="375" spans="2:17" x14ac:dyDescent="0.25">
      <c r="B375" t="s">
        <v>78</v>
      </c>
      <c r="C375" t="s">
        <v>79</v>
      </c>
      <c r="D375" t="s">
        <v>699</v>
      </c>
      <c r="E375" t="s">
        <v>700</v>
      </c>
      <c r="F375">
        <v>37.5</v>
      </c>
      <c r="G375">
        <v>37.25</v>
      </c>
      <c r="H375">
        <v>39</v>
      </c>
      <c r="I375">
        <v>36</v>
      </c>
      <c r="J375" s="1">
        <v>37.15</v>
      </c>
      <c r="K375">
        <v>9381965.1500000004</v>
      </c>
      <c r="L375">
        <v>252340</v>
      </c>
      <c r="M375" t="s">
        <v>78</v>
      </c>
      <c r="N375" t="s">
        <v>17</v>
      </c>
      <c r="O375">
        <v>1823</v>
      </c>
      <c r="P375">
        <v>43.25</v>
      </c>
      <c r="Q375">
        <v>11.4</v>
      </c>
    </row>
    <row r="376" spans="2:17" x14ac:dyDescent="0.25">
      <c r="B376" t="s">
        <v>78</v>
      </c>
      <c r="C376" t="s">
        <v>79</v>
      </c>
      <c r="D376" t="s">
        <v>701</v>
      </c>
      <c r="E376" t="s">
        <v>702</v>
      </c>
      <c r="F376">
        <v>9.1</v>
      </c>
      <c r="G376">
        <v>9.4</v>
      </c>
      <c r="H376">
        <v>9.5500000000000007</v>
      </c>
      <c r="I376">
        <v>8.9</v>
      </c>
      <c r="J376" s="1">
        <v>9.4</v>
      </c>
      <c r="K376">
        <v>1450943.5</v>
      </c>
      <c r="L376">
        <v>155003</v>
      </c>
      <c r="M376" t="s">
        <v>78</v>
      </c>
      <c r="N376" t="s">
        <v>17</v>
      </c>
      <c r="O376">
        <v>299</v>
      </c>
      <c r="P376">
        <v>9.9</v>
      </c>
      <c r="Q376">
        <v>3.6</v>
      </c>
    </row>
    <row r="377" spans="2:17" x14ac:dyDescent="0.25">
      <c r="B377" t="s">
        <v>78</v>
      </c>
      <c r="C377" t="s">
        <v>79</v>
      </c>
      <c r="D377" t="s">
        <v>703</v>
      </c>
      <c r="E377" t="s">
        <v>704</v>
      </c>
      <c r="F377">
        <v>455.35</v>
      </c>
      <c r="G377">
        <v>455.4</v>
      </c>
      <c r="H377">
        <v>459.8</v>
      </c>
      <c r="I377">
        <v>447</v>
      </c>
      <c r="J377" s="1">
        <v>452.25</v>
      </c>
      <c r="K377">
        <v>56282643.149999999</v>
      </c>
      <c r="L377">
        <v>124248</v>
      </c>
      <c r="M377" t="s">
        <v>78</v>
      </c>
      <c r="N377" t="s">
        <v>17</v>
      </c>
      <c r="O377">
        <v>8195</v>
      </c>
      <c r="P377">
        <v>478</v>
      </c>
      <c r="Q377">
        <v>153.75</v>
      </c>
    </row>
    <row r="378" spans="2:17" x14ac:dyDescent="0.25">
      <c r="B378" t="s">
        <v>78</v>
      </c>
      <c r="C378" t="s">
        <v>79</v>
      </c>
      <c r="D378" t="s">
        <v>705</v>
      </c>
      <c r="E378" t="s">
        <v>706</v>
      </c>
      <c r="F378">
        <v>9.9</v>
      </c>
      <c r="G378">
        <v>9.9</v>
      </c>
      <c r="H378">
        <v>10.1</v>
      </c>
      <c r="I378">
        <v>9.65</v>
      </c>
      <c r="J378" s="1">
        <v>9.8000000000000007</v>
      </c>
      <c r="K378">
        <v>3119358.35</v>
      </c>
      <c r="L378">
        <v>316577</v>
      </c>
      <c r="M378" t="s">
        <v>78</v>
      </c>
      <c r="N378" t="s">
        <v>17</v>
      </c>
      <c r="O378">
        <v>709</v>
      </c>
      <c r="P378">
        <v>11.8</v>
      </c>
      <c r="Q378">
        <v>3.1</v>
      </c>
    </row>
    <row r="379" spans="2:17" x14ac:dyDescent="0.25">
      <c r="B379" t="s">
        <v>78</v>
      </c>
      <c r="C379" t="s">
        <v>79</v>
      </c>
      <c r="D379" t="s">
        <v>707</v>
      </c>
      <c r="E379" t="s">
        <v>708</v>
      </c>
      <c r="F379">
        <v>25.35</v>
      </c>
      <c r="G379">
        <v>24.95</v>
      </c>
      <c r="H379">
        <v>25.2</v>
      </c>
      <c r="I379">
        <v>24.55</v>
      </c>
      <c r="J379" s="1">
        <v>24.7</v>
      </c>
      <c r="K379">
        <v>212552534.80000001</v>
      </c>
      <c r="L379">
        <v>8551508</v>
      </c>
      <c r="M379" t="s">
        <v>78</v>
      </c>
      <c r="N379" t="s">
        <v>17</v>
      </c>
      <c r="O379">
        <v>12988</v>
      </c>
      <c r="P379">
        <v>29.65</v>
      </c>
      <c r="Q379">
        <v>10.1</v>
      </c>
    </row>
    <row r="380" spans="2:17" x14ac:dyDescent="0.25">
      <c r="B380" t="s">
        <v>78</v>
      </c>
      <c r="C380" t="s">
        <v>79</v>
      </c>
      <c r="D380" t="s">
        <v>709</v>
      </c>
      <c r="E380" t="s">
        <v>710</v>
      </c>
      <c r="F380">
        <v>51.85</v>
      </c>
      <c r="G380">
        <v>51.4</v>
      </c>
      <c r="H380">
        <v>52.5</v>
      </c>
      <c r="I380">
        <v>50.65</v>
      </c>
      <c r="J380" s="1">
        <v>51.45</v>
      </c>
      <c r="K380">
        <v>252333166.59999999</v>
      </c>
      <c r="L380">
        <v>4878466</v>
      </c>
      <c r="M380" t="s">
        <v>78</v>
      </c>
      <c r="N380" t="s">
        <v>17</v>
      </c>
      <c r="O380">
        <v>11459</v>
      </c>
      <c r="P380">
        <v>58.5</v>
      </c>
      <c r="Q380">
        <v>12.75</v>
      </c>
    </row>
    <row r="381" spans="2:17" x14ac:dyDescent="0.25">
      <c r="B381" t="s">
        <v>78</v>
      </c>
      <c r="C381" t="s">
        <v>79</v>
      </c>
      <c r="D381" t="s">
        <v>711</v>
      </c>
      <c r="E381" t="s">
        <v>712</v>
      </c>
      <c r="F381">
        <v>487.8</v>
      </c>
      <c r="G381">
        <v>489.8</v>
      </c>
      <c r="H381">
        <v>514.9</v>
      </c>
      <c r="I381">
        <v>484.9</v>
      </c>
      <c r="J381" s="1">
        <v>509.7</v>
      </c>
      <c r="K381">
        <v>36875984.100000001</v>
      </c>
      <c r="L381">
        <v>72845</v>
      </c>
      <c r="M381" t="s">
        <v>78</v>
      </c>
      <c r="N381" t="s">
        <v>17</v>
      </c>
      <c r="O381">
        <v>2200</v>
      </c>
      <c r="P381">
        <v>541.9</v>
      </c>
      <c r="Q381">
        <v>260</v>
      </c>
    </row>
    <row r="382" spans="2:17" x14ac:dyDescent="0.25">
      <c r="B382" t="s">
        <v>78</v>
      </c>
      <c r="C382" t="s">
        <v>79</v>
      </c>
      <c r="D382" t="s">
        <v>713</v>
      </c>
      <c r="E382" t="s">
        <v>714</v>
      </c>
      <c r="F382">
        <v>418.8</v>
      </c>
      <c r="G382">
        <v>419.8</v>
      </c>
      <c r="H382">
        <v>422</v>
      </c>
      <c r="I382">
        <v>411.9</v>
      </c>
      <c r="J382" s="1">
        <v>420.7</v>
      </c>
      <c r="K382">
        <v>119871029.34999999</v>
      </c>
      <c r="L382">
        <v>285872</v>
      </c>
      <c r="M382" t="s">
        <v>78</v>
      </c>
      <c r="N382" t="s">
        <v>17</v>
      </c>
      <c r="O382">
        <v>18078</v>
      </c>
      <c r="P382">
        <v>447.4</v>
      </c>
      <c r="Q382">
        <v>124.05</v>
      </c>
    </row>
    <row r="383" spans="2:17" x14ac:dyDescent="0.25">
      <c r="B383" t="s">
        <v>78</v>
      </c>
      <c r="C383" t="s">
        <v>79</v>
      </c>
      <c r="D383" t="s">
        <v>715</v>
      </c>
      <c r="E383" t="s">
        <v>716</v>
      </c>
      <c r="F383">
        <v>719.5</v>
      </c>
      <c r="G383">
        <v>717</v>
      </c>
      <c r="H383">
        <v>736</v>
      </c>
      <c r="I383">
        <v>710</v>
      </c>
      <c r="J383" s="1">
        <v>719.55</v>
      </c>
      <c r="K383">
        <v>493087178.44999999</v>
      </c>
      <c r="L383">
        <v>682203</v>
      </c>
      <c r="M383" t="s">
        <v>78</v>
      </c>
      <c r="N383" t="s">
        <v>17</v>
      </c>
      <c r="O383">
        <v>15154</v>
      </c>
      <c r="P383">
        <v>736</v>
      </c>
      <c r="Q383">
        <v>292.5</v>
      </c>
    </row>
    <row r="384" spans="2:17" x14ac:dyDescent="0.25">
      <c r="B384" t="s">
        <v>78</v>
      </c>
      <c r="C384" t="s">
        <v>79</v>
      </c>
      <c r="D384" t="s">
        <v>717</v>
      </c>
      <c r="E384" t="s">
        <v>718</v>
      </c>
      <c r="F384">
        <v>4490.25</v>
      </c>
      <c r="G384">
        <v>4468.8999999999996</v>
      </c>
      <c r="H384">
        <v>4524.3999999999996</v>
      </c>
      <c r="I384">
        <v>4391.25</v>
      </c>
      <c r="J384" s="1">
        <v>4430.8</v>
      </c>
      <c r="K384">
        <v>43076301.049999997</v>
      </c>
      <c r="L384">
        <v>9614</v>
      </c>
      <c r="M384" t="s">
        <v>78</v>
      </c>
      <c r="N384" t="s">
        <v>17</v>
      </c>
      <c r="O384">
        <v>1831</v>
      </c>
      <c r="P384">
        <v>4895</v>
      </c>
      <c r="Q384">
        <v>2121</v>
      </c>
    </row>
    <row r="385" spans="2:17" x14ac:dyDescent="0.25">
      <c r="B385" t="s">
        <v>78</v>
      </c>
      <c r="C385" t="s">
        <v>79</v>
      </c>
      <c r="D385" t="s">
        <v>719</v>
      </c>
      <c r="E385" t="s">
        <v>720</v>
      </c>
      <c r="F385">
        <v>58.85</v>
      </c>
      <c r="G385">
        <v>58.2</v>
      </c>
      <c r="H385">
        <v>58.9</v>
      </c>
      <c r="I385">
        <v>56</v>
      </c>
      <c r="J385" s="1">
        <v>56.7</v>
      </c>
      <c r="K385">
        <v>37064790.950000003</v>
      </c>
      <c r="L385">
        <v>642422</v>
      </c>
      <c r="M385" t="s">
        <v>78</v>
      </c>
      <c r="N385" t="s">
        <v>17</v>
      </c>
      <c r="O385">
        <v>7765</v>
      </c>
      <c r="P385">
        <v>67.5</v>
      </c>
      <c r="Q385">
        <v>25.55</v>
      </c>
    </row>
    <row r="386" spans="2:17" x14ac:dyDescent="0.25">
      <c r="B386" t="s">
        <v>78</v>
      </c>
      <c r="C386" t="s">
        <v>79</v>
      </c>
      <c r="D386" t="s">
        <v>721</v>
      </c>
      <c r="E386" t="s">
        <v>722</v>
      </c>
      <c r="F386">
        <v>838.1</v>
      </c>
      <c r="G386">
        <v>829.25</v>
      </c>
      <c r="H386">
        <v>847.8</v>
      </c>
      <c r="I386">
        <v>826</v>
      </c>
      <c r="J386" s="1">
        <v>841.55</v>
      </c>
      <c r="K386">
        <v>352960139.05000001</v>
      </c>
      <c r="L386">
        <v>421774</v>
      </c>
      <c r="M386" t="s">
        <v>78</v>
      </c>
      <c r="N386" t="s">
        <v>17</v>
      </c>
      <c r="O386">
        <v>15876</v>
      </c>
      <c r="P386">
        <v>870.9</v>
      </c>
      <c r="Q386">
        <v>538.65</v>
      </c>
    </row>
    <row r="387" spans="2:17" x14ac:dyDescent="0.25">
      <c r="B387" t="s">
        <v>78</v>
      </c>
      <c r="C387" t="s">
        <v>79</v>
      </c>
      <c r="D387" t="s">
        <v>723</v>
      </c>
      <c r="E387" t="s">
        <v>724</v>
      </c>
      <c r="F387">
        <v>529.70000000000005</v>
      </c>
      <c r="G387">
        <v>528</v>
      </c>
      <c r="H387">
        <v>539.95000000000005</v>
      </c>
      <c r="I387">
        <v>526.45000000000005</v>
      </c>
      <c r="J387" s="1">
        <v>528.95000000000005</v>
      </c>
      <c r="K387">
        <v>10992375.449999999</v>
      </c>
      <c r="L387">
        <v>20749</v>
      </c>
      <c r="M387" t="s">
        <v>78</v>
      </c>
      <c r="N387" t="s">
        <v>17</v>
      </c>
      <c r="O387">
        <v>3649</v>
      </c>
      <c r="P387">
        <v>578.4</v>
      </c>
      <c r="Q387">
        <v>145.75</v>
      </c>
    </row>
    <row r="388" spans="2:17" x14ac:dyDescent="0.25">
      <c r="B388" t="s">
        <v>78</v>
      </c>
      <c r="C388" t="s">
        <v>79</v>
      </c>
      <c r="D388" t="s">
        <v>725</v>
      </c>
      <c r="E388" t="s">
        <v>726</v>
      </c>
      <c r="F388">
        <v>182.4</v>
      </c>
      <c r="G388">
        <v>180.8</v>
      </c>
      <c r="H388">
        <v>180.8</v>
      </c>
      <c r="I388">
        <v>176</v>
      </c>
      <c r="J388" s="1">
        <v>178.05</v>
      </c>
      <c r="K388">
        <v>77427839.099999994</v>
      </c>
      <c r="L388">
        <v>433751</v>
      </c>
      <c r="M388" t="s">
        <v>78</v>
      </c>
      <c r="N388" t="s">
        <v>17</v>
      </c>
      <c r="O388">
        <v>10469</v>
      </c>
      <c r="P388">
        <v>217.7</v>
      </c>
      <c r="Q388">
        <v>122.65</v>
      </c>
    </row>
    <row r="389" spans="2:17" x14ac:dyDescent="0.25">
      <c r="B389" t="s">
        <v>78</v>
      </c>
      <c r="C389" t="s">
        <v>79</v>
      </c>
      <c r="D389" t="s">
        <v>727</v>
      </c>
      <c r="E389" t="s">
        <v>728</v>
      </c>
      <c r="F389">
        <v>300.7</v>
      </c>
      <c r="G389">
        <v>299.8</v>
      </c>
      <c r="H389">
        <v>309.05</v>
      </c>
      <c r="I389">
        <v>299</v>
      </c>
      <c r="J389" s="1">
        <v>304.60000000000002</v>
      </c>
      <c r="K389">
        <v>391227764.89999998</v>
      </c>
      <c r="L389">
        <v>1277583</v>
      </c>
      <c r="M389" t="s">
        <v>78</v>
      </c>
      <c r="N389" t="s">
        <v>17</v>
      </c>
      <c r="O389">
        <v>32990</v>
      </c>
      <c r="P389">
        <v>321</v>
      </c>
      <c r="Q389">
        <v>133.25</v>
      </c>
    </row>
    <row r="390" spans="2:17" x14ac:dyDescent="0.25">
      <c r="B390" t="s">
        <v>78</v>
      </c>
      <c r="C390" t="s">
        <v>79</v>
      </c>
      <c r="D390" t="s">
        <v>729</v>
      </c>
      <c r="E390" t="s">
        <v>730</v>
      </c>
      <c r="F390">
        <v>236.35</v>
      </c>
      <c r="G390">
        <v>234</v>
      </c>
      <c r="H390">
        <v>238</v>
      </c>
      <c r="I390">
        <v>226.7</v>
      </c>
      <c r="J390" s="1">
        <v>231</v>
      </c>
      <c r="K390">
        <v>18358379.149999999</v>
      </c>
      <c r="L390">
        <v>79182</v>
      </c>
      <c r="M390" t="s">
        <v>78</v>
      </c>
      <c r="N390" t="s">
        <v>17</v>
      </c>
      <c r="O390">
        <v>3642</v>
      </c>
      <c r="P390">
        <v>257.7</v>
      </c>
      <c r="Q390">
        <v>139</v>
      </c>
    </row>
    <row r="391" spans="2:17" x14ac:dyDescent="0.25">
      <c r="B391" t="s">
        <v>78</v>
      </c>
      <c r="C391" t="s">
        <v>79</v>
      </c>
      <c r="D391" t="s">
        <v>731</v>
      </c>
      <c r="E391" t="s">
        <v>732</v>
      </c>
      <c r="F391">
        <v>492.55</v>
      </c>
      <c r="G391">
        <v>490</v>
      </c>
      <c r="H391">
        <v>500</v>
      </c>
      <c r="I391">
        <v>487.05</v>
      </c>
      <c r="J391" s="1">
        <v>488.45</v>
      </c>
      <c r="K391">
        <v>126660347.84999999</v>
      </c>
      <c r="L391">
        <v>257097</v>
      </c>
      <c r="M391" t="s">
        <v>78</v>
      </c>
      <c r="N391" t="s">
        <v>17</v>
      </c>
      <c r="O391">
        <v>9969</v>
      </c>
      <c r="P391">
        <v>731.25</v>
      </c>
      <c r="Q391">
        <v>398</v>
      </c>
    </row>
    <row r="392" spans="2:17" x14ac:dyDescent="0.25">
      <c r="B392" t="s">
        <v>78</v>
      </c>
      <c r="C392" t="s">
        <v>79</v>
      </c>
      <c r="D392" t="s">
        <v>733</v>
      </c>
      <c r="E392" t="s">
        <v>734</v>
      </c>
      <c r="F392">
        <v>180.35</v>
      </c>
      <c r="G392">
        <v>179.95</v>
      </c>
      <c r="H392">
        <v>183.4</v>
      </c>
      <c r="I392">
        <v>174.05</v>
      </c>
      <c r="J392" s="1">
        <v>175.4</v>
      </c>
      <c r="K392">
        <v>5072414.1500000004</v>
      </c>
      <c r="L392">
        <v>28497</v>
      </c>
      <c r="M392" t="s">
        <v>78</v>
      </c>
      <c r="N392" t="s">
        <v>17</v>
      </c>
      <c r="O392">
        <v>2212</v>
      </c>
      <c r="P392">
        <v>194.4</v>
      </c>
      <c r="Q392">
        <v>115</v>
      </c>
    </row>
    <row r="393" spans="2:17" x14ac:dyDescent="0.25">
      <c r="B393" t="s">
        <v>78</v>
      </c>
      <c r="C393" t="s">
        <v>79</v>
      </c>
      <c r="D393" t="s">
        <v>735</v>
      </c>
      <c r="E393" t="s">
        <v>736</v>
      </c>
      <c r="F393">
        <v>134.94999999999999</v>
      </c>
      <c r="G393">
        <v>135.25</v>
      </c>
      <c r="H393">
        <v>137.4</v>
      </c>
      <c r="I393">
        <v>132.75</v>
      </c>
      <c r="J393" s="1">
        <v>135.9</v>
      </c>
      <c r="K393">
        <v>52848830.700000003</v>
      </c>
      <c r="L393">
        <v>390042</v>
      </c>
      <c r="M393" t="s">
        <v>78</v>
      </c>
      <c r="N393" t="s">
        <v>17</v>
      </c>
      <c r="O393">
        <v>5730</v>
      </c>
      <c r="P393">
        <v>151.80000000000001</v>
      </c>
      <c r="Q393">
        <v>63.8</v>
      </c>
    </row>
    <row r="394" spans="2:17" x14ac:dyDescent="0.25">
      <c r="B394" t="s">
        <v>78</v>
      </c>
      <c r="C394" t="s">
        <v>79</v>
      </c>
      <c r="D394" t="s">
        <v>737</v>
      </c>
      <c r="E394" t="s">
        <v>738</v>
      </c>
      <c r="F394">
        <v>512.4</v>
      </c>
      <c r="G394">
        <v>509.95</v>
      </c>
      <c r="H394">
        <v>516.4</v>
      </c>
      <c r="I394">
        <v>504</v>
      </c>
      <c r="J394" s="1">
        <v>506.5</v>
      </c>
      <c r="K394">
        <v>1391720121.55</v>
      </c>
      <c r="L394">
        <v>2729557</v>
      </c>
      <c r="M394" t="s">
        <v>78</v>
      </c>
      <c r="N394" t="s">
        <v>17</v>
      </c>
      <c r="O394">
        <v>58925</v>
      </c>
      <c r="P394">
        <v>600.95000000000005</v>
      </c>
      <c r="Q394">
        <v>197.5</v>
      </c>
    </row>
    <row r="395" spans="2:17" x14ac:dyDescent="0.25">
      <c r="B395" t="s">
        <v>78</v>
      </c>
      <c r="C395" t="s">
        <v>79</v>
      </c>
      <c r="D395" t="s">
        <v>739</v>
      </c>
      <c r="E395" t="s">
        <v>740</v>
      </c>
      <c r="F395">
        <v>646.5</v>
      </c>
      <c r="G395">
        <v>650</v>
      </c>
      <c r="H395">
        <v>669.1</v>
      </c>
      <c r="I395">
        <v>632.65</v>
      </c>
      <c r="J395" s="1">
        <v>659.6</v>
      </c>
      <c r="K395">
        <v>147041466.55000001</v>
      </c>
      <c r="L395">
        <v>224707</v>
      </c>
      <c r="M395" t="s">
        <v>78</v>
      </c>
      <c r="N395" t="s">
        <v>17</v>
      </c>
      <c r="O395">
        <v>9029</v>
      </c>
      <c r="P395">
        <v>711</v>
      </c>
      <c r="Q395">
        <v>323.14999999999998</v>
      </c>
    </row>
    <row r="396" spans="2:17" x14ac:dyDescent="0.25">
      <c r="B396" t="s">
        <v>78</v>
      </c>
      <c r="C396" t="s">
        <v>79</v>
      </c>
      <c r="D396" t="s">
        <v>741</v>
      </c>
      <c r="E396" t="s">
        <v>742</v>
      </c>
      <c r="F396">
        <v>647.04999999999995</v>
      </c>
      <c r="G396">
        <v>638.79999999999995</v>
      </c>
      <c r="H396">
        <v>654.75</v>
      </c>
      <c r="I396">
        <v>635.6</v>
      </c>
      <c r="J396" s="1">
        <v>641.29999999999995</v>
      </c>
      <c r="K396">
        <v>98331262.950000003</v>
      </c>
      <c r="L396">
        <v>152274</v>
      </c>
      <c r="M396" t="s">
        <v>78</v>
      </c>
      <c r="N396" t="s">
        <v>17</v>
      </c>
      <c r="O396">
        <v>5830</v>
      </c>
      <c r="P396">
        <v>678</v>
      </c>
      <c r="Q396">
        <v>253</v>
      </c>
    </row>
    <row r="397" spans="2:17" x14ac:dyDescent="0.25">
      <c r="B397" t="s">
        <v>78</v>
      </c>
      <c r="C397" t="s">
        <v>79</v>
      </c>
      <c r="D397" t="s">
        <v>743</v>
      </c>
      <c r="E397" t="s">
        <v>744</v>
      </c>
      <c r="F397">
        <v>49.9</v>
      </c>
      <c r="G397">
        <v>49.9</v>
      </c>
      <c r="H397">
        <v>51</v>
      </c>
      <c r="I397">
        <v>48</v>
      </c>
      <c r="J397" s="1">
        <v>48.7</v>
      </c>
      <c r="K397">
        <v>3333007.75</v>
      </c>
      <c r="L397">
        <v>67386</v>
      </c>
      <c r="M397" t="s">
        <v>78</v>
      </c>
      <c r="N397" t="s">
        <v>17</v>
      </c>
      <c r="O397">
        <v>1147</v>
      </c>
      <c r="P397">
        <v>55.95</v>
      </c>
      <c r="Q397">
        <v>23</v>
      </c>
    </row>
    <row r="398" spans="2:17" x14ac:dyDescent="0.25">
      <c r="B398" t="s">
        <v>78</v>
      </c>
      <c r="C398" t="s">
        <v>79</v>
      </c>
      <c r="D398" t="s">
        <v>745</v>
      </c>
      <c r="E398" t="s">
        <v>746</v>
      </c>
      <c r="F398">
        <v>900</v>
      </c>
      <c r="G398">
        <v>1755</v>
      </c>
      <c r="H398">
        <v>1770.65</v>
      </c>
      <c r="I398">
        <v>1555.05</v>
      </c>
      <c r="J398" s="1">
        <v>1585.25</v>
      </c>
      <c r="K398">
        <v>22224043311</v>
      </c>
      <c r="L398">
        <v>13548172</v>
      </c>
      <c r="M398" t="s">
        <v>78</v>
      </c>
      <c r="N398" t="s">
        <v>17</v>
      </c>
      <c r="O398">
        <v>590802</v>
      </c>
      <c r="P398">
        <v>1770.65</v>
      </c>
      <c r="Q398">
        <v>1555.05</v>
      </c>
    </row>
    <row r="399" spans="2:17" x14ac:dyDescent="0.25">
      <c r="B399" t="s">
        <v>78</v>
      </c>
      <c r="C399" t="s">
        <v>79</v>
      </c>
      <c r="D399" t="s">
        <v>747</v>
      </c>
      <c r="E399" t="s">
        <v>748</v>
      </c>
      <c r="F399">
        <v>140.1</v>
      </c>
      <c r="G399">
        <v>140</v>
      </c>
      <c r="H399">
        <v>147.1</v>
      </c>
      <c r="I399">
        <v>140</v>
      </c>
      <c r="J399" s="1">
        <v>147.1</v>
      </c>
      <c r="K399">
        <v>12285980.6</v>
      </c>
      <c r="L399">
        <v>83850</v>
      </c>
      <c r="M399" t="s">
        <v>78</v>
      </c>
      <c r="N399" t="s">
        <v>17</v>
      </c>
      <c r="O399">
        <v>1299</v>
      </c>
      <c r="P399">
        <v>147.1</v>
      </c>
      <c r="Q399">
        <v>36.200000000000003</v>
      </c>
    </row>
    <row r="400" spans="2:17" x14ac:dyDescent="0.25">
      <c r="B400" t="s">
        <v>78</v>
      </c>
      <c r="C400" t="s">
        <v>79</v>
      </c>
      <c r="D400" t="s">
        <v>749</v>
      </c>
      <c r="E400" t="s">
        <v>750</v>
      </c>
      <c r="F400">
        <v>592.25</v>
      </c>
      <c r="G400">
        <v>601.95000000000005</v>
      </c>
      <c r="H400">
        <v>601.95000000000005</v>
      </c>
      <c r="I400">
        <v>587.79999999999995</v>
      </c>
      <c r="J400" s="1">
        <v>596.75</v>
      </c>
      <c r="K400">
        <v>25837278.850000001</v>
      </c>
      <c r="L400">
        <v>43293</v>
      </c>
      <c r="M400" t="s">
        <v>78</v>
      </c>
      <c r="N400" t="s">
        <v>17</v>
      </c>
      <c r="O400">
        <v>3028</v>
      </c>
      <c r="P400">
        <v>620</v>
      </c>
      <c r="Q400">
        <v>288</v>
      </c>
    </row>
    <row r="401" spans="2:17" x14ac:dyDescent="0.25">
      <c r="B401" t="s">
        <v>78</v>
      </c>
      <c r="C401" t="s">
        <v>79</v>
      </c>
      <c r="D401" t="s">
        <v>751</v>
      </c>
      <c r="E401" t="s">
        <v>752</v>
      </c>
      <c r="F401">
        <v>149.35</v>
      </c>
      <c r="G401">
        <v>147</v>
      </c>
      <c r="H401">
        <v>152.30000000000001</v>
      </c>
      <c r="I401">
        <v>145.15</v>
      </c>
      <c r="J401" s="1">
        <v>147.6</v>
      </c>
      <c r="K401">
        <v>24508988.649999999</v>
      </c>
      <c r="L401">
        <v>164250</v>
      </c>
      <c r="M401" t="s">
        <v>78</v>
      </c>
      <c r="N401" t="s">
        <v>17</v>
      </c>
      <c r="O401">
        <v>5267</v>
      </c>
      <c r="P401">
        <v>155</v>
      </c>
      <c r="Q401">
        <v>120</v>
      </c>
    </row>
    <row r="402" spans="2:17" x14ac:dyDescent="0.25">
      <c r="B402" t="s">
        <v>78</v>
      </c>
      <c r="C402" t="s">
        <v>79</v>
      </c>
      <c r="D402" t="s">
        <v>753</v>
      </c>
      <c r="E402" t="s">
        <v>754</v>
      </c>
      <c r="F402">
        <v>54.25</v>
      </c>
      <c r="G402">
        <v>53.5</v>
      </c>
      <c r="H402">
        <v>57.2</v>
      </c>
      <c r="I402">
        <v>53.5</v>
      </c>
      <c r="J402" s="1">
        <v>54.25</v>
      </c>
      <c r="K402">
        <v>6710321.9000000004</v>
      </c>
      <c r="L402">
        <v>121341</v>
      </c>
      <c r="M402" t="s">
        <v>78</v>
      </c>
      <c r="N402" t="s">
        <v>17</v>
      </c>
      <c r="O402">
        <v>1613</v>
      </c>
      <c r="P402">
        <v>62.45</v>
      </c>
      <c r="Q402">
        <v>29.2</v>
      </c>
    </row>
    <row r="403" spans="2:17" x14ac:dyDescent="0.25">
      <c r="B403" t="s">
        <v>78</v>
      </c>
      <c r="C403" t="s">
        <v>79</v>
      </c>
      <c r="D403" t="s">
        <v>755</v>
      </c>
      <c r="E403" t="s">
        <v>756</v>
      </c>
      <c r="F403">
        <v>384.3</v>
      </c>
      <c r="G403">
        <v>383.95</v>
      </c>
      <c r="H403">
        <v>386.5</v>
      </c>
      <c r="I403">
        <v>380</v>
      </c>
      <c r="J403" s="1">
        <v>380.7</v>
      </c>
      <c r="K403">
        <v>77774490.200000003</v>
      </c>
      <c r="L403">
        <v>203157</v>
      </c>
      <c r="M403" t="s">
        <v>78</v>
      </c>
      <c r="N403" t="s">
        <v>17</v>
      </c>
      <c r="O403">
        <v>6082</v>
      </c>
      <c r="P403">
        <v>433.9</v>
      </c>
      <c r="Q403">
        <v>303.60000000000002</v>
      </c>
    </row>
    <row r="404" spans="2:17" x14ac:dyDescent="0.25">
      <c r="B404" t="s">
        <v>78</v>
      </c>
      <c r="C404" t="s">
        <v>79</v>
      </c>
      <c r="D404" t="s">
        <v>757</v>
      </c>
      <c r="E404" t="s">
        <v>758</v>
      </c>
      <c r="F404">
        <v>43.7</v>
      </c>
      <c r="G404">
        <v>43</v>
      </c>
      <c r="H404">
        <v>43.45</v>
      </c>
      <c r="I404">
        <v>42.6</v>
      </c>
      <c r="J404" s="1">
        <v>42.9</v>
      </c>
      <c r="K404">
        <v>34493861.899999999</v>
      </c>
      <c r="L404">
        <v>802392</v>
      </c>
      <c r="M404" t="s">
        <v>78</v>
      </c>
      <c r="N404" t="s">
        <v>17</v>
      </c>
      <c r="O404">
        <v>4340</v>
      </c>
      <c r="P404">
        <v>49.65</v>
      </c>
      <c r="Q404">
        <v>20.2</v>
      </c>
    </row>
    <row r="405" spans="2:17" x14ac:dyDescent="0.25">
      <c r="B405" t="s">
        <v>78</v>
      </c>
      <c r="C405" t="s">
        <v>79</v>
      </c>
      <c r="D405" t="s">
        <v>759</v>
      </c>
      <c r="E405" t="s">
        <v>760</v>
      </c>
      <c r="F405">
        <v>4547.75</v>
      </c>
      <c r="G405">
        <v>4539.95</v>
      </c>
      <c r="H405">
        <v>4663</v>
      </c>
      <c r="I405">
        <v>4505</v>
      </c>
      <c r="J405" s="1">
        <v>4544.45</v>
      </c>
      <c r="K405">
        <v>1592059577.95</v>
      </c>
      <c r="L405">
        <v>348508</v>
      </c>
      <c r="M405" t="s">
        <v>78</v>
      </c>
      <c r="N405" t="s">
        <v>17</v>
      </c>
      <c r="O405">
        <v>45867</v>
      </c>
      <c r="P405">
        <v>4663</v>
      </c>
      <c r="Q405">
        <v>1613.85</v>
      </c>
    </row>
    <row r="406" spans="2:17" x14ac:dyDescent="0.25">
      <c r="B406" t="s">
        <v>78</v>
      </c>
      <c r="C406" t="s">
        <v>79</v>
      </c>
      <c r="D406" t="s">
        <v>761</v>
      </c>
      <c r="E406" t="s">
        <v>762</v>
      </c>
      <c r="F406">
        <v>31.2</v>
      </c>
      <c r="G406">
        <v>30.75</v>
      </c>
      <c r="H406">
        <v>32.299999999999997</v>
      </c>
      <c r="I406">
        <v>30.6</v>
      </c>
      <c r="J406" s="1">
        <v>31.1</v>
      </c>
      <c r="K406">
        <v>10346939.6</v>
      </c>
      <c r="L406">
        <v>331387</v>
      </c>
      <c r="M406" t="s">
        <v>78</v>
      </c>
      <c r="N406" t="s">
        <v>17</v>
      </c>
      <c r="O406">
        <v>1983</v>
      </c>
      <c r="P406">
        <v>35</v>
      </c>
      <c r="Q406">
        <v>10.45</v>
      </c>
    </row>
    <row r="407" spans="2:17" x14ac:dyDescent="0.25">
      <c r="B407" t="s">
        <v>78</v>
      </c>
      <c r="C407" t="s">
        <v>79</v>
      </c>
      <c r="D407" t="s">
        <v>763</v>
      </c>
      <c r="E407" t="s">
        <v>764</v>
      </c>
      <c r="F407">
        <v>63.1</v>
      </c>
      <c r="G407">
        <v>62.65</v>
      </c>
      <c r="H407">
        <v>63.4</v>
      </c>
      <c r="I407">
        <v>61.25</v>
      </c>
      <c r="J407" s="1">
        <v>61.7</v>
      </c>
      <c r="K407">
        <v>78207305.450000003</v>
      </c>
      <c r="L407">
        <v>1252161</v>
      </c>
      <c r="M407" t="s">
        <v>78</v>
      </c>
      <c r="N407" t="s">
        <v>17</v>
      </c>
      <c r="O407">
        <v>5307</v>
      </c>
      <c r="P407">
        <v>68.45</v>
      </c>
      <c r="Q407">
        <v>17.100000000000001</v>
      </c>
    </row>
    <row r="408" spans="2:17" x14ac:dyDescent="0.25">
      <c r="B408" t="s">
        <v>78</v>
      </c>
      <c r="C408" t="s">
        <v>79</v>
      </c>
      <c r="D408" t="s">
        <v>765</v>
      </c>
      <c r="E408" t="s">
        <v>766</v>
      </c>
      <c r="F408">
        <v>127.4</v>
      </c>
      <c r="G408">
        <v>136.9</v>
      </c>
      <c r="H408">
        <v>136.9</v>
      </c>
      <c r="I408">
        <v>129</v>
      </c>
      <c r="J408" s="1">
        <v>130.19999999999999</v>
      </c>
      <c r="K408">
        <v>2639817.0499999998</v>
      </c>
      <c r="L408">
        <v>19853</v>
      </c>
      <c r="M408" t="s">
        <v>78</v>
      </c>
      <c r="N408" t="s">
        <v>17</v>
      </c>
      <c r="O408">
        <v>498</v>
      </c>
      <c r="P408">
        <v>136.94999999999999</v>
      </c>
      <c r="Q408">
        <v>23</v>
      </c>
    </row>
    <row r="409" spans="2:17" x14ac:dyDescent="0.25">
      <c r="B409" t="s">
        <v>78</v>
      </c>
      <c r="C409" t="s">
        <v>287</v>
      </c>
      <c r="D409" t="s">
        <v>767</v>
      </c>
      <c r="E409" t="s">
        <v>768</v>
      </c>
      <c r="F409">
        <v>6.35</v>
      </c>
      <c r="G409">
        <v>6.35</v>
      </c>
      <c r="H409">
        <v>6.35</v>
      </c>
      <c r="I409">
        <v>6.35</v>
      </c>
      <c r="J409" s="1">
        <v>6.35</v>
      </c>
      <c r="K409">
        <v>21164.55</v>
      </c>
      <c r="L409">
        <v>3333</v>
      </c>
      <c r="M409" t="s">
        <v>78</v>
      </c>
      <c r="N409" t="s">
        <v>17</v>
      </c>
      <c r="O409">
        <v>1</v>
      </c>
      <c r="P409">
        <v>14.6</v>
      </c>
      <c r="Q409">
        <v>5.2</v>
      </c>
    </row>
    <row r="410" spans="2:17" x14ac:dyDescent="0.25">
      <c r="B410" t="s">
        <v>78</v>
      </c>
      <c r="C410" t="s">
        <v>79</v>
      </c>
      <c r="D410" t="s">
        <v>769</v>
      </c>
      <c r="E410" t="s">
        <v>770</v>
      </c>
      <c r="F410">
        <v>385.5</v>
      </c>
      <c r="G410">
        <v>384.15</v>
      </c>
      <c r="H410">
        <v>384.5</v>
      </c>
      <c r="I410">
        <v>372.55</v>
      </c>
      <c r="J410" s="1">
        <v>377.25</v>
      </c>
      <c r="K410">
        <v>17309002.649999999</v>
      </c>
      <c r="L410">
        <v>45686</v>
      </c>
      <c r="M410" t="s">
        <v>78</v>
      </c>
      <c r="N410" t="s">
        <v>17</v>
      </c>
      <c r="O410">
        <v>2500</v>
      </c>
      <c r="P410">
        <v>412</v>
      </c>
      <c r="Q410">
        <v>200.3</v>
      </c>
    </row>
    <row r="411" spans="2:17" x14ac:dyDescent="0.25">
      <c r="B411" t="s">
        <v>78</v>
      </c>
      <c r="C411" t="s">
        <v>79</v>
      </c>
      <c r="D411" t="s">
        <v>771</v>
      </c>
      <c r="E411" t="s">
        <v>772</v>
      </c>
      <c r="F411">
        <v>52.9</v>
      </c>
      <c r="G411">
        <v>52.25</v>
      </c>
      <c r="H411">
        <v>54.1</v>
      </c>
      <c r="I411">
        <v>51.75</v>
      </c>
      <c r="J411" s="1">
        <v>52.15</v>
      </c>
      <c r="K411">
        <v>3615573.3</v>
      </c>
      <c r="L411">
        <v>68290</v>
      </c>
      <c r="M411" t="s">
        <v>78</v>
      </c>
      <c r="N411" t="s">
        <v>17</v>
      </c>
      <c r="O411">
        <v>1170</v>
      </c>
      <c r="P411">
        <v>58.75</v>
      </c>
      <c r="Q411">
        <v>16.600000000000001</v>
      </c>
    </row>
    <row r="412" spans="2:17" x14ac:dyDescent="0.25">
      <c r="B412" t="s">
        <v>78</v>
      </c>
      <c r="C412" t="s">
        <v>79</v>
      </c>
      <c r="D412" t="s">
        <v>773</v>
      </c>
      <c r="E412" t="s">
        <v>774</v>
      </c>
      <c r="F412">
        <v>67.7</v>
      </c>
      <c r="G412">
        <v>66.900000000000006</v>
      </c>
      <c r="H412">
        <v>69</v>
      </c>
      <c r="I412">
        <v>66.75</v>
      </c>
      <c r="J412" s="1">
        <v>68.05</v>
      </c>
      <c r="K412">
        <v>7392841.5999999996</v>
      </c>
      <c r="L412">
        <v>109193</v>
      </c>
      <c r="M412" t="s">
        <v>78</v>
      </c>
      <c r="N412" t="s">
        <v>17</v>
      </c>
      <c r="O412">
        <v>1604</v>
      </c>
      <c r="P412">
        <v>83.55</v>
      </c>
      <c r="Q412">
        <v>32.1</v>
      </c>
    </row>
    <row r="413" spans="2:17" x14ac:dyDescent="0.25">
      <c r="B413" t="s">
        <v>78</v>
      </c>
      <c r="C413" t="s">
        <v>79</v>
      </c>
      <c r="D413" t="s">
        <v>775</v>
      </c>
      <c r="E413" t="s">
        <v>776</v>
      </c>
      <c r="F413">
        <v>863.25</v>
      </c>
      <c r="G413">
        <v>860</v>
      </c>
      <c r="H413">
        <v>881.7</v>
      </c>
      <c r="I413">
        <v>854.9</v>
      </c>
      <c r="J413" s="1">
        <v>870</v>
      </c>
      <c r="K413">
        <v>222500874.34999999</v>
      </c>
      <c r="L413">
        <v>255113</v>
      </c>
      <c r="M413" t="s">
        <v>78</v>
      </c>
      <c r="N413" t="s">
        <v>17</v>
      </c>
      <c r="O413">
        <v>11714</v>
      </c>
      <c r="P413">
        <v>956</v>
      </c>
      <c r="Q413">
        <v>682</v>
      </c>
    </row>
    <row r="414" spans="2:17" x14ac:dyDescent="0.25">
      <c r="B414" t="s">
        <v>78</v>
      </c>
      <c r="C414" t="s">
        <v>79</v>
      </c>
      <c r="D414" t="s">
        <v>777</v>
      </c>
      <c r="E414" t="s">
        <v>778</v>
      </c>
      <c r="F414">
        <v>1104</v>
      </c>
      <c r="G414">
        <v>1099</v>
      </c>
      <c r="H414">
        <v>1147</v>
      </c>
      <c r="I414">
        <v>1091.75</v>
      </c>
      <c r="J414" s="1">
        <v>1135.3</v>
      </c>
      <c r="K414">
        <v>126415479.40000001</v>
      </c>
      <c r="L414">
        <v>112543</v>
      </c>
      <c r="M414" t="s">
        <v>78</v>
      </c>
      <c r="N414" t="s">
        <v>17</v>
      </c>
      <c r="O414">
        <v>8671</v>
      </c>
      <c r="P414">
        <v>1147</v>
      </c>
      <c r="Q414">
        <v>324.35000000000002</v>
      </c>
    </row>
    <row r="415" spans="2:17" x14ac:dyDescent="0.25">
      <c r="B415" t="s">
        <v>78</v>
      </c>
      <c r="C415" t="s">
        <v>79</v>
      </c>
      <c r="D415" t="s">
        <v>779</v>
      </c>
      <c r="E415" t="s">
        <v>780</v>
      </c>
      <c r="F415">
        <v>2102.1999999999998</v>
      </c>
      <c r="G415">
        <v>2100</v>
      </c>
      <c r="H415">
        <v>2145.1</v>
      </c>
      <c r="I415">
        <v>2071.6</v>
      </c>
      <c r="J415" s="1">
        <v>2086.25</v>
      </c>
      <c r="K415">
        <v>211733275.25</v>
      </c>
      <c r="L415">
        <v>100484</v>
      </c>
      <c r="M415" t="s">
        <v>78</v>
      </c>
      <c r="N415" t="s">
        <v>17</v>
      </c>
      <c r="O415">
        <v>12555</v>
      </c>
      <c r="P415">
        <v>2176</v>
      </c>
      <c r="Q415">
        <v>1245</v>
      </c>
    </row>
    <row r="416" spans="2:17" x14ac:dyDescent="0.25">
      <c r="B416" t="s">
        <v>78</v>
      </c>
      <c r="C416" t="s">
        <v>79</v>
      </c>
      <c r="D416" t="s">
        <v>781</v>
      </c>
      <c r="E416" t="s">
        <v>782</v>
      </c>
      <c r="F416">
        <v>217.95</v>
      </c>
      <c r="G416">
        <v>207.1</v>
      </c>
      <c r="H416">
        <v>215</v>
      </c>
      <c r="I416">
        <v>207.1</v>
      </c>
      <c r="J416" s="1">
        <v>207.1</v>
      </c>
      <c r="K416">
        <v>30721266.100000001</v>
      </c>
      <c r="L416">
        <v>147254</v>
      </c>
      <c r="M416" t="s">
        <v>78</v>
      </c>
      <c r="N416" t="s">
        <v>17</v>
      </c>
      <c r="O416">
        <v>2510</v>
      </c>
      <c r="P416">
        <v>241.5</v>
      </c>
      <c r="Q416">
        <v>83</v>
      </c>
    </row>
    <row r="417" spans="2:17" x14ac:dyDescent="0.25">
      <c r="B417" t="s">
        <v>783</v>
      </c>
      <c r="C417" t="s">
        <v>79</v>
      </c>
      <c r="D417" t="s">
        <v>784</v>
      </c>
      <c r="E417" t="s">
        <v>785</v>
      </c>
      <c r="F417">
        <v>2.9</v>
      </c>
      <c r="G417">
        <v>2.9</v>
      </c>
      <c r="H417">
        <v>2.9</v>
      </c>
      <c r="I417">
        <v>2.9</v>
      </c>
      <c r="J417" s="1">
        <v>2.9</v>
      </c>
      <c r="K417">
        <v>1160</v>
      </c>
      <c r="L417">
        <v>400</v>
      </c>
      <c r="M417" t="s">
        <v>78</v>
      </c>
      <c r="N417" t="s">
        <v>17</v>
      </c>
      <c r="O417">
        <v>2</v>
      </c>
      <c r="P417">
        <v>4.5999999999999996</v>
      </c>
      <c r="Q417">
        <v>1.8</v>
      </c>
    </row>
    <row r="418" spans="2:17" x14ac:dyDescent="0.25">
      <c r="B418" t="s">
        <v>78</v>
      </c>
      <c r="C418" t="s">
        <v>79</v>
      </c>
      <c r="D418" t="s">
        <v>786</v>
      </c>
      <c r="E418" t="s">
        <v>787</v>
      </c>
      <c r="F418">
        <v>743.1</v>
      </c>
      <c r="G418">
        <v>740.8</v>
      </c>
      <c r="H418">
        <v>740.8</v>
      </c>
      <c r="I418">
        <v>715</v>
      </c>
      <c r="J418" s="1">
        <v>717.8</v>
      </c>
      <c r="K418">
        <v>38128934.850000001</v>
      </c>
      <c r="L418">
        <v>52417</v>
      </c>
      <c r="M418" t="s">
        <v>78</v>
      </c>
      <c r="N418" t="s">
        <v>17</v>
      </c>
      <c r="O418">
        <v>3924</v>
      </c>
      <c r="P418">
        <v>839.95</v>
      </c>
      <c r="Q418">
        <v>498.05</v>
      </c>
    </row>
    <row r="419" spans="2:17" x14ac:dyDescent="0.25">
      <c r="B419" t="s">
        <v>78</v>
      </c>
      <c r="C419" t="s">
        <v>79</v>
      </c>
      <c r="D419" t="s">
        <v>788</v>
      </c>
      <c r="E419" t="s">
        <v>789</v>
      </c>
      <c r="F419">
        <v>136.4</v>
      </c>
      <c r="G419">
        <v>136.9</v>
      </c>
      <c r="H419">
        <v>142.19999999999999</v>
      </c>
      <c r="I419">
        <v>134</v>
      </c>
      <c r="J419" s="1">
        <v>135.9</v>
      </c>
      <c r="K419">
        <v>6674226.4000000004</v>
      </c>
      <c r="L419">
        <v>48438</v>
      </c>
      <c r="M419" t="s">
        <v>78</v>
      </c>
      <c r="N419" t="s">
        <v>17</v>
      </c>
      <c r="O419">
        <v>2483</v>
      </c>
      <c r="P419">
        <v>146.80000000000001</v>
      </c>
      <c r="Q419">
        <v>57.6</v>
      </c>
    </row>
    <row r="420" spans="2:17" x14ac:dyDescent="0.25">
      <c r="B420" t="s">
        <v>78</v>
      </c>
      <c r="C420" t="s">
        <v>79</v>
      </c>
      <c r="D420" t="s">
        <v>790</v>
      </c>
      <c r="E420" t="s">
        <v>791</v>
      </c>
      <c r="F420">
        <v>2750.5</v>
      </c>
      <c r="G420">
        <v>2750</v>
      </c>
      <c r="H420">
        <v>3210</v>
      </c>
      <c r="I420">
        <v>2739</v>
      </c>
      <c r="J420" s="1">
        <v>3100.7</v>
      </c>
      <c r="K420">
        <v>3162449702.6500001</v>
      </c>
      <c r="L420">
        <v>1029256</v>
      </c>
      <c r="M420" t="s">
        <v>78</v>
      </c>
      <c r="N420" t="s">
        <v>17</v>
      </c>
      <c r="O420">
        <v>88561</v>
      </c>
      <c r="P420">
        <v>3210</v>
      </c>
      <c r="Q420">
        <v>1564</v>
      </c>
    </row>
    <row r="421" spans="2:17" x14ac:dyDescent="0.25">
      <c r="B421" t="s">
        <v>78</v>
      </c>
      <c r="C421" t="s">
        <v>79</v>
      </c>
      <c r="D421" t="s">
        <v>792</v>
      </c>
      <c r="E421" t="s">
        <v>793</v>
      </c>
      <c r="F421">
        <v>466.95</v>
      </c>
      <c r="G421">
        <v>462.4</v>
      </c>
      <c r="H421">
        <v>477</v>
      </c>
      <c r="I421">
        <v>460.05</v>
      </c>
      <c r="J421" s="1">
        <v>465.35</v>
      </c>
      <c r="K421">
        <v>586004475.14999998</v>
      </c>
      <c r="L421">
        <v>1252119</v>
      </c>
      <c r="M421" t="s">
        <v>78</v>
      </c>
      <c r="N421" t="s">
        <v>17</v>
      </c>
      <c r="O421">
        <v>34625</v>
      </c>
      <c r="P421">
        <v>496.7</v>
      </c>
      <c r="Q421">
        <v>238</v>
      </c>
    </row>
    <row r="422" spans="2:17" x14ac:dyDescent="0.25">
      <c r="B422" t="s">
        <v>78</v>
      </c>
      <c r="C422" t="s">
        <v>79</v>
      </c>
      <c r="D422" t="s">
        <v>794</v>
      </c>
      <c r="E422" t="s">
        <v>795</v>
      </c>
      <c r="F422">
        <v>351.25</v>
      </c>
      <c r="G422">
        <v>347</v>
      </c>
      <c r="H422">
        <v>356.9</v>
      </c>
      <c r="I422">
        <v>340.6</v>
      </c>
      <c r="J422" s="1">
        <v>341.95</v>
      </c>
      <c r="K422">
        <v>109004420.7</v>
      </c>
      <c r="L422">
        <v>312379</v>
      </c>
      <c r="M422" t="s">
        <v>78</v>
      </c>
      <c r="N422" t="s">
        <v>17</v>
      </c>
      <c r="O422">
        <v>8383</v>
      </c>
      <c r="P422">
        <v>374</v>
      </c>
      <c r="Q422">
        <v>179.05</v>
      </c>
    </row>
    <row r="423" spans="2:17" x14ac:dyDescent="0.25">
      <c r="B423" t="s">
        <v>78</v>
      </c>
      <c r="C423" t="s">
        <v>79</v>
      </c>
      <c r="D423" t="s">
        <v>796</v>
      </c>
      <c r="E423" t="s">
        <v>797</v>
      </c>
      <c r="F423">
        <v>63.9</v>
      </c>
      <c r="G423">
        <v>63.9</v>
      </c>
      <c r="H423">
        <v>67.05</v>
      </c>
      <c r="I423">
        <v>63.9</v>
      </c>
      <c r="J423" s="1">
        <v>67.05</v>
      </c>
      <c r="K423">
        <v>5408239.0999999996</v>
      </c>
      <c r="L423">
        <v>81258</v>
      </c>
      <c r="M423" t="s">
        <v>78</v>
      </c>
      <c r="N423" t="s">
        <v>17</v>
      </c>
      <c r="O423">
        <v>557</v>
      </c>
      <c r="P423">
        <v>67.05</v>
      </c>
      <c r="Q423">
        <v>14.6</v>
      </c>
    </row>
    <row r="424" spans="2:17" x14ac:dyDescent="0.25">
      <c r="B424" t="s">
        <v>78</v>
      </c>
      <c r="C424" t="s">
        <v>79</v>
      </c>
      <c r="D424" t="s">
        <v>798</v>
      </c>
      <c r="E424" t="s">
        <v>799</v>
      </c>
      <c r="F424">
        <v>161.85</v>
      </c>
      <c r="G424">
        <v>160</v>
      </c>
      <c r="H424">
        <v>161</v>
      </c>
      <c r="I424">
        <v>157.5</v>
      </c>
      <c r="J424" s="1">
        <v>158.65</v>
      </c>
      <c r="K424">
        <v>417944761.55000001</v>
      </c>
      <c r="L424">
        <v>2625777</v>
      </c>
      <c r="M424" t="s">
        <v>78</v>
      </c>
      <c r="N424" t="s">
        <v>17</v>
      </c>
      <c r="O424">
        <v>20830</v>
      </c>
      <c r="P424">
        <v>200</v>
      </c>
      <c r="Q424">
        <v>115.6</v>
      </c>
    </row>
    <row r="425" spans="2:17" x14ac:dyDescent="0.25">
      <c r="B425" t="s">
        <v>78</v>
      </c>
      <c r="C425" t="s">
        <v>79</v>
      </c>
      <c r="D425" t="s">
        <v>800</v>
      </c>
      <c r="E425" t="s">
        <v>801</v>
      </c>
      <c r="F425">
        <v>857.5</v>
      </c>
      <c r="G425">
        <v>857</v>
      </c>
      <c r="H425">
        <v>866.85</v>
      </c>
      <c r="I425">
        <v>846.2</v>
      </c>
      <c r="J425" s="1">
        <v>861.6</v>
      </c>
      <c r="K425">
        <v>647439939.54999995</v>
      </c>
      <c r="L425">
        <v>753116</v>
      </c>
      <c r="M425" t="s">
        <v>78</v>
      </c>
      <c r="N425" t="s">
        <v>17</v>
      </c>
      <c r="O425">
        <v>24011</v>
      </c>
      <c r="P425">
        <v>934.25</v>
      </c>
      <c r="Q425">
        <v>384.5</v>
      </c>
    </row>
    <row r="426" spans="2:17" x14ac:dyDescent="0.25">
      <c r="B426" t="s">
        <v>78</v>
      </c>
      <c r="C426" t="s">
        <v>79</v>
      </c>
      <c r="D426" t="s">
        <v>802</v>
      </c>
      <c r="E426" t="s">
        <v>803</v>
      </c>
      <c r="F426">
        <v>259.39999999999998</v>
      </c>
      <c r="G426">
        <v>258.89999999999998</v>
      </c>
      <c r="H426">
        <v>272.35000000000002</v>
      </c>
      <c r="I426">
        <v>257.55</v>
      </c>
      <c r="J426" s="1">
        <v>265.75</v>
      </c>
      <c r="K426">
        <v>136078974.40000001</v>
      </c>
      <c r="L426">
        <v>511410</v>
      </c>
      <c r="M426" t="s">
        <v>78</v>
      </c>
      <c r="N426" t="s">
        <v>17</v>
      </c>
      <c r="O426">
        <v>15818</v>
      </c>
      <c r="P426">
        <v>296.75</v>
      </c>
      <c r="Q426">
        <v>190.25</v>
      </c>
    </row>
    <row r="427" spans="2:17" x14ac:dyDescent="0.25">
      <c r="B427" t="s">
        <v>78</v>
      </c>
      <c r="C427" t="s">
        <v>79</v>
      </c>
      <c r="D427" t="s">
        <v>804</v>
      </c>
      <c r="E427" t="s">
        <v>805</v>
      </c>
      <c r="F427">
        <v>13.35</v>
      </c>
      <c r="G427">
        <v>13.35</v>
      </c>
      <c r="H427">
        <v>13.35</v>
      </c>
      <c r="I427">
        <v>12.75</v>
      </c>
      <c r="J427" s="1">
        <v>12.9</v>
      </c>
      <c r="K427">
        <v>202993.7</v>
      </c>
      <c r="L427">
        <v>15689</v>
      </c>
      <c r="M427" t="s">
        <v>78</v>
      </c>
      <c r="N427" t="s">
        <v>17</v>
      </c>
      <c r="O427">
        <v>99</v>
      </c>
      <c r="P427">
        <v>14.35</v>
      </c>
      <c r="Q427">
        <v>9.3000000000000007</v>
      </c>
    </row>
    <row r="428" spans="2:17" x14ac:dyDescent="0.25">
      <c r="B428" t="s">
        <v>78</v>
      </c>
      <c r="C428" t="s">
        <v>79</v>
      </c>
      <c r="D428" t="s">
        <v>806</v>
      </c>
      <c r="E428" t="s">
        <v>807</v>
      </c>
      <c r="F428">
        <v>195.65</v>
      </c>
      <c r="G428">
        <v>193.8</v>
      </c>
      <c r="H428">
        <v>207</v>
      </c>
      <c r="I428">
        <v>190.75</v>
      </c>
      <c r="J428" s="1">
        <v>200</v>
      </c>
      <c r="K428">
        <v>155526948.05000001</v>
      </c>
      <c r="L428">
        <v>775891</v>
      </c>
      <c r="M428" t="s">
        <v>78</v>
      </c>
      <c r="N428" t="s">
        <v>17</v>
      </c>
      <c r="O428">
        <v>16117</v>
      </c>
      <c r="P428">
        <v>207.7</v>
      </c>
      <c r="Q428">
        <v>43.55</v>
      </c>
    </row>
    <row r="429" spans="2:17" x14ac:dyDescent="0.25">
      <c r="B429" t="s">
        <v>78</v>
      </c>
      <c r="C429" t="s">
        <v>79</v>
      </c>
      <c r="D429" t="s">
        <v>808</v>
      </c>
      <c r="E429" t="s">
        <v>809</v>
      </c>
      <c r="F429">
        <v>1062.5999999999999</v>
      </c>
      <c r="G429">
        <v>1045</v>
      </c>
      <c r="H429">
        <v>1045</v>
      </c>
      <c r="I429">
        <v>1000</v>
      </c>
      <c r="J429" s="1">
        <v>1014.2</v>
      </c>
      <c r="K429">
        <v>757571813.14999998</v>
      </c>
      <c r="L429">
        <v>740880</v>
      </c>
      <c r="M429" t="s">
        <v>78</v>
      </c>
      <c r="N429" t="s">
        <v>17</v>
      </c>
      <c r="O429">
        <v>47922</v>
      </c>
      <c r="P429">
        <v>1092</v>
      </c>
      <c r="Q429">
        <v>292.60000000000002</v>
      </c>
    </row>
    <row r="430" spans="2:17" x14ac:dyDescent="0.25">
      <c r="B430" t="s">
        <v>78</v>
      </c>
      <c r="C430" t="s">
        <v>79</v>
      </c>
      <c r="D430" t="s">
        <v>810</v>
      </c>
      <c r="E430" t="s">
        <v>811</v>
      </c>
      <c r="F430">
        <v>80.2</v>
      </c>
      <c r="G430">
        <v>79.400000000000006</v>
      </c>
      <c r="H430">
        <v>80.7</v>
      </c>
      <c r="I430">
        <v>78.75</v>
      </c>
      <c r="J430" s="1">
        <v>79.349999999999994</v>
      </c>
      <c r="K430">
        <v>80648359.650000006</v>
      </c>
      <c r="L430">
        <v>1012077</v>
      </c>
      <c r="M430" t="s">
        <v>78</v>
      </c>
      <c r="N430" t="s">
        <v>17</v>
      </c>
      <c r="O430">
        <v>12260</v>
      </c>
      <c r="P430">
        <v>90.5</v>
      </c>
      <c r="Q430">
        <v>42.3</v>
      </c>
    </row>
    <row r="431" spans="2:17" x14ac:dyDescent="0.25">
      <c r="B431" t="s">
        <v>78</v>
      </c>
      <c r="C431" t="s">
        <v>79</v>
      </c>
      <c r="D431" t="s">
        <v>812</v>
      </c>
      <c r="E431" t="s">
        <v>813</v>
      </c>
      <c r="F431">
        <v>2251.9</v>
      </c>
      <c r="G431">
        <v>2244.6</v>
      </c>
      <c r="H431">
        <v>2282.35</v>
      </c>
      <c r="I431">
        <v>2205.25</v>
      </c>
      <c r="J431" s="1">
        <v>2227.1999999999998</v>
      </c>
      <c r="K431">
        <v>386642539.75</v>
      </c>
      <c r="L431">
        <v>172121</v>
      </c>
      <c r="M431" t="s">
        <v>78</v>
      </c>
      <c r="N431" t="s">
        <v>17</v>
      </c>
      <c r="O431">
        <v>19456</v>
      </c>
      <c r="P431">
        <v>2310</v>
      </c>
      <c r="Q431">
        <v>652.29999999999995</v>
      </c>
    </row>
    <row r="432" spans="2:17" x14ac:dyDescent="0.25">
      <c r="B432" t="s">
        <v>78</v>
      </c>
      <c r="C432" t="s">
        <v>79</v>
      </c>
      <c r="D432" t="s">
        <v>814</v>
      </c>
      <c r="E432" t="s">
        <v>815</v>
      </c>
      <c r="F432">
        <v>455.25</v>
      </c>
      <c r="G432">
        <v>456.25</v>
      </c>
      <c r="H432">
        <v>475</v>
      </c>
      <c r="I432">
        <v>454</v>
      </c>
      <c r="J432" s="1">
        <v>460.05</v>
      </c>
      <c r="K432">
        <v>90876582.549999997</v>
      </c>
      <c r="L432">
        <v>196197</v>
      </c>
      <c r="M432" t="s">
        <v>78</v>
      </c>
      <c r="N432" t="s">
        <v>17</v>
      </c>
      <c r="O432">
        <v>7683</v>
      </c>
      <c r="P432">
        <v>499</v>
      </c>
      <c r="Q432">
        <v>114</v>
      </c>
    </row>
    <row r="433" spans="2:17" x14ac:dyDescent="0.25">
      <c r="B433" t="s">
        <v>78</v>
      </c>
      <c r="C433" t="s">
        <v>79</v>
      </c>
      <c r="D433" t="s">
        <v>816</v>
      </c>
      <c r="E433" t="s">
        <v>817</v>
      </c>
      <c r="F433">
        <v>50.4</v>
      </c>
      <c r="G433">
        <v>51</v>
      </c>
      <c r="H433">
        <v>53.6</v>
      </c>
      <c r="I433">
        <v>49.35</v>
      </c>
      <c r="J433" s="1">
        <v>51.9</v>
      </c>
      <c r="K433">
        <v>6917039.4500000002</v>
      </c>
      <c r="L433">
        <v>132376</v>
      </c>
      <c r="M433" t="s">
        <v>78</v>
      </c>
      <c r="N433" t="s">
        <v>17</v>
      </c>
      <c r="O433">
        <v>1212</v>
      </c>
      <c r="P433">
        <v>57.55</v>
      </c>
      <c r="Q433">
        <v>21</v>
      </c>
    </row>
    <row r="434" spans="2:17" x14ac:dyDescent="0.25">
      <c r="B434" t="s">
        <v>78</v>
      </c>
      <c r="C434" t="s">
        <v>79</v>
      </c>
      <c r="D434" t="s">
        <v>818</v>
      </c>
      <c r="E434" t="s">
        <v>819</v>
      </c>
      <c r="F434">
        <v>250.45</v>
      </c>
      <c r="G434">
        <v>245.8</v>
      </c>
      <c r="H434">
        <v>300.5</v>
      </c>
      <c r="I434">
        <v>240.45</v>
      </c>
      <c r="J434" s="1">
        <v>300.5</v>
      </c>
      <c r="K434">
        <v>780250985.35000002</v>
      </c>
      <c r="L434">
        <v>2738199</v>
      </c>
      <c r="M434" t="s">
        <v>78</v>
      </c>
      <c r="N434" t="s">
        <v>17</v>
      </c>
      <c r="O434">
        <v>46950</v>
      </c>
      <c r="P434">
        <v>300.5</v>
      </c>
      <c r="Q434">
        <v>50.6</v>
      </c>
    </row>
    <row r="435" spans="2:17" x14ac:dyDescent="0.25">
      <c r="B435" t="s">
        <v>78</v>
      </c>
      <c r="C435" t="s">
        <v>79</v>
      </c>
      <c r="D435" t="s">
        <v>820</v>
      </c>
      <c r="E435" t="s">
        <v>821</v>
      </c>
      <c r="F435">
        <v>111.75</v>
      </c>
      <c r="G435">
        <v>111</v>
      </c>
      <c r="H435">
        <v>116</v>
      </c>
      <c r="I435">
        <v>110.1</v>
      </c>
      <c r="J435" s="1">
        <v>114.45</v>
      </c>
      <c r="K435">
        <v>84924711.049999997</v>
      </c>
      <c r="L435">
        <v>743482</v>
      </c>
      <c r="M435" t="s">
        <v>78</v>
      </c>
      <c r="N435" t="s">
        <v>17</v>
      </c>
      <c r="O435">
        <v>11095</v>
      </c>
      <c r="P435">
        <v>125</v>
      </c>
      <c r="Q435">
        <v>70.5</v>
      </c>
    </row>
    <row r="436" spans="2:17" x14ac:dyDescent="0.25">
      <c r="B436" t="s">
        <v>78</v>
      </c>
      <c r="C436" t="s">
        <v>79</v>
      </c>
      <c r="D436" t="s">
        <v>822</v>
      </c>
      <c r="E436" t="s">
        <v>823</v>
      </c>
      <c r="F436">
        <v>569.25</v>
      </c>
      <c r="G436">
        <v>569.95000000000005</v>
      </c>
      <c r="H436">
        <v>583.75</v>
      </c>
      <c r="I436">
        <v>569</v>
      </c>
      <c r="J436" s="1">
        <v>577.95000000000005</v>
      </c>
      <c r="K436">
        <v>247348620.25</v>
      </c>
      <c r="L436">
        <v>427793</v>
      </c>
      <c r="M436" t="s">
        <v>78</v>
      </c>
      <c r="N436" t="s">
        <v>17</v>
      </c>
      <c r="O436">
        <v>10212</v>
      </c>
      <c r="P436">
        <v>719.9</v>
      </c>
      <c r="Q436">
        <v>277.05</v>
      </c>
    </row>
    <row r="437" spans="2:17" x14ac:dyDescent="0.25">
      <c r="B437" t="s">
        <v>78</v>
      </c>
      <c r="C437" t="s">
        <v>79</v>
      </c>
      <c r="D437" t="s">
        <v>824</v>
      </c>
      <c r="E437" t="s">
        <v>825</v>
      </c>
      <c r="F437">
        <v>30.35</v>
      </c>
      <c r="G437">
        <v>30</v>
      </c>
      <c r="H437">
        <v>31.55</v>
      </c>
      <c r="I437">
        <v>28.95</v>
      </c>
      <c r="J437" s="1">
        <v>29.2</v>
      </c>
      <c r="K437">
        <v>39955106</v>
      </c>
      <c r="L437">
        <v>1315218</v>
      </c>
      <c r="M437" t="s">
        <v>78</v>
      </c>
      <c r="N437" t="s">
        <v>17</v>
      </c>
      <c r="O437">
        <v>3961</v>
      </c>
      <c r="P437">
        <v>31.55</v>
      </c>
      <c r="Q437">
        <v>6.1</v>
      </c>
    </row>
    <row r="438" spans="2:17" x14ac:dyDescent="0.25">
      <c r="B438" t="s">
        <v>78</v>
      </c>
      <c r="C438" t="s">
        <v>79</v>
      </c>
      <c r="D438" t="s">
        <v>826</v>
      </c>
      <c r="E438" t="s">
        <v>827</v>
      </c>
      <c r="F438">
        <v>213.3</v>
      </c>
      <c r="G438">
        <v>210.1</v>
      </c>
      <c r="H438">
        <v>232.8</v>
      </c>
      <c r="I438">
        <v>210.1</v>
      </c>
      <c r="J438" s="1">
        <v>228.8</v>
      </c>
      <c r="K438">
        <v>997312891.20000005</v>
      </c>
      <c r="L438">
        <v>4422034</v>
      </c>
      <c r="M438" t="s">
        <v>78</v>
      </c>
      <c r="N438" t="s">
        <v>17</v>
      </c>
      <c r="O438">
        <v>48384</v>
      </c>
      <c r="P438">
        <v>232.8</v>
      </c>
      <c r="Q438">
        <v>102.5</v>
      </c>
    </row>
    <row r="439" spans="2:17" x14ac:dyDescent="0.25">
      <c r="B439" t="s">
        <v>78</v>
      </c>
      <c r="C439" t="s">
        <v>79</v>
      </c>
      <c r="D439" t="s">
        <v>828</v>
      </c>
      <c r="E439" t="s">
        <v>829</v>
      </c>
      <c r="F439">
        <v>108.35</v>
      </c>
      <c r="G439">
        <v>108.9</v>
      </c>
      <c r="H439">
        <v>108.9</v>
      </c>
      <c r="I439">
        <v>106.15</v>
      </c>
      <c r="J439" s="1">
        <v>106.4</v>
      </c>
      <c r="K439">
        <v>109889025.8</v>
      </c>
      <c r="L439">
        <v>1022492</v>
      </c>
      <c r="M439" t="s">
        <v>78</v>
      </c>
      <c r="N439" t="s">
        <v>17</v>
      </c>
      <c r="O439">
        <v>8384</v>
      </c>
      <c r="P439">
        <v>126.5</v>
      </c>
      <c r="Q439">
        <v>74.3</v>
      </c>
    </row>
    <row r="440" spans="2:17" x14ac:dyDescent="0.25">
      <c r="B440" t="s">
        <v>78</v>
      </c>
      <c r="C440" t="s">
        <v>287</v>
      </c>
      <c r="D440" t="s">
        <v>830</v>
      </c>
      <c r="E440" t="s">
        <v>831</v>
      </c>
      <c r="F440">
        <v>50.5</v>
      </c>
      <c r="G440">
        <v>54.4</v>
      </c>
      <c r="H440">
        <v>54.4</v>
      </c>
      <c r="I440">
        <v>54.4</v>
      </c>
      <c r="J440" s="1">
        <v>54.4</v>
      </c>
      <c r="K440">
        <v>163200</v>
      </c>
      <c r="L440">
        <v>3000</v>
      </c>
      <c r="M440" t="s">
        <v>78</v>
      </c>
      <c r="N440" t="s">
        <v>17</v>
      </c>
      <c r="O440">
        <v>1</v>
      </c>
      <c r="P440">
        <v>54.4</v>
      </c>
      <c r="Q440">
        <v>40</v>
      </c>
    </row>
    <row r="441" spans="2:17" x14ac:dyDescent="0.25">
      <c r="B441" t="s">
        <v>783</v>
      </c>
      <c r="C441" t="s">
        <v>79</v>
      </c>
      <c r="D441" t="s">
        <v>832</v>
      </c>
      <c r="E441" t="s">
        <v>833</v>
      </c>
      <c r="F441">
        <v>3.9</v>
      </c>
      <c r="G441">
        <v>3.75</v>
      </c>
      <c r="H441">
        <v>3.75</v>
      </c>
      <c r="I441">
        <v>3.75</v>
      </c>
      <c r="J441" s="1">
        <v>3.75</v>
      </c>
      <c r="K441">
        <v>73908.75</v>
      </c>
      <c r="L441">
        <v>19709</v>
      </c>
      <c r="M441" t="s">
        <v>78</v>
      </c>
      <c r="N441" t="s">
        <v>17</v>
      </c>
      <c r="O441">
        <v>24</v>
      </c>
      <c r="P441">
        <v>4.9000000000000004</v>
      </c>
      <c r="Q441">
        <v>0.95</v>
      </c>
    </row>
    <row r="442" spans="2:17" x14ac:dyDescent="0.25">
      <c r="B442" t="s">
        <v>78</v>
      </c>
      <c r="C442" t="s">
        <v>79</v>
      </c>
      <c r="D442" t="s">
        <v>834</v>
      </c>
      <c r="E442" t="s">
        <v>835</v>
      </c>
      <c r="F442">
        <v>158.35</v>
      </c>
      <c r="G442">
        <v>158.94999999999999</v>
      </c>
      <c r="H442">
        <v>166.25</v>
      </c>
      <c r="I442">
        <v>156.94999999999999</v>
      </c>
      <c r="J442" s="1">
        <v>166.25</v>
      </c>
      <c r="K442">
        <v>22275356.899999999</v>
      </c>
      <c r="L442">
        <v>134634</v>
      </c>
      <c r="M442" t="s">
        <v>78</v>
      </c>
      <c r="N442" t="s">
        <v>17</v>
      </c>
      <c r="O442">
        <v>1716</v>
      </c>
      <c r="P442">
        <v>166.25</v>
      </c>
      <c r="Q442">
        <v>22</v>
      </c>
    </row>
    <row r="443" spans="2:17" x14ac:dyDescent="0.25">
      <c r="B443" t="s">
        <v>78</v>
      </c>
      <c r="C443" t="s">
        <v>79</v>
      </c>
      <c r="D443" t="s">
        <v>836</v>
      </c>
      <c r="E443" t="s">
        <v>837</v>
      </c>
      <c r="F443">
        <v>1013.6</v>
      </c>
      <c r="G443">
        <v>1020.2</v>
      </c>
      <c r="H443">
        <v>1200</v>
      </c>
      <c r="I443">
        <v>1020.2</v>
      </c>
      <c r="J443" s="1">
        <v>1052.8</v>
      </c>
      <c r="K443">
        <v>3834143486.75</v>
      </c>
      <c r="L443">
        <v>3438745</v>
      </c>
      <c r="M443" t="s">
        <v>78</v>
      </c>
      <c r="N443" t="s">
        <v>17</v>
      </c>
      <c r="O443">
        <v>107440</v>
      </c>
      <c r="P443">
        <v>1200</v>
      </c>
      <c r="Q443">
        <v>313.3</v>
      </c>
    </row>
    <row r="444" spans="2:17" x14ac:dyDescent="0.25">
      <c r="B444" t="s">
        <v>78</v>
      </c>
      <c r="C444" t="s">
        <v>79</v>
      </c>
      <c r="D444" t="s">
        <v>838</v>
      </c>
      <c r="E444" t="s">
        <v>839</v>
      </c>
      <c r="F444">
        <v>40.75</v>
      </c>
      <c r="G444">
        <v>40.549999999999997</v>
      </c>
      <c r="H444">
        <v>40.549999999999997</v>
      </c>
      <c r="I444">
        <v>39.450000000000003</v>
      </c>
      <c r="J444" s="1">
        <v>39.799999999999997</v>
      </c>
      <c r="K444">
        <v>75615894.700000003</v>
      </c>
      <c r="L444">
        <v>1893033</v>
      </c>
      <c r="M444" t="s">
        <v>78</v>
      </c>
      <c r="N444" t="s">
        <v>17</v>
      </c>
      <c r="O444">
        <v>7098</v>
      </c>
      <c r="P444">
        <v>44.9</v>
      </c>
      <c r="Q444">
        <v>10.6</v>
      </c>
    </row>
    <row r="445" spans="2:17" x14ac:dyDescent="0.25">
      <c r="B445" t="s">
        <v>78</v>
      </c>
      <c r="C445" t="s">
        <v>79</v>
      </c>
      <c r="D445" t="s">
        <v>840</v>
      </c>
      <c r="E445" t="s">
        <v>841</v>
      </c>
      <c r="F445">
        <v>683.15</v>
      </c>
      <c r="G445">
        <v>684</v>
      </c>
      <c r="H445">
        <v>738</v>
      </c>
      <c r="I445">
        <v>660</v>
      </c>
      <c r="J445" s="1">
        <v>725.85</v>
      </c>
      <c r="K445">
        <v>272849051.10000002</v>
      </c>
      <c r="L445">
        <v>382516</v>
      </c>
      <c r="M445" t="s">
        <v>78</v>
      </c>
      <c r="N445" t="s">
        <v>17</v>
      </c>
      <c r="O445">
        <v>20389</v>
      </c>
      <c r="P445">
        <v>738</v>
      </c>
      <c r="Q445">
        <v>241</v>
      </c>
    </row>
    <row r="446" spans="2:17" x14ac:dyDescent="0.25">
      <c r="B446" t="s">
        <v>78</v>
      </c>
      <c r="C446" t="s">
        <v>79</v>
      </c>
      <c r="D446" t="s">
        <v>842</v>
      </c>
      <c r="E446" t="s">
        <v>843</v>
      </c>
      <c r="F446">
        <v>1951.5</v>
      </c>
      <c r="G446">
        <v>1948.95</v>
      </c>
      <c r="H446">
        <v>1970.7</v>
      </c>
      <c r="I446">
        <v>1938.45</v>
      </c>
      <c r="J446" s="1">
        <v>1958.05</v>
      </c>
      <c r="K446">
        <v>1218739448.0999999</v>
      </c>
      <c r="L446">
        <v>623242</v>
      </c>
      <c r="M446" t="s">
        <v>78</v>
      </c>
      <c r="N446" t="s">
        <v>17</v>
      </c>
      <c r="O446">
        <v>30560</v>
      </c>
      <c r="P446">
        <v>1999.5</v>
      </c>
      <c r="Q446">
        <v>521.6</v>
      </c>
    </row>
    <row r="447" spans="2:17" x14ac:dyDescent="0.25">
      <c r="B447" t="s">
        <v>78</v>
      </c>
      <c r="C447" t="s">
        <v>79</v>
      </c>
      <c r="D447" t="s">
        <v>844</v>
      </c>
      <c r="E447" t="s">
        <v>845</v>
      </c>
      <c r="F447">
        <v>55.85</v>
      </c>
      <c r="G447">
        <v>55.9</v>
      </c>
      <c r="H447">
        <v>58.3</v>
      </c>
      <c r="I447">
        <v>54.65</v>
      </c>
      <c r="J447" s="1">
        <v>55.75</v>
      </c>
      <c r="K447">
        <v>9368122</v>
      </c>
      <c r="L447">
        <v>165457</v>
      </c>
      <c r="M447" t="s">
        <v>78</v>
      </c>
      <c r="N447" t="s">
        <v>17</v>
      </c>
      <c r="O447">
        <v>3102</v>
      </c>
      <c r="P447">
        <v>89.9</v>
      </c>
      <c r="Q447">
        <v>30.5</v>
      </c>
    </row>
    <row r="448" spans="2:17" x14ac:dyDescent="0.25">
      <c r="B448" t="s">
        <v>78</v>
      </c>
      <c r="C448" t="s">
        <v>79</v>
      </c>
      <c r="D448" t="s">
        <v>846</v>
      </c>
      <c r="E448" t="s">
        <v>847</v>
      </c>
      <c r="F448">
        <v>93.75</v>
      </c>
      <c r="G448">
        <v>95.4</v>
      </c>
      <c r="H448">
        <v>98.4</v>
      </c>
      <c r="I448">
        <v>95.05</v>
      </c>
      <c r="J448" s="1">
        <v>96.25</v>
      </c>
      <c r="K448">
        <v>7051839.6500000004</v>
      </c>
      <c r="L448">
        <v>72441</v>
      </c>
      <c r="M448" t="s">
        <v>78</v>
      </c>
      <c r="N448" t="s">
        <v>17</v>
      </c>
      <c r="O448">
        <v>1870</v>
      </c>
      <c r="P448">
        <v>108.9</v>
      </c>
      <c r="Q448">
        <v>57.3</v>
      </c>
    </row>
    <row r="449" spans="2:17" x14ac:dyDescent="0.25">
      <c r="B449" t="s">
        <v>78</v>
      </c>
      <c r="C449" t="s">
        <v>79</v>
      </c>
      <c r="D449" t="s">
        <v>848</v>
      </c>
      <c r="E449" t="s">
        <v>849</v>
      </c>
      <c r="F449">
        <v>183</v>
      </c>
      <c r="G449">
        <v>181.3</v>
      </c>
      <c r="H449">
        <v>185.3</v>
      </c>
      <c r="I449">
        <v>179.3</v>
      </c>
      <c r="J449" s="1">
        <v>180.1</v>
      </c>
      <c r="K449">
        <v>323931210.05000001</v>
      </c>
      <c r="L449">
        <v>1784256</v>
      </c>
      <c r="M449" t="s">
        <v>78</v>
      </c>
      <c r="N449" t="s">
        <v>17</v>
      </c>
      <c r="O449">
        <v>19708</v>
      </c>
      <c r="P449">
        <v>202</v>
      </c>
      <c r="Q449">
        <v>85.05</v>
      </c>
    </row>
    <row r="450" spans="2:17" x14ac:dyDescent="0.25">
      <c r="B450" t="s">
        <v>78</v>
      </c>
      <c r="C450" t="s">
        <v>79</v>
      </c>
      <c r="D450" t="s">
        <v>850</v>
      </c>
      <c r="E450" t="s">
        <v>851</v>
      </c>
      <c r="F450">
        <v>55.15</v>
      </c>
      <c r="G450">
        <v>54.6</v>
      </c>
      <c r="H450">
        <v>54.9</v>
      </c>
      <c r="I450">
        <v>53.6</v>
      </c>
      <c r="J450" s="1">
        <v>53.75</v>
      </c>
      <c r="K450">
        <v>186396095.30000001</v>
      </c>
      <c r="L450">
        <v>3437691</v>
      </c>
      <c r="M450" t="s">
        <v>78</v>
      </c>
      <c r="N450" t="s">
        <v>17</v>
      </c>
      <c r="O450">
        <v>11683</v>
      </c>
      <c r="P450">
        <v>115.05</v>
      </c>
      <c r="Q450">
        <v>41.55</v>
      </c>
    </row>
    <row r="451" spans="2:17" x14ac:dyDescent="0.25">
      <c r="B451" t="s">
        <v>78</v>
      </c>
      <c r="C451" t="s">
        <v>79</v>
      </c>
      <c r="D451" t="s">
        <v>852</v>
      </c>
      <c r="E451" t="s">
        <v>853</v>
      </c>
      <c r="F451">
        <v>374.45</v>
      </c>
      <c r="G451">
        <v>365.25</v>
      </c>
      <c r="H451">
        <v>376</v>
      </c>
      <c r="I451">
        <v>365.25</v>
      </c>
      <c r="J451" s="1">
        <v>368.55</v>
      </c>
      <c r="K451">
        <v>6089486.5499999998</v>
      </c>
      <c r="L451">
        <v>16428</v>
      </c>
      <c r="M451" t="s">
        <v>78</v>
      </c>
      <c r="N451" t="s">
        <v>17</v>
      </c>
      <c r="O451">
        <v>1326</v>
      </c>
      <c r="P451">
        <v>424.45</v>
      </c>
      <c r="Q451">
        <v>191.1</v>
      </c>
    </row>
    <row r="452" spans="2:17" x14ac:dyDescent="0.25">
      <c r="B452" t="s">
        <v>78</v>
      </c>
      <c r="C452" t="s">
        <v>79</v>
      </c>
      <c r="D452" t="s">
        <v>854</v>
      </c>
      <c r="E452" t="s">
        <v>855</v>
      </c>
      <c r="F452">
        <v>404.8</v>
      </c>
      <c r="G452">
        <v>402.9</v>
      </c>
      <c r="H452">
        <v>410</v>
      </c>
      <c r="I452">
        <v>395.8</v>
      </c>
      <c r="J452" s="1">
        <v>398.65</v>
      </c>
      <c r="K452">
        <v>124297395.7</v>
      </c>
      <c r="L452">
        <v>308309</v>
      </c>
      <c r="M452" t="s">
        <v>78</v>
      </c>
      <c r="N452" t="s">
        <v>17</v>
      </c>
      <c r="O452">
        <v>11280</v>
      </c>
      <c r="P452">
        <v>453.8</v>
      </c>
      <c r="Q452">
        <v>175.35</v>
      </c>
    </row>
    <row r="453" spans="2:17" x14ac:dyDescent="0.25">
      <c r="B453" t="s">
        <v>78</v>
      </c>
      <c r="C453" t="s">
        <v>79</v>
      </c>
      <c r="D453" t="s">
        <v>856</v>
      </c>
      <c r="E453" t="s">
        <v>857</v>
      </c>
      <c r="F453">
        <v>361.15</v>
      </c>
      <c r="G453">
        <v>357.9</v>
      </c>
      <c r="H453">
        <v>372.45</v>
      </c>
      <c r="I453">
        <v>357</v>
      </c>
      <c r="J453" s="1">
        <v>364.4</v>
      </c>
      <c r="K453">
        <v>177329110.65000001</v>
      </c>
      <c r="L453">
        <v>485367</v>
      </c>
      <c r="M453" t="s">
        <v>78</v>
      </c>
      <c r="N453" t="s">
        <v>17</v>
      </c>
      <c r="O453">
        <v>16230</v>
      </c>
      <c r="P453">
        <v>395</v>
      </c>
      <c r="Q453">
        <v>125.9</v>
      </c>
    </row>
    <row r="454" spans="2:17" x14ac:dyDescent="0.25">
      <c r="B454" t="s">
        <v>78</v>
      </c>
      <c r="C454" t="s">
        <v>79</v>
      </c>
      <c r="D454" t="s">
        <v>858</v>
      </c>
      <c r="E454" t="s">
        <v>859</v>
      </c>
      <c r="F454">
        <v>18.100000000000001</v>
      </c>
      <c r="G454">
        <v>17.899999999999999</v>
      </c>
      <c r="H454">
        <v>18</v>
      </c>
      <c r="I454">
        <v>17.5</v>
      </c>
      <c r="J454" s="1">
        <v>17.600000000000001</v>
      </c>
      <c r="K454">
        <v>25059002.699999999</v>
      </c>
      <c r="L454">
        <v>1408797</v>
      </c>
      <c r="M454" t="s">
        <v>78</v>
      </c>
      <c r="N454" t="s">
        <v>17</v>
      </c>
      <c r="O454">
        <v>3919</v>
      </c>
      <c r="P454">
        <v>20.2</v>
      </c>
      <c r="Q454">
        <v>11.6</v>
      </c>
    </row>
    <row r="455" spans="2:17" x14ac:dyDescent="0.25">
      <c r="B455" t="s">
        <v>78</v>
      </c>
      <c r="C455" t="s">
        <v>79</v>
      </c>
      <c r="D455" t="s">
        <v>860</v>
      </c>
      <c r="E455" t="s">
        <v>861</v>
      </c>
      <c r="F455">
        <v>213.7</v>
      </c>
      <c r="G455">
        <v>209</v>
      </c>
      <c r="H455">
        <v>212.45</v>
      </c>
      <c r="I455">
        <v>207</v>
      </c>
      <c r="J455" s="1">
        <v>211.3</v>
      </c>
      <c r="K455">
        <v>286937146.14999998</v>
      </c>
      <c r="L455">
        <v>1364790</v>
      </c>
      <c r="M455" t="s">
        <v>78</v>
      </c>
      <c r="N455" t="s">
        <v>17</v>
      </c>
      <c r="O455">
        <v>12101</v>
      </c>
      <c r="P455">
        <v>395.95</v>
      </c>
      <c r="Q455">
        <v>104.85</v>
      </c>
    </row>
    <row r="456" spans="2:17" x14ac:dyDescent="0.25">
      <c r="B456" t="s">
        <v>78</v>
      </c>
      <c r="C456" t="s">
        <v>862</v>
      </c>
      <c r="D456" t="s">
        <v>863</v>
      </c>
      <c r="E456" t="s">
        <v>864</v>
      </c>
      <c r="F456">
        <v>99.15</v>
      </c>
      <c r="G456">
        <v>97.5</v>
      </c>
      <c r="H456">
        <v>99.7</v>
      </c>
      <c r="I456">
        <v>95.1</v>
      </c>
      <c r="J456" s="1">
        <v>96.75</v>
      </c>
      <c r="K456">
        <v>8253667.4500000002</v>
      </c>
      <c r="L456">
        <v>84647</v>
      </c>
      <c r="M456" t="s">
        <v>78</v>
      </c>
      <c r="N456" t="s">
        <v>17</v>
      </c>
      <c r="O456">
        <v>633</v>
      </c>
      <c r="P456">
        <v>249.75</v>
      </c>
      <c r="Q456">
        <v>49.5</v>
      </c>
    </row>
    <row r="457" spans="2:17" x14ac:dyDescent="0.25">
      <c r="B457" t="s">
        <v>78</v>
      </c>
      <c r="C457" t="s">
        <v>79</v>
      </c>
      <c r="D457" t="s">
        <v>865</v>
      </c>
      <c r="E457" t="s">
        <v>866</v>
      </c>
      <c r="F457">
        <v>1001.15</v>
      </c>
      <c r="G457">
        <v>993</v>
      </c>
      <c r="H457">
        <v>1012</v>
      </c>
      <c r="I457">
        <v>979.9</v>
      </c>
      <c r="J457" s="1">
        <v>998.3</v>
      </c>
      <c r="K457">
        <v>124476693.84999999</v>
      </c>
      <c r="L457">
        <v>125214</v>
      </c>
      <c r="M457" t="s">
        <v>78</v>
      </c>
      <c r="N457" t="s">
        <v>17</v>
      </c>
      <c r="O457">
        <v>9289</v>
      </c>
      <c r="P457">
        <v>1053.9000000000001</v>
      </c>
      <c r="Q457">
        <v>658</v>
      </c>
    </row>
    <row r="458" spans="2:17" x14ac:dyDescent="0.25">
      <c r="B458" t="s">
        <v>78</v>
      </c>
      <c r="C458" t="s">
        <v>79</v>
      </c>
      <c r="D458" t="s">
        <v>867</v>
      </c>
      <c r="E458" t="s">
        <v>868</v>
      </c>
      <c r="F458">
        <v>25.8</v>
      </c>
      <c r="G458">
        <v>24.7</v>
      </c>
      <c r="H458">
        <v>27.05</v>
      </c>
      <c r="I458">
        <v>24.55</v>
      </c>
      <c r="J458" s="1">
        <v>27.05</v>
      </c>
      <c r="K458">
        <v>14185369</v>
      </c>
      <c r="L458">
        <v>543430</v>
      </c>
      <c r="M458" t="s">
        <v>78</v>
      </c>
      <c r="N458" t="s">
        <v>17</v>
      </c>
      <c r="O458">
        <v>1672</v>
      </c>
      <c r="P458">
        <v>35.75</v>
      </c>
      <c r="Q458">
        <v>4</v>
      </c>
    </row>
    <row r="459" spans="2:17" x14ac:dyDescent="0.25">
      <c r="B459" t="s">
        <v>78</v>
      </c>
      <c r="C459" t="s">
        <v>79</v>
      </c>
      <c r="D459" t="s">
        <v>869</v>
      </c>
      <c r="E459" t="s">
        <v>870</v>
      </c>
      <c r="F459">
        <v>662.7</v>
      </c>
      <c r="G459">
        <v>669.9</v>
      </c>
      <c r="H459">
        <v>705</v>
      </c>
      <c r="I459">
        <v>631.25</v>
      </c>
      <c r="J459" s="1">
        <v>669.9</v>
      </c>
      <c r="K459">
        <v>35689614.649999999</v>
      </c>
      <c r="L459">
        <v>52137</v>
      </c>
      <c r="M459" t="s">
        <v>78</v>
      </c>
      <c r="N459" t="s">
        <v>17</v>
      </c>
      <c r="O459">
        <v>3081</v>
      </c>
      <c r="P459">
        <v>705</v>
      </c>
      <c r="Q459">
        <v>186</v>
      </c>
    </row>
    <row r="460" spans="2:17" x14ac:dyDescent="0.25">
      <c r="B460" t="s">
        <v>78</v>
      </c>
      <c r="C460" t="s">
        <v>79</v>
      </c>
      <c r="D460" t="s">
        <v>871</v>
      </c>
      <c r="E460" t="s">
        <v>872</v>
      </c>
      <c r="F460">
        <v>764.25</v>
      </c>
      <c r="G460">
        <v>770</v>
      </c>
      <c r="H460">
        <v>779.25</v>
      </c>
      <c r="I460">
        <v>743.35</v>
      </c>
      <c r="J460" s="1">
        <v>764.45</v>
      </c>
      <c r="K460">
        <v>62969134.549999997</v>
      </c>
      <c r="L460">
        <v>82581</v>
      </c>
      <c r="M460" t="s">
        <v>78</v>
      </c>
      <c r="N460" t="s">
        <v>17</v>
      </c>
      <c r="O460">
        <v>7694</v>
      </c>
      <c r="P460">
        <v>826.95</v>
      </c>
      <c r="Q460">
        <v>521</v>
      </c>
    </row>
    <row r="461" spans="2:17" x14ac:dyDescent="0.25">
      <c r="B461" t="s">
        <v>78</v>
      </c>
      <c r="C461" t="s">
        <v>79</v>
      </c>
      <c r="D461" t="s">
        <v>873</v>
      </c>
      <c r="E461" t="s">
        <v>874</v>
      </c>
      <c r="F461">
        <v>488.25</v>
      </c>
      <c r="G461">
        <v>489.95</v>
      </c>
      <c r="H461">
        <v>493.1</v>
      </c>
      <c r="I461">
        <v>480.2</v>
      </c>
      <c r="J461" s="1">
        <v>481.8</v>
      </c>
      <c r="K461">
        <v>2203068.85</v>
      </c>
      <c r="L461">
        <v>4542</v>
      </c>
      <c r="M461" t="s">
        <v>78</v>
      </c>
      <c r="N461" t="s">
        <v>17</v>
      </c>
      <c r="O461">
        <v>369</v>
      </c>
      <c r="P461">
        <v>529.79999999999995</v>
      </c>
      <c r="Q461">
        <v>328.1</v>
      </c>
    </row>
    <row r="462" spans="2:17" x14ac:dyDescent="0.25">
      <c r="B462" t="s">
        <v>78</v>
      </c>
      <c r="C462" t="s">
        <v>79</v>
      </c>
      <c r="D462" t="s">
        <v>875</v>
      </c>
      <c r="E462" t="s">
        <v>876</v>
      </c>
      <c r="F462">
        <v>14.35</v>
      </c>
      <c r="G462">
        <v>14.2</v>
      </c>
      <c r="H462">
        <v>14.95</v>
      </c>
      <c r="I462">
        <v>14.15</v>
      </c>
      <c r="J462" s="1">
        <v>14.45</v>
      </c>
      <c r="K462">
        <v>146166867.80000001</v>
      </c>
      <c r="L462">
        <v>10028893</v>
      </c>
      <c r="M462" t="s">
        <v>78</v>
      </c>
      <c r="N462" t="s">
        <v>17</v>
      </c>
      <c r="O462">
        <v>9440</v>
      </c>
      <c r="P462">
        <v>17.7</v>
      </c>
      <c r="Q462">
        <v>6.8</v>
      </c>
    </row>
    <row r="463" spans="2:17" x14ac:dyDescent="0.25">
      <c r="B463" t="s">
        <v>78</v>
      </c>
      <c r="C463" t="s">
        <v>79</v>
      </c>
      <c r="D463" t="s">
        <v>877</v>
      </c>
      <c r="E463" t="s">
        <v>878</v>
      </c>
      <c r="F463">
        <v>4646.3</v>
      </c>
      <c r="G463">
        <v>4630</v>
      </c>
      <c r="H463">
        <v>4648.95</v>
      </c>
      <c r="I463">
        <v>4530</v>
      </c>
      <c r="J463" s="1">
        <v>4562.3999999999996</v>
      </c>
      <c r="K463">
        <v>847550990.20000005</v>
      </c>
      <c r="L463">
        <v>184851</v>
      </c>
      <c r="M463" t="s">
        <v>78</v>
      </c>
      <c r="N463" t="s">
        <v>17</v>
      </c>
      <c r="O463">
        <v>23459</v>
      </c>
      <c r="P463">
        <v>21499</v>
      </c>
      <c r="Q463">
        <v>3345.15</v>
      </c>
    </row>
    <row r="464" spans="2:17" x14ac:dyDescent="0.25">
      <c r="B464" t="s">
        <v>78</v>
      </c>
      <c r="C464" t="s">
        <v>79</v>
      </c>
      <c r="D464" t="s">
        <v>879</v>
      </c>
      <c r="E464" t="s">
        <v>880</v>
      </c>
      <c r="F464">
        <v>163.19999999999999</v>
      </c>
      <c r="G464">
        <v>162.19999999999999</v>
      </c>
      <c r="H464">
        <v>165.6</v>
      </c>
      <c r="I464">
        <v>158.19999999999999</v>
      </c>
      <c r="J464" s="1">
        <v>161.15</v>
      </c>
      <c r="K464">
        <v>175842705.55000001</v>
      </c>
      <c r="L464">
        <v>1084255</v>
      </c>
      <c r="M464" t="s">
        <v>78</v>
      </c>
      <c r="N464" t="s">
        <v>17</v>
      </c>
      <c r="O464">
        <v>13833</v>
      </c>
      <c r="P464">
        <v>168.65</v>
      </c>
      <c r="Q464">
        <v>83.85</v>
      </c>
    </row>
    <row r="465" spans="2:17" x14ac:dyDescent="0.25">
      <c r="B465" t="s">
        <v>78</v>
      </c>
      <c r="C465" t="s">
        <v>79</v>
      </c>
      <c r="D465" t="s">
        <v>881</v>
      </c>
      <c r="E465" t="s">
        <v>882</v>
      </c>
      <c r="F465">
        <v>2.75</v>
      </c>
      <c r="G465">
        <v>2.7</v>
      </c>
      <c r="H465">
        <v>2.75</v>
      </c>
      <c r="I465">
        <v>2.65</v>
      </c>
      <c r="J465" s="1">
        <v>2.65</v>
      </c>
      <c r="K465">
        <v>605947.65</v>
      </c>
      <c r="L465">
        <v>226298</v>
      </c>
      <c r="M465" t="s">
        <v>78</v>
      </c>
      <c r="N465" t="s">
        <v>17</v>
      </c>
      <c r="O465">
        <v>244</v>
      </c>
      <c r="P465">
        <v>4.45</v>
      </c>
      <c r="Q465">
        <v>0.35</v>
      </c>
    </row>
    <row r="466" spans="2:17" x14ac:dyDescent="0.25">
      <c r="B466" t="s">
        <v>78</v>
      </c>
      <c r="C466" t="s">
        <v>79</v>
      </c>
      <c r="D466" t="s">
        <v>883</v>
      </c>
      <c r="E466" t="s">
        <v>884</v>
      </c>
      <c r="F466">
        <v>601.20000000000005</v>
      </c>
      <c r="G466">
        <v>593</v>
      </c>
      <c r="H466">
        <v>618.95000000000005</v>
      </c>
      <c r="I466">
        <v>586.5</v>
      </c>
      <c r="J466" s="1">
        <v>598.65</v>
      </c>
      <c r="K466">
        <v>244787777.19999999</v>
      </c>
      <c r="L466">
        <v>404842</v>
      </c>
      <c r="M466" t="s">
        <v>78</v>
      </c>
      <c r="N466" t="s">
        <v>17</v>
      </c>
      <c r="O466">
        <v>26502</v>
      </c>
      <c r="P466">
        <v>652</v>
      </c>
      <c r="Q466">
        <v>550</v>
      </c>
    </row>
    <row r="467" spans="2:17" x14ac:dyDescent="0.25">
      <c r="B467" t="s">
        <v>78</v>
      </c>
      <c r="C467" t="s">
        <v>79</v>
      </c>
      <c r="D467" t="s">
        <v>885</v>
      </c>
      <c r="E467" t="s">
        <v>886</v>
      </c>
      <c r="F467">
        <v>107.25</v>
      </c>
      <c r="G467">
        <v>106.75</v>
      </c>
      <c r="H467">
        <v>110</v>
      </c>
      <c r="I467">
        <v>104.1</v>
      </c>
      <c r="J467" s="1">
        <v>105.8</v>
      </c>
      <c r="K467">
        <v>70457282.400000006</v>
      </c>
      <c r="L467">
        <v>655251</v>
      </c>
      <c r="M467" t="s">
        <v>78</v>
      </c>
      <c r="N467" t="s">
        <v>17</v>
      </c>
      <c r="O467">
        <v>5943</v>
      </c>
      <c r="P467">
        <v>116.4</v>
      </c>
      <c r="Q467">
        <v>41.8</v>
      </c>
    </row>
    <row r="468" spans="2:17" x14ac:dyDescent="0.25">
      <c r="B468" t="s">
        <v>78</v>
      </c>
      <c r="C468" t="s">
        <v>79</v>
      </c>
      <c r="D468" t="s">
        <v>887</v>
      </c>
      <c r="E468" t="s">
        <v>888</v>
      </c>
      <c r="F468">
        <v>318.14999999999998</v>
      </c>
      <c r="G468">
        <v>317</v>
      </c>
      <c r="H468">
        <v>317.5</v>
      </c>
      <c r="I468">
        <v>311.05</v>
      </c>
      <c r="J468" s="1">
        <v>313.25</v>
      </c>
      <c r="K468">
        <v>32806505.399999999</v>
      </c>
      <c r="L468">
        <v>104364</v>
      </c>
      <c r="M468" t="s">
        <v>78</v>
      </c>
      <c r="N468" t="s">
        <v>183</v>
      </c>
      <c r="O468">
        <v>3188</v>
      </c>
      <c r="P468">
        <v>366.5</v>
      </c>
      <c r="Q468">
        <v>125</v>
      </c>
    </row>
    <row r="469" spans="2:17" x14ac:dyDescent="0.25">
      <c r="B469" t="s">
        <v>78</v>
      </c>
      <c r="C469" t="s">
        <v>79</v>
      </c>
      <c r="D469" t="s">
        <v>889</v>
      </c>
      <c r="E469" t="s">
        <v>890</v>
      </c>
      <c r="F469">
        <v>53.9</v>
      </c>
      <c r="G469">
        <v>53.1</v>
      </c>
      <c r="H469">
        <v>54.9</v>
      </c>
      <c r="I469">
        <v>51.9</v>
      </c>
      <c r="J469" s="1">
        <v>53.85</v>
      </c>
      <c r="K469">
        <v>18986499.5</v>
      </c>
      <c r="L469">
        <v>352727</v>
      </c>
      <c r="M469" t="s">
        <v>78</v>
      </c>
      <c r="N469" t="s">
        <v>17</v>
      </c>
      <c r="O469">
        <v>3217</v>
      </c>
      <c r="P469">
        <v>54.9</v>
      </c>
      <c r="Q469">
        <v>23.2</v>
      </c>
    </row>
    <row r="470" spans="2:17" x14ac:dyDescent="0.25">
      <c r="B470" t="s">
        <v>78</v>
      </c>
      <c r="C470" t="s">
        <v>79</v>
      </c>
      <c r="D470" t="s">
        <v>891</v>
      </c>
      <c r="E470" t="s">
        <v>892</v>
      </c>
      <c r="F470">
        <v>184.6</v>
      </c>
      <c r="G470">
        <v>188.3</v>
      </c>
      <c r="H470">
        <v>188.3</v>
      </c>
      <c r="I470">
        <v>175</v>
      </c>
      <c r="J470" s="1">
        <v>179.7</v>
      </c>
      <c r="K470">
        <v>2845839.3</v>
      </c>
      <c r="L470">
        <v>15826</v>
      </c>
      <c r="M470" t="s">
        <v>78</v>
      </c>
      <c r="N470" t="s">
        <v>17</v>
      </c>
      <c r="O470">
        <v>517</v>
      </c>
      <c r="P470">
        <v>189.65</v>
      </c>
      <c r="Q470">
        <v>70.05</v>
      </c>
    </row>
    <row r="471" spans="2:17" x14ac:dyDescent="0.25">
      <c r="B471" t="s">
        <v>78</v>
      </c>
      <c r="C471" t="s">
        <v>79</v>
      </c>
      <c r="D471" t="s">
        <v>893</v>
      </c>
      <c r="E471" t="s">
        <v>894</v>
      </c>
      <c r="F471">
        <v>17.25</v>
      </c>
      <c r="G471">
        <v>17.45</v>
      </c>
      <c r="H471">
        <v>17.5</v>
      </c>
      <c r="I471">
        <v>16.45</v>
      </c>
      <c r="J471" s="1">
        <v>17.149999999999999</v>
      </c>
      <c r="K471">
        <v>1335236.6000000001</v>
      </c>
      <c r="L471">
        <v>78003</v>
      </c>
      <c r="M471" t="s">
        <v>78</v>
      </c>
      <c r="N471" t="s">
        <v>17</v>
      </c>
      <c r="O471">
        <v>471</v>
      </c>
      <c r="P471">
        <v>20.5</v>
      </c>
      <c r="Q471">
        <v>7.3</v>
      </c>
    </row>
    <row r="472" spans="2:17" x14ac:dyDescent="0.25">
      <c r="B472" t="s">
        <v>78</v>
      </c>
      <c r="C472" t="s">
        <v>79</v>
      </c>
      <c r="D472" t="s">
        <v>895</v>
      </c>
      <c r="E472" t="s">
        <v>896</v>
      </c>
      <c r="F472">
        <v>190.7</v>
      </c>
      <c r="G472">
        <v>194</v>
      </c>
      <c r="H472">
        <v>194</v>
      </c>
      <c r="I472">
        <v>187</v>
      </c>
      <c r="J472" s="1">
        <v>188.75</v>
      </c>
      <c r="K472">
        <v>2940698.05</v>
      </c>
      <c r="L472">
        <v>15502</v>
      </c>
      <c r="M472" t="s">
        <v>78</v>
      </c>
      <c r="N472" t="s">
        <v>17</v>
      </c>
      <c r="O472">
        <v>653</v>
      </c>
      <c r="P472">
        <v>198</v>
      </c>
      <c r="Q472">
        <v>55</v>
      </c>
    </row>
    <row r="473" spans="2:17" x14ac:dyDescent="0.25">
      <c r="B473" t="s">
        <v>78</v>
      </c>
      <c r="C473" t="s">
        <v>79</v>
      </c>
      <c r="D473" t="s">
        <v>897</v>
      </c>
      <c r="E473" t="s">
        <v>898</v>
      </c>
      <c r="F473">
        <v>394.7</v>
      </c>
      <c r="G473">
        <v>391</v>
      </c>
      <c r="H473">
        <v>396</v>
      </c>
      <c r="I473">
        <v>390.15</v>
      </c>
      <c r="J473" s="1">
        <v>392.2</v>
      </c>
      <c r="K473">
        <v>24090776.25</v>
      </c>
      <c r="L473">
        <v>61252</v>
      </c>
      <c r="M473" t="s">
        <v>78</v>
      </c>
      <c r="N473" t="s">
        <v>17</v>
      </c>
      <c r="O473">
        <v>2716</v>
      </c>
      <c r="P473">
        <v>476</v>
      </c>
      <c r="Q473">
        <v>232.5</v>
      </c>
    </row>
    <row r="474" spans="2:17" x14ac:dyDescent="0.25">
      <c r="B474" t="s">
        <v>78</v>
      </c>
      <c r="C474" t="s">
        <v>287</v>
      </c>
      <c r="D474" t="s">
        <v>899</v>
      </c>
      <c r="E474" t="s">
        <v>900</v>
      </c>
      <c r="F474">
        <v>10.4</v>
      </c>
      <c r="G474">
        <v>10.9</v>
      </c>
      <c r="H474">
        <v>10.9</v>
      </c>
      <c r="I474">
        <v>10.9</v>
      </c>
      <c r="J474" s="1">
        <v>10.9</v>
      </c>
      <c r="K474">
        <v>784800</v>
      </c>
      <c r="L474">
        <v>72000</v>
      </c>
      <c r="M474" t="s">
        <v>78</v>
      </c>
      <c r="N474" t="s">
        <v>17</v>
      </c>
      <c r="O474">
        <v>5</v>
      </c>
      <c r="P474">
        <v>21.95</v>
      </c>
      <c r="Q474">
        <v>3.55</v>
      </c>
    </row>
    <row r="475" spans="2:17" x14ac:dyDescent="0.25">
      <c r="B475" t="s">
        <v>78</v>
      </c>
      <c r="C475" t="s">
        <v>79</v>
      </c>
      <c r="D475" t="s">
        <v>901</v>
      </c>
      <c r="E475" t="s">
        <v>902</v>
      </c>
      <c r="F475">
        <v>155.19999999999999</v>
      </c>
      <c r="G475">
        <v>153.44999999999999</v>
      </c>
      <c r="H475">
        <v>155.44999999999999</v>
      </c>
      <c r="I475">
        <v>148.65</v>
      </c>
      <c r="J475" s="1">
        <v>149.94999999999999</v>
      </c>
      <c r="K475">
        <v>5930366.9000000004</v>
      </c>
      <c r="L475">
        <v>39199</v>
      </c>
      <c r="M475" t="s">
        <v>78</v>
      </c>
      <c r="N475" t="s">
        <v>17</v>
      </c>
      <c r="O475">
        <v>1223</v>
      </c>
      <c r="P475">
        <v>177.25</v>
      </c>
      <c r="Q475">
        <v>21.1</v>
      </c>
    </row>
    <row r="476" spans="2:17" x14ac:dyDescent="0.25">
      <c r="B476" t="s">
        <v>78</v>
      </c>
      <c r="C476" t="s">
        <v>79</v>
      </c>
      <c r="D476" t="s">
        <v>903</v>
      </c>
      <c r="E476" t="s">
        <v>904</v>
      </c>
      <c r="F476">
        <v>510.05</v>
      </c>
      <c r="G476">
        <v>508.1</v>
      </c>
      <c r="H476">
        <v>535.15</v>
      </c>
      <c r="I476">
        <v>504.1</v>
      </c>
      <c r="J476" s="1">
        <v>519.54999999999995</v>
      </c>
      <c r="K476">
        <v>9671152.1500000004</v>
      </c>
      <c r="L476">
        <v>18581</v>
      </c>
      <c r="M476" t="s">
        <v>78</v>
      </c>
      <c r="N476" t="s">
        <v>17</v>
      </c>
      <c r="O476">
        <v>1458</v>
      </c>
      <c r="P476">
        <v>599.95000000000005</v>
      </c>
      <c r="Q476">
        <v>165.15</v>
      </c>
    </row>
    <row r="477" spans="2:17" x14ac:dyDescent="0.25">
      <c r="B477" t="s">
        <v>78</v>
      </c>
      <c r="C477" t="s">
        <v>79</v>
      </c>
      <c r="D477" t="s">
        <v>905</v>
      </c>
      <c r="E477" t="s">
        <v>906</v>
      </c>
      <c r="F477">
        <v>301.75</v>
      </c>
      <c r="G477">
        <v>298.89999999999998</v>
      </c>
      <c r="H477">
        <v>317</v>
      </c>
      <c r="I477">
        <v>296.14999999999998</v>
      </c>
      <c r="J477" s="1">
        <v>310.10000000000002</v>
      </c>
      <c r="K477">
        <v>55648236.600000001</v>
      </c>
      <c r="L477">
        <v>180108</v>
      </c>
      <c r="M477" t="s">
        <v>78</v>
      </c>
      <c r="N477" t="s">
        <v>17</v>
      </c>
      <c r="O477">
        <v>6813</v>
      </c>
      <c r="P477">
        <v>320</v>
      </c>
      <c r="Q477">
        <v>47.25</v>
      </c>
    </row>
    <row r="478" spans="2:17" x14ac:dyDescent="0.25">
      <c r="B478" t="s">
        <v>78</v>
      </c>
      <c r="C478" t="s">
        <v>79</v>
      </c>
      <c r="D478" t="s">
        <v>907</v>
      </c>
      <c r="E478" t="s">
        <v>908</v>
      </c>
      <c r="F478">
        <v>75.55</v>
      </c>
      <c r="G478">
        <v>73.7</v>
      </c>
      <c r="H478">
        <v>79.2</v>
      </c>
      <c r="I478">
        <v>73.599999999999994</v>
      </c>
      <c r="J478" s="1">
        <v>78.099999999999994</v>
      </c>
      <c r="K478">
        <v>327108468.89999998</v>
      </c>
      <c r="L478">
        <v>4246964</v>
      </c>
      <c r="M478" t="s">
        <v>78</v>
      </c>
      <c r="N478" t="s">
        <v>17</v>
      </c>
      <c r="O478">
        <v>20175</v>
      </c>
      <c r="P478">
        <v>83.9</v>
      </c>
      <c r="Q478">
        <v>23.85</v>
      </c>
    </row>
    <row r="479" spans="2:17" x14ac:dyDescent="0.25">
      <c r="B479" t="s">
        <v>78</v>
      </c>
      <c r="C479" t="s">
        <v>79</v>
      </c>
      <c r="D479" t="s">
        <v>909</v>
      </c>
      <c r="E479" t="s">
        <v>910</v>
      </c>
      <c r="F479">
        <v>1617.4</v>
      </c>
      <c r="G479">
        <v>1617.4</v>
      </c>
      <c r="H479">
        <v>1636.75</v>
      </c>
      <c r="I479">
        <v>1580</v>
      </c>
      <c r="J479" s="1">
        <v>1591.55</v>
      </c>
      <c r="K479">
        <v>8566164.75</v>
      </c>
      <c r="L479">
        <v>5326</v>
      </c>
      <c r="M479" t="s">
        <v>78</v>
      </c>
      <c r="N479" t="s">
        <v>17</v>
      </c>
      <c r="O479">
        <v>611</v>
      </c>
      <c r="P479">
        <v>1744</v>
      </c>
      <c r="Q479">
        <v>499.95</v>
      </c>
    </row>
    <row r="480" spans="2:17" x14ac:dyDescent="0.25">
      <c r="B480" t="s">
        <v>78</v>
      </c>
      <c r="C480" t="s">
        <v>79</v>
      </c>
      <c r="D480" t="s">
        <v>911</v>
      </c>
      <c r="E480" t="s">
        <v>912</v>
      </c>
      <c r="F480">
        <v>523.20000000000005</v>
      </c>
      <c r="G480">
        <v>518</v>
      </c>
      <c r="H480">
        <v>524.9</v>
      </c>
      <c r="I480">
        <v>504.25</v>
      </c>
      <c r="J480" s="1">
        <v>512.20000000000005</v>
      </c>
      <c r="K480">
        <v>28712909.050000001</v>
      </c>
      <c r="L480">
        <v>55947</v>
      </c>
      <c r="M480" t="s">
        <v>78</v>
      </c>
      <c r="N480" t="s">
        <v>17</v>
      </c>
      <c r="O480">
        <v>3209</v>
      </c>
      <c r="P480">
        <v>588</v>
      </c>
      <c r="Q480">
        <v>178.15</v>
      </c>
    </row>
    <row r="481" spans="2:17" x14ac:dyDescent="0.25">
      <c r="B481" t="s">
        <v>78</v>
      </c>
      <c r="C481" t="s">
        <v>287</v>
      </c>
      <c r="D481" t="s">
        <v>913</v>
      </c>
      <c r="E481" t="s">
        <v>914</v>
      </c>
      <c r="F481">
        <v>41.1</v>
      </c>
      <c r="G481">
        <v>43</v>
      </c>
      <c r="H481">
        <v>43.15</v>
      </c>
      <c r="I481">
        <v>42</v>
      </c>
      <c r="J481" s="1">
        <v>43.15</v>
      </c>
      <c r="K481">
        <v>1684300</v>
      </c>
      <c r="L481">
        <v>40000</v>
      </c>
      <c r="M481" t="s">
        <v>78</v>
      </c>
      <c r="N481" t="s">
        <v>17</v>
      </c>
      <c r="O481">
        <v>3</v>
      </c>
      <c r="P481">
        <v>61.3</v>
      </c>
      <c r="Q481">
        <v>20.85</v>
      </c>
    </row>
    <row r="482" spans="2:17" x14ac:dyDescent="0.25">
      <c r="B482" t="s">
        <v>78</v>
      </c>
      <c r="C482" t="s">
        <v>79</v>
      </c>
      <c r="D482" t="s">
        <v>915</v>
      </c>
      <c r="E482" t="s">
        <v>916</v>
      </c>
      <c r="F482">
        <v>434.9</v>
      </c>
      <c r="G482">
        <v>427.8</v>
      </c>
      <c r="H482">
        <v>435.8</v>
      </c>
      <c r="I482">
        <v>418</v>
      </c>
      <c r="J482" s="1">
        <v>424.55</v>
      </c>
      <c r="K482">
        <v>491712124.94999999</v>
      </c>
      <c r="L482">
        <v>1150092</v>
      </c>
      <c r="M482" t="s">
        <v>78</v>
      </c>
      <c r="N482" t="s">
        <v>17</v>
      </c>
      <c r="O482">
        <v>23027</v>
      </c>
      <c r="P482">
        <v>467</v>
      </c>
      <c r="Q482">
        <v>161</v>
      </c>
    </row>
    <row r="483" spans="2:17" x14ac:dyDescent="0.25">
      <c r="B483" t="s">
        <v>78</v>
      </c>
      <c r="C483" t="s">
        <v>79</v>
      </c>
      <c r="D483" t="s">
        <v>917</v>
      </c>
      <c r="E483" t="s">
        <v>918</v>
      </c>
      <c r="F483">
        <v>648.45000000000005</v>
      </c>
      <c r="G483">
        <v>634</v>
      </c>
      <c r="H483">
        <v>669.55</v>
      </c>
      <c r="I483">
        <v>634</v>
      </c>
      <c r="J483" s="1">
        <v>659.15</v>
      </c>
      <c r="K483">
        <v>2877381.4</v>
      </c>
      <c r="L483">
        <v>4384</v>
      </c>
      <c r="M483" t="s">
        <v>78</v>
      </c>
      <c r="N483" t="s">
        <v>17</v>
      </c>
      <c r="O483">
        <v>361</v>
      </c>
      <c r="P483">
        <v>739</v>
      </c>
      <c r="Q483">
        <v>296.05</v>
      </c>
    </row>
    <row r="484" spans="2:17" x14ac:dyDescent="0.25">
      <c r="B484" t="s">
        <v>78</v>
      </c>
      <c r="C484" t="s">
        <v>79</v>
      </c>
      <c r="D484" t="s">
        <v>919</v>
      </c>
      <c r="E484" t="s">
        <v>920</v>
      </c>
      <c r="F484">
        <v>90.65</v>
      </c>
      <c r="G484">
        <v>90.25</v>
      </c>
      <c r="H484">
        <v>95.15</v>
      </c>
      <c r="I484">
        <v>89.35</v>
      </c>
      <c r="J484" s="1">
        <v>92.95</v>
      </c>
      <c r="K484">
        <v>838142630.35000002</v>
      </c>
      <c r="L484">
        <v>8935268</v>
      </c>
      <c r="M484" t="s">
        <v>78</v>
      </c>
      <c r="N484" t="s">
        <v>17</v>
      </c>
      <c r="O484">
        <v>41401</v>
      </c>
      <c r="P484">
        <v>100.9</v>
      </c>
      <c r="Q484">
        <v>49.95</v>
      </c>
    </row>
    <row r="485" spans="2:17" x14ac:dyDescent="0.25">
      <c r="B485" t="s">
        <v>78</v>
      </c>
      <c r="C485" t="s">
        <v>79</v>
      </c>
      <c r="D485" t="s">
        <v>921</v>
      </c>
      <c r="E485" t="s">
        <v>922</v>
      </c>
      <c r="F485">
        <v>416</v>
      </c>
      <c r="G485">
        <v>414.95</v>
      </c>
      <c r="H485">
        <v>424</v>
      </c>
      <c r="I485">
        <v>411.15</v>
      </c>
      <c r="J485" s="1">
        <v>418.2</v>
      </c>
      <c r="K485">
        <v>252871904.55000001</v>
      </c>
      <c r="L485">
        <v>601708</v>
      </c>
      <c r="M485" t="s">
        <v>78</v>
      </c>
      <c r="N485" t="s">
        <v>17</v>
      </c>
      <c r="O485">
        <v>13577</v>
      </c>
      <c r="P485">
        <v>470.3</v>
      </c>
      <c r="Q485">
        <v>260.05</v>
      </c>
    </row>
    <row r="486" spans="2:17" x14ac:dyDescent="0.25">
      <c r="B486" t="s">
        <v>78</v>
      </c>
      <c r="C486" t="s">
        <v>79</v>
      </c>
      <c r="D486" t="s">
        <v>923</v>
      </c>
      <c r="E486" t="s">
        <v>924</v>
      </c>
      <c r="F486">
        <v>350.45</v>
      </c>
      <c r="G486">
        <v>348</v>
      </c>
      <c r="H486">
        <v>350</v>
      </c>
      <c r="I486">
        <v>332.5</v>
      </c>
      <c r="J486" s="1">
        <v>337.35</v>
      </c>
      <c r="K486">
        <v>15699883.9</v>
      </c>
      <c r="L486">
        <v>46461</v>
      </c>
      <c r="M486" t="s">
        <v>78</v>
      </c>
      <c r="N486" t="s">
        <v>17</v>
      </c>
      <c r="O486">
        <v>2919</v>
      </c>
      <c r="P486">
        <v>397.7</v>
      </c>
      <c r="Q486">
        <v>205.35</v>
      </c>
    </row>
    <row r="487" spans="2:17" x14ac:dyDescent="0.25">
      <c r="B487" t="s">
        <v>78</v>
      </c>
      <c r="C487" t="s">
        <v>79</v>
      </c>
      <c r="D487" t="s">
        <v>925</v>
      </c>
      <c r="E487" t="s">
        <v>926</v>
      </c>
      <c r="F487">
        <v>115.9</v>
      </c>
      <c r="G487">
        <v>114.6</v>
      </c>
      <c r="H487">
        <v>116.7</v>
      </c>
      <c r="I487">
        <v>113.2</v>
      </c>
      <c r="J487" s="1">
        <v>113.9</v>
      </c>
      <c r="K487">
        <v>79289477.099999994</v>
      </c>
      <c r="L487">
        <v>691972</v>
      </c>
      <c r="M487" t="s">
        <v>78</v>
      </c>
      <c r="N487" t="s">
        <v>17</v>
      </c>
      <c r="O487">
        <v>11724</v>
      </c>
      <c r="P487">
        <v>122.8</v>
      </c>
      <c r="Q487">
        <v>59.3</v>
      </c>
    </row>
    <row r="488" spans="2:17" x14ac:dyDescent="0.25">
      <c r="B488" t="s">
        <v>78</v>
      </c>
      <c r="C488" t="s">
        <v>79</v>
      </c>
      <c r="D488" t="s">
        <v>927</v>
      </c>
      <c r="E488" t="s">
        <v>928</v>
      </c>
      <c r="F488">
        <v>505.65</v>
      </c>
      <c r="G488">
        <v>527</v>
      </c>
      <c r="H488">
        <v>527</v>
      </c>
      <c r="I488">
        <v>505.65</v>
      </c>
      <c r="J488" s="1">
        <v>508.95</v>
      </c>
      <c r="K488">
        <v>25173774.75</v>
      </c>
      <c r="L488">
        <v>48762</v>
      </c>
      <c r="M488" t="s">
        <v>78</v>
      </c>
      <c r="N488" t="s">
        <v>17</v>
      </c>
      <c r="O488">
        <v>2702</v>
      </c>
      <c r="P488">
        <v>541.79999999999995</v>
      </c>
      <c r="Q488">
        <v>287</v>
      </c>
    </row>
    <row r="489" spans="2:17" x14ac:dyDescent="0.25">
      <c r="B489" t="s">
        <v>78</v>
      </c>
      <c r="C489" t="s">
        <v>79</v>
      </c>
      <c r="D489" t="s">
        <v>929</v>
      </c>
      <c r="E489" t="s">
        <v>930</v>
      </c>
      <c r="F489">
        <v>141.80000000000001</v>
      </c>
      <c r="G489">
        <v>142</v>
      </c>
      <c r="H489">
        <v>146.75</v>
      </c>
      <c r="I489">
        <v>137</v>
      </c>
      <c r="J489" s="1">
        <v>138.4</v>
      </c>
      <c r="K489">
        <v>345013614.5</v>
      </c>
      <c r="L489">
        <v>2414936</v>
      </c>
      <c r="M489" t="s">
        <v>78</v>
      </c>
      <c r="N489" t="s">
        <v>17</v>
      </c>
      <c r="O489">
        <v>22408</v>
      </c>
      <c r="P489">
        <v>146.75</v>
      </c>
      <c r="Q489">
        <v>21.45</v>
      </c>
    </row>
    <row r="490" spans="2:17" x14ac:dyDescent="0.25">
      <c r="B490" t="s">
        <v>78</v>
      </c>
      <c r="C490" t="s">
        <v>79</v>
      </c>
      <c r="D490" t="s">
        <v>931</v>
      </c>
      <c r="E490" t="s">
        <v>932</v>
      </c>
      <c r="F490">
        <v>37.4</v>
      </c>
      <c r="G490">
        <v>37.049999999999997</v>
      </c>
      <c r="H490">
        <v>37.5</v>
      </c>
      <c r="I490">
        <v>37</v>
      </c>
      <c r="J490" s="1">
        <v>37</v>
      </c>
      <c r="K490">
        <v>14047458.25</v>
      </c>
      <c r="L490">
        <v>378708</v>
      </c>
      <c r="M490" t="s">
        <v>78</v>
      </c>
      <c r="N490" t="s">
        <v>17</v>
      </c>
      <c r="O490">
        <v>1320</v>
      </c>
      <c r="P490">
        <v>40.35</v>
      </c>
      <c r="Q490">
        <v>14.2</v>
      </c>
    </row>
    <row r="491" spans="2:17" x14ac:dyDescent="0.25">
      <c r="B491" t="s">
        <v>78</v>
      </c>
      <c r="C491" t="s">
        <v>79</v>
      </c>
      <c r="D491" t="s">
        <v>933</v>
      </c>
      <c r="E491" t="s">
        <v>934</v>
      </c>
      <c r="F491">
        <v>159.80000000000001</v>
      </c>
      <c r="G491">
        <v>155.1</v>
      </c>
      <c r="H491">
        <v>159.25</v>
      </c>
      <c r="I491">
        <v>155</v>
      </c>
      <c r="J491" s="1">
        <v>155.5</v>
      </c>
      <c r="K491">
        <v>3127445.15</v>
      </c>
      <c r="L491">
        <v>19927</v>
      </c>
      <c r="M491" t="s">
        <v>78</v>
      </c>
      <c r="N491" t="s">
        <v>17</v>
      </c>
      <c r="O491">
        <v>901</v>
      </c>
      <c r="P491">
        <v>198.8</v>
      </c>
      <c r="Q491">
        <v>88</v>
      </c>
    </row>
    <row r="492" spans="2:17" x14ac:dyDescent="0.25">
      <c r="B492" t="s">
        <v>78</v>
      </c>
      <c r="C492" t="s">
        <v>79</v>
      </c>
      <c r="D492" t="s">
        <v>935</v>
      </c>
      <c r="E492" t="s">
        <v>936</v>
      </c>
      <c r="F492">
        <v>210.55</v>
      </c>
      <c r="G492">
        <v>209</v>
      </c>
      <c r="H492">
        <v>214</v>
      </c>
      <c r="I492">
        <v>208.1</v>
      </c>
      <c r="J492" s="1">
        <v>209.75</v>
      </c>
      <c r="K492">
        <v>21475950.800000001</v>
      </c>
      <c r="L492">
        <v>101836</v>
      </c>
      <c r="M492" t="s">
        <v>78</v>
      </c>
      <c r="N492" t="s">
        <v>17</v>
      </c>
      <c r="O492">
        <v>3488</v>
      </c>
      <c r="P492">
        <v>258.3</v>
      </c>
      <c r="Q492">
        <v>101.3</v>
      </c>
    </row>
    <row r="493" spans="2:17" x14ac:dyDescent="0.25">
      <c r="B493" t="s">
        <v>78</v>
      </c>
      <c r="C493" t="s">
        <v>79</v>
      </c>
      <c r="D493" t="s">
        <v>937</v>
      </c>
      <c r="E493" t="s">
        <v>938</v>
      </c>
      <c r="F493">
        <v>38.049999999999997</v>
      </c>
      <c r="G493">
        <v>38</v>
      </c>
      <c r="H493">
        <v>39.450000000000003</v>
      </c>
      <c r="I493">
        <v>37.5</v>
      </c>
      <c r="J493" s="1">
        <v>38.85</v>
      </c>
      <c r="K493">
        <v>3190064.3</v>
      </c>
      <c r="L493">
        <v>82750</v>
      </c>
      <c r="M493" t="s">
        <v>78</v>
      </c>
      <c r="N493" t="s">
        <v>17</v>
      </c>
      <c r="O493">
        <v>1002</v>
      </c>
      <c r="P493">
        <v>42.8</v>
      </c>
      <c r="Q493">
        <v>15.3</v>
      </c>
    </row>
    <row r="494" spans="2:17" x14ac:dyDescent="0.25">
      <c r="B494" t="s">
        <v>78</v>
      </c>
      <c r="C494" t="s">
        <v>79</v>
      </c>
      <c r="D494" t="s">
        <v>939</v>
      </c>
      <c r="E494" t="s">
        <v>940</v>
      </c>
      <c r="F494">
        <v>558.65</v>
      </c>
      <c r="G494">
        <v>550</v>
      </c>
      <c r="H494">
        <v>557.35</v>
      </c>
      <c r="I494">
        <v>532.25</v>
      </c>
      <c r="J494" s="1">
        <v>542.20000000000005</v>
      </c>
      <c r="K494">
        <v>182327169.55000001</v>
      </c>
      <c r="L494">
        <v>333614</v>
      </c>
      <c r="M494" t="s">
        <v>78</v>
      </c>
      <c r="N494" t="s">
        <v>17</v>
      </c>
      <c r="O494">
        <v>14735</v>
      </c>
      <c r="P494">
        <v>578.5</v>
      </c>
      <c r="Q494">
        <v>235.55</v>
      </c>
    </row>
    <row r="495" spans="2:17" x14ac:dyDescent="0.25">
      <c r="B495" t="s">
        <v>78</v>
      </c>
      <c r="C495" t="s">
        <v>79</v>
      </c>
      <c r="D495" t="s">
        <v>941</v>
      </c>
      <c r="E495" t="s">
        <v>942</v>
      </c>
      <c r="F495">
        <v>169.8</v>
      </c>
      <c r="G495">
        <v>169</v>
      </c>
      <c r="H495">
        <v>170.75</v>
      </c>
      <c r="I495">
        <v>160</v>
      </c>
      <c r="J495" s="1">
        <v>164.75</v>
      </c>
      <c r="K495">
        <v>22654569.350000001</v>
      </c>
      <c r="L495">
        <v>136725</v>
      </c>
      <c r="M495" t="s">
        <v>78</v>
      </c>
      <c r="N495" t="s">
        <v>17</v>
      </c>
      <c r="O495">
        <v>5017</v>
      </c>
      <c r="P495">
        <v>214.8</v>
      </c>
      <c r="Q495">
        <v>62.35</v>
      </c>
    </row>
    <row r="496" spans="2:17" x14ac:dyDescent="0.25">
      <c r="B496" t="s">
        <v>78</v>
      </c>
      <c r="C496" t="s">
        <v>79</v>
      </c>
      <c r="D496" t="s">
        <v>943</v>
      </c>
      <c r="E496" t="s">
        <v>944</v>
      </c>
      <c r="F496">
        <v>79.75</v>
      </c>
      <c r="G496">
        <v>80.8</v>
      </c>
      <c r="H496">
        <v>83.7</v>
      </c>
      <c r="I496">
        <v>80.8</v>
      </c>
      <c r="J496" s="1">
        <v>83.7</v>
      </c>
      <c r="K496">
        <v>20586461</v>
      </c>
      <c r="L496">
        <v>248078</v>
      </c>
      <c r="M496" t="s">
        <v>78</v>
      </c>
      <c r="N496" t="s">
        <v>17</v>
      </c>
      <c r="O496">
        <v>1292</v>
      </c>
      <c r="P496">
        <v>84.2</v>
      </c>
      <c r="Q496">
        <v>30.3</v>
      </c>
    </row>
    <row r="497" spans="2:17" x14ac:dyDescent="0.25">
      <c r="B497" t="s">
        <v>78</v>
      </c>
      <c r="C497" t="s">
        <v>618</v>
      </c>
      <c r="D497" t="s">
        <v>945</v>
      </c>
      <c r="E497" t="s">
        <v>946</v>
      </c>
      <c r="F497">
        <v>357.58</v>
      </c>
      <c r="G497">
        <v>355.98</v>
      </c>
      <c r="H497">
        <v>359.59</v>
      </c>
      <c r="I497">
        <v>354.4</v>
      </c>
      <c r="J497" s="1">
        <v>355.24</v>
      </c>
      <c r="K497">
        <v>52481176</v>
      </c>
      <c r="L497">
        <v>147200</v>
      </c>
      <c r="M497" t="s">
        <v>78</v>
      </c>
      <c r="N497" t="s">
        <v>17</v>
      </c>
      <c r="O497">
        <v>413</v>
      </c>
      <c r="P497">
        <v>395</v>
      </c>
      <c r="Q497">
        <v>285</v>
      </c>
    </row>
    <row r="498" spans="2:17" x14ac:dyDescent="0.25">
      <c r="B498" t="s">
        <v>78</v>
      </c>
      <c r="C498" t="s">
        <v>79</v>
      </c>
      <c r="D498" t="s">
        <v>947</v>
      </c>
      <c r="E498" t="s">
        <v>948</v>
      </c>
      <c r="F498">
        <v>128.80000000000001</v>
      </c>
      <c r="G498">
        <v>128.80000000000001</v>
      </c>
      <c r="H498">
        <v>137</v>
      </c>
      <c r="I498">
        <v>126.8</v>
      </c>
      <c r="J498" s="1">
        <v>135.25</v>
      </c>
      <c r="K498">
        <v>128816380.09999999</v>
      </c>
      <c r="L498">
        <v>960909</v>
      </c>
      <c r="M498" t="s">
        <v>78</v>
      </c>
      <c r="N498" t="s">
        <v>17</v>
      </c>
      <c r="O498">
        <v>12741</v>
      </c>
      <c r="P498">
        <v>137</v>
      </c>
      <c r="Q498">
        <v>41.6</v>
      </c>
    </row>
    <row r="499" spans="2:17" x14ac:dyDescent="0.25">
      <c r="B499" t="s">
        <v>78</v>
      </c>
      <c r="C499" t="s">
        <v>287</v>
      </c>
      <c r="D499" t="s">
        <v>949</v>
      </c>
      <c r="E499" t="s">
        <v>950</v>
      </c>
      <c r="F499">
        <v>168.95</v>
      </c>
      <c r="G499">
        <v>177.35</v>
      </c>
      <c r="H499">
        <v>177.35</v>
      </c>
      <c r="I499">
        <v>177.35</v>
      </c>
      <c r="J499" s="1">
        <v>177.35</v>
      </c>
      <c r="K499">
        <v>106410</v>
      </c>
      <c r="L499">
        <v>600</v>
      </c>
      <c r="M499" t="s">
        <v>78</v>
      </c>
      <c r="N499" t="s">
        <v>17</v>
      </c>
      <c r="O499">
        <v>1</v>
      </c>
      <c r="P499">
        <v>177.35</v>
      </c>
      <c r="Q499">
        <v>58.65</v>
      </c>
    </row>
    <row r="500" spans="2:17" x14ac:dyDescent="0.25">
      <c r="B500" t="s">
        <v>78</v>
      </c>
      <c r="C500" t="s">
        <v>79</v>
      </c>
      <c r="D500" t="s">
        <v>951</v>
      </c>
      <c r="E500" t="s">
        <v>952</v>
      </c>
      <c r="F500">
        <v>107.3</v>
      </c>
      <c r="G500">
        <v>106.5</v>
      </c>
      <c r="H500">
        <v>125.55</v>
      </c>
      <c r="I500">
        <v>106.2</v>
      </c>
      <c r="J500" s="1">
        <v>116.5</v>
      </c>
      <c r="K500">
        <v>197226124.25</v>
      </c>
      <c r="L500">
        <v>1664497</v>
      </c>
      <c r="M500" t="s">
        <v>78</v>
      </c>
      <c r="N500" t="s">
        <v>17</v>
      </c>
      <c r="O500">
        <v>19965</v>
      </c>
      <c r="P500">
        <v>125.55</v>
      </c>
      <c r="Q500">
        <v>61.75</v>
      </c>
    </row>
    <row r="501" spans="2:17" x14ac:dyDescent="0.25">
      <c r="B501" t="s">
        <v>78</v>
      </c>
      <c r="C501" t="s">
        <v>79</v>
      </c>
      <c r="D501" t="s">
        <v>953</v>
      </c>
      <c r="E501" t="s">
        <v>954</v>
      </c>
      <c r="F501">
        <v>1648</v>
      </c>
      <c r="G501">
        <v>1648</v>
      </c>
      <c r="H501">
        <v>1664.5</v>
      </c>
      <c r="I501">
        <v>1613</v>
      </c>
      <c r="J501" s="1">
        <v>1624.8</v>
      </c>
      <c r="K501">
        <v>96100822.25</v>
      </c>
      <c r="L501">
        <v>58598</v>
      </c>
      <c r="M501" t="s">
        <v>78</v>
      </c>
      <c r="N501" t="s">
        <v>17</v>
      </c>
      <c r="O501">
        <v>7204</v>
      </c>
      <c r="P501">
        <v>1715.55</v>
      </c>
      <c r="Q501">
        <v>867</v>
      </c>
    </row>
    <row r="502" spans="2:17" x14ac:dyDescent="0.25">
      <c r="B502" t="s">
        <v>78</v>
      </c>
      <c r="C502" t="s">
        <v>79</v>
      </c>
      <c r="D502" t="s">
        <v>955</v>
      </c>
      <c r="E502" t="s">
        <v>956</v>
      </c>
      <c r="F502">
        <v>11.95</v>
      </c>
      <c r="G502">
        <v>11.95</v>
      </c>
      <c r="H502">
        <v>12</v>
      </c>
      <c r="I502">
        <v>11.65</v>
      </c>
      <c r="J502" s="1">
        <v>11.85</v>
      </c>
      <c r="K502">
        <v>547858.94999999995</v>
      </c>
      <c r="L502">
        <v>46150</v>
      </c>
      <c r="M502" t="s">
        <v>78</v>
      </c>
      <c r="N502" t="s">
        <v>17</v>
      </c>
      <c r="O502">
        <v>187</v>
      </c>
      <c r="P502">
        <v>16.55</v>
      </c>
      <c r="Q502">
        <v>4.5999999999999996</v>
      </c>
    </row>
    <row r="503" spans="2:17" x14ac:dyDescent="0.25">
      <c r="B503" t="s">
        <v>78</v>
      </c>
      <c r="C503" t="s">
        <v>79</v>
      </c>
      <c r="D503" t="s">
        <v>957</v>
      </c>
      <c r="E503" t="s">
        <v>958</v>
      </c>
      <c r="F503">
        <v>77.5</v>
      </c>
      <c r="G503">
        <v>77</v>
      </c>
      <c r="H503">
        <v>77.75</v>
      </c>
      <c r="I503">
        <v>76.599999999999994</v>
      </c>
      <c r="J503" s="1">
        <v>77.150000000000006</v>
      </c>
      <c r="K503">
        <v>95808404.599999994</v>
      </c>
      <c r="L503">
        <v>1240524</v>
      </c>
      <c r="M503" t="s">
        <v>78</v>
      </c>
      <c r="N503" t="s">
        <v>17</v>
      </c>
      <c r="O503">
        <v>7655</v>
      </c>
      <c r="P503">
        <v>93.3</v>
      </c>
      <c r="Q503">
        <v>60.4</v>
      </c>
    </row>
    <row r="504" spans="2:17" x14ac:dyDescent="0.25">
      <c r="B504" t="s">
        <v>78</v>
      </c>
      <c r="C504" t="s">
        <v>79</v>
      </c>
      <c r="D504" t="s">
        <v>959</v>
      </c>
      <c r="E504" t="s">
        <v>960</v>
      </c>
      <c r="F504">
        <v>187.4</v>
      </c>
      <c r="G504">
        <v>188.9</v>
      </c>
      <c r="H504">
        <v>191.8</v>
      </c>
      <c r="I504">
        <v>184.05</v>
      </c>
      <c r="J504" s="1">
        <v>191.1</v>
      </c>
      <c r="K504">
        <v>20645946.199999999</v>
      </c>
      <c r="L504">
        <v>109036</v>
      </c>
      <c r="M504" t="s">
        <v>78</v>
      </c>
      <c r="N504" t="s">
        <v>17</v>
      </c>
      <c r="O504">
        <v>3208</v>
      </c>
      <c r="P504">
        <v>212</v>
      </c>
      <c r="Q504">
        <v>120.1</v>
      </c>
    </row>
    <row r="505" spans="2:17" x14ac:dyDescent="0.25">
      <c r="B505" t="s">
        <v>78</v>
      </c>
      <c r="C505" t="s">
        <v>79</v>
      </c>
      <c r="D505" t="s">
        <v>961</v>
      </c>
      <c r="E505" t="s">
        <v>962</v>
      </c>
      <c r="F505">
        <v>246.9</v>
      </c>
      <c r="G505">
        <v>246</v>
      </c>
      <c r="H505">
        <v>255.95</v>
      </c>
      <c r="I505">
        <v>244</v>
      </c>
      <c r="J505" s="1">
        <v>246.65</v>
      </c>
      <c r="K505">
        <v>97652330.75</v>
      </c>
      <c r="L505">
        <v>390041</v>
      </c>
      <c r="M505" t="s">
        <v>78</v>
      </c>
      <c r="N505" t="s">
        <v>17</v>
      </c>
      <c r="O505">
        <v>14164</v>
      </c>
      <c r="P505">
        <v>318.60000000000002</v>
      </c>
      <c r="Q505">
        <v>185</v>
      </c>
    </row>
    <row r="506" spans="2:17" x14ac:dyDescent="0.25">
      <c r="B506" t="s">
        <v>78</v>
      </c>
      <c r="C506" t="s">
        <v>79</v>
      </c>
      <c r="D506" t="s">
        <v>963</v>
      </c>
      <c r="E506" t="s">
        <v>964</v>
      </c>
      <c r="F506">
        <v>130.35</v>
      </c>
      <c r="G506">
        <v>130</v>
      </c>
      <c r="H506">
        <v>130</v>
      </c>
      <c r="I506">
        <v>125.5</v>
      </c>
      <c r="J506" s="1">
        <v>128.1</v>
      </c>
      <c r="K506">
        <v>261122141.84999999</v>
      </c>
      <c r="L506">
        <v>2046469</v>
      </c>
      <c r="M506" t="s">
        <v>78</v>
      </c>
      <c r="N506" t="s">
        <v>17</v>
      </c>
      <c r="O506">
        <v>20342</v>
      </c>
      <c r="P506">
        <v>138.19999999999999</v>
      </c>
      <c r="Q506">
        <v>40.200000000000003</v>
      </c>
    </row>
    <row r="507" spans="2:17" x14ac:dyDescent="0.25">
      <c r="B507" t="s">
        <v>78</v>
      </c>
      <c r="C507" t="s">
        <v>79</v>
      </c>
      <c r="D507" t="s">
        <v>965</v>
      </c>
      <c r="E507" t="s">
        <v>966</v>
      </c>
      <c r="F507">
        <v>65.75</v>
      </c>
      <c r="G507">
        <v>65.8</v>
      </c>
      <c r="H507">
        <v>66.45</v>
      </c>
      <c r="I507">
        <v>65.25</v>
      </c>
      <c r="J507" s="1">
        <v>65.75</v>
      </c>
      <c r="K507">
        <v>60348319.549999997</v>
      </c>
      <c r="L507">
        <v>915200</v>
      </c>
      <c r="M507" t="s">
        <v>78</v>
      </c>
      <c r="N507" t="s">
        <v>17</v>
      </c>
      <c r="O507">
        <v>6976</v>
      </c>
      <c r="P507">
        <v>76.8</v>
      </c>
      <c r="Q507">
        <v>30.05</v>
      </c>
    </row>
    <row r="508" spans="2:17" x14ac:dyDescent="0.25">
      <c r="B508" t="s">
        <v>78</v>
      </c>
      <c r="C508" t="s">
        <v>79</v>
      </c>
      <c r="D508" t="s">
        <v>967</v>
      </c>
      <c r="E508" t="s">
        <v>968</v>
      </c>
      <c r="F508">
        <v>767.8</v>
      </c>
      <c r="G508">
        <v>763</v>
      </c>
      <c r="H508">
        <v>771.95</v>
      </c>
      <c r="I508">
        <v>752.3</v>
      </c>
      <c r="J508" s="1">
        <v>756.35</v>
      </c>
      <c r="K508">
        <v>49822232.649999999</v>
      </c>
      <c r="L508">
        <v>65337</v>
      </c>
      <c r="M508" t="s">
        <v>78</v>
      </c>
      <c r="N508" t="s">
        <v>17</v>
      </c>
      <c r="O508">
        <v>8185</v>
      </c>
      <c r="P508">
        <v>787</v>
      </c>
      <c r="Q508">
        <v>400.8</v>
      </c>
    </row>
    <row r="509" spans="2:17" x14ac:dyDescent="0.25">
      <c r="B509" t="s">
        <v>78</v>
      </c>
      <c r="C509" t="s">
        <v>79</v>
      </c>
      <c r="D509" t="s">
        <v>969</v>
      </c>
      <c r="E509" t="s">
        <v>970</v>
      </c>
      <c r="F509">
        <v>24.75</v>
      </c>
      <c r="G509">
        <v>24.6</v>
      </c>
      <c r="H509">
        <v>24.85</v>
      </c>
      <c r="I509">
        <v>23.8</v>
      </c>
      <c r="J509" s="1">
        <v>24.2</v>
      </c>
      <c r="K509">
        <v>25281735.550000001</v>
      </c>
      <c r="L509">
        <v>1039444</v>
      </c>
      <c r="M509" t="s">
        <v>78</v>
      </c>
      <c r="N509" t="s">
        <v>17</v>
      </c>
      <c r="O509">
        <v>3040</v>
      </c>
      <c r="P509">
        <v>36.85</v>
      </c>
      <c r="Q509">
        <v>16.75</v>
      </c>
    </row>
    <row r="510" spans="2:17" x14ac:dyDescent="0.25">
      <c r="B510" t="s">
        <v>78</v>
      </c>
      <c r="C510" t="s">
        <v>79</v>
      </c>
      <c r="D510" t="s">
        <v>971</v>
      </c>
      <c r="E510" t="s">
        <v>972</v>
      </c>
      <c r="F510">
        <v>1927</v>
      </c>
      <c r="G510">
        <v>1925.65</v>
      </c>
      <c r="H510">
        <v>1935.55</v>
      </c>
      <c r="I510">
        <v>1895</v>
      </c>
      <c r="J510" s="1">
        <v>1908.85</v>
      </c>
      <c r="K510">
        <v>7643858.25</v>
      </c>
      <c r="L510">
        <v>3994</v>
      </c>
      <c r="M510" t="s">
        <v>78</v>
      </c>
      <c r="N510" t="s">
        <v>17</v>
      </c>
      <c r="O510">
        <v>871</v>
      </c>
      <c r="P510">
        <v>2150</v>
      </c>
      <c r="Q510">
        <v>1290</v>
      </c>
    </row>
    <row r="511" spans="2:17" x14ac:dyDescent="0.25">
      <c r="B511" t="s">
        <v>78</v>
      </c>
      <c r="C511" t="s">
        <v>79</v>
      </c>
      <c r="D511" t="s">
        <v>973</v>
      </c>
      <c r="E511" t="s">
        <v>974</v>
      </c>
      <c r="F511">
        <v>1193.7</v>
      </c>
      <c r="G511">
        <v>1189</v>
      </c>
      <c r="H511">
        <v>1203.7</v>
      </c>
      <c r="I511">
        <v>1184.4000000000001</v>
      </c>
      <c r="J511" s="1">
        <v>1192.7</v>
      </c>
      <c r="K511">
        <v>835605085.85000002</v>
      </c>
      <c r="L511">
        <v>698945</v>
      </c>
      <c r="M511" t="s">
        <v>78</v>
      </c>
      <c r="N511" t="s">
        <v>17</v>
      </c>
      <c r="O511">
        <v>26662</v>
      </c>
      <c r="P511">
        <v>1468.45</v>
      </c>
      <c r="Q511">
        <v>1077.4000000000001</v>
      </c>
    </row>
    <row r="512" spans="2:17" x14ac:dyDescent="0.25">
      <c r="B512" t="s">
        <v>78</v>
      </c>
      <c r="C512" t="s">
        <v>79</v>
      </c>
      <c r="D512" t="s">
        <v>975</v>
      </c>
      <c r="E512" t="s">
        <v>976</v>
      </c>
      <c r="F512">
        <v>145.75</v>
      </c>
      <c r="G512">
        <v>143.85</v>
      </c>
      <c r="H512">
        <v>154.9</v>
      </c>
      <c r="I512">
        <v>143.05000000000001</v>
      </c>
      <c r="J512" s="1">
        <v>148.85</v>
      </c>
      <c r="K512">
        <v>80581104.849999994</v>
      </c>
      <c r="L512">
        <v>542536</v>
      </c>
      <c r="M512" t="s">
        <v>78</v>
      </c>
      <c r="N512" t="s">
        <v>17</v>
      </c>
      <c r="O512">
        <v>12079</v>
      </c>
      <c r="P512">
        <v>159</v>
      </c>
      <c r="Q512">
        <v>50.55</v>
      </c>
    </row>
    <row r="513" spans="2:17" x14ac:dyDescent="0.25">
      <c r="B513" t="s">
        <v>78</v>
      </c>
      <c r="C513" t="s">
        <v>79</v>
      </c>
      <c r="D513" t="s">
        <v>977</v>
      </c>
      <c r="E513" t="s">
        <v>978</v>
      </c>
      <c r="F513">
        <v>315.35000000000002</v>
      </c>
      <c r="G513">
        <v>313</v>
      </c>
      <c r="H513">
        <v>319.89999999999998</v>
      </c>
      <c r="I513">
        <v>308</v>
      </c>
      <c r="J513" s="1">
        <v>312.45</v>
      </c>
      <c r="K513">
        <v>122591341</v>
      </c>
      <c r="L513">
        <v>392238</v>
      </c>
      <c r="M513" t="s">
        <v>78</v>
      </c>
      <c r="N513" t="s">
        <v>17</v>
      </c>
      <c r="O513">
        <v>5875</v>
      </c>
      <c r="P513">
        <v>349.9</v>
      </c>
      <c r="Q513">
        <v>110</v>
      </c>
    </row>
    <row r="514" spans="2:17" x14ac:dyDescent="0.25">
      <c r="B514" t="s">
        <v>78</v>
      </c>
      <c r="C514" t="s">
        <v>79</v>
      </c>
      <c r="D514" t="s">
        <v>979</v>
      </c>
      <c r="E514" t="s">
        <v>980</v>
      </c>
      <c r="F514">
        <v>416.85</v>
      </c>
      <c r="G514">
        <v>406</v>
      </c>
      <c r="H514">
        <v>466</v>
      </c>
      <c r="I514">
        <v>406</v>
      </c>
      <c r="J514" s="1">
        <v>442.75</v>
      </c>
      <c r="K514">
        <v>562962371.85000002</v>
      </c>
      <c r="L514">
        <v>1262148</v>
      </c>
      <c r="M514" t="s">
        <v>78</v>
      </c>
      <c r="N514" t="s">
        <v>17</v>
      </c>
      <c r="O514">
        <v>31187</v>
      </c>
      <c r="P514">
        <v>466</v>
      </c>
      <c r="Q514">
        <v>193.15</v>
      </c>
    </row>
    <row r="515" spans="2:17" x14ac:dyDescent="0.25">
      <c r="B515" t="s">
        <v>78</v>
      </c>
      <c r="C515" t="s">
        <v>79</v>
      </c>
      <c r="D515" t="s">
        <v>981</v>
      </c>
      <c r="E515" t="s">
        <v>982</v>
      </c>
      <c r="F515">
        <v>1235.75</v>
      </c>
      <c r="G515">
        <v>1242</v>
      </c>
      <c r="H515">
        <v>1244.8</v>
      </c>
      <c r="I515">
        <v>1200</v>
      </c>
      <c r="J515" s="1">
        <v>1206.4000000000001</v>
      </c>
      <c r="K515">
        <v>31392231.850000001</v>
      </c>
      <c r="L515">
        <v>25710</v>
      </c>
      <c r="M515" t="s">
        <v>78</v>
      </c>
      <c r="N515" t="s">
        <v>17</v>
      </c>
      <c r="O515">
        <v>3570</v>
      </c>
      <c r="P515">
        <v>1287.4000000000001</v>
      </c>
      <c r="Q515">
        <v>723.1</v>
      </c>
    </row>
    <row r="516" spans="2:17" x14ac:dyDescent="0.25">
      <c r="B516" t="s">
        <v>78</v>
      </c>
      <c r="C516" t="s">
        <v>79</v>
      </c>
      <c r="D516" t="s">
        <v>983</v>
      </c>
      <c r="E516" t="s">
        <v>984</v>
      </c>
      <c r="F516">
        <v>184.05</v>
      </c>
      <c r="G516">
        <v>183.75</v>
      </c>
      <c r="H516">
        <v>183.75</v>
      </c>
      <c r="I516">
        <v>181.15</v>
      </c>
      <c r="J516" s="1">
        <v>181.7</v>
      </c>
      <c r="K516">
        <v>287355748</v>
      </c>
      <c r="L516">
        <v>1574923</v>
      </c>
      <c r="M516" t="s">
        <v>78</v>
      </c>
      <c r="N516" t="s">
        <v>17</v>
      </c>
      <c r="O516">
        <v>25312</v>
      </c>
      <c r="P516">
        <v>219.3</v>
      </c>
      <c r="Q516">
        <v>150.4</v>
      </c>
    </row>
    <row r="517" spans="2:17" x14ac:dyDescent="0.25">
      <c r="B517" t="s">
        <v>78</v>
      </c>
      <c r="C517" t="s">
        <v>79</v>
      </c>
      <c r="D517" t="s">
        <v>985</v>
      </c>
      <c r="E517" t="s">
        <v>986</v>
      </c>
      <c r="F517">
        <v>138.35</v>
      </c>
      <c r="G517">
        <v>137.30000000000001</v>
      </c>
      <c r="H517">
        <v>139.5</v>
      </c>
      <c r="I517">
        <v>136.94999999999999</v>
      </c>
      <c r="J517" s="1">
        <v>137.85</v>
      </c>
      <c r="K517">
        <v>21809595.649999999</v>
      </c>
      <c r="L517">
        <v>157850</v>
      </c>
      <c r="M517" t="s">
        <v>78</v>
      </c>
      <c r="N517" t="s">
        <v>17</v>
      </c>
      <c r="O517">
        <v>2457</v>
      </c>
      <c r="P517">
        <v>153</v>
      </c>
      <c r="Q517">
        <v>41.2</v>
      </c>
    </row>
    <row r="518" spans="2:17" x14ac:dyDescent="0.25">
      <c r="B518" t="s">
        <v>78</v>
      </c>
      <c r="C518" t="s">
        <v>79</v>
      </c>
      <c r="D518" t="s">
        <v>987</v>
      </c>
      <c r="E518" t="s">
        <v>988</v>
      </c>
      <c r="F518">
        <v>1533.35</v>
      </c>
      <c r="G518">
        <v>1554</v>
      </c>
      <c r="H518">
        <v>1608</v>
      </c>
      <c r="I518">
        <v>1540</v>
      </c>
      <c r="J518" s="1">
        <v>1568.6</v>
      </c>
      <c r="K518">
        <v>59242855.399999999</v>
      </c>
      <c r="L518">
        <v>37633</v>
      </c>
      <c r="M518" t="s">
        <v>78</v>
      </c>
      <c r="N518" t="s">
        <v>17</v>
      </c>
      <c r="O518">
        <v>3456</v>
      </c>
      <c r="P518">
        <v>1691.9</v>
      </c>
      <c r="Q518">
        <v>580.29999999999995</v>
      </c>
    </row>
    <row r="519" spans="2:17" x14ac:dyDescent="0.25">
      <c r="B519" t="s">
        <v>78</v>
      </c>
      <c r="C519" t="s">
        <v>79</v>
      </c>
      <c r="D519" t="s">
        <v>989</v>
      </c>
      <c r="E519" t="s">
        <v>990</v>
      </c>
      <c r="F519">
        <v>96</v>
      </c>
      <c r="G519">
        <v>95.3</v>
      </c>
      <c r="H519">
        <v>101.95</v>
      </c>
      <c r="I519">
        <v>95.25</v>
      </c>
      <c r="J519" s="1">
        <v>100.7</v>
      </c>
      <c r="K519">
        <v>466799062</v>
      </c>
      <c r="L519">
        <v>4703155</v>
      </c>
      <c r="M519" t="s">
        <v>78</v>
      </c>
      <c r="N519" t="s">
        <v>17</v>
      </c>
      <c r="O519">
        <v>35336</v>
      </c>
      <c r="P519">
        <v>101.95</v>
      </c>
      <c r="Q519">
        <v>28</v>
      </c>
    </row>
    <row r="520" spans="2:17" x14ac:dyDescent="0.25">
      <c r="B520" t="s">
        <v>78</v>
      </c>
      <c r="C520" t="s">
        <v>79</v>
      </c>
      <c r="D520" t="s">
        <v>991</v>
      </c>
      <c r="E520" t="s">
        <v>992</v>
      </c>
      <c r="F520">
        <v>9.1</v>
      </c>
      <c r="G520">
        <v>9.1</v>
      </c>
      <c r="H520">
        <v>9.25</v>
      </c>
      <c r="I520">
        <v>9</v>
      </c>
      <c r="J520" s="1">
        <v>9.1</v>
      </c>
      <c r="K520">
        <v>58375415.149999999</v>
      </c>
      <c r="L520">
        <v>6397707</v>
      </c>
      <c r="M520" t="s">
        <v>78</v>
      </c>
      <c r="N520" t="s">
        <v>17</v>
      </c>
      <c r="O520">
        <v>4543</v>
      </c>
      <c r="P520">
        <v>12.6</v>
      </c>
      <c r="Q520">
        <v>5.85</v>
      </c>
    </row>
    <row r="521" spans="2:17" x14ac:dyDescent="0.25">
      <c r="B521" t="s">
        <v>78</v>
      </c>
      <c r="C521" t="s">
        <v>79</v>
      </c>
      <c r="D521" t="s">
        <v>993</v>
      </c>
      <c r="E521" t="s">
        <v>994</v>
      </c>
      <c r="F521">
        <v>378.9</v>
      </c>
      <c r="G521">
        <v>378.7</v>
      </c>
      <c r="H521">
        <v>378.7</v>
      </c>
      <c r="I521">
        <v>371.85</v>
      </c>
      <c r="J521" s="1">
        <v>374.3</v>
      </c>
      <c r="K521">
        <v>62950563.200000003</v>
      </c>
      <c r="L521">
        <v>167699</v>
      </c>
      <c r="M521" t="s">
        <v>78</v>
      </c>
      <c r="N521" t="s">
        <v>17</v>
      </c>
      <c r="O521">
        <v>4880</v>
      </c>
      <c r="P521">
        <v>404.9</v>
      </c>
      <c r="Q521">
        <v>255.2</v>
      </c>
    </row>
    <row r="522" spans="2:17" x14ac:dyDescent="0.25">
      <c r="B522" t="s">
        <v>78</v>
      </c>
      <c r="C522" t="s">
        <v>79</v>
      </c>
      <c r="D522" t="s">
        <v>995</v>
      </c>
      <c r="E522" t="s">
        <v>996</v>
      </c>
      <c r="F522">
        <v>87.9</v>
      </c>
      <c r="G522">
        <v>86.5</v>
      </c>
      <c r="H522">
        <v>87.4</v>
      </c>
      <c r="I522">
        <v>85.8</v>
      </c>
      <c r="J522" s="1">
        <v>86</v>
      </c>
      <c r="K522">
        <v>1014234658</v>
      </c>
      <c r="L522">
        <v>11727934</v>
      </c>
      <c r="M522" t="s">
        <v>78</v>
      </c>
      <c r="N522" t="s">
        <v>17</v>
      </c>
      <c r="O522">
        <v>42605</v>
      </c>
      <c r="P522">
        <v>92.5</v>
      </c>
      <c r="Q522">
        <v>45.35</v>
      </c>
    </row>
    <row r="523" spans="2:17" x14ac:dyDescent="0.25">
      <c r="B523" t="s">
        <v>78</v>
      </c>
      <c r="C523" t="s">
        <v>79</v>
      </c>
      <c r="D523" t="s">
        <v>997</v>
      </c>
      <c r="E523" t="s">
        <v>998</v>
      </c>
      <c r="F523">
        <v>10.95</v>
      </c>
      <c r="G523">
        <v>10.95</v>
      </c>
      <c r="H523">
        <v>11.15</v>
      </c>
      <c r="I523">
        <v>10.8</v>
      </c>
      <c r="J523" s="1">
        <v>11</v>
      </c>
      <c r="K523">
        <v>10427418.15</v>
      </c>
      <c r="L523">
        <v>943907</v>
      </c>
      <c r="M523" t="s">
        <v>78</v>
      </c>
      <c r="N523" t="s">
        <v>17</v>
      </c>
      <c r="O523">
        <v>1036</v>
      </c>
      <c r="P523">
        <v>22.15</v>
      </c>
      <c r="Q523">
        <v>7.9</v>
      </c>
    </row>
    <row r="524" spans="2:17" x14ac:dyDescent="0.25">
      <c r="B524" t="s">
        <v>78</v>
      </c>
      <c r="C524" t="s">
        <v>79</v>
      </c>
      <c r="D524" t="s">
        <v>999</v>
      </c>
      <c r="E524" t="s">
        <v>998</v>
      </c>
      <c r="F524">
        <v>14.05</v>
      </c>
      <c r="G524">
        <v>13.6</v>
      </c>
      <c r="H524">
        <v>14.75</v>
      </c>
      <c r="I524">
        <v>13.6</v>
      </c>
      <c r="J524" s="1">
        <v>14.45</v>
      </c>
      <c r="K524">
        <v>748992.2</v>
      </c>
      <c r="L524">
        <v>52918</v>
      </c>
      <c r="M524" t="s">
        <v>78</v>
      </c>
      <c r="N524" t="s">
        <v>17</v>
      </c>
      <c r="O524">
        <v>209</v>
      </c>
      <c r="P524">
        <v>23.6</v>
      </c>
      <c r="Q524">
        <v>9.5</v>
      </c>
    </row>
    <row r="525" spans="2:17" x14ac:dyDescent="0.25">
      <c r="B525" t="s">
        <v>78</v>
      </c>
      <c r="C525" t="s">
        <v>287</v>
      </c>
      <c r="D525" t="s">
        <v>1000</v>
      </c>
      <c r="E525" t="s">
        <v>1001</v>
      </c>
      <c r="F525">
        <v>44.65</v>
      </c>
      <c r="G525">
        <v>44.55</v>
      </c>
      <c r="H525">
        <v>44.55</v>
      </c>
      <c r="I525">
        <v>42.55</v>
      </c>
      <c r="J525" s="1">
        <v>42.55</v>
      </c>
      <c r="K525">
        <v>526600</v>
      </c>
      <c r="L525">
        <v>12000</v>
      </c>
      <c r="M525" t="s">
        <v>78</v>
      </c>
      <c r="N525" t="s">
        <v>17</v>
      </c>
      <c r="O525">
        <v>3</v>
      </c>
      <c r="P525">
        <v>51.25</v>
      </c>
      <c r="Q525">
        <v>18.850000000000001</v>
      </c>
    </row>
    <row r="526" spans="2:17" x14ac:dyDescent="0.25">
      <c r="B526" t="s">
        <v>78</v>
      </c>
      <c r="C526" t="s">
        <v>79</v>
      </c>
      <c r="D526" t="s">
        <v>1002</v>
      </c>
      <c r="E526" t="s">
        <v>1003</v>
      </c>
      <c r="F526">
        <v>792.95</v>
      </c>
      <c r="G526">
        <v>789</v>
      </c>
      <c r="H526">
        <v>804.7</v>
      </c>
      <c r="I526">
        <v>781.3</v>
      </c>
      <c r="J526" s="1">
        <v>798.05</v>
      </c>
      <c r="K526">
        <v>28588027.75</v>
      </c>
      <c r="L526">
        <v>36016</v>
      </c>
      <c r="M526" t="s">
        <v>78</v>
      </c>
      <c r="N526" t="s">
        <v>17</v>
      </c>
      <c r="O526">
        <v>3990</v>
      </c>
      <c r="P526">
        <v>823</v>
      </c>
      <c r="Q526">
        <v>412.25</v>
      </c>
    </row>
    <row r="527" spans="2:17" x14ac:dyDescent="0.25">
      <c r="B527" t="s">
        <v>78</v>
      </c>
      <c r="C527" t="s">
        <v>79</v>
      </c>
      <c r="D527" t="s">
        <v>1004</v>
      </c>
      <c r="E527" t="s">
        <v>1005</v>
      </c>
      <c r="F527">
        <v>110.6</v>
      </c>
      <c r="G527">
        <v>107</v>
      </c>
      <c r="H527">
        <v>109.35</v>
      </c>
      <c r="I527">
        <v>105.3</v>
      </c>
      <c r="J527" s="1">
        <v>106.9</v>
      </c>
      <c r="K527">
        <v>259150210.59999999</v>
      </c>
      <c r="L527">
        <v>2414655</v>
      </c>
      <c r="M527" t="s">
        <v>78</v>
      </c>
      <c r="N527" t="s">
        <v>17</v>
      </c>
      <c r="O527">
        <v>12656</v>
      </c>
      <c r="P527">
        <v>118</v>
      </c>
      <c r="Q527">
        <v>21.95</v>
      </c>
    </row>
    <row r="528" spans="2:17" x14ac:dyDescent="0.25">
      <c r="B528" t="s">
        <v>78</v>
      </c>
      <c r="C528" t="s">
        <v>79</v>
      </c>
      <c r="D528" t="s">
        <v>1006</v>
      </c>
      <c r="E528" t="s">
        <v>1007</v>
      </c>
      <c r="F528">
        <v>538.70000000000005</v>
      </c>
      <c r="G528">
        <v>536</v>
      </c>
      <c r="H528">
        <v>546.65</v>
      </c>
      <c r="I528">
        <v>526.85</v>
      </c>
      <c r="J528" s="1">
        <v>531.75</v>
      </c>
      <c r="K528">
        <v>113159498.05</v>
      </c>
      <c r="L528">
        <v>210576</v>
      </c>
      <c r="M528" t="s">
        <v>78</v>
      </c>
      <c r="N528" t="s">
        <v>17</v>
      </c>
      <c r="O528">
        <v>8852</v>
      </c>
      <c r="P528">
        <v>557.70000000000005</v>
      </c>
      <c r="Q528">
        <v>255.5</v>
      </c>
    </row>
    <row r="529" spans="2:17" x14ac:dyDescent="0.25">
      <c r="B529" t="s">
        <v>78</v>
      </c>
      <c r="C529" t="s">
        <v>79</v>
      </c>
      <c r="D529" t="s">
        <v>1008</v>
      </c>
      <c r="E529" t="s">
        <v>1009</v>
      </c>
      <c r="F529">
        <v>2996.4</v>
      </c>
      <c r="G529">
        <v>2998</v>
      </c>
      <c r="H529">
        <v>3016.95</v>
      </c>
      <c r="I529">
        <v>2905.55</v>
      </c>
      <c r="J529" s="1">
        <v>2919.7</v>
      </c>
      <c r="K529">
        <v>83621567.849999994</v>
      </c>
      <c r="L529">
        <v>28323</v>
      </c>
      <c r="M529" t="s">
        <v>78</v>
      </c>
      <c r="N529" t="s">
        <v>17</v>
      </c>
      <c r="O529">
        <v>8149</v>
      </c>
      <c r="P529">
        <v>3568.8</v>
      </c>
      <c r="Q529">
        <v>2000</v>
      </c>
    </row>
    <row r="530" spans="2:17" x14ac:dyDescent="0.25">
      <c r="B530" t="s">
        <v>78</v>
      </c>
      <c r="C530" t="s">
        <v>79</v>
      </c>
      <c r="D530" t="s">
        <v>1010</v>
      </c>
      <c r="E530" t="s">
        <v>1011</v>
      </c>
      <c r="F530">
        <v>177.25</v>
      </c>
      <c r="G530">
        <v>177</v>
      </c>
      <c r="H530">
        <v>178</v>
      </c>
      <c r="I530">
        <v>175</v>
      </c>
      <c r="J530" s="1">
        <v>175.75</v>
      </c>
      <c r="K530">
        <v>99825055.849999994</v>
      </c>
      <c r="L530">
        <v>565255</v>
      </c>
      <c r="M530" t="s">
        <v>78</v>
      </c>
      <c r="N530" t="s">
        <v>17</v>
      </c>
      <c r="O530">
        <v>10317</v>
      </c>
      <c r="P530">
        <v>714.9</v>
      </c>
      <c r="Q530">
        <v>135.65</v>
      </c>
    </row>
    <row r="531" spans="2:17" x14ac:dyDescent="0.25">
      <c r="B531" t="s">
        <v>78</v>
      </c>
      <c r="C531" t="s">
        <v>79</v>
      </c>
      <c r="D531" t="s">
        <v>1012</v>
      </c>
      <c r="E531" t="s">
        <v>1013</v>
      </c>
      <c r="F531">
        <v>72.2</v>
      </c>
      <c r="G531">
        <v>72.7</v>
      </c>
      <c r="H531">
        <v>74.599999999999994</v>
      </c>
      <c r="I531">
        <v>72</v>
      </c>
      <c r="J531" s="1">
        <v>72.25</v>
      </c>
      <c r="K531">
        <v>9160844.5500000007</v>
      </c>
      <c r="L531">
        <v>125132</v>
      </c>
      <c r="M531" t="s">
        <v>78</v>
      </c>
      <c r="N531" t="s">
        <v>17</v>
      </c>
      <c r="O531">
        <v>1568</v>
      </c>
      <c r="P531">
        <v>160.4</v>
      </c>
      <c r="Q531">
        <v>46.5</v>
      </c>
    </row>
    <row r="532" spans="2:17" x14ac:dyDescent="0.25">
      <c r="B532" t="s">
        <v>78</v>
      </c>
      <c r="C532" t="s">
        <v>79</v>
      </c>
      <c r="D532" t="s">
        <v>1014</v>
      </c>
      <c r="E532" t="s">
        <v>1015</v>
      </c>
      <c r="F532">
        <v>1486.3</v>
      </c>
      <c r="G532">
        <v>1491</v>
      </c>
      <c r="H532">
        <v>1543.75</v>
      </c>
      <c r="I532">
        <v>1436.3</v>
      </c>
      <c r="J532" s="1">
        <v>1500.05</v>
      </c>
      <c r="K532">
        <v>301772456.35000002</v>
      </c>
      <c r="L532">
        <v>201161</v>
      </c>
      <c r="M532" t="s">
        <v>78</v>
      </c>
      <c r="N532" t="s">
        <v>17</v>
      </c>
      <c r="O532">
        <v>13809</v>
      </c>
      <c r="P532">
        <v>1543.75</v>
      </c>
      <c r="Q532">
        <v>367.1</v>
      </c>
    </row>
    <row r="533" spans="2:17" x14ac:dyDescent="0.25">
      <c r="B533" t="s">
        <v>78</v>
      </c>
      <c r="C533" t="s">
        <v>79</v>
      </c>
      <c r="D533" t="s">
        <v>1016</v>
      </c>
      <c r="E533" t="s">
        <v>1017</v>
      </c>
      <c r="F533">
        <v>307.7</v>
      </c>
      <c r="G533">
        <v>306</v>
      </c>
      <c r="H533">
        <v>307.5</v>
      </c>
      <c r="I533">
        <v>297.85000000000002</v>
      </c>
      <c r="J533" s="1">
        <v>301.2</v>
      </c>
      <c r="K533">
        <v>55014660.399999999</v>
      </c>
      <c r="L533">
        <v>181462</v>
      </c>
      <c r="M533" t="s">
        <v>78</v>
      </c>
      <c r="N533" t="s">
        <v>17</v>
      </c>
      <c r="O533">
        <v>6337</v>
      </c>
      <c r="P533">
        <v>465</v>
      </c>
      <c r="Q533">
        <v>246.1</v>
      </c>
    </row>
    <row r="534" spans="2:17" x14ac:dyDescent="0.25">
      <c r="B534" t="s">
        <v>78</v>
      </c>
      <c r="C534" t="s">
        <v>79</v>
      </c>
      <c r="D534" t="s">
        <v>1018</v>
      </c>
      <c r="E534" t="s">
        <v>1019</v>
      </c>
      <c r="F534">
        <v>18.600000000000001</v>
      </c>
      <c r="G534">
        <v>18.75</v>
      </c>
      <c r="H534">
        <v>18.899999999999999</v>
      </c>
      <c r="I534">
        <v>18.100000000000001</v>
      </c>
      <c r="J534" s="1">
        <v>18.45</v>
      </c>
      <c r="K534">
        <v>447035.4</v>
      </c>
      <c r="L534">
        <v>24060</v>
      </c>
      <c r="M534" t="s">
        <v>78</v>
      </c>
      <c r="N534" t="s">
        <v>17</v>
      </c>
      <c r="O534">
        <v>152</v>
      </c>
      <c r="P534">
        <v>29.3</v>
      </c>
      <c r="Q534">
        <v>11.55</v>
      </c>
    </row>
    <row r="535" spans="2:17" x14ac:dyDescent="0.25">
      <c r="B535" t="s">
        <v>78</v>
      </c>
      <c r="C535" t="s">
        <v>287</v>
      </c>
      <c r="D535" t="s">
        <v>1020</v>
      </c>
      <c r="E535" t="s">
        <v>1021</v>
      </c>
      <c r="F535">
        <v>51</v>
      </c>
      <c r="G535">
        <v>51.25</v>
      </c>
      <c r="H535">
        <v>51.8</v>
      </c>
      <c r="I535">
        <v>50.45</v>
      </c>
      <c r="J535" s="1">
        <v>51.6</v>
      </c>
      <c r="K535">
        <v>4782000</v>
      </c>
      <c r="L535">
        <v>93000</v>
      </c>
      <c r="M535" t="s">
        <v>78</v>
      </c>
      <c r="N535" t="s">
        <v>17</v>
      </c>
      <c r="O535">
        <v>31</v>
      </c>
      <c r="P535">
        <v>51.8</v>
      </c>
      <c r="Q535">
        <v>18.05</v>
      </c>
    </row>
    <row r="536" spans="2:17" x14ac:dyDescent="0.25">
      <c r="B536" t="s">
        <v>78</v>
      </c>
      <c r="C536" t="s">
        <v>79</v>
      </c>
      <c r="D536" t="s">
        <v>1022</v>
      </c>
      <c r="E536" t="s">
        <v>1023</v>
      </c>
      <c r="F536">
        <v>1541.65</v>
      </c>
      <c r="G536">
        <v>1525</v>
      </c>
      <c r="H536">
        <v>1588.85</v>
      </c>
      <c r="I536">
        <v>1520</v>
      </c>
      <c r="J536" s="1">
        <v>1550.4</v>
      </c>
      <c r="K536">
        <v>500220632.19999999</v>
      </c>
      <c r="L536">
        <v>322847</v>
      </c>
      <c r="M536" t="s">
        <v>78</v>
      </c>
      <c r="N536" t="s">
        <v>17</v>
      </c>
      <c r="O536">
        <v>20183</v>
      </c>
      <c r="P536">
        <v>1707</v>
      </c>
      <c r="Q536">
        <v>880</v>
      </c>
    </row>
    <row r="537" spans="2:17" x14ac:dyDescent="0.25">
      <c r="B537" t="s">
        <v>78</v>
      </c>
      <c r="C537" t="s">
        <v>79</v>
      </c>
      <c r="D537" t="s">
        <v>1024</v>
      </c>
      <c r="E537" t="s">
        <v>1025</v>
      </c>
      <c r="F537">
        <v>235.35</v>
      </c>
      <c r="G537">
        <v>234</v>
      </c>
      <c r="H537">
        <v>242.5</v>
      </c>
      <c r="I537">
        <v>231.75</v>
      </c>
      <c r="J537" s="1">
        <v>236.8</v>
      </c>
      <c r="K537">
        <v>759983936.64999998</v>
      </c>
      <c r="L537">
        <v>3195842</v>
      </c>
      <c r="M537" t="s">
        <v>78</v>
      </c>
      <c r="N537" t="s">
        <v>17</v>
      </c>
      <c r="O537">
        <v>30527</v>
      </c>
      <c r="P537">
        <v>253.9</v>
      </c>
      <c r="Q537">
        <v>123.2</v>
      </c>
    </row>
    <row r="538" spans="2:17" x14ac:dyDescent="0.25">
      <c r="B538" t="s">
        <v>78</v>
      </c>
      <c r="C538" t="s">
        <v>79</v>
      </c>
      <c r="D538" t="s">
        <v>1026</v>
      </c>
      <c r="E538" t="s">
        <v>1027</v>
      </c>
      <c r="F538">
        <v>1558.5</v>
      </c>
      <c r="G538">
        <v>1562.5</v>
      </c>
      <c r="H538">
        <v>1573.3</v>
      </c>
      <c r="I538">
        <v>1531.1</v>
      </c>
      <c r="J538" s="1">
        <v>1550.75</v>
      </c>
      <c r="K538">
        <v>2967421.25</v>
      </c>
      <c r="L538">
        <v>1916</v>
      </c>
      <c r="M538" t="s">
        <v>78</v>
      </c>
      <c r="N538" t="s">
        <v>17</v>
      </c>
      <c r="O538">
        <v>436</v>
      </c>
      <c r="P538">
        <v>1788.9</v>
      </c>
      <c r="Q538">
        <v>1017.05</v>
      </c>
    </row>
    <row r="539" spans="2:17" x14ac:dyDescent="0.25">
      <c r="B539" t="s">
        <v>78</v>
      </c>
      <c r="C539" t="s">
        <v>79</v>
      </c>
      <c r="D539" t="s">
        <v>1028</v>
      </c>
      <c r="E539" t="s">
        <v>1029</v>
      </c>
      <c r="F539">
        <v>63</v>
      </c>
      <c r="G539">
        <v>63</v>
      </c>
      <c r="H539">
        <v>63.95</v>
      </c>
      <c r="I539">
        <v>62.85</v>
      </c>
      <c r="J539" s="1">
        <v>63.35</v>
      </c>
      <c r="K539">
        <v>96808517.75</v>
      </c>
      <c r="L539">
        <v>1527653</v>
      </c>
      <c r="M539" t="s">
        <v>78</v>
      </c>
      <c r="N539" t="s">
        <v>17</v>
      </c>
      <c r="O539">
        <v>7183</v>
      </c>
      <c r="P539">
        <v>167.9</v>
      </c>
      <c r="Q539">
        <v>40.549999999999997</v>
      </c>
    </row>
    <row r="540" spans="2:17" x14ac:dyDescent="0.25">
      <c r="B540" t="s">
        <v>78</v>
      </c>
      <c r="C540" t="s">
        <v>79</v>
      </c>
      <c r="D540" t="s">
        <v>1030</v>
      </c>
      <c r="E540" t="s">
        <v>1031</v>
      </c>
      <c r="F540">
        <v>229.7</v>
      </c>
      <c r="G540">
        <v>224.8</v>
      </c>
      <c r="H540">
        <v>242.85</v>
      </c>
      <c r="I540">
        <v>222.25</v>
      </c>
      <c r="J540" s="1">
        <v>227</v>
      </c>
      <c r="K540">
        <v>4783192421.8500004</v>
      </c>
      <c r="L540">
        <v>20459802</v>
      </c>
      <c r="M540" t="s">
        <v>78</v>
      </c>
      <c r="N540" t="s">
        <v>17</v>
      </c>
      <c r="O540">
        <v>179143</v>
      </c>
      <c r="P540">
        <v>242.85</v>
      </c>
      <c r="Q540">
        <v>41.15</v>
      </c>
    </row>
    <row r="541" spans="2:17" x14ac:dyDescent="0.25">
      <c r="B541" t="s">
        <v>78</v>
      </c>
      <c r="C541" t="s">
        <v>79</v>
      </c>
      <c r="D541" t="s">
        <v>1032</v>
      </c>
      <c r="E541" t="s">
        <v>1033</v>
      </c>
      <c r="F541">
        <v>129.55000000000001</v>
      </c>
      <c r="G541">
        <v>128.25</v>
      </c>
      <c r="H541">
        <v>129.30000000000001</v>
      </c>
      <c r="I541">
        <v>123.15</v>
      </c>
      <c r="J541" s="1">
        <v>125.4</v>
      </c>
      <c r="K541">
        <v>54699332.549999997</v>
      </c>
      <c r="L541">
        <v>430768</v>
      </c>
      <c r="M541" t="s">
        <v>78</v>
      </c>
      <c r="N541" t="s">
        <v>17</v>
      </c>
      <c r="O541">
        <v>6164</v>
      </c>
      <c r="P541">
        <v>134.94999999999999</v>
      </c>
      <c r="Q541">
        <v>81.2</v>
      </c>
    </row>
    <row r="542" spans="2:17" x14ac:dyDescent="0.25">
      <c r="B542" t="s">
        <v>78</v>
      </c>
      <c r="C542" t="s">
        <v>79</v>
      </c>
      <c r="D542" t="s">
        <v>1034</v>
      </c>
      <c r="E542" t="s">
        <v>1035</v>
      </c>
      <c r="F542">
        <v>186.35</v>
      </c>
      <c r="G542">
        <v>185</v>
      </c>
      <c r="H542">
        <v>188.8</v>
      </c>
      <c r="I542">
        <v>181.1</v>
      </c>
      <c r="J542" s="1">
        <v>183.3</v>
      </c>
      <c r="K542">
        <v>76854328.099999994</v>
      </c>
      <c r="L542">
        <v>414123</v>
      </c>
      <c r="M542" t="s">
        <v>78</v>
      </c>
      <c r="N542" t="s">
        <v>17</v>
      </c>
      <c r="O542">
        <v>10808</v>
      </c>
      <c r="P542">
        <v>226.2</v>
      </c>
      <c r="Q542">
        <v>103.6</v>
      </c>
    </row>
    <row r="543" spans="2:17" x14ac:dyDescent="0.25">
      <c r="B543" t="s">
        <v>78</v>
      </c>
      <c r="C543" t="s">
        <v>79</v>
      </c>
      <c r="D543" t="s">
        <v>1036</v>
      </c>
      <c r="E543" t="s">
        <v>1037</v>
      </c>
      <c r="F543">
        <v>3138.75</v>
      </c>
      <c r="G543">
        <v>3130</v>
      </c>
      <c r="H543">
        <v>3130.6</v>
      </c>
      <c r="I543">
        <v>3051</v>
      </c>
      <c r="J543" s="1">
        <v>3104.5</v>
      </c>
      <c r="K543">
        <v>62410788.649999999</v>
      </c>
      <c r="L543">
        <v>20097</v>
      </c>
      <c r="M543" t="s">
        <v>78</v>
      </c>
      <c r="N543" t="s">
        <v>17</v>
      </c>
      <c r="O543">
        <v>4901</v>
      </c>
      <c r="P543">
        <v>3294.7</v>
      </c>
      <c r="Q543">
        <v>1537</v>
      </c>
    </row>
    <row r="544" spans="2:17" x14ac:dyDescent="0.25">
      <c r="B544" t="s">
        <v>78</v>
      </c>
      <c r="C544" t="s">
        <v>79</v>
      </c>
      <c r="D544" t="s">
        <v>1038</v>
      </c>
      <c r="E544" t="s">
        <v>1039</v>
      </c>
      <c r="F544">
        <v>79.95</v>
      </c>
      <c r="G544">
        <v>78.150000000000006</v>
      </c>
      <c r="H544">
        <v>80.650000000000006</v>
      </c>
      <c r="I544">
        <v>77.5</v>
      </c>
      <c r="J544" s="1">
        <v>78</v>
      </c>
      <c r="K544">
        <v>7250138.25</v>
      </c>
      <c r="L544">
        <v>91660</v>
      </c>
      <c r="M544" t="s">
        <v>78</v>
      </c>
      <c r="N544" t="s">
        <v>17</v>
      </c>
      <c r="O544">
        <v>1438</v>
      </c>
      <c r="P544">
        <v>88</v>
      </c>
      <c r="Q544">
        <v>28.35</v>
      </c>
    </row>
    <row r="545" spans="2:17" x14ac:dyDescent="0.25">
      <c r="B545" t="s">
        <v>78</v>
      </c>
      <c r="C545" t="s">
        <v>79</v>
      </c>
      <c r="D545" t="s">
        <v>1040</v>
      </c>
      <c r="E545" t="s">
        <v>1041</v>
      </c>
      <c r="F545">
        <v>56.6</v>
      </c>
      <c r="G545">
        <v>55.9</v>
      </c>
      <c r="H545">
        <v>57.45</v>
      </c>
      <c r="I545">
        <v>54.6</v>
      </c>
      <c r="J545" s="1">
        <v>56.6</v>
      </c>
      <c r="K545">
        <v>3838190.15</v>
      </c>
      <c r="L545">
        <v>67946</v>
      </c>
      <c r="M545" t="s">
        <v>78</v>
      </c>
      <c r="N545" t="s">
        <v>17</v>
      </c>
      <c r="O545">
        <v>1015</v>
      </c>
      <c r="P545">
        <v>62</v>
      </c>
      <c r="Q545">
        <v>25.3</v>
      </c>
    </row>
    <row r="546" spans="2:17" x14ac:dyDescent="0.25">
      <c r="B546" t="s">
        <v>78</v>
      </c>
      <c r="C546" t="s">
        <v>79</v>
      </c>
      <c r="D546" t="s">
        <v>1042</v>
      </c>
      <c r="E546" t="s">
        <v>1043</v>
      </c>
      <c r="F546">
        <v>2.2999999999999998</v>
      </c>
      <c r="G546">
        <v>2.2000000000000002</v>
      </c>
      <c r="H546">
        <v>2.4</v>
      </c>
      <c r="I546">
        <v>2.2000000000000002</v>
      </c>
      <c r="J546" s="1">
        <v>2.4</v>
      </c>
      <c r="K546">
        <v>37572032.350000001</v>
      </c>
      <c r="L546">
        <v>16300195</v>
      </c>
      <c r="M546" t="s">
        <v>78</v>
      </c>
      <c r="N546" t="s">
        <v>17</v>
      </c>
      <c r="O546">
        <v>3687</v>
      </c>
      <c r="P546">
        <v>2.9</v>
      </c>
      <c r="Q546">
        <v>0.55000000000000004</v>
      </c>
    </row>
    <row r="547" spans="2:17" x14ac:dyDescent="0.25">
      <c r="B547" t="s">
        <v>78</v>
      </c>
      <c r="C547" t="s">
        <v>79</v>
      </c>
      <c r="D547" t="s">
        <v>1044</v>
      </c>
      <c r="E547" t="s">
        <v>1045</v>
      </c>
      <c r="F547">
        <v>453.5</v>
      </c>
      <c r="G547">
        <v>445.5</v>
      </c>
      <c r="H547">
        <v>474</v>
      </c>
      <c r="I547">
        <v>445.5</v>
      </c>
      <c r="J547" s="1">
        <v>458.5</v>
      </c>
      <c r="K547">
        <v>35343642.850000001</v>
      </c>
      <c r="L547">
        <v>76782</v>
      </c>
      <c r="M547" t="s">
        <v>78</v>
      </c>
      <c r="N547" t="s">
        <v>17</v>
      </c>
      <c r="O547">
        <v>7012</v>
      </c>
      <c r="P547">
        <v>474</v>
      </c>
      <c r="Q547">
        <v>182</v>
      </c>
    </row>
    <row r="548" spans="2:17" x14ac:dyDescent="0.25">
      <c r="B548" t="s">
        <v>78</v>
      </c>
      <c r="C548" t="s">
        <v>79</v>
      </c>
      <c r="D548" t="s">
        <v>1046</v>
      </c>
      <c r="E548" t="s">
        <v>1047</v>
      </c>
      <c r="F548">
        <v>508.3</v>
      </c>
      <c r="G548">
        <v>501.3</v>
      </c>
      <c r="H548">
        <v>509.9</v>
      </c>
      <c r="I548">
        <v>496.95</v>
      </c>
      <c r="J548" s="1">
        <v>501.75</v>
      </c>
      <c r="K548">
        <v>15342155</v>
      </c>
      <c r="L548">
        <v>30624</v>
      </c>
      <c r="M548" t="s">
        <v>78</v>
      </c>
      <c r="N548" t="s">
        <v>17</v>
      </c>
      <c r="O548">
        <v>1540</v>
      </c>
      <c r="P548">
        <v>688.5</v>
      </c>
      <c r="Q548">
        <v>214</v>
      </c>
    </row>
    <row r="549" spans="2:17" x14ac:dyDescent="0.25">
      <c r="B549" t="s">
        <v>78</v>
      </c>
      <c r="C549" t="s">
        <v>79</v>
      </c>
      <c r="D549" t="s">
        <v>1048</v>
      </c>
      <c r="E549" t="s">
        <v>1049</v>
      </c>
      <c r="F549">
        <v>107.95</v>
      </c>
      <c r="G549">
        <v>107.95</v>
      </c>
      <c r="H549">
        <v>108</v>
      </c>
      <c r="I549">
        <v>105.35</v>
      </c>
      <c r="J549" s="1">
        <v>105.8</v>
      </c>
      <c r="K549">
        <v>4677279.5</v>
      </c>
      <c r="L549">
        <v>44208</v>
      </c>
      <c r="M549" t="s">
        <v>78</v>
      </c>
      <c r="N549" t="s">
        <v>17</v>
      </c>
      <c r="O549">
        <v>254</v>
      </c>
      <c r="P549">
        <v>108.8</v>
      </c>
      <c r="Q549">
        <v>97</v>
      </c>
    </row>
    <row r="550" spans="2:17" x14ac:dyDescent="0.25">
      <c r="B550" t="s">
        <v>78</v>
      </c>
      <c r="C550" t="s">
        <v>79</v>
      </c>
      <c r="D550" t="s">
        <v>1050</v>
      </c>
      <c r="E550" t="s">
        <v>1051</v>
      </c>
      <c r="F550">
        <v>90.95</v>
      </c>
      <c r="G550">
        <v>99</v>
      </c>
      <c r="H550">
        <v>99</v>
      </c>
      <c r="I550">
        <v>91</v>
      </c>
      <c r="J550" s="1">
        <v>93.7</v>
      </c>
      <c r="K550">
        <v>14510354.050000001</v>
      </c>
      <c r="L550">
        <v>150173</v>
      </c>
      <c r="M550" t="s">
        <v>78</v>
      </c>
      <c r="N550" t="s">
        <v>17</v>
      </c>
      <c r="O550">
        <v>2882</v>
      </c>
      <c r="P550">
        <v>99</v>
      </c>
      <c r="Q550">
        <v>28.9</v>
      </c>
    </row>
    <row r="551" spans="2:17" x14ac:dyDescent="0.25">
      <c r="B551" t="s">
        <v>78</v>
      </c>
      <c r="C551" t="s">
        <v>79</v>
      </c>
      <c r="D551" t="s">
        <v>1052</v>
      </c>
      <c r="E551" t="s">
        <v>1053</v>
      </c>
      <c r="F551">
        <v>3333.45</v>
      </c>
      <c r="G551">
        <v>3330</v>
      </c>
      <c r="H551">
        <v>3383.45</v>
      </c>
      <c r="I551">
        <v>3302.2</v>
      </c>
      <c r="J551" s="1">
        <v>3353.15</v>
      </c>
      <c r="K551">
        <v>40761373.950000003</v>
      </c>
      <c r="L551">
        <v>12209</v>
      </c>
      <c r="M551" t="s">
        <v>78</v>
      </c>
      <c r="N551" t="s">
        <v>17</v>
      </c>
      <c r="O551">
        <v>3321</v>
      </c>
      <c r="P551">
        <v>3644.7</v>
      </c>
      <c r="Q551">
        <v>1520.05</v>
      </c>
    </row>
    <row r="552" spans="2:17" x14ac:dyDescent="0.25">
      <c r="B552" t="s">
        <v>78</v>
      </c>
      <c r="C552" t="s">
        <v>79</v>
      </c>
      <c r="D552" t="s">
        <v>1054</v>
      </c>
      <c r="E552" t="s">
        <v>1055</v>
      </c>
      <c r="F552">
        <v>163.1</v>
      </c>
      <c r="G552">
        <v>163</v>
      </c>
      <c r="H552">
        <v>168.95</v>
      </c>
      <c r="I552">
        <v>162</v>
      </c>
      <c r="J552" s="1">
        <v>166.9</v>
      </c>
      <c r="K552">
        <v>281887617</v>
      </c>
      <c r="L552">
        <v>1691575</v>
      </c>
      <c r="M552" t="s">
        <v>78</v>
      </c>
      <c r="N552" t="s">
        <v>17</v>
      </c>
      <c r="O552">
        <v>17205</v>
      </c>
      <c r="P552">
        <v>179.95</v>
      </c>
      <c r="Q552">
        <v>41.75</v>
      </c>
    </row>
    <row r="553" spans="2:17" x14ac:dyDescent="0.25">
      <c r="B553" t="s">
        <v>78</v>
      </c>
      <c r="C553" t="s">
        <v>79</v>
      </c>
      <c r="D553" t="s">
        <v>1056</v>
      </c>
      <c r="E553" t="s">
        <v>1057</v>
      </c>
      <c r="F553">
        <v>39.700000000000003</v>
      </c>
      <c r="G553">
        <v>38.9</v>
      </c>
      <c r="H553">
        <v>42</v>
      </c>
      <c r="I553">
        <v>38.15</v>
      </c>
      <c r="J553" s="1">
        <v>40.85</v>
      </c>
      <c r="K553">
        <v>328294473.25</v>
      </c>
      <c r="L553">
        <v>8043854</v>
      </c>
      <c r="M553" t="s">
        <v>78</v>
      </c>
      <c r="N553" t="s">
        <v>17</v>
      </c>
      <c r="O553">
        <v>18006</v>
      </c>
      <c r="P553">
        <v>48.65</v>
      </c>
      <c r="Q553">
        <v>15.2</v>
      </c>
    </row>
    <row r="554" spans="2:17" x14ac:dyDescent="0.25">
      <c r="B554" t="s">
        <v>78</v>
      </c>
      <c r="C554" t="s">
        <v>79</v>
      </c>
      <c r="D554" t="s">
        <v>1058</v>
      </c>
      <c r="E554" t="s">
        <v>1059</v>
      </c>
      <c r="F554">
        <v>184.9</v>
      </c>
      <c r="G554">
        <v>180.9</v>
      </c>
      <c r="H554">
        <v>184.3</v>
      </c>
      <c r="I554">
        <v>175.1</v>
      </c>
      <c r="J554" s="1">
        <v>178.7</v>
      </c>
      <c r="K554">
        <v>18249124.100000001</v>
      </c>
      <c r="L554">
        <v>101324</v>
      </c>
      <c r="M554" t="s">
        <v>78</v>
      </c>
      <c r="N554" t="s">
        <v>17</v>
      </c>
      <c r="O554">
        <v>4049</v>
      </c>
      <c r="P554">
        <v>188.8</v>
      </c>
      <c r="Q554">
        <v>60.35</v>
      </c>
    </row>
    <row r="555" spans="2:17" x14ac:dyDescent="0.25">
      <c r="B555" t="s">
        <v>78</v>
      </c>
      <c r="C555" t="s">
        <v>79</v>
      </c>
      <c r="D555" t="s">
        <v>1060</v>
      </c>
      <c r="E555" t="s">
        <v>1061</v>
      </c>
      <c r="F555">
        <v>90.5</v>
      </c>
      <c r="G555">
        <v>91.15</v>
      </c>
      <c r="H555">
        <v>91.15</v>
      </c>
      <c r="I555">
        <v>88.5</v>
      </c>
      <c r="J555" s="1">
        <v>89.45</v>
      </c>
      <c r="K555">
        <v>2435808.7000000002</v>
      </c>
      <c r="L555">
        <v>27237</v>
      </c>
      <c r="M555" t="s">
        <v>78</v>
      </c>
      <c r="N555" t="s">
        <v>17</v>
      </c>
      <c r="O555">
        <v>354</v>
      </c>
      <c r="P555">
        <v>106</v>
      </c>
      <c r="Q555">
        <v>69.95</v>
      </c>
    </row>
    <row r="556" spans="2:17" x14ac:dyDescent="0.25">
      <c r="B556" t="s">
        <v>78</v>
      </c>
      <c r="C556" t="s">
        <v>79</v>
      </c>
      <c r="D556" t="s">
        <v>1062</v>
      </c>
      <c r="E556" t="s">
        <v>1063</v>
      </c>
      <c r="F556">
        <v>52.9</v>
      </c>
      <c r="G556">
        <v>50.45</v>
      </c>
      <c r="H556">
        <v>58</v>
      </c>
      <c r="I556">
        <v>50</v>
      </c>
      <c r="J556" s="1">
        <v>51.25</v>
      </c>
      <c r="K556">
        <v>31539007.800000001</v>
      </c>
      <c r="L556">
        <v>577869</v>
      </c>
      <c r="M556" t="s">
        <v>78</v>
      </c>
      <c r="N556" t="s">
        <v>17</v>
      </c>
      <c r="O556">
        <v>7723</v>
      </c>
      <c r="P556">
        <v>68</v>
      </c>
      <c r="Q556">
        <v>41.1</v>
      </c>
    </row>
    <row r="557" spans="2:17" x14ac:dyDescent="0.25">
      <c r="B557" t="s">
        <v>78</v>
      </c>
      <c r="C557" t="s">
        <v>79</v>
      </c>
      <c r="D557" t="s">
        <v>1064</v>
      </c>
      <c r="E557" t="s">
        <v>1065</v>
      </c>
      <c r="F557">
        <v>174.6</v>
      </c>
      <c r="G557">
        <v>167</v>
      </c>
      <c r="H557">
        <v>171.95</v>
      </c>
      <c r="I557">
        <v>165.9</v>
      </c>
      <c r="J557" s="1">
        <v>165.9</v>
      </c>
      <c r="K557">
        <v>3281826</v>
      </c>
      <c r="L557">
        <v>19666</v>
      </c>
      <c r="M557" t="s">
        <v>78</v>
      </c>
      <c r="N557" t="s">
        <v>17</v>
      </c>
      <c r="O557">
        <v>387</v>
      </c>
      <c r="P557">
        <v>188.7</v>
      </c>
      <c r="Q557">
        <v>27.5</v>
      </c>
    </row>
    <row r="558" spans="2:17" x14ac:dyDescent="0.25">
      <c r="B558" t="s">
        <v>78</v>
      </c>
      <c r="C558" t="s">
        <v>79</v>
      </c>
      <c r="D558" t="s">
        <v>1066</v>
      </c>
      <c r="E558" t="s">
        <v>1067</v>
      </c>
      <c r="F558">
        <v>12.45</v>
      </c>
      <c r="G558">
        <v>12.45</v>
      </c>
      <c r="H558">
        <v>12.6</v>
      </c>
      <c r="I558">
        <v>12</v>
      </c>
      <c r="J558" s="1">
        <v>12.25</v>
      </c>
      <c r="K558">
        <v>6158491</v>
      </c>
      <c r="L558">
        <v>504472</v>
      </c>
      <c r="M558" t="s">
        <v>78</v>
      </c>
      <c r="N558" t="s">
        <v>17</v>
      </c>
      <c r="O558">
        <v>1307</v>
      </c>
      <c r="P558">
        <v>14.7</v>
      </c>
      <c r="Q558">
        <v>4.4000000000000004</v>
      </c>
    </row>
    <row r="559" spans="2:17" x14ac:dyDescent="0.25">
      <c r="B559" t="s">
        <v>78</v>
      </c>
      <c r="C559" t="s">
        <v>79</v>
      </c>
      <c r="D559" t="s">
        <v>1068</v>
      </c>
      <c r="E559" t="s">
        <v>1069</v>
      </c>
      <c r="F559">
        <v>71.349999999999994</v>
      </c>
      <c r="G559">
        <v>70.400000000000006</v>
      </c>
      <c r="H559">
        <v>72.5</v>
      </c>
      <c r="I559">
        <v>70.3</v>
      </c>
      <c r="J559" s="1">
        <v>70.8</v>
      </c>
      <c r="K559">
        <v>63307765.600000001</v>
      </c>
      <c r="L559">
        <v>883872</v>
      </c>
      <c r="M559" t="s">
        <v>78</v>
      </c>
      <c r="N559" t="s">
        <v>17</v>
      </c>
      <c r="O559">
        <v>7020</v>
      </c>
      <c r="P559">
        <v>76.95</v>
      </c>
      <c r="Q559">
        <v>21.1</v>
      </c>
    </row>
    <row r="560" spans="2:17" x14ac:dyDescent="0.25">
      <c r="B560" t="s">
        <v>78</v>
      </c>
      <c r="C560" t="s">
        <v>79</v>
      </c>
      <c r="D560" t="s">
        <v>1070</v>
      </c>
      <c r="E560" t="s">
        <v>1071</v>
      </c>
      <c r="F560">
        <v>96.75</v>
      </c>
      <c r="G560">
        <v>94.75</v>
      </c>
      <c r="H560">
        <v>101</v>
      </c>
      <c r="I560">
        <v>93.2</v>
      </c>
      <c r="J560" s="1">
        <v>95.65</v>
      </c>
      <c r="K560">
        <v>309672200.5</v>
      </c>
      <c r="L560">
        <v>3178102</v>
      </c>
      <c r="M560" t="s">
        <v>78</v>
      </c>
      <c r="N560" t="s">
        <v>183</v>
      </c>
      <c r="O560">
        <v>20815</v>
      </c>
      <c r="P560">
        <v>102.7</v>
      </c>
      <c r="Q560">
        <v>33.950000000000003</v>
      </c>
    </row>
    <row r="561" spans="2:17" x14ac:dyDescent="0.25">
      <c r="B561" t="s">
        <v>78</v>
      </c>
      <c r="C561" t="s">
        <v>79</v>
      </c>
      <c r="D561" t="s">
        <v>1072</v>
      </c>
      <c r="E561" t="s">
        <v>1073</v>
      </c>
      <c r="F561">
        <v>336.8</v>
      </c>
      <c r="G561">
        <v>336.9</v>
      </c>
      <c r="H561">
        <v>339.95</v>
      </c>
      <c r="I561">
        <v>330</v>
      </c>
      <c r="J561" s="1">
        <v>331.65</v>
      </c>
      <c r="K561">
        <v>33502222.649999999</v>
      </c>
      <c r="L561">
        <v>100026</v>
      </c>
      <c r="M561" t="s">
        <v>78</v>
      </c>
      <c r="N561" t="s">
        <v>17</v>
      </c>
      <c r="O561">
        <v>3788</v>
      </c>
      <c r="P561">
        <v>530.35</v>
      </c>
      <c r="Q561">
        <v>177.1</v>
      </c>
    </row>
    <row r="562" spans="2:17" x14ac:dyDescent="0.25">
      <c r="B562" t="s">
        <v>78</v>
      </c>
      <c r="C562" t="s">
        <v>79</v>
      </c>
      <c r="D562" t="s">
        <v>1074</v>
      </c>
      <c r="E562" t="s">
        <v>1075</v>
      </c>
      <c r="F562">
        <v>380.4</v>
      </c>
      <c r="G562">
        <v>381</v>
      </c>
      <c r="H562">
        <v>385</v>
      </c>
      <c r="I562">
        <v>378.05</v>
      </c>
      <c r="J562" s="1">
        <v>382.2</v>
      </c>
      <c r="K562">
        <v>126736769.55</v>
      </c>
      <c r="L562">
        <v>331681</v>
      </c>
      <c r="M562" t="s">
        <v>78</v>
      </c>
      <c r="N562" t="s">
        <v>17</v>
      </c>
      <c r="O562">
        <v>12614</v>
      </c>
      <c r="P562">
        <v>445</v>
      </c>
      <c r="Q562">
        <v>209</v>
      </c>
    </row>
    <row r="563" spans="2:17" x14ac:dyDescent="0.25">
      <c r="B563" t="s">
        <v>78</v>
      </c>
      <c r="C563" t="s">
        <v>79</v>
      </c>
      <c r="D563" t="s">
        <v>1076</v>
      </c>
      <c r="E563" t="s">
        <v>1077</v>
      </c>
      <c r="F563">
        <v>138.1</v>
      </c>
      <c r="G563">
        <v>137.85</v>
      </c>
      <c r="H563">
        <v>137.85</v>
      </c>
      <c r="I563">
        <v>128</v>
      </c>
      <c r="J563" s="1">
        <v>135.35</v>
      </c>
      <c r="K563">
        <v>22170954.25</v>
      </c>
      <c r="L563">
        <v>162915</v>
      </c>
      <c r="M563" t="s">
        <v>78</v>
      </c>
      <c r="N563" t="s">
        <v>17</v>
      </c>
      <c r="O563">
        <v>2661</v>
      </c>
      <c r="P563">
        <v>153.80000000000001</v>
      </c>
      <c r="Q563">
        <v>80</v>
      </c>
    </row>
    <row r="564" spans="2:17" x14ac:dyDescent="0.25">
      <c r="B564" t="s">
        <v>78</v>
      </c>
      <c r="C564" t="s">
        <v>79</v>
      </c>
      <c r="D564" t="s">
        <v>1078</v>
      </c>
      <c r="E564" t="s">
        <v>1079</v>
      </c>
      <c r="F564">
        <v>67.599999999999994</v>
      </c>
      <c r="G564">
        <v>67</v>
      </c>
      <c r="H564">
        <v>67.8</v>
      </c>
      <c r="I564">
        <v>66.099999999999994</v>
      </c>
      <c r="J564" s="1">
        <v>66.400000000000006</v>
      </c>
      <c r="K564">
        <v>9460199.75</v>
      </c>
      <c r="L564">
        <v>141793</v>
      </c>
      <c r="M564" t="s">
        <v>78</v>
      </c>
      <c r="N564" t="s">
        <v>17</v>
      </c>
      <c r="O564">
        <v>2378</v>
      </c>
      <c r="P564">
        <v>118</v>
      </c>
      <c r="Q564">
        <v>64.5</v>
      </c>
    </row>
    <row r="565" spans="2:17" x14ac:dyDescent="0.25">
      <c r="B565" t="s">
        <v>78</v>
      </c>
      <c r="C565" t="s">
        <v>79</v>
      </c>
      <c r="D565" t="s">
        <v>1080</v>
      </c>
      <c r="E565" t="s">
        <v>1081</v>
      </c>
      <c r="F565">
        <v>319.7</v>
      </c>
      <c r="G565">
        <v>316</v>
      </c>
      <c r="H565">
        <v>317.39999999999998</v>
      </c>
      <c r="I565">
        <v>308.10000000000002</v>
      </c>
      <c r="J565" s="1">
        <v>310.7</v>
      </c>
      <c r="K565">
        <v>68387764.5</v>
      </c>
      <c r="L565">
        <v>218780</v>
      </c>
      <c r="M565" t="s">
        <v>78</v>
      </c>
      <c r="N565" t="s">
        <v>17</v>
      </c>
      <c r="O565">
        <v>4673</v>
      </c>
      <c r="P565">
        <v>321.8</v>
      </c>
      <c r="Q565">
        <v>135.25</v>
      </c>
    </row>
    <row r="566" spans="2:17" x14ac:dyDescent="0.25">
      <c r="B566" t="s">
        <v>78</v>
      </c>
      <c r="C566" t="s">
        <v>79</v>
      </c>
      <c r="D566" t="s">
        <v>1082</v>
      </c>
      <c r="E566" t="s">
        <v>1083</v>
      </c>
      <c r="F566">
        <v>185.8</v>
      </c>
      <c r="G566">
        <v>184.7</v>
      </c>
      <c r="H566">
        <v>187.15</v>
      </c>
      <c r="I566">
        <v>181.5</v>
      </c>
      <c r="J566" s="1">
        <v>181.95</v>
      </c>
      <c r="K566">
        <v>65012482.5</v>
      </c>
      <c r="L566">
        <v>353042</v>
      </c>
      <c r="M566" t="s">
        <v>78</v>
      </c>
      <c r="N566" t="s">
        <v>17</v>
      </c>
      <c r="O566">
        <v>5824</v>
      </c>
      <c r="P566">
        <v>197.25</v>
      </c>
      <c r="Q566">
        <v>87.05</v>
      </c>
    </row>
    <row r="567" spans="2:17" x14ac:dyDescent="0.25">
      <c r="B567" t="s">
        <v>78</v>
      </c>
      <c r="C567" t="s">
        <v>79</v>
      </c>
      <c r="D567" t="s">
        <v>1084</v>
      </c>
      <c r="E567" t="s">
        <v>1085</v>
      </c>
      <c r="F567">
        <v>62.25</v>
      </c>
      <c r="G567">
        <v>62.25</v>
      </c>
      <c r="H567">
        <v>62.5</v>
      </c>
      <c r="I567">
        <v>60</v>
      </c>
      <c r="J567" s="1">
        <v>60.35</v>
      </c>
      <c r="K567">
        <v>623545.85</v>
      </c>
      <c r="L567">
        <v>10196</v>
      </c>
      <c r="M567" t="s">
        <v>78</v>
      </c>
      <c r="N567" t="s">
        <v>17</v>
      </c>
      <c r="O567">
        <v>174</v>
      </c>
      <c r="P567">
        <v>64.3</v>
      </c>
      <c r="Q567">
        <v>25.6</v>
      </c>
    </row>
    <row r="568" spans="2:17" x14ac:dyDescent="0.25">
      <c r="B568" t="s">
        <v>78</v>
      </c>
      <c r="C568" t="s">
        <v>79</v>
      </c>
      <c r="D568" t="s">
        <v>1086</v>
      </c>
      <c r="E568" t="s">
        <v>1087</v>
      </c>
      <c r="F568">
        <v>6020.45</v>
      </c>
      <c r="G568">
        <v>5953</v>
      </c>
      <c r="H568">
        <v>6249</v>
      </c>
      <c r="I568">
        <v>5953</v>
      </c>
      <c r="J568" s="1">
        <v>6083.5</v>
      </c>
      <c r="K568">
        <v>227969472.69999999</v>
      </c>
      <c r="L568">
        <v>37108</v>
      </c>
      <c r="M568" t="s">
        <v>78</v>
      </c>
      <c r="N568" t="s">
        <v>17</v>
      </c>
      <c r="O568">
        <v>6101</v>
      </c>
      <c r="P568">
        <v>6249</v>
      </c>
      <c r="Q568">
        <v>4941</v>
      </c>
    </row>
    <row r="569" spans="2:17" x14ac:dyDescent="0.25">
      <c r="B569" t="s">
        <v>78</v>
      </c>
      <c r="C569" t="s">
        <v>79</v>
      </c>
      <c r="D569" t="s">
        <v>1088</v>
      </c>
      <c r="E569" t="s">
        <v>1089</v>
      </c>
      <c r="F569">
        <v>37.549999999999997</v>
      </c>
      <c r="G569">
        <v>38.9</v>
      </c>
      <c r="H569">
        <v>41.3</v>
      </c>
      <c r="I569">
        <v>37.049999999999997</v>
      </c>
      <c r="J569" s="1">
        <v>41.2</v>
      </c>
      <c r="K569">
        <v>62050051.549999997</v>
      </c>
      <c r="L569">
        <v>1525459</v>
      </c>
      <c r="M569" t="s">
        <v>78</v>
      </c>
      <c r="N569" t="s">
        <v>17</v>
      </c>
      <c r="O569">
        <v>4466</v>
      </c>
      <c r="P569">
        <v>41.3</v>
      </c>
      <c r="Q569">
        <v>10.7</v>
      </c>
    </row>
    <row r="570" spans="2:17" x14ac:dyDescent="0.25">
      <c r="B570" t="s">
        <v>78</v>
      </c>
      <c r="C570" t="s">
        <v>79</v>
      </c>
      <c r="D570" t="s">
        <v>1090</v>
      </c>
      <c r="E570" t="s">
        <v>1091</v>
      </c>
      <c r="F570">
        <v>91.05</v>
      </c>
      <c r="G570">
        <v>92.25</v>
      </c>
      <c r="H570">
        <v>97.9</v>
      </c>
      <c r="I570">
        <v>92.1</v>
      </c>
      <c r="J570" s="1">
        <v>95.05</v>
      </c>
      <c r="K570">
        <v>714361854.95000005</v>
      </c>
      <c r="L570">
        <v>7445036</v>
      </c>
      <c r="M570" t="s">
        <v>78</v>
      </c>
      <c r="N570" t="s">
        <v>17</v>
      </c>
      <c r="O570">
        <v>52538</v>
      </c>
      <c r="P570">
        <v>97.9</v>
      </c>
      <c r="Q570">
        <v>65</v>
      </c>
    </row>
    <row r="571" spans="2:17" x14ac:dyDescent="0.25">
      <c r="B571" t="s">
        <v>78</v>
      </c>
      <c r="C571" t="s">
        <v>287</v>
      </c>
      <c r="D571" t="s">
        <v>1092</v>
      </c>
      <c r="E571" t="s">
        <v>1093</v>
      </c>
      <c r="F571">
        <v>91.6</v>
      </c>
      <c r="G571">
        <v>87.25</v>
      </c>
      <c r="H571">
        <v>87.25</v>
      </c>
      <c r="I571">
        <v>87.25</v>
      </c>
      <c r="J571" s="1">
        <v>87.25</v>
      </c>
      <c r="K571">
        <v>104700</v>
      </c>
      <c r="L571">
        <v>1200</v>
      </c>
      <c r="M571" t="s">
        <v>78</v>
      </c>
      <c r="N571" t="s">
        <v>17</v>
      </c>
      <c r="O571">
        <v>1</v>
      </c>
      <c r="P571">
        <v>96.6</v>
      </c>
      <c r="Q571">
        <v>51</v>
      </c>
    </row>
    <row r="572" spans="2:17" x14ac:dyDescent="0.25">
      <c r="B572" t="s">
        <v>78</v>
      </c>
      <c r="C572" t="s">
        <v>79</v>
      </c>
      <c r="D572" t="s">
        <v>1094</v>
      </c>
      <c r="E572" t="s">
        <v>1095</v>
      </c>
      <c r="F572">
        <v>786.75</v>
      </c>
      <c r="G572">
        <v>775.8</v>
      </c>
      <c r="H572">
        <v>800</v>
      </c>
      <c r="I572">
        <v>741.25</v>
      </c>
      <c r="J572" s="1">
        <v>749.4</v>
      </c>
      <c r="K572">
        <v>2863200.55</v>
      </c>
      <c r="L572">
        <v>3756</v>
      </c>
      <c r="M572" t="s">
        <v>78</v>
      </c>
      <c r="N572" t="s">
        <v>17</v>
      </c>
      <c r="O572">
        <v>731</v>
      </c>
      <c r="P572">
        <v>854.9</v>
      </c>
      <c r="Q572">
        <v>400</v>
      </c>
    </row>
    <row r="573" spans="2:17" x14ac:dyDescent="0.25">
      <c r="B573" t="s">
        <v>78</v>
      </c>
      <c r="C573" t="s">
        <v>79</v>
      </c>
      <c r="D573" t="s">
        <v>1096</v>
      </c>
      <c r="E573" t="s">
        <v>1097</v>
      </c>
      <c r="F573">
        <v>3956.8</v>
      </c>
      <c r="G573">
        <v>3877</v>
      </c>
      <c r="H573">
        <v>3956</v>
      </c>
      <c r="I573">
        <v>3835</v>
      </c>
      <c r="J573" s="1">
        <v>3858.6</v>
      </c>
      <c r="K573">
        <v>797117358.60000002</v>
      </c>
      <c r="L573">
        <v>205320</v>
      </c>
      <c r="M573" t="s">
        <v>78</v>
      </c>
      <c r="N573" t="s">
        <v>17</v>
      </c>
      <c r="O573">
        <v>26867</v>
      </c>
      <c r="P573">
        <v>3999.9</v>
      </c>
      <c r="Q573">
        <v>1700</v>
      </c>
    </row>
    <row r="574" spans="2:17" x14ac:dyDescent="0.25">
      <c r="B574" t="s">
        <v>78</v>
      </c>
      <c r="C574" t="s">
        <v>79</v>
      </c>
      <c r="D574" t="s">
        <v>1098</v>
      </c>
      <c r="E574" t="s">
        <v>1099</v>
      </c>
      <c r="F574">
        <v>1577.35</v>
      </c>
      <c r="G574">
        <v>1550</v>
      </c>
      <c r="H574">
        <v>1652</v>
      </c>
      <c r="I574">
        <v>1548.25</v>
      </c>
      <c r="J574" s="1">
        <v>1607.55</v>
      </c>
      <c r="K574">
        <v>353989702.69999999</v>
      </c>
      <c r="L574">
        <v>218580</v>
      </c>
      <c r="M574" t="s">
        <v>78</v>
      </c>
      <c r="N574" t="s">
        <v>183</v>
      </c>
      <c r="O574">
        <v>17862</v>
      </c>
      <c r="P574">
        <v>1807.5</v>
      </c>
      <c r="Q574">
        <v>1376</v>
      </c>
    </row>
    <row r="575" spans="2:17" x14ac:dyDescent="0.25">
      <c r="B575" t="s">
        <v>78</v>
      </c>
      <c r="C575" t="s">
        <v>79</v>
      </c>
      <c r="D575" t="s">
        <v>1100</v>
      </c>
      <c r="E575" t="s">
        <v>1101</v>
      </c>
      <c r="F575">
        <v>687.05</v>
      </c>
      <c r="G575">
        <v>676</v>
      </c>
      <c r="H575">
        <v>690.95</v>
      </c>
      <c r="I575">
        <v>676</v>
      </c>
      <c r="J575" s="1">
        <v>682.55</v>
      </c>
      <c r="K575">
        <v>1272680427.3</v>
      </c>
      <c r="L575">
        <v>1858210</v>
      </c>
      <c r="M575" t="s">
        <v>78</v>
      </c>
      <c r="N575" t="s">
        <v>17</v>
      </c>
      <c r="O575">
        <v>37663</v>
      </c>
      <c r="P575">
        <v>690.95</v>
      </c>
      <c r="Q575">
        <v>405</v>
      </c>
    </row>
    <row r="576" spans="2:17" x14ac:dyDescent="0.25">
      <c r="B576" t="s">
        <v>783</v>
      </c>
      <c r="C576" t="s">
        <v>79</v>
      </c>
      <c r="D576" t="s">
        <v>1102</v>
      </c>
      <c r="E576" t="s">
        <v>1103</v>
      </c>
      <c r="F576">
        <v>2.75</v>
      </c>
      <c r="G576">
        <v>2.75</v>
      </c>
      <c r="H576">
        <v>2.75</v>
      </c>
      <c r="I576">
        <v>2.65</v>
      </c>
      <c r="J576" s="1">
        <v>2.65</v>
      </c>
      <c r="K576">
        <v>25622.5</v>
      </c>
      <c r="L576">
        <v>9650</v>
      </c>
      <c r="M576" t="s">
        <v>78</v>
      </c>
      <c r="N576" t="s">
        <v>17</v>
      </c>
      <c r="O576">
        <v>12</v>
      </c>
      <c r="P576">
        <v>3.5</v>
      </c>
      <c r="Q576">
        <v>1.9</v>
      </c>
    </row>
    <row r="577" spans="2:17" x14ac:dyDescent="0.25">
      <c r="B577" t="s">
        <v>78</v>
      </c>
      <c r="C577" t="s">
        <v>79</v>
      </c>
      <c r="D577" t="s">
        <v>1104</v>
      </c>
      <c r="E577" t="s">
        <v>1105</v>
      </c>
      <c r="F577">
        <v>49.1</v>
      </c>
      <c r="G577">
        <v>51</v>
      </c>
      <c r="H577">
        <v>51</v>
      </c>
      <c r="I577">
        <v>48.8</v>
      </c>
      <c r="J577" s="1">
        <v>49.3</v>
      </c>
      <c r="K577">
        <v>370245.5</v>
      </c>
      <c r="L577">
        <v>7489</v>
      </c>
      <c r="M577" t="s">
        <v>78</v>
      </c>
      <c r="N577" t="s">
        <v>17</v>
      </c>
      <c r="O577">
        <v>176</v>
      </c>
      <c r="P577">
        <v>77.5</v>
      </c>
      <c r="Q577">
        <v>35.5</v>
      </c>
    </row>
    <row r="578" spans="2:17" x14ac:dyDescent="0.25">
      <c r="B578" t="s">
        <v>78</v>
      </c>
      <c r="C578" t="s">
        <v>79</v>
      </c>
      <c r="D578" t="s">
        <v>1106</v>
      </c>
      <c r="E578" t="s">
        <v>1107</v>
      </c>
      <c r="F578">
        <v>60.1</v>
      </c>
      <c r="G578">
        <v>58.55</v>
      </c>
      <c r="H578">
        <v>61</v>
      </c>
      <c r="I578">
        <v>57.7</v>
      </c>
      <c r="J578" s="1">
        <v>58.05</v>
      </c>
      <c r="K578">
        <v>3056966.05</v>
      </c>
      <c r="L578">
        <v>51216</v>
      </c>
      <c r="M578" t="s">
        <v>78</v>
      </c>
      <c r="N578" t="s">
        <v>17</v>
      </c>
      <c r="O578">
        <v>742</v>
      </c>
      <c r="P578">
        <v>65</v>
      </c>
      <c r="Q578">
        <v>41.65</v>
      </c>
    </row>
    <row r="579" spans="2:17" x14ac:dyDescent="0.25">
      <c r="B579" t="s">
        <v>78</v>
      </c>
      <c r="C579" t="s">
        <v>79</v>
      </c>
      <c r="D579" t="s">
        <v>1108</v>
      </c>
      <c r="E579" t="s">
        <v>1109</v>
      </c>
      <c r="F579">
        <v>606</v>
      </c>
      <c r="G579">
        <v>604</v>
      </c>
      <c r="H579">
        <v>612.95000000000005</v>
      </c>
      <c r="I579">
        <v>590</v>
      </c>
      <c r="J579" s="1">
        <v>597.25</v>
      </c>
      <c r="K579">
        <v>42447890.700000003</v>
      </c>
      <c r="L579">
        <v>70414</v>
      </c>
      <c r="M579" t="s">
        <v>78</v>
      </c>
      <c r="N579" t="s">
        <v>17</v>
      </c>
      <c r="O579">
        <v>4401</v>
      </c>
      <c r="P579">
        <v>653.70000000000005</v>
      </c>
      <c r="Q579">
        <v>363.65</v>
      </c>
    </row>
    <row r="580" spans="2:17" x14ac:dyDescent="0.25">
      <c r="B580" t="s">
        <v>78</v>
      </c>
      <c r="C580" t="s">
        <v>79</v>
      </c>
      <c r="D580" t="s">
        <v>1110</v>
      </c>
      <c r="E580" t="s">
        <v>1111</v>
      </c>
      <c r="F580">
        <v>68.25</v>
      </c>
      <c r="G580">
        <v>67.099999999999994</v>
      </c>
      <c r="H580">
        <v>69.2</v>
      </c>
      <c r="I580">
        <v>67.099999999999994</v>
      </c>
      <c r="J580" s="1">
        <v>68</v>
      </c>
      <c r="K580">
        <v>51105013.25</v>
      </c>
      <c r="L580">
        <v>747406</v>
      </c>
      <c r="M580" t="s">
        <v>78</v>
      </c>
      <c r="N580" t="s">
        <v>17</v>
      </c>
      <c r="O580">
        <v>4633</v>
      </c>
      <c r="P580">
        <v>83.35</v>
      </c>
      <c r="Q580">
        <v>40</v>
      </c>
    </row>
    <row r="581" spans="2:17" x14ac:dyDescent="0.25">
      <c r="B581" t="s">
        <v>78</v>
      </c>
      <c r="C581" t="s">
        <v>79</v>
      </c>
      <c r="D581" t="s">
        <v>1112</v>
      </c>
      <c r="E581" t="s">
        <v>1113</v>
      </c>
      <c r="F581">
        <v>4644.2</v>
      </c>
      <c r="G581">
        <v>4628</v>
      </c>
      <c r="H581">
        <v>4667.45</v>
      </c>
      <c r="I581">
        <v>4594.25</v>
      </c>
      <c r="J581" s="1">
        <v>4605.2</v>
      </c>
      <c r="K581">
        <v>113100692.8</v>
      </c>
      <c r="L581">
        <v>24465</v>
      </c>
      <c r="M581" t="s">
        <v>78</v>
      </c>
      <c r="N581" t="s">
        <v>17</v>
      </c>
      <c r="O581">
        <v>5388</v>
      </c>
      <c r="P581">
        <v>6900</v>
      </c>
      <c r="Q581">
        <v>3335.2</v>
      </c>
    </row>
    <row r="582" spans="2:17" x14ac:dyDescent="0.25">
      <c r="B582" t="s">
        <v>78</v>
      </c>
      <c r="C582" t="s">
        <v>79</v>
      </c>
      <c r="D582" t="s">
        <v>1114</v>
      </c>
      <c r="E582" t="s">
        <v>1115</v>
      </c>
      <c r="F582">
        <v>31.1</v>
      </c>
      <c r="G582">
        <v>30.75</v>
      </c>
      <c r="H582">
        <v>30.85</v>
      </c>
      <c r="I582">
        <v>30.15</v>
      </c>
      <c r="J582" s="1">
        <v>30.25</v>
      </c>
      <c r="K582">
        <v>314994401.89999998</v>
      </c>
      <c r="L582">
        <v>10326116</v>
      </c>
      <c r="M582" t="s">
        <v>78</v>
      </c>
      <c r="N582" t="s">
        <v>17</v>
      </c>
      <c r="O582">
        <v>20936</v>
      </c>
      <c r="P582">
        <v>33.9</v>
      </c>
      <c r="Q582">
        <v>19.75</v>
      </c>
    </row>
    <row r="583" spans="2:17" x14ac:dyDescent="0.25">
      <c r="B583" t="s">
        <v>78</v>
      </c>
      <c r="C583" t="s">
        <v>79</v>
      </c>
      <c r="D583" t="s">
        <v>1116</v>
      </c>
      <c r="E583" t="s">
        <v>1117</v>
      </c>
      <c r="F583">
        <v>522.25</v>
      </c>
      <c r="G583">
        <v>515</v>
      </c>
      <c r="H583">
        <v>519</v>
      </c>
      <c r="I583">
        <v>501.1</v>
      </c>
      <c r="J583" s="1">
        <v>503.95</v>
      </c>
      <c r="K583">
        <v>94576699.349999994</v>
      </c>
      <c r="L583">
        <v>185821</v>
      </c>
      <c r="M583" t="s">
        <v>78</v>
      </c>
      <c r="N583" t="s">
        <v>17</v>
      </c>
      <c r="O583">
        <v>8480</v>
      </c>
      <c r="P583">
        <v>549.6</v>
      </c>
      <c r="Q583">
        <v>170.1</v>
      </c>
    </row>
    <row r="584" spans="2:17" x14ac:dyDescent="0.25">
      <c r="B584" t="s">
        <v>78</v>
      </c>
      <c r="C584" t="s">
        <v>79</v>
      </c>
      <c r="D584" t="s">
        <v>1118</v>
      </c>
      <c r="E584" t="s">
        <v>1119</v>
      </c>
      <c r="F584">
        <v>359.7</v>
      </c>
      <c r="G584">
        <v>359</v>
      </c>
      <c r="H584">
        <v>365.95</v>
      </c>
      <c r="I584">
        <v>358.1</v>
      </c>
      <c r="J584" s="1">
        <v>362.4</v>
      </c>
      <c r="K584">
        <v>147875674.75</v>
      </c>
      <c r="L584">
        <v>407537</v>
      </c>
      <c r="M584" t="s">
        <v>78</v>
      </c>
      <c r="N584" t="s">
        <v>17</v>
      </c>
      <c r="O584">
        <v>11401</v>
      </c>
      <c r="P584">
        <v>422.4</v>
      </c>
      <c r="Q584">
        <v>157.30000000000001</v>
      </c>
    </row>
    <row r="585" spans="2:17" x14ac:dyDescent="0.25">
      <c r="B585" t="s">
        <v>78</v>
      </c>
      <c r="C585" t="s">
        <v>79</v>
      </c>
      <c r="D585" t="s">
        <v>1120</v>
      </c>
      <c r="E585" t="s">
        <v>1121</v>
      </c>
      <c r="F585">
        <v>274.5</v>
      </c>
      <c r="G585">
        <v>277.95</v>
      </c>
      <c r="H585">
        <v>277.95</v>
      </c>
      <c r="I585">
        <v>269.60000000000002</v>
      </c>
      <c r="J585" s="1">
        <v>271.95</v>
      </c>
      <c r="K585">
        <v>7109405.4500000002</v>
      </c>
      <c r="L585">
        <v>26057</v>
      </c>
      <c r="M585" t="s">
        <v>78</v>
      </c>
      <c r="N585" t="s">
        <v>17</v>
      </c>
      <c r="O585">
        <v>1106</v>
      </c>
      <c r="P585">
        <v>297.55</v>
      </c>
      <c r="Q585">
        <v>153</v>
      </c>
    </row>
    <row r="586" spans="2:17" x14ac:dyDescent="0.25">
      <c r="B586" t="s">
        <v>78</v>
      </c>
      <c r="C586" t="s">
        <v>79</v>
      </c>
      <c r="D586" t="s">
        <v>1122</v>
      </c>
      <c r="E586" t="s">
        <v>1123</v>
      </c>
      <c r="F586">
        <v>1042.9000000000001</v>
      </c>
      <c r="G586">
        <v>1030</v>
      </c>
      <c r="H586">
        <v>1065.5</v>
      </c>
      <c r="I586">
        <v>1026</v>
      </c>
      <c r="J586" s="1">
        <v>1044.8</v>
      </c>
      <c r="K586">
        <v>75360612.450000003</v>
      </c>
      <c r="L586">
        <v>71985</v>
      </c>
      <c r="M586" t="s">
        <v>78</v>
      </c>
      <c r="N586" t="s">
        <v>17</v>
      </c>
      <c r="O586">
        <v>5732</v>
      </c>
      <c r="P586">
        <v>1110</v>
      </c>
      <c r="Q586">
        <v>841.5</v>
      </c>
    </row>
    <row r="587" spans="2:17" x14ac:dyDescent="0.25">
      <c r="B587" t="s">
        <v>78</v>
      </c>
      <c r="C587" t="s">
        <v>79</v>
      </c>
      <c r="D587" t="s">
        <v>1124</v>
      </c>
      <c r="E587" t="s">
        <v>1125</v>
      </c>
      <c r="F587">
        <v>657.55</v>
      </c>
      <c r="G587">
        <v>653</v>
      </c>
      <c r="H587">
        <v>659</v>
      </c>
      <c r="I587">
        <v>642.95000000000005</v>
      </c>
      <c r="J587" s="1">
        <v>654.65</v>
      </c>
      <c r="K587">
        <v>129606848</v>
      </c>
      <c r="L587">
        <v>198637</v>
      </c>
      <c r="M587" t="s">
        <v>78</v>
      </c>
      <c r="N587" t="s">
        <v>17</v>
      </c>
      <c r="O587">
        <v>8303</v>
      </c>
      <c r="P587">
        <v>674.4</v>
      </c>
      <c r="Q587">
        <v>440.25</v>
      </c>
    </row>
    <row r="588" spans="2:17" x14ac:dyDescent="0.25">
      <c r="B588" t="s">
        <v>78</v>
      </c>
      <c r="C588" t="s">
        <v>79</v>
      </c>
      <c r="D588" t="s">
        <v>1126</v>
      </c>
      <c r="E588" t="s">
        <v>1127</v>
      </c>
      <c r="F588">
        <v>555.5</v>
      </c>
      <c r="G588">
        <v>552.1</v>
      </c>
      <c r="H588">
        <v>561.15</v>
      </c>
      <c r="I588">
        <v>549</v>
      </c>
      <c r="J588" s="1">
        <v>553.1</v>
      </c>
      <c r="K588">
        <v>80898912.849999994</v>
      </c>
      <c r="L588">
        <v>145744</v>
      </c>
      <c r="M588" t="s">
        <v>78</v>
      </c>
      <c r="N588" t="s">
        <v>17</v>
      </c>
      <c r="O588">
        <v>4469</v>
      </c>
      <c r="P588">
        <v>611.54999999999995</v>
      </c>
      <c r="Q588">
        <v>348.25</v>
      </c>
    </row>
    <row r="589" spans="2:17" x14ac:dyDescent="0.25">
      <c r="B589" t="s">
        <v>78</v>
      </c>
      <c r="C589" t="s">
        <v>79</v>
      </c>
      <c r="D589" t="s">
        <v>1128</v>
      </c>
      <c r="E589" t="s">
        <v>1129</v>
      </c>
      <c r="F589">
        <v>1577.8</v>
      </c>
      <c r="G589">
        <v>1565</v>
      </c>
      <c r="H589">
        <v>1596.8</v>
      </c>
      <c r="I589">
        <v>1548.05</v>
      </c>
      <c r="J589" s="1">
        <v>1568.95</v>
      </c>
      <c r="K589">
        <v>1729424709.8499999</v>
      </c>
      <c r="L589">
        <v>1095880</v>
      </c>
      <c r="M589" t="s">
        <v>78</v>
      </c>
      <c r="N589" t="s">
        <v>17</v>
      </c>
      <c r="O589">
        <v>36901</v>
      </c>
      <c r="P589">
        <v>1596.8</v>
      </c>
      <c r="Q589">
        <v>819.75</v>
      </c>
    </row>
    <row r="590" spans="2:17" x14ac:dyDescent="0.25">
      <c r="B590" t="s">
        <v>78</v>
      </c>
      <c r="C590" t="s">
        <v>79</v>
      </c>
      <c r="D590" t="s">
        <v>1130</v>
      </c>
      <c r="E590" t="s">
        <v>1131</v>
      </c>
      <c r="F590">
        <v>207</v>
      </c>
      <c r="G590">
        <v>205</v>
      </c>
      <c r="H590">
        <v>209.95</v>
      </c>
      <c r="I590">
        <v>197</v>
      </c>
      <c r="J590" s="1">
        <v>201.05</v>
      </c>
      <c r="K590">
        <v>64160156.850000001</v>
      </c>
      <c r="L590">
        <v>317291</v>
      </c>
      <c r="M590" t="s">
        <v>78</v>
      </c>
      <c r="N590" t="s">
        <v>17</v>
      </c>
      <c r="O590">
        <v>5030</v>
      </c>
      <c r="P590">
        <v>226</v>
      </c>
      <c r="Q590">
        <v>38.6</v>
      </c>
    </row>
    <row r="591" spans="2:17" x14ac:dyDescent="0.25">
      <c r="B591" t="s">
        <v>78</v>
      </c>
      <c r="C591" t="s">
        <v>79</v>
      </c>
      <c r="D591" t="s">
        <v>1132</v>
      </c>
      <c r="E591" t="s">
        <v>1133</v>
      </c>
      <c r="F591">
        <v>31.65</v>
      </c>
      <c r="G591">
        <v>31.35</v>
      </c>
      <c r="H591">
        <v>34.25</v>
      </c>
      <c r="I591">
        <v>31.1</v>
      </c>
      <c r="J591" s="1">
        <v>34</v>
      </c>
      <c r="K591">
        <v>19417647.649999999</v>
      </c>
      <c r="L591">
        <v>581292</v>
      </c>
      <c r="M591" t="s">
        <v>78</v>
      </c>
      <c r="N591" t="s">
        <v>17</v>
      </c>
      <c r="O591">
        <v>3202</v>
      </c>
      <c r="P591">
        <v>38.75</v>
      </c>
      <c r="Q591">
        <v>11.5</v>
      </c>
    </row>
    <row r="592" spans="2:17" x14ac:dyDescent="0.25">
      <c r="B592" t="s">
        <v>78</v>
      </c>
      <c r="C592" t="s">
        <v>79</v>
      </c>
      <c r="D592" t="s">
        <v>1134</v>
      </c>
      <c r="E592" t="s">
        <v>1135</v>
      </c>
      <c r="F592">
        <v>41.15</v>
      </c>
      <c r="G592">
        <v>40.049999999999997</v>
      </c>
      <c r="H592">
        <v>42.25</v>
      </c>
      <c r="I592">
        <v>40.049999999999997</v>
      </c>
      <c r="J592" s="1">
        <v>40.950000000000003</v>
      </c>
      <c r="K592">
        <v>7359725.3499999996</v>
      </c>
      <c r="L592">
        <v>178212</v>
      </c>
      <c r="M592" t="s">
        <v>78</v>
      </c>
      <c r="N592" t="s">
        <v>17</v>
      </c>
      <c r="O592">
        <v>1630</v>
      </c>
      <c r="P592">
        <v>49.75</v>
      </c>
      <c r="Q592">
        <v>12.5</v>
      </c>
    </row>
    <row r="593" spans="2:17" x14ac:dyDescent="0.25">
      <c r="B593" t="s">
        <v>78</v>
      </c>
      <c r="C593" t="s">
        <v>79</v>
      </c>
      <c r="D593" t="s">
        <v>1136</v>
      </c>
      <c r="E593" t="s">
        <v>1137</v>
      </c>
      <c r="F593">
        <v>593.65</v>
      </c>
      <c r="G593">
        <v>581.20000000000005</v>
      </c>
      <c r="H593">
        <v>613.70000000000005</v>
      </c>
      <c r="I593">
        <v>578</v>
      </c>
      <c r="J593" s="1">
        <v>601.20000000000005</v>
      </c>
      <c r="K593">
        <v>138007256.15000001</v>
      </c>
      <c r="L593">
        <v>231094</v>
      </c>
      <c r="M593" t="s">
        <v>78</v>
      </c>
      <c r="N593" t="s">
        <v>17</v>
      </c>
      <c r="O593">
        <v>7580</v>
      </c>
      <c r="P593">
        <v>613.70000000000005</v>
      </c>
      <c r="Q593">
        <v>105.05</v>
      </c>
    </row>
    <row r="594" spans="2:17" x14ac:dyDescent="0.25">
      <c r="B594" t="s">
        <v>78</v>
      </c>
      <c r="C594" t="s">
        <v>79</v>
      </c>
      <c r="D594" t="s">
        <v>1138</v>
      </c>
      <c r="E594" t="s">
        <v>1139</v>
      </c>
      <c r="F594">
        <v>12.75</v>
      </c>
      <c r="G594">
        <v>13</v>
      </c>
      <c r="H594">
        <v>13</v>
      </c>
      <c r="I594">
        <v>12.45</v>
      </c>
      <c r="J594" s="1">
        <v>12.55</v>
      </c>
      <c r="K594">
        <v>344784.35</v>
      </c>
      <c r="L594">
        <v>27370</v>
      </c>
      <c r="M594" t="s">
        <v>78</v>
      </c>
      <c r="N594" t="s">
        <v>17</v>
      </c>
      <c r="O594">
        <v>208</v>
      </c>
      <c r="P594">
        <v>17.3</v>
      </c>
      <c r="Q594">
        <v>6.6</v>
      </c>
    </row>
    <row r="595" spans="2:17" x14ac:dyDescent="0.25">
      <c r="B595" t="s">
        <v>78</v>
      </c>
      <c r="C595" t="s">
        <v>79</v>
      </c>
      <c r="D595" t="s">
        <v>1140</v>
      </c>
      <c r="E595" t="s">
        <v>1141</v>
      </c>
      <c r="F595">
        <v>177.2</v>
      </c>
      <c r="G595">
        <v>176</v>
      </c>
      <c r="H595">
        <v>194.9</v>
      </c>
      <c r="I595">
        <v>169.05</v>
      </c>
      <c r="J595" s="1">
        <v>194.9</v>
      </c>
      <c r="K595">
        <v>273222748.89999998</v>
      </c>
      <c r="L595">
        <v>1448148</v>
      </c>
      <c r="M595" t="s">
        <v>78</v>
      </c>
      <c r="N595" t="s">
        <v>17</v>
      </c>
      <c r="O595">
        <v>10266</v>
      </c>
      <c r="P595">
        <v>194.9</v>
      </c>
      <c r="Q595">
        <v>34.049999999999997</v>
      </c>
    </row>
    <row r="596" spans="2:17" x14ac:dyDescent="0.25">
      <c r="B596" t="s">
        <v>78</v>
      </c>
      <c r="C596" t="s">
        <v>79</v>
      </c>
      <c r="D596" t="s">
        <v>1142</v>
      </c>
      <c r="E596" t="s">
        <v>1143</v>
      </c>
      <c r="F596">
        <v>1276.3</v>
      </c>
      <c r="G596">
        <v>1282</v>
      </c>
      <c r="H596">
        <v>1284.8</v>
      </c>
      <c r="I596">
        <v>1241.05</v>
      </c>
      <c r="J596" s="1">
        <v>1249.5</v>
      </c>
      <c r="K596">
        <v>125293735.75</v>
      </c>
      <c r="L596">
        <v>99258</v>
      </c>
      <c r="M596" t="s">
        <v>78</v>
      </c>
      <c r="N596" t="s">
        <v>17</v>
      </c>
      <c r="O596">
        <v>8307</v>
      </c>
      <c r="P596">
        <v>1331.85</v>
      </c>
      <c r="Q596">
        <v>896.45</v>
      </c>
    </row>
    <row r="597" spans="2:17" x14ac:dyDescent="0.25">
      <c r="B597" t="s">
        <v>78</v>
      </c>
      <c r="C597" t="s">
        <v>79</v>
      </c>
      <c r="D597" t="s">
        <v>1144</v>
      </c>
      <c r="E597" t="s">
        <v>1145</v>
      </c>
      <c r="F597">
        <v>106.4</v>
      </c>
      <c r="G597">
        <v>106.3</v>
      </c>
      <c r="H597">
        <v>108.9</v>
      </c>
      <c r="I597">
        <v>105.65</v>
      </c>
      <c r="J597" s="1">
        <v>106.7</v>
      </c>
      <c r="K597">
        <v>70807769.799999997</v>
      </c>
      <c r="L597">
        <v>658949</v>
      </c>
      <c r="M597" t="s">
        <v>78</v>
      </c>
      <c r="N597" t="s">
        <v>17</v>
      </c>
      <c r="O597">
        <v>7934</v>
      </c>
      <c r="P597">
        <v>124.3</v>
      </c>
      <c r="Q597">
        <v>73.599999999999994</v>
      </c>
    </row>
    <row r="598" spans="2:17" x14ac:dyDescent="0.25">
      <c r="B598" t="s">
        <v>78</v>
      </c>
      <c r="C598" t="s">
        <v>79</v>
      </c>
      <c r="D598" t="s">
        <v>1146</v>
      </c>
      <c r="E598" t="s">
        <v>1147</v>
      </c>
      <c r="F598">
        <v>101.5</v>
      </c>
      <c r="G598">
        <v>101.5</v>
      </c>
      <c r="H598">
        <v>104.35</v>
      </c>
      <c r="I598">
        <v>96.65</v>
      </c>
      <c r="J598" s="1">
        <v>98.25</v>
      </c>
      <c r="K598">
        <v>25022269.449999999</v>
      </c>
      <c r="L598">
        <v>252587</v>
      </c>
      <c r="M598" t="s">
        <v>78</v>
      </c>
      <c r="N598" t="s">
        <v>17</v>
      </c>
      <c r="O598">
        <v>6385</v>
      </c>
      <c r="P598">
        <v>107.85</v>
      </c>
      <c r="Q598">
        <v>24.95</v>
      </c>
    </row>
    <row r="599" spans="2:17" x14ac:dyDescent="0.25">
      <c r="B599" t="s">
        <v>78</v>
      </c>
      <c r="C599" t="s">
        <v>79</v>
      </c>
      <c r="D599" t="s">
        <v>1148</v>
      </c>
      <c r="E599" t="s">
        <v>1149</v>
      </c>
      <c r="F599">
        <v>381.55</v>
      </c>
      <c r="G599">
        <v>377.9</v>
      </c>
      <c r="H599">
        <v>396.55</v>
      </c>
      <c r="I599">
        <v>372</v>
      </c>
      <c r="J599" s="1">
        <v>377.8</v>
      </c>
      <c r="K599">
        <v>3205553101.5</v>
      </c>
      <c r="L599">
        <v>8374256</v>
      </c>
      <c r="M599" t="s">
        <v>78</v>
      </c>
      <c r="N599" t="s">
        <v>17</v>
      </c>
      <c r="O599">
        <v>78681</v>
      </c>
      <c r="P599">
        <v>437.95</v>
      </c>
      <c r="Q599">
        <v>261.39999999999998</v>
      </c>
    </row>
    <row r="600" spans="2:17" x14ac:dyDescent="0.25">
      <c r="B600" t="s">
        <v>78</v>
      </c>
      <c r="C600" t="s">
        <v>79</v>
      </c>
      <c r="D600" t="s">
        <v>1150</v>
      </c>
      <c r="E600" t="s">
        <v>1151</v>
      </c>
      <c r="F600">
        <v>667.05</v>
      </c>
      <c r="G600">
        <v>655</v>
      </c>
      <c r="H600">
        <v>666.9</v>
      </c>
      <c r="I600">
        <v>649.85</v>
      </c>
      <c r="J600" s="1">
        <v>652.9</v>
      </c>
      <c r="K600">
        <v>278287141.19999999</v>
      </c>
      <c r="L600">
        <v>424042</v>
      </c>
      <c r="M600" t="s">
        <v>78</v>
      </c>
      <c r="N600" t="s">
        <v>17</v>
      </c>
      <c r="O600">
        <v>14547</v>
      </c>
      <c r="P600">
        <v>815.9</v>
      </c>
      <c r="Q600">
        <v>163.15</v>
      </c>
    </row>
    <row r="601" spans="2:17" x14ac:dyDescent="0.25">
      <c r="B601" t="s">
        <v>78</v>
      </c>
      <c r="C601" t="s">
        <v>79</v>
      </c>
      <c r="D601" t="s">
        <v>1152</v>
      </c>
      <c r="E601" t="s">
        <v>1153</v>
      </c>
      <c r="F601">
        <v>174.3</v>
      </c>
      <c r="G601">
        <v>173.4</v>
      </c>
      <c r="H601">
        <v>184</v>
      </c>
      <c r="I601">
        <v>171.4</v>
      </c>
      <c r="J601" s="1">
        <v>181.05</v>
      </c>
      <c r="K601">
        <v>217542146.09999999</v>
      </c>
      <c r="L601">
        <v>1209892</v>
      </c>
      <c r="M601" t="s">
        <v>78</v>
      </c>
      <c r="N601" t="s">
        <v>17</v>
      </c>
      <c r="O601">
        <v>19535</v>
      </c>
      <c r="P601">
        <v>184</v>
      </c>
      <c r="Q601">
        <v>42</v>
      </c>
    </row>
    <row r="602" spans="2:17" x14ac:dyDescent="0.25">
      <c r="B602" t="s">
        <v>78</v>
      </c>
      <c r="C602" t="s">
        <v>79</v>
      </c>
      <c r="D602" t="s">
        <v>1154</v>
      </c>
      <c r="E602" t="s">
        <v>1155</v>
      </c>
      <c r="F602">
        <v>169.5</v>
      </c>
      <c r="G602">
        <v>167</v>
      </c>
      <c r="H602">
        <v>168.95</v>
      </c>
      <c r="I602">
        <v>165.6</v>
      </c>
      <c r="J602" s="1">
        <v>166.55</v>
      </c>
      <c r="K602">
        <v>328962515.30000001</v>
      </c>
      <c r="L602">
        <v>1967075</v>
      </c>
      <c r="M602" t="s">
        <v>78</v>
      </c>
      <c r="N602" t="s">
        <v>17</v>
      </c>
      <c r="O602">
        <v>17705</v>
      </c>
      <c r="P602">
        <v>184.4</v>
      </c>
      <c r="Q602">
        <v>66</v>
      </c>
    </row>
    <row r="603" spans="2:17" x14ac:dyDescent="0.25">
      <c r="B603" t="s">
        <v>78</v>
      </c>
      <c r="C603" t="s">
        <v>79</v>
      </c>
      <c r="D603" t="s">
        <v>1156</v>
      </c>
      <c r="E603" t="s">
        <v>1157</v>
      </c>
      <c r="F603">
        <v>1323.95</v>
      </c>
      <c r="G603">
        <v>1329.95</v>
      </c>
      <c r="H603">
        <v>1350</v>
      </c>
      <c r="I603">
        <v>1310</v>
      </c>
      <c r="J603" s="1">
        <v>1320.75</v>
      </c>
      <c r="K603">
        <v>3215345.25</v>
      </c>
      <c r="L603">
        <v>2412</v>
      </c>
      <c r="M603" t="s">
        <v>78</v>
      </c>
      <c r="N603" t="s">
        <v>17</v>
      </c>
      <c r="O603">
        <v>600</v>
      </c>
      <c r="P603">
        <v>1460</v>
      </c>
      <c r="Q603">
        <v>601.4</v>
      </c>
    </row>
    <row r="604" spans="2:17" x14ac:dyDescent="0.25">
      <c r="B604" t="s">
        <v>78</v>
      </c>
      <c r="C604" t="s">
        <v>79</v>
      </c>
      <c r="D604" t="s">
        <v>1158</v>
      </c>
      <c r="E604" t="s">
        <v>1159</v>
      </c>
      <c r="F604">
        <v>199.25</v>
      </c>
      <c r="G604">
        <v>197.5</v>
      </c>
      <c r="H604">
        <v>205.25</v>
      </c>
      <c r="I604">
        <v>196.45</v>
      </c>
      <c r="J604" s="1">
        <v>199.35</v>
      </c>
      <c r="K604">
        <v>81868967.799999997</v>
      </c>
      <c r="L604">
        <v>406297</v>
      </c>
      <c r="M604" t="s">
        <v>78</v>
      </c>
      <c r="N604" t="s">
        <v>17</v>
      </c>
      <c r="O604">
        <v>10520</v>
      </c>
      <c r="P604">
        <v>224.65</v>
      </c>
      <c r="Q604">
        <v>73.5</v>
      </c>
    </row>
    <row r="605" spans="2:17" x14ac:dyDescent="0.25">
      <c r="B605" t="s">
        <v>78</v>
      </c>
      <c r="C605" t="s">
        <v>79</v>
      </c>
      <c r="D605" t="s">
        <v>1160</v>
      </c>
      <c r="E605" t="s">
        <v>1161</v>
      </c>
      <c r="F605">
        <v>3.55</v>
      </c>
      <c r="G605">
        <v>3.4</v>
      </c>
      <c r="H605">
        <v>3.4</v>
      </c>
      <c r="I605">
        <v>3.4</v>
      </c>
      <c r="J605" s="1">
        <v>3.4</v>
      </c>
      <c r="K605">
        <v>6048929.7999999998</v>
      </c>
      <c r="L605">
        <v>1779097</v>
      </c>
      <c r="M605" t="s">
        <v>78</v>
      </c>
      <c r="N605" t="s">
        <v>17</v>
      </c>
      <c r="O605">
        <v>2217</v>
      </c>
      <c r="P605">
        <v>3.75</v>
      </c>
      <c r="Q605">
        <v>1.65</v>
      </c>
    </row>
    <row r="606" spans="2:17" x14ac:dyDescent="0.25">
      <c r="B606" t="s">
        <v>78</v>
      </c>
      <c r="C606" t="s">
        <v>79</v>
      </c>
      <c r="D606" t="s">
        <v>1162</v>
      </c>
      <c r="E606" t="s">
        <v>1163</v>
      </c>
      <c r="F606">
        <v>1305</v>
      </c>
      <c r="G606">
        <v>1305</v>
      </c>
      <c r="H606">
        <v>1326</v>
      </c>
      <c r="I606">
        <v>1260</v>
      </c>
      <c r="J606" s="1">
        <v>1272.8</v>
      </c>
      <c r="K606">
        <v>72478253.150000006</v>
      </c>
      <c r="L606">
        <v>56458</v>
      </c>
      <c r="M606" t="s">
        <v>78</v>
      </c>
      <c r="N606" t="s">
        <v>183</v>
      </c>
      <c r="O606">
        <v>7963</v>
      </c>
      <c r="P606">
        <v>1390</v>
      </c>
      <c r="Q606">
        <v>476.45</v>
      </c>
    </row>
    <row r="607" spans="2:17" x14ac:dyDescent="0.25">
      <c r="B607" t="s">
        <v>78</v>
      </c>
      <c r="C607" t="s">
        <v>79</v>
      </c>
      <c r="D607" t="s">
        <v>1164</v>
      </c>
      <c r="E607" t="s">
        <v>1165</v>
      </c>
      <c r="F607">
        <v>837</v>
      </c>
      <c r="G607">
        <v>1715.85</v>
      </c>
      <c r="H607">
        <v>1838</v>
      </c>
      <c r="I607">
        <v>1550</v>
      </c>
      <c r="J607" s="1">
        <v>1747.1</v>
      </c>
      <c r="K607">
        <v>23984898101.299999</v>
      </c>
      <c r="L607">
        <v>14023521</v>
      </c>
      <c r="M607" t="s">
        <v>78</v>
      </c>
      <c r="N607" t="s">
        <v>17</v>
      </c>
      <c r="O607">
        <v>589324</v>
      </c>
      <c r="P607">
        <v>1838</v>
      </c>
      <c r="Q607">
        <v>1550</v>
      </c>
    </row>
    <row r="608" spans="2:17" x14ac:dyDescent="0.25">
      <c r="B608" t="s">
        <v>78</v>
      </c>
      <c r="C608" t="s">
        <v>79</v>
      </c>
      <c r="D608" t="s">
        <v>1166</v>
      </c>
      <c r="E608" t="s">
        <v>1167</v>
      </c>
      <c r="F608">
        <v>1236.7</v>
      </c>
      <c r="G608">
        <v>1289</v>
      </c>
      <c r="H608">
        <v>1290</v>
      </c>
      <c r="I608">
        <v>1216.45</v>
      </c>
      <c r="J608" s="1">
        <v>1236.1500000000001</v>
      </c>
      <c r="K608">
        <v>950866.45</v>
      </c>
      <c r="L608">
        <v>762</v>
      </c>
      <c r="M608" t="s">
        <v>78</v>
      </c>
      <c r="N608" t="s">
        <v>17</v>
      </c>
      <c r="O608">
        <v>139</v>
      </c>
      <c r="P608">
        <v>1434.75</v>
      </c>
      <c r="Q608">
        <v>361.5</v>
      </c>
    </row>
    <row r="609" spans="2:17" x14ac:dyDescent="0.25">
      <c r="B609" t="s">
        <v>78</v>
      </c>
      <c r="C609" t="s">
        <v>79</v>
      </c>
      <c r="D609" t="s">
        <v>1168</v>
      </c>
      <c r="E609" t="s">
        <v>1169</v>
      </c>
      <c r="F609">
        <v>948.1</v>
      </c>
      <c r="G609">
        <v>951</v>
      </c>
      <c r="H609">
        <v>968</v>
      </c>
      <c r="I609">
        <v>940</v>
      </c>
      <c r="J609" s="1">
        <v>944</v>
      </c>
      <c r="K609">
        <v>2661296.9</v>
      </c>
      <c r="L609">
        <v>2792</v>
      </c>
      <c r="M609" t="s">
        <v>78</v>
      </c>
      <c r="N609" t="s">
        <v>17</v>
      </c>
      <c r="O609">
        <v>210</v>
      </c>
      <c r="P609">
        <v>1180</v>
      </c>
      <c r="Q609">
        <v>584.20000000000005</v>
      </c>
    </row>
    <row r="610" spans="2:17" x14ac:dyDescent="0.25">
      <c r="B610" t="s">
        <v>78</v>
      </c>
      <c r="C610" t="s">
        <v>79</v>
      </c>
      <c r="D610" t="s">
        <v>1170</v>
      </c>
      <c r="E610" t="s">
        <v>1171</v>
      </c>
      <c r="F610">
        <v>201.2</v>
      </c>
      <c r="G610">
        <v>198</v>
      </c>
      <c r="H610">
        <v>207</v>
      </c>
      <c r="I610">
        <v>197.5</v>
      </c>
      <c r="J610" s="1">
        <v>203.8</v>
      </c>
      <c r="K610">
        <v>56471519.549999997</v>
      </c>
      <c r="L610">
        <v>278591</v>
      </c>
      <c r="M610" t="s">
        <v>78</v>
      </c>
      <c r="N610" t="s">
        <v>17</v>
      </c>
      <c r="O610">
        <v>5355</v>
      </c>
      <c r="P610">
        <v>243</v>
      </c>
      <c r="Q610">
        <v>166.05</v>
      </c>
    </row>
    <row r="611" spans="2:17" x14ac:dyDescent="0.25">
      <c r="B611" t="s">
        <v>78</v>
      </c>
      <c r="C611" t="s">
        <v>79</v>
      </c>
      <c r="D611" t="s">
        <v>1172</v>
      </c>
      <c r="E611" t="s">
        <v>1173</v>
      </c>
      <c r="F611">
        <v>51.25</v>
      </c>
      <c r="G611">
        <v>50.5</v>
      </c>
      <c r="H611">
        <v>53.4</v>
      </c>
      <c r="I611">
        <v>50.2</v>
      </c>
      <c r="J611" s="1">
        <v>51.95</v>
      </c>
      <c r="K611">
        <v>59130411.75</v>
      </c>
      <c r="L611">
        <v>1141919</v>
      </c>
      <c r="M611" t="s">
        <v>78</v>
      </c>
      <c r="N611" t="s">
        <v>17</v>
      </c>
      <c r="O611">
        <v>15560</v>
      </c>
      <c r="P611">
        <v>56.45</v>
      </c>
      <c r="Q611">
        <v>26.1</v>
      </c>
    </row>
    <row r="612" spans="2:17" x14ac:dyDescent="0.25">
      <c r="B612" t="s">
        <v>78</v>
      </c>
      <c r="C612" t="s">
        <v>79</v>
      </c>
      <c r="D612" t="s">
        <v>1174</v>
      </c>
      <c r="E612" t="s">
        <v>1175</v>
      </c>
      <c r="F612">
        <v>114.65</v>
      </c>
      <c r="G612">
        <v>114.6</v>
      </c>
      <c r="H612">
        <v>116.3</v>
      </c>
      <c r="I612">
        <v>113</v>
      </c>
      <c r="J612" s="1">
        <v>114.65</v>
      </c>
      <c r="K612">
        <v>190830903.90000001</v>
      </c>
      <c r="L612">
        <v>1656627</v>
      </c>
      <c r="M612" t="s">
        <v>78</v>
      </c>
      <c r="N612" t="s">
        <v>17</v>
      </c>
      <c r="O612">
        <v>13667</v>
      </c>
      <c r="P612">
        <v>125</v>
      </c>
      <c r="Q612">
        <v>54</v>
      </c>
    </row>
    <row r="613" spans="2:17" x14ac:dyDescent="0.25">
      <c r="B613" t="s">
        <v>78</v>
      </c>
      <c r="C613" t="s">
        <v>79</v>
      </c>
      <c r="D613" t="s">
        <v>1176</v>
      </c>
      <c r="E613" t="s">
        <v>1177</v>
      </c>
      <c r="F613">
        <v>337.3</v>
      </c>
      <c r="G613">
        <v>336</v>
      </c>
      <c r="H613">
        <v>341</v>
      </c>
      <c r="I613">
        <v>322.64999999999998</v>
      </c>
      <c r="J613" s="1">
        <v>327.55</v>
      </c>
      <c r="K613">
        <v>258543785.15000001</v>
      </c>
      <c r="L613">
        <v>775542</v>
      </c>
      <c r="M613" t="s">
        <v>78</v>
      </c>
      <c r="N613" t="s">
        <v>17</v>
      </c>
      <c r="O613">
        <v>18706</v>
      </c>
      <c r="P613">
        <v>342.1</v>
      </c>
      <c r="Q613">
        <v>177.4</v>
      </c>
    </row>
    <row r="614" spans="2:17" x14ac:dyDescent="0.25">
      <c r="B614" t="s">
        <v>78</v>
      </c>
      <c r="C614" t="s">
        <v>79</v>
      </c>
      <c r="D614" t="s">
        <v>1178</v>
      </c>
      <c r="E614" t="s">
        <v>1179</v>
      </c>
      <c r="F614">
        <v>76.150000000000006</v>
      </c>
      <c r="G614">
        <v>74.8</v>
      </c>
      <c r="H614">
        <v>82.6</v>
      </c>
      <c r="I614">
        <v>73.7</v>
      </c>
      <c r="J614" s="1">
        <v>79.5</v>
      </c>
      <c r="K614">
        <v>63926268.950000003</v>
      </c>
      <c r="L614">
        <v>803819</v>
      </c>
      <c r="M614" t="s">
        <v>78</v>
      </c>
      <c r="N614" t="s">
        <v>17</v>
      </c>
      <c r="O614">
        <v>8823</v>
      </c>
      <c r="P614">
        <v>82.6</v>
      </c>
      <c r="Q614">
        <v>20.85</v>
      </c>
    </row>
    <row r="615" spans="2:17" x14ac:dyDescent="0.25">
      <c r="B615" t="s">
        <v>78</v>
      </c>
      <c r="C615" t="s">
        <v>79</v>
      </c>
      <c r="D615" t="s">
        <v>1180</v>
      </c>
      <c r="E615" t="s">
        <v>1181</v>
      </c>
      <c r="F615">
        <v>21.85</v>
      </c>
      <c r="G615">
        <v>21.5</v>
      </c>
      <c r="H615">
        <v>21.85</v>
      </c>
      <c r="I615">
        <v>20.8</v>
      </c>
      <c r="J615" s="1">
        <v>20.85</v>
      </c>
      <c r="K615">
        <v>18537366.149999999</v>
      </c>
      <c r="L615">
        <v>879561</v>
      </c>
      <c r="M615" t="s">
        <v>78</v>
      </c>
      <c r="N615" t="s">
        <v>17</v>
      </c>
      <c r="O615">
        <v>3219</v>
      </c>
      <c r="P615">
        <v>31.65</v>
      </c>
      <c r="Q615">
        <v>2.5499999999999998</v>
      </c>
    </row>
    <row r="616" spans="2:17" x14ac:dyDescent="0.25">
      <c r="B616" t="s">
        <v>78</v>
      </c>
      <c r="C616" t="s">
        <v>79</v>
      </c>
      <c r="D616" t="s">
        <v>1182</v>
      </c>
      <c r="E616" t="s">
        <v>1183</v>
      </c>
      <c r="F616">
        <v>3</v>
      </c>
      <c r="G616">
        <v>3.15</v>
      </c>
      <c r="H616">
        <v>3.15</v>
      </c>
      <c r="I616">
        <v>3.15</v>
      </c>
      <c r="J616" s="1">
        <v>3.15</v>
      </c>
      <c r="K616">
        <v>3588127.2</v>
      </c>
      <c r="L616">
        <v>1139088</v>
      </c>
      <c r="M616" t="s">
        <v>78</v>
      </c>
      <c r="N616" t="s">
        <v>17</v>
      </c>
      <c r="O616">
        <v>702</v>
      </c>
      <c r="P616">
        <v>3.15</v>
      </c>
      <c r="Q616">
        <v>0.45</v>
      </c>
    </row>
    <row r="617" spans="2:17" x14ac:dyDescent="0.25">
      <c r="B617" t="s">
        <v>783</v>
      </c>
      <c r="C617" t="s">
        <v>79</v>
      </c>
      <c r="D617" t="s">
        <v>1184</v>
      </c>
      <c r="E617" t="s">
        <v>1185</v>
      </c>
      <c r="F617">
        <v>9.1</v>
      </c>
      <c r="G617">
        <v>9</v>
      </c>
      <c r="H617">
        <v>9.0500000000000007</v>
      </c>
      <c r="I617">
        <v>9</v>
      </c>
      <c r="J617" s="1">
        <v>9</v>
      </c>
      <c r="K617">
        <v>54225.2</v>
      </c>
      <c r="L617">
        <v>6021</v>
      </c>
      <c r="M617" t="s">
        <v>78</v>
      </c>
      <c r="N617" t="s">
        <v>17</v>
      </c>
      <c r="O617">
        <v>21</v>
      </c>
      <c r="P617">
        <v>9.1</v>
      </c>
      <c r="Q617">
        <v>4.75</v>
      </c>
    </row>
    <row r="618" spans="2:17" x14ac:dyDescent="0.25">
      <c r="B618" t="s">
        <v>78</v>
      </c>
      <c r="C618" t="s">
        <v>79</v>
      </c>
      <c r="D618" t="s">
        <v>1186</v>
      </c>
      <c r="E618" t="s">
        <v>1187</v>
      </c>
      <c r="F618">
        <v>200.45</v>
      </c>
      <c r="G618">
        <v>200.45</v>
      </c>
      <c r="H618">
        <v>205</v>
      </c>
      <c r="I618">
        <v>180.8</v>
      </c>
      <c r="J618" s="1">
        <v>184.45</v>
      </c>
      <c r="K618">
        <v>119130330.5</v>
      </c>
      <c r="L618">
        <v>625661</v>
      </c>
      <c r="M618" t="s">
        <v>78</v>
      </c>
      <c r="N618" t="s">
        <v>17</v>
      </c>
      <c r="O618">
        <v>15581</v>
      </c>
      <c r="P618">
        <v>206.7</v>
      </c>
      <c r="Q618">
        <v>77.8</v>
      </c>
    </row>
    <row r="619" spans="2:17" x14ac:dyDescent="0.25">
      <c r="B619" t="s">
        <v>78</v>
      </c>
      <c r="C619" t="s">
        <v>79</v>
      </c>
      <c r="D619" t="s">
        <v>1188</v>
      </c>
      <c r="E619" t="s">
        <v>1189</v>
      </c>
      <c r="F619">
        <v>184</v>
      </c>
      <c r="G619">
        <v>184</v>
      </c>
      <c r="H619">
        <v>184.9</v>
      </c>
      <c r="I619">
        <v>178.05</v>
      </c>
      <c r="J619" s="1">
        <v>179.05</v>
      </c>
      <c r="K619">
        <v>36950853.149999999</v>
      </c>
      <c r="L619">
        <v>204465</v>
      </c>
      <c r="M619" t="s">
        <v>78</v>
      </c>
      <c r="N619" t="s">
        <v>17</v>
      </c>
      <c r="O619">
        <v>5191</v>
      </c>
      <c r="P619">
        <v>215.95</v>
      </c>
      <c r="Q619">
        <v>76.2</v>
      </c>
    </row>
    <row r="620" spans="2:17" x14ac:dyDescent="0.25">
      <c r="B620" t="s">
        <v>78</v>
      </c>
      <c r="C620" t="s">
        <v>79</v>
      </c>
      <c r="D620" t="s">
        <v>1190</v>
      </c>
      <c r="E620" t="s">
        <v>1191</v>
      </c>
      <c r="F620">
        <v>458.95</v>
      </c>
      <c r="G620">
        <v>454.9</v>
      </c>
      <c r="H620">
        <v>480</v>
      </c>
      <c r="I620">
        <v>452.05</v>
      </c>
      <c r="J620" s="1">
        <v>468.1</v>
      </c>
      <c r="K620">
        <v>330152803.89999998</v>
      </c>
      <c r="L620">
        <v>703999</v>
      </c>
      <c r="M620" t="s">
        <v>78</v>
      </c>
      <c r="N620" t="s">
        <v>17</v>
      </c>
      <c r="O620">
        <v>18195</v>
      </c>
      <c r="P620">
        <v>486.7</v>
      </c>
      <c r="Q620">
        <v>304.64999999999998</v>
      </c>
    </row>
    <row r="621" spans="2:17" x14ac:dyDescent="0.25">
      <c r="B621" t="s">
        <v>78</v>
      </c>
      <c r="C621" t="s">
        <v>79</v>
      </c>
      <c r="D621" t="s">
        <v>1192</v>
      </c>
      <c r="E621" t="s">
        <v>1193</v>
      </c>
      <c r="F621">
        <v>238.3</v>
      </c>
      <c r="G621">
        <v>235.3</v>
      </c>
      <c r="H621">
        <v>243</v>
      </c>
      <c r="I621">
        <v>233.35</v>
      </c>
      <c r="J621" s="1">
        <v>235.15</v>
      </c>
      <c r="K621">
        <v>6561816.5999999996</v>
      </c>
      <c r="L621">
        <v>27708</v>
      </c>
      <c r="M621" t="s">
        <v>78</v>
      </c>
      <c r="N621" t="s">
        <v>17</v>
      </c>
      <c r="O621">
        <v>2097</v>
      </c>
      <c r="P621">
        <v>277.05</v>
      </c>
      <c r="Q621">
        <v>160</v>
      </c>
    </row>
    <row r="622" spans="2:17" x14ac:dyDescent="0.25">
      <c r="B622" t="s">
        <v>78</v>
      </c>
      <c r="C622" t="s">
        <v>79</v>
      </c>
      <c r="D622" t="s">
        <v>1194</v>
      </c>
      <c r="E622" t="s">
        <v>1195</v>
      </c>
      <c r="F622">
        <v>680.6</v>
      </c>
      <c r="G622">
        <v>678</v>
      </c>
      <c r="H622">
        <v>690</v>
      </c>
      <c r="I622">
        <v>671</v>
      </c>
      <c r="J622" s="1">
        <v>684.55</v>
      </c>
      <c r="K622">
        <v>536346865.80000001</v>
      </c>
      <c r="L622">
        <v>783309</v>
      </c>
      <c r="M622" t="s">
        <v>78</v>
      </c>
      <c r="N622" t="s">
        <v>17</v>
      </c>
      <c r="O622">
        <v>24274</v>
      </c>
      <c r="P622">
        <v>704.5</v>
      </c>
      <c r="Q622">
        <v>281</v>
      </c>
    </row>
    <row r="623" spans="2:17" x14ac:dyDescent="0.25">
      <c r="B623" t="s">
        <v>78</v>
      </c>
      <c r="C623" t="s">
        <v>79</v>
      </c>
      <c r="D623" t="s">
        <v>1196</v>
      </c>
      <c r="E623" t="s">
        <v>1197</v>
      </c>
      <c r="F623">
        <v>668.2</v>
      </c>
      <c r="G623">
        <v>669.9</v>
      </c>
      <c r="H623">
        <v>672.55</v>
      </c>
      <c r="I623">
        <v>664.65</v>
      </c>
      <c r="J623" s="1">
        <v>665.55</v>
      </c>
      <c r="K623">
        <v>27560959.899999999</v>
      </c>
      <c r="L623">
        <v>41295</v>
      </c>
      <c r="M623" t="s">
        <v>78</v>
      </c>
      <c r="N623" t="s">
        <v>17</v>
      </c>
      <c r="O623">
        <v>3075</v>
      </c>
      <c r="P623">
        <v>842</v>
      </c>
      <c r="Q623">
        <v>565</v>
      </c>
    </row>
    <row r="624" spans="2:17" x14ac:dyDescent="0.25">
      <c r="B624" t="s">
        <v>78</v>
      </c>
      <c r="C624" t="s">
        <v>79</v>
      </c>
      <c r="D624" t="s">
        <v>1198</v>
      </c>
      <c r="E624" t="s">
        <v>1199</v>
      </c>
      <c r="F624">
        <v>67.3</v>
      </c>
      <c r="G624">
        <v>66.099999999999994</v>
      </c>
      <c r="H624">
        <v>67.900000000000006</v>
      </c>
      <c r="I624">
        <v>65.5</v>
      </c>
      <c r="J624" s="1">
        <v>65.7</v>
      </c>
      <c r="K624">
        <v>5126072.9000000004</v>
      </c>
      <c r="L624">
        <v>77001</v>
      </c>
      <c r="M624" t="s">
        <v>78</v>
      </c>
      <c r="N624" t="s">
        <v>17</v>
      </c>
      <c r="O624">
        <v>1405</v>
      </c>
      <c r="P624">
        <v>77.55</v>
      </c>
      <c r="Q624">
        <v>33</v>
      </c>
    </row>
    <row r="625" spans="2:17" x14ac:dyDescent="0.25">
      <c r="B625" t="s">
        <v>78</v>
      </c>
      <c r="C625" t="s">
        <v>79</v>
      </c>
      <c r="D625" t="s">
        <v>1200</v>
      </c>
      <c r="E625" t="s">
        <v>1201</v>
      </c>
      <c r="F625">
        <v>1074.75</v>
      </c>
      <c r="G625">
        <v>1074.8</v>
      </c>
      <c r="H625">
        <v>1091</v>
      </c>
      <c r="I625">
        <v>1068</v>
      </c>
      <c r="J625" s="1">
        <v>1082.0999999999999</v>
      </c>
      <c r="K625">
        <v>211157114.5</v>
      </c>
      <c r="L625">
        <v>195211</v>
      </c>
      <c r="M625" t="s">
        <v>78</v>
      </c>
      <c r="N625" t="s">
        <v>17</v>
      </c>
      <c r="O625">
        <v>10553</v>
      </c>
      <c r="P625">
        <v>1423</v>
      </c>
      <c r="Q625">
        <v>658</v>
      </c>
    </row>
    <row r="626" spans="2:17" x14ac:dyDescent="0.25">
      <c r="B626" t="s">
        <v>78</v>
      </c>
      <c r="C626" t="s">
        <v>79</v>
      </c>
      <c r="D626" t="s">
        <v>1202</v>
      </c>
      <c r="E626" t="s">
        <v>1203</v>
      </c>
      <c r="F626">
        <v>1494.3</v>
      </c>
      <c r="G626">
        <v>1460</v>
      </c>
      <c r="H626">
        <v>1557</v>
      </c>
      <c r="I626">
        <v>1420</v>
      </c>
      <c r="J626" s="1">
        <v>1526.1</v>
      </c>
      <c r="K626">
        <v>7851680297.1499996</v>
      </c>
      <c r="L626">
        <v>5195392</v>
      </c>
      <c r="M626" t="s">
        <v>78</v>
      </c>
      <c r="N626" t="s">
        <v>17</v>
      </c>
      <c r="O626">
        <v>219549</v>
      </c>
      <c r="P626">
        <v>1580</v>
      </c>
      <c r="Q626">
        <v>307</v>
      </c>
    </row>
    <row r="627" spans="2:17" x14ac:dyDescent="0.25">
      <c r="B627" t="s">
        <v>78</v>
      </c>
      <c r="C627" t="s">
        <v>79</v>
      </c>
      <c r="D627" t="s">
        <v>1204</v>
      </c>
      <c r="E627" t="s">
        <v>1205</v>
      </c>
      <c r="F627">
        <v>218.55</v>
      </c>
      <c r="G627">
        <v>216</v>
      </c>
      <c r="H627">
        <v>223</v>
      </c>
      <c r="I627">
        <v>214.4</v>
      </c>
      <c r="J627" s="1">
        <v>216.65</v>
      </c>
      <c r="K627">
        <v>56802161.950000003</v>
      </c>
      <c r="L627">
        <v>260215</v>
      </c>
      <c r="M627" t="s">
        <v>78</v>
      </c>
      <c r="N627" t="s">
        <v>17</v>
      </c>
      <c r="O627">
        <v>10293</v>
      </c>
      <c r="P627">
        <v>236.95</v>
      </c>
      <c r="Q627">
        <v>80</v>
      </c>
    </row>
    <row r="628" spans="2:17" x14ac:dyDescent="0.25">
      <c r="B628" t="s">
        <v>78</v>
      </c>
      <c r="C628" t="s">
        <v>79</v>
      </c>
      <c r="D628" t="s">
        <v>1206</v>
      </c>
      <c r="E628" t="s">
        <v>1207</v>
      </c>
      <c r="F628">
        <v>26.8</v>
      </c>
      <c r="G628">
        <v>26.65</v>
      </c>
      <c r="H628">
        <v>27.6</v>
      </c>
      <c r="I628">
        <v>26.55</v>
      </c>
      <c r="J628" s="1">
        <v>26.75</v>
      </c>
      <c r="K628">
        <v>231535394.09999999</v>
      </c>
      <c r="L628">
        <v>8584107</v>
      </c>
      <c r="M628" t="s">
        <v>78</v>
      </c>
      <c r="N628" t="s">
        <v>17</v>
      </c>
      <c r="O628">
        <v>15133</v>
      </c>
      <c r="P628">
        <v>57.3</v>
      </c>
      <c r="Q628">
        <v>20.55</v>
      </c>
    </row>
    <row r="629" spans="2:17" x14ac:dyDescent="0.25">
      <c r="B629" t="s">
        <v>78</v>
      </c>
      <c r="C629" t="s">
        <v>79</v>
      </c>
      <c r="D629" t="s">
        <v>1208</v>
      </c>
      <c r="E629" t="s">
        <v>1209</v>
      </c>
      <c r="F629">
        <v>972.05</v>
      </c>
      <c r="G629">
        <v>972.05</v>
      </c>
      <c r="H629">
        <v>998.95</v>
      </c>
      <c r="I629">
        <v>960.45</v>
      </c>
      <c r="J629" s="1">
        <v>966.1</v>
      </c>
      <c r="K629">
        <v>44164671.649999999</v>
      </c>
      <c r="L629">
        <v>45111</v>
      </c>
      <c r="M629" t="s">
        <v>78</v>
      </c>
      <c r="N629" t="s">
        <v>17</v>
      </c>
      <c r="O629">
        <v>4571</v>
      </c>
      <c r="P629">
        <v>1072.3</v>
      </c>
      <c r="Q629">
        <v>616</v>
      </c>
    </row>
    <row r="630" spans="2:17" x14ac:dyDescent="0.25">
      <c r="B630" t="s">
        <v>78</v>
      </c>
      <c r="C630" t="s">
        <v>79</v>
      </c>
      <c r="D630" t="s">
        <v>1210</v>
      </c>
      <c r="E630" t="s">
        <v>1211</v>
      </c>
      <c r="F630">
        <v>54.05</v>
      </c>
      <c r="G630">
        <v>53.5</v>
      </c>
      <c r="H630">
        <v>55.45</v>
      </c>
      <c r="I630">
        <v>52.8</v>
      </c>
      <c r="J630" s="1">
        <v>53.55</v>
      </c>
      <c r="K630">
        <v>96892091.049999997</v>
      </c>
      <c r="L630">
        <v>1782268</v>
      </c>
      <c r="M630" t="s">
        <v>78</v>
      </c>
      <c r="N630" t="s">
        <v>17</v>
      </c>
      <c r="O630">
        <v>10023</v>
      </c>
      <c r="P630">
        <v>57.2</v>
      </c>
      <c r="Q630">
        <v>14.1</v>
      </c>
    </row>
    <row r="631" spans="2:17" x14ac:dyDescent="0.25">
      <c r="B631" t="s">
        <v>78</v>
      </c>
      <c r="C631" t="s">
        <v>79</v>
      </c>
      <c r="D631" t="s">
        <v>1212</v>
      </c>
      <c r="E631" t="s">
        <v>1213</v>
      </c>
      <c r="F631">
        <v>31.3</v>
      </c>
      <c r="G631">
        <v>32.85</v>
      </c>
      <c r="H631">
        <v>32.85</v>
      </c>
      <c r="I631">
        <v>29.75</v>
      </c>
      <c r="J631" s="1">
        <v>29.75</v>
      </c>
      <c r="K631">
        <v>1546619.85</v>
      </c>
      <c r="L631">
        <v>50847</v>
      </c>
      <c r="M631" t="s">
        <v>78</v>
      </c>
      <c r="N631" t="s">
        <v>17</v>
      </c>
      <c r="O631">
        <v>482</v>
      </c>
      <c r="P631">
        <v>32.85</v>
      </c>
      <c r="Q631">
        <v>4.8</v>
      </c>
    </row>
    <row r="632" spans="2:17" x14ac:dyDescent="0.25">
      <c r="B632" t="s">
        <v>78</v>
      </c>
      <c r="C632" t="s">
        <v>79</v>
      </c>
      <c r="D632" t="s">
        <v>1214</v>
      </c>
      <c r="E632" t="s">
        <v>1215</v>
      </c>
      <c r="F632">
        <v>13.05</v>
      </c>
      <c r="G632">
        <v>12.8</v>
      </c>
      <c r="H632">
        <v>13.45</v>
      </c>
      <c r="I632">
        <v>12.75</v>
      </c>
      <c r="J632" s="1">
        <v>13</v>
      </c>
      <c r="K632">
        <v>50968182.450000003</v>
      </c>
      <c r="L632">
        <v>3887594</v>
      </c>
      <c r="M632" t="s">
        <v>78</v>
      </c>
      <c r="N632" t="s">
        <v>17</v>
      </c>
      <c r="O632">
        <v>4236</v>
      </c>
      <c r="P632">
        <v>16.2</v>
      </c>
      <c r="Q632">
        <v>4.5999999999999996</v>
      </c>
    </row>
    <row r="633" spans="2:17" x14ac:dyDescent="0.25">
      <c r="B633" t="s">
        <v>78</v>
      </c>
      <c r="C633" t="s">
        <v>79</v>
      </c>
      <c r="D633" t="s">
        <v>1216</v>
      </c>
      <c r="E633" t="s">
        <v>1217</v>
      </c>
      <c r="F633">
        <v>239.1</v>
      </c>
      <c r="G633">
        <v>239.05</v>
      </c>
      <c r="H633">
        <v>241</v>
      </c>
      <c r="I633">
        <v>225.85</v>
      </c>
      <c r="J633" s="1">
        <v>229.9</v>
      </c>
      <c r="K633">
        <v>70073327.75</v>
      </c>
      <c r="L633">
        <v>301312</v>
      </c>
      <c r="M633" t="s">
        <v>78</v>
      </c>
      <c r="N633" t="s">
        <v>17</v>
      </c>
      <c r="O633">
        <v>12477</v>
      </c>
      <c r="P633">
        <v>250.8</v>
      </c>
      <c r="Q633">
        <v>106.95</v>
      </c>
    </row>
    <row r="634" spans="2:17" x14ac:dyDescent="0.25">
      <c r="B634" t="s">
        <v>78</v>
      </c>
      <c r="C634" t="s">
        <v>79</v>
      </c>
      <c r="D634" t="s">
        <v>1218</v>
      </c>
      <c r="E634" t="s">
        <v>1219</v>
      </c>
      <c r="F634">
        <v>16.8</v>
      </c>
      <c r="G634">
        <v>16.899999999999999</v>
      </c>
      <c r="H634">
        <v>16.899999999999999</v>
      </c>
      <c r="I634">
        <v>16.399999999999999</v>
      </c>
      <c r="J634" s="1">
        <v>16.45</v>
      </c>
      <c r="K634">
        <v>10844367.4</v>
      </c>
      <c r="L634">
        <v>653997</v>
      </c>
      <c r="M634" t="s">
        <v>78</v>
      </c>
      <c r="N634" t="s">
        <v>17</v>
      </c>
      <c r="O634">
        <v>2464</v>
      </c>
      <c r="P634">
        <v>21.75</v>
      </c>
      <c r="Q634">
        <v>7.05</v>
      </c>
    </row>
    <row r="635" spans="2:17" x14ac:dyDescent="0.25">
      <c r="B635" t="s">
        <v>78</v>
      </c>
      <c r="C635" t="s">
        <v>79</v>
      </c>
      <c r="D635" t="s">
        <v>1220</v>
      </c>
      <c r="E635" t="s">
        <v>1221</v>
      </c>
      <c r="F635">
        <v>2224</v>
      </c>
      <c r="G635">
        <v>2205</v>
      </c>
      <c r="H635">
        <v>2236.8000000000002</v>
      </c>
      <c r="I635">
        <v>2181</v>
      </c>
      <c r="J635" s="1">
        <v>2217.1</v>
      </c>
      <c r="K635">
        <v>167931156.40000001</v>
      </c>
      <c r="L635">
        <v>75868</v>
      </c>
      <c r="M635" t="s">
        <v>78</v>
      </c>
      <c r="N635" t="s">
        <v>183</v>
      </c>
      <c r="O635">
        <v>8047</v>
      </c>
      <c r="P635">
        <v>2580</v>
      </c>
      <c r="Q635">
        <v>659</v>
      </c>
    </row>
    <row r="636" spans="2:17" x14ac:dyDescent="0.25">
      <c r="B636" t="s">
        <v>78</v>
      </c>
      <c r="C636" t="s">
        <v>79</v>
      </c>
      <c r="D636" t="s">
        <v>1222</v>
      </c>
      <c r="E636" t="s">
        <v>1223</v>
      </c>
      <c r="F636">
        <v>263.3</v>
      </c>
      <c r="G636">
        <v>262.95</v>
      </c>
      <c r="H636">
        <v>266</v>
      </c>
      <c r="I636">
        <v>260.2</v>
      </c>
      <c r="J636" s="1">
        <v>263.3</v>
      </c>
      <c r="K636">
        <v>72158144.599999994</v>
      </c>
      <c r="L636">
        <v>274688</v>
      </c>
      <c r="M636" t="s">
        <v>78</v>
      </c>
      <c r="N636" t="s">
        <v>17</v>
      </c>
      <c r="O636">
        <v>8596</v>
      </c>
      <c r="P636">
        <v>284.95</v>
      </c>
      <c r="Q636">
        <v>172</v>
      </c>
    </row>
    <row r="637" spans="2:17" x14ac:dyDescent="0.25">
      <c r="B637" t="s">
        <v>78</v>
      </c>
      <c r="C637" t="s">
        <v>79</v>
      </c>
      <c r="D637" t="s">
        <v>1224</v>
      </c>
      <c r="E637" t="s">
        <v>1225</v>
      </c>
      <c r="F637">
        <v>152.6</v>
      </c>
      <c r="G637">
        <v>151.5</v>
      </c>
      <c r="H637">
        <v>161</v>
      </c>
      <c r="I637">
        <v>150.25</v>
      </c>
      <c r="J637" s="1">
        <v>155.25</v>
      </c>
      <c r="K637">
        <v>470921477.69999999</v>
      </c>
      <c r="L637">
        <v>3007456</v>
      </c>
      <c r="M637" t="s">
        <v>78</v>
      </c>
      <c r="N637" t="s">
        <v>17</v>
      </c>
      <c r="O637">
        <v>25725</v>
      </c>
      <c r="P637">
        <v>167.2</v>
      </c>
      <c r="Q637">
        <v>54.4</v>
      </c>
    </row>
    <row r="638" spans="2:17" x14ac:dyDescent="0.25">
      <c r="B638" t="s">
        <v>78</v>
      </c>
      <c r="C638" t="s">
        <v>79</v>
      </c>
      <c r="D638" t="s">
        <v>1226</v>
      </c>
      <c r="E638" t="s">
        <v>1227</v>
      </c>
      <c r="F638">
        <v>724.3</v>
      </c>
      <c r="G638">
        <v>724</v>
      </c>
      <c r="H638">
        <v>775</v>
      </c>
      <c r="I638">
        <v>719</v>
      </c>
      <c r="J638" s="1">
        <v>769</v>
      </c>
      <c r="K638">
        <v>625900303.25</v>
      </c>
      <c r="L638">
        <v>826093</v>
      </c>
      <c r="M638" t="s">
        <v>78</v>
      </c>
      <c r="N638" t="s">
        <v>17</v>
      </c>
      <c r="O638">
        <v>26975</v>
      </c>
      <c r="P638">
        <v>945</v>
      </c>
      <c r="Q638">
        <v>602.1</v>
      </c>
    </row>
    <row r="639" spans="2:17" x14ac:dyDescent="0.25">
      <c r="B639" t="s">
        <v>78</v>
      </c>
      <c r="C639" t="s">
        <v>79</v>
      </c>
      <c r="D639" t="s">
        <v>1228</v>
      </c>
      <c r="E639" t="s">
        <v>1229</v>
      </c>
      <c r="F639">
        <v>174.1</v>
      </c>
      <c r="G639">
        <v>172.45</v>
      </c>
      <c r="H639">
        <v>179.55</v>
      </c>
      <c r="I639">
        <v>169.45</v>
      </c>
      <c r="J639" s="1">
        <v>177.8</v>
      </c>
      <c r="K639">
        <v>48401805.049999997</v>
      </c>
      <c r="L639">
        <v>274206</v>
      </c>
      <c r="M639" t="s">
        <v>78</v>
      </c>
      <c r="N639" t="s">
        <v>17</v>
      </c>
      <c r="O639">
        <v>8077</v>
      </c>
      <c r="P639">
        <v>179.55</v>
      </c>
      <c r="Q639">
        <v>76.95</v>
      </c>
    </row>
    <row r="640" spans="2:17" x14ac:dyDescent="0.25">
      <c r="B640" t="s">
        <v>78</v>
      </c>
      <c r="C640" t="s">
        <v>79</v>
      </c>
      <c r="D640" t="s">
        <v>1230</v>
      </c>
      <c r="E640" t="s">
        <v>1231</v>
      </c>
      <c r="F640">
        <v>480.05</v>
      </c>
      <c r="G640">
        <v>480</v>
      </c>
      <c r="H640">
        <v>489.6</v>
      </c>
      <c r="I640">
        <v>474.7</v>
      </c>
      <c r="J640" s="1">
        <v>485.55</v>
      </c>
      <c r="K640">
        <v>60252541.350000001</v>
      </c>
      <c r="L640">
        <v>124391</v>
      </c>
      <c r="M640" t="s">
        <v>78</v>
      </c>
      <c r="N640" t="s">
        <v>17</v>
      </c>
      <c r="O640">
        <v>5897</v>
      </c>
      <c r="P640">
        <v>514.29999999999995</v>
      </c>
      <c r="Q640">
        <v>249.95</v>
      </c>
    </row>
    <row r="641" spans="2:17" x14ac:dyDescent="0.25">
      <c r="B641" t="s">
        <v>78</v>
      </c>
      <c r="C641" t="s">
        <v>79</v>
      </c>
      <c r="D641" t="s">
        <v>1232</v>
      </c>
      <c r="E641" t="s">
        <v>1233</v>
      </c>
      <c r="F641">
        <v>2486.35</v>
      </c>
      <c r="G641">
        <v>2486</v>
      </c>
      <c r="H641">
        <v>2511.4499999999998</v>
      </c>
      <c r="I641">
        <v>2422</v>
      </c>
      <c r="J641" s="1">
        <v>2435.35</v>
      </c>
      <c r="K641">
        <v>38353397.700000003</v>
      </c>
      <c r="L641">
        <v>15607</v>
      </c>
      <c r="M641" t="s">
        <v>78</v>
      </c>
      <c r="N641" t="s">
        <v>17</v>
      </c>
      <c r="O641">
        <v>2744</v>
      </c>
      <c r="P641">
        <v>3134</v>
      </c>
      <c r="Q641">
        <v>1263.3</v>
      </c>
    </row>
    <row r="642" spans="2:17" x14ac:dyDescent="0.25">
      <c r="B642" t="s">
        <v>78</v>
      </c>
      <c r="C642" t="s">
        <v>79</v>
      </c>
      <c r="D642" t="s">
        <v>1234</v>
      </c>
      <c r="E642" t="s">
        <v>1235</v>
      </c>
      <c r="F642">
        <v>145.5</v>
      </c>
      <c r="G642">
        <v>144</v>
      </c>
      <c r="H642">
        <v>149.9</v>
      </c>
      <c r="I642">
        <v>138.25</v>
      </c>
      <c r="J642" s="1">
        <v>141.5</v>
      </c>
      <c r="K642">
        <v>8404484</v>
      </c>
      <c r="L642">
        <v>58119</v>
      </c>
      <c r="M642" t="s">
        <v>78</v>
      </c>
      <c r="N642" t="s">
        <v>17</v>
      </c>
      <c r="O642">
        <v>720</v>
      </c>
      <c r="P642">
        <v>175.25</v>
      </c>
      <c r="Q642">
        <v>42</v>
      </c>
    </row>
    <row r="643" spans="2:17" x14ac:dyDescent="0.25">
      <c r="B643" t="s">
        <v>78</v>
      </c>
      <c r="C643" t="s">
        <v>79</v>
      </c>
      <c r="D643" t="s">
        <v>1236</v>
      </c>
      <c r="E643" t="s">
        <v>1237</v>
      </c>
      <c r="F643">
        <v>495</v>
      </c>
      <c r="G643">
        <v>484</v>
      </c>
      <c r="H643">
        <v>503.3</v>
      </c>
      <c r="I643">
        <v>484</v>
      </c>
      <c r="J643" s="1">
        <v>494.35</v>
      </c>
      <c r="K643">
        <v>118047910.95</v>
      </c>
      <c r="L643">
        <v>238488</v>
      </c>
      <c r="M643" t="s">
        <v>78</v>
      </c>
      <c r="N643" t="s">
        <v>17</v>
      </c>
      <c r="O643">
        <v>7976</v>
      </c>
      <c r="P643">
        <v>550.79999999999995</v>
      </c>
      <c r="Q643">
        <v>174.2</v>
      </c>
    </row>
    <row r="644" spans="2:17" x14ac:dyDescent="0.25">
      <c r="B644" t="s">
        <v>78</v>
      </c>
      <c r="C644" t="s">
        <v>79</v>
      </c>
      <c r="D644" t="s">
        <v>1238</v>
      </c>
      <c r="E644" t="s">
        <v>1239</v>
      </c>
      <c r="F644">
        <v>519.04999999999995</v>
      </c>
      <c r="G644">
        <v>518</v>
      </c>
      <c r="H644">
        <v>572.70000000000005</v>
      </c>
      <c r="I644">
        <v>514.4</v>
      </c>
      <c r="J644" s="1">
        <v>555.70000000000005</v>
      </c>
      <c r="K644">
        <v>481574694.89999998</v>
      </c>
      <c r="L644">
        <v>886082</v>
      </c>
      <c r="M644" t="s">
        <v>78</v>
      </c>
      <c r="N644" t="s">
        <v>17</v>
      </c>
      <c r="O644">
        <v>26634</v>
      </c>
      <c r="P644">
        <v>572.70000000000005</v>
      </c>
      <c r="Q644">
        <v>124</v>
      </c>
    </row>
    <row r="645" spans="2:17" x14ac:dyDescent="0.25">
      <c r="B645" t="s">
        <v>78</v>
      </c>
      <c r="C645" t="s">
        <v>79</v>
      </c>
      <c r="D645" t="s">
        <v>1240</v>
      </c>
      <c r="E645" t="s">
        <v>1241</v>
      </c>
      <c r="F645">
        <v>4457.45</v>
      </c>
      <c r="G645">
        <v>4445</v>
      </c>
      <c r="H645">
        <v>4544.8</v>
      </c>
      <c r="I645">
        <v>4426.75</v>
      </c>
      <c r="J645" s="1">
        <v>4525.45</v>
      </c>
      <c r="K645">
        <v>54094242.799999997</v>
      </c>
      <c r="L645">
        <v>12042</v>
      </c>
      <c r="M645" t="s">
        <v>78</v>
      </c>
      <c r="N645" t="s">
        <v>17</v>
      </c>
      <c r="O645">
        <v>2804</v>
      </c>
      <c r="P645">
        <v>5170</v>
      </c>
      <c r="Q645">
        <v>1216.5999999999999</v>
      </c>
    </row>
    <row r="646" spans="2:17" x14ac:dyDescent="0.25">
      <c r="B646" t="s">
        <v>78</v>
      </c>
      <c r="C646" t="s">
        <v>79</v>
      </c>
      <c r="D646" t="s">
        <v>1242</v>
      </c>
      <c r="E646" t="s">
        <v>1243</v>
      </c>
      <c r="F646">
        <v>245.25</v>
      </c>
      <c r="G646">
        <v>252</v>
      </c>
      <c r="H646">
        <v>278.3</v>
      </c>
      <c r="I646">
        <v>250.5</v>
      </c>
      <c r="J646" s="1">
        <v>257.2</v>
      </c>
      <c r="K646">
        <v>633072415.5</v>
      </c>
      <c r="L646">
        <v>2407270</v>
      </c>
      <c r="M646" t="s">
        <v>78</v>
      </c>
      <c r="N646" t="s">
        <v>17</v>
      </c>
      <c r="O646">
        <v>55358</v>
      </c>
      <c r="P646">
        <v>278.3</v>
      </c>
      <c r="Q646">
        <v>59</v>
      </c>
    </row>
    <row r="647" spans="2:17" x14ac:dyDescent="0.25">
      <c r="B647" t="s">
        <v>78</v>
      </c>
      <c r="C647" t="s">
        <v>79</v>
      </c>
      <c r="D647" t="s">
        <v>1244</v>
      </c>
      <c r="E647" t="s">
        <v>1245</v>
      </c>
      <c r="F647">
        <v>336</v>
      </c>
      <c r="G647">
        <v>327.2</v>
      </c>
      <c r="H647">
        <v>347</v>
      </c>
      <c r="I647">
        <v>327.2</v>
      </c>
      <c r="J647" s="1">
        <v>333.2</v>
      </c>
      <c r="K647">
        <v>3346862.65</v>
      </c>
      <c r="L647">
        <v>10001</v>
      </c>
      <c r="M647" t="s">
        <v>78</v>
      </c>
      <c r="N647" t="s">
        <v>17</v>
      </c>
      <c r="O647">
        <v>1051</v>
      </c>
      <c r="P647">
        <v>387.8</v>
      </c>
      <c r="Q647">
        <v>160</v>
      </c>
    </row>
    <row r="648" spans="2:17" x14ac:dyDescent="0.25">
      <c r="B648" t="s">
        <v>78</v>
      </c>
      <c r="C648" t="s">
        <v>79</v>
      </c>
      <c r="D648" t="s">
        <v>1246</v>
      </c>
      <c r="E648" t="s">
        <v>1247</v>
      </c>
      <c r="F648">
        <v>64.349999999999994</v>
      </c>
      <c r="G648">
        <v>64.5</v>
      </c>
      <c r="H648">
        <v>67.55</v>
      </c>
      <c r="I648">
        <v>62.45</v>
      </c>
      <c r="J648" s="1">
        <v>67.55</v>
      </c>
      <c r="K648">
        <v>7621838.3499999996</v>
      </c>
      <c r="L648">
        <v>113679</v>
      </c>
      <c r="M648" t="s">
        <v>78</v>
      </c>
      <c r="N648" t="s">
        <v>17</v>
      </c>
      <c r="O648">
        <v>929</v>
      </c>
      <c r="P648">
        <v>67.55</v>
      </c>
      <c r="Q648">
        <v>41.75</v>
      </c>
    </row>
    <row r="649" spans="2:17" x14ac:dyDescent="0.25">
      <c r="B649" t="s">
        <v>78</v>
      </c>
      <c r="C649" t="s">
        <v>79</v>
      </c>
      <c r="D649" t="s">
        <v>1248</v>
      </c>
      <c r="E649" t="s">
        <v>1249</v>
      </c>
      <c r="F649">
        <v>142.4</v>
      </c>
      <c r="G649">
        <v>140.1</v>
      </c>
      <c r="H649">
        <v>144.30000000000001</v>
      </c>
      <c r="I649">
        <v>139.1</v>
      </c>
      <c r="J649" s="1">
        <v>140.25</v>
      </c>
      <c r="K649">
        <v>321649242.35000002</v>
      </c>
      <c r="L649">
        <v>2270417</v>
      </c>
      <c r="M649" t="s">
        <v>78</v>
      </c>
      <c r="N649" t="s">
        <v>17</v>
      </c>
      <c r="O649">
        <v>17249</v>
      </c>
      <c r="P649">
        <v>196.75</v>
      </c>
      <c r="Q649">
        <v>31.3</v>
      </c>
    </row>
    <row r="650" spans="2:17" x14ac:dyDescent="0.25">
      <c r="B650" t="s">
        <v>78</v>
      </c>
      <c r="C650" t="s">
        <v>79</v>
      </c>
      <c r="D650" t="s">
        <v>1250</v>
      </c>
      <c r="E650" t="s">
        <v>1251</v>
      </c>
      <c r="F650">
        <v>8.3000000000000007</v>
      </c>
      <c r="G650">
        <v>8.4499999999999993</v>
      </c>
      <c r="H650">
        <v>8.4499999999999993</v>
      </c>
      <c r="I650">
        <v>8.25</v>
      </c>
      <c r="J650" s="1">
        <v>8.35</v>
      </c>
      <c r="K650">
        <v>1550472.7</v>
      </c>
      <c r="L650">
        <v>185947</v>
      </c>
      <c r="M650" t="s">
        <v>78</v>
      </c>
      <c r="N650" t="s">
        <v>17</v>
      </c>
      <c r="O650">
        <v>589</v>
      </c>
      <c r="P650">
        <v>10</v>
      </c>
      <c r="Q650">
        <v>4.6500000000000004</v>
      </c>
    </row>
    <row r="651" spans="2:17" x14ac:dyDescent="0.25">
      <c r="B651" t="s">
        <v>78</v>
      </c>
      <c r="C651" t="s">
        <v>79</v>
      </c>
      <c r="D651" t="s">
        <v>1252</v>
      </c>
      <c r="E651" t="s">
        <v>1253</v>
      </c>
      <c r="F651">
        <v>119.2</v>
      </c>
      <c r="G651">
        <v>117.25</v>
      </c>
      <c r="H651">
        <v>123.15</v>
      </c>
      <c r="I651">
        <v>117.05</v>
      </c>
      <c r="J651" s="1">
        <v>121.95</v>
      </c>
      <c r="K651">
        <v>272156130.44999999</v>
      </c>
      <c r="L651">
        <v>2236438</v>
      </c>
      <c r="M651" t="s">
        <v>78</v>
      </c>
      <c r="N651" t="s">
        <v>17</v>
      </c>
      <c r="O651">
        <v>18189</v>
      </c>
      <c r="P651">
        <v>127.45</v>
      </c>
      <c r="Q651">
        <v>60.35</v>
      </c>
    </row>
    <row r="652" spans="2:17" x14ac:dyDescent="0.25">
      <c r="B652" t="s">
        <v>78</v>
      </c>
      <c r="C652" t="s">
        <v>79</v>
      </c>
      <c r="D652" t="s">
        <v>1254</v>
      </c>
      <c r="E652" t="s">
        <v>1255</v>
      </c>
      <c r="F652">
        <v>169.45</v>
      </c>
      <c r="G652">
        <v>169</v>
      </c>
      <c r="H652">
        <v>170.2</v>
      </c>
      <c r="I652">
        <v>161.94999999999999</v>
      </c>
      <c r="J652" s="1">
        <v>163.80000000000001</v>
      </c>
      <c r="K652">
        <v>5332576.95</v>
      </c>
      <c r="L652">
        <v>32053</v>
      </c>
      <c r="M652" t="s">
        <v>78</v>
      </c>
      <c r="N652" t="s">
        <v>17</v>
      </c>
      <c r="O652">
        <v>1436</v>
      </c>
      <c r="P652">
        <v>180.15</v>
      </c>
      <c r="Q652">
        <v>108.5</v>
      </c>
    </row>
    <row r="653" spans="2:17" x14ac:dyDescent="0.25">
      <c r="B653" t="s">
        <v>78</v>
      </c>
      <c r="C653" t="s">
        <v>79</v>
      </c>
      <c r="D653" t="s">
        <v>1256</v>
      </c>
      <c r="E653" t="s">
        <v>1257</v>
      </c>
      <c r="F653">
        <v>137.5</v>
      </c>
      <c r="G653">
        <v>134.69999999999999</v>
      </c>
      <c r="H653">
        <v>144.05000000000001</v>
      </c>
      <c r="I653">
        <v>134.69999999999999</v>
      </c>
      <c r="J653" s="1">
        <v>142.05000000000001</v>
      </c>
      <c r="K653">
        <v>7164826.4000000004</v>
      </c>
      <c r="L653">
        <v>50958</v>
      </c>
      <c r="M653" t="s">
        <v>78</v>
      </c>
      <c r="N653" t="s">
        <v>17</v>
      </c>
      <c r="O653">
        <v>1027</v>
      </c>
      <c r="P653">
        <v>149</v>
      </c>
      <c r="Q653">
        <v>61.3</v>
      </c>
    </row>
    <row r="654" spans="2:17" x14ac:dyDescent="0.25">
      <c r="B654" t="s">
        <v>78</v>
      </c>
      <c r="C654" t="s">
        <v>79</v>
      </c>
      <c r="D654" t="s">
        <v>1258</v>
      </c>
      <c r="E654" t="s">
        <v>1259</v>
      </c>
      <c r="F654">
        <v>519.95000000000005</v>
      </c>
      <c r="G654">
        <v>517.5</v>
      </c>
      <c r="H654">
        <v>566.70000000000005</v>
      </c>
      <c r="I654">
        <v>516.54999999999995</v>
      </c>
      <c r="J654" s="1">
        <v>535.54999999999995</v>
      </c>
      <c r="K654">
        <v>57071415.450000003</v>
      </c>
      <c r="L654">
        <v>106617</v>
      </c>
      <c r="M654" t="s">
        <v>78</v>
      </c>
      <c r="N654" t="s">
        <v>17</v>
      </c>
      <c r="O654">
        <v>3257</v>
      </c>
      <c r="P654">
        <v>566.70000000000005</v>
      </c>
      <c r="Q654">
        <v>101.1</v>
      </c>
    </row>
    <row r="655" spans="2:17" x14ac:dyDescent="0.25">
      <c r="B655" t="s">
        <v>78</v>
      </c>
      <c r="C655" t="s">
        <v>79</v>
      </c>
      <c r="D655" t="s">
        <v>1260</v>
      </c>
      <c r="E655" t="s">
        <v>1261</v>
      </c>
      <c r="F655">
        <v>239.65</v>
      </c>
      <c r="G655">
        <v>231.3</v>
      </c>
      <c r="H655">
        <v>243.45</v>
      </c>
      <c r="I655">
        <v>231.3</v>
      </c>
      <c r="J655" s="1">
        <v>234.65</v>
      </c>
      <c r="K655">
        <v>3142157.45</v>
      </c>
      <c r="L655">
        <v>13293</v>
      </c>
      <c r="M655" t="s">
        <v>78</v>
      </c>
      <c r="N655" t="s">
        <v>17</v>
      </c>
      <c r="O655">
        <v>472</v>
      </c>
      <c r="P655">
        <v>263.64999999999998</v>
      </c>
      <c r="Q655">
        <v>66.2</v>
      </c>
    </row>
    <row r="656" spans="2:17" x14ac:dyDescent="0.25">
      <c r="B656" t="s">
        <v>78</v>
      </c>
      <c r="C656" t="s">
        <v>79</v>
      </c>
      <c r="D656" t="s">
        <v>1262</v>
      </c>
      <c r="E656" t="s">
        <v>1263</v>
      </c>
      <c r="F656">
        <v>306.85000000000002</v>
      </c>
      <c r="G656">
        <v>306.85000000000002</v>
      </c>
      <c r="H656">
        <v>321</v>
      </c>
      <c r="I656">
        <v>302</v>
      </c>
      <c r="J656" s="1">
        <v>316.55</v>
      </c>
      <c r="K656">
        <v>8342214.0999999996</v>
      </c>
      <c r="L656">
        <v>26427</v>
      </c>
      <c r="M656" t="s">
        <v>78</v>
      </c>
      <c r="N656" t="s">
        <v>17</v>
      </c>
      <c r="O656">
        <v>1345</v>
      </c>
      <c r="P656">
        <v>332</v>
      </c>
      <c r="Q656">
        <v>95.45</v>
      </c>
    </row>
    <row r="657" spans="2:17" x14ac:dyDescent="0.25">
      <c r="B657" t="s">
        <v>78</v>
      </c>
      <c r="C657" t="s">
        <v>79</v>
      </c>
      <c r="D657" t="s">
        <v>1264</v>
      </c>
      <c r="E657" t="s">
        <v>1265</v>
      </c>
      <c r="F657">
        <v>3464.5</v>
      </c>
      <c r="G657">
        <v>3479.25</v>
      </c>
      <c r="H657">
        <v>3515.5</v>
      </c>
      <c r="I657">
        <v>3431.05</v>
      </c>
      <c r="J657" s="1">
        <v>3452.4</v>
      </c>
      <c r="K657">
        <v>12257677.800000001</v>
      </c>
      <c r="L657">
        <v>3533</v>
      </c>
      <c r="M657" t="s">
        <v>78</v>
      </c>
      <c r="N657" t="s">
        <v>17</v>
      </c>
      <c r="O657">
        <v>1051</v>
      </c>
      <c r="P657">
        <v>3791.95</v>
      </c>
      <c r="Q657">
        <v>1755</v>
      </c>
    </row>
    <row r="658" spans="2:17" x14ac:dyDescent="0.25">
      <c r="B658" t="s">
        <v>78</v>
      </c>
      <c r="C658" t="s">
        <v>79</v>
      </c>
      <c r="D658" t="s">
        <v>1266</v>
      </c>
      <c r="E658" t="s">
        <v>1267</v>
      </c>
      <c r="F658">
        <v>10.5</v>
      </c>
      <c r="G658">
        <v>10.25</v>
      </c>
      <c r="H658">
        <v>10.4</v>
      </c>
      <c r="I658">
        <v>10</v>
      </c>
      <c r="J658" s="1">
        <v>10.15</v>
      </c>
      <c r="K658">
        <v>4917520.55</v>
      </c>
      <c r="L658">
        <v>483487</v>
      </c>
      <c r="M658" t="s">
        <v>78</v>
      </c>
      <c r="N658" t="s">
        <v>17</v>
      </c>
      <c r="O658">
        <v>856</v>
      </c>
      <c r="P658">
        <v>12.4</v>
      </c>
      <c r="Q658">
        <v>4.2</v>
      </c>
    </row>
    <row r="659" spans="2:17" x14ac:dyDescent="0.25">
      <c r="B659" t="s">
        <v>78</v>
      </c>
      <c r="C659" t="s">
        <v>79</v>
      </c>
      <c r="D659" t="s">
        <v>1268</v>
      </c>
      <c r="E659" t="s">
        <v>1269</v>
      </c>
      <c r="F659">
        <v>92.75</v>
      </c>
      <c r="G659">
        <v>90.75</v>
      </c>
      <c r="H659">
        <v>94.8</v>
      </c>
      <c r="I659">
        <v>90</v>
      </c>
      <c r="J659" s="1">
        <v>93.55</v>
      </c>
      <c r="K659">
        <v>45960836.5</v>
      </c>
      <c r="L659">
        <v>499207</v>
      </c>
      <c r="M659" t="s">
        <v>78</v>
      </c>
      <c r="N659" t="s">
        <v>17</v>
      </c>
      <c r="O659">
        <v>5406</v>
      </c>
      <c r="P659">
        <v>106.7</v>
      </c>
      <c r="Q659">
        <v>44.8</v>
      </c>
    </row>
    <row r="660" spans="2:17" x14ac:dyDescent="0.25">
      <c r="B660" t="s">
        <v>78</v>
      </c>
      <c r="C660" t="s">
        <v>79</v>
      </c>
      <c r="D660" t="s">
        <v>1270</v>
      </c>
      <c r="E660" t="s">
        <v>1271</v>
      </c>
      <c r="F660">
        <v>573.70000000000005</v>
      </c>
      <c r="G660">
        <v>572</v>
      </c>
      <c r="H660">
        <v>572</v>
      </c>
      <c r="I660">
        <v>551.79999999999995</v>
      </c>
      <c r="J660" s="1">
        <v>554.79999999999995</v>
      </c>
      <c r="K660">
        <v>86787704.200000003</v>
      </c>
      <c r="L660">
        <v>154711</v>
      </c>
      <c r="M660" t="s">
        <v>78</v>
      </c>
      <c r="N660" t="s">
        <v>17</v>
      </c>
      <c r="O660">
        <v>8664</v>
      </c>
      <c r="P660">
        <v>640</v>
      </c>
      <c r="Q660">
        <v>440</v>
      </c>
    </row>
    <row r="661" spans="2:17" x14ac:dyDescent="0.25">
      <c r="B661" t="s">
        <v>78</v>
      </c>
      <c r="C661" t="s">
        <v>79</v>
      </c>
      <c r="D661" t="s">
        <v>1272</v>
      </c>
      <c r="E661" t="s">
        <v>1273</v>
      </c>
      <c r="F661">
        <v>43671.15</v>
      </c>
      <c r="G661">
        <v>43578.95</v>
      </c>
      <c r="H661">
        <v>44217.35</v>
      </c>
      <c r="I661">
        <v>43133</v>
      </c>
      <c r="J661" s="1">
        <v>44045.7</v>
      </c>
      <c r="K661">
        <v>113742179.3</v>
      </c>
      <c r="L661">
        <v>2595</v>
      </c>
      <c r="M661" t="s">
        <v>78</v>
      </c>
      <c r="N661" t="s">
        <v>17</v>
      </c>
      <c r="O661">
        <v>1872</v>
      </c>
      <c r="P661">
        <v>49990</v>
      </c>
      <c r="Q661">
        <v>26820</v>
      </c>
    </row>
    <row r="662" spans="2:17" x14ac:dyDescent="0.25">
      <c r="B662" t="s">
        <v>78</v>
      </c>
      <c r="C662" t="s">
        <v>79</v>
      </c>
      <c r="D662" t="s">
        <v>1274</v>
      </c>
      <c r="E662" t="s">
        <v>1275</v>
      </c>
      <c r="F662">
        <v>1230.3499999999999</v>
      </c>
      <c r="G662">
        <v>1213.25</v>
      </c>
      <c r="H662">
        <v>1370</v>
      </c>
      <c r="I662">
        <v>1211.0999999999999</v>
      </c>
      <c r="J662" s="1">
        <v>1288.8</v>
      </c>
      <c r="K662">
        <v>137502518.69999999</v>
      </c>
      <c r="L662">
        <v>103806</v>
      </c>
      <c r="M662" t="s">
        <v>78</v>
      </c>
      <c r="N662" t="s">
        <v>17</v>
      </c>
      <c r="O662">
        <v>12634</v>
      </c>
      <c r="P662">
        <v>1388.3</v>
      </c>
      <c r="Q662">
        <v>915</v>
      </c>
    </row>
    <row r="663" spans="2:17" x14ac:dyDescent="0.25">
      <c r="B663" t="s">
        <v>78</v>
      </c>
      <c r="C663" t="s">
        <v>79</v>
      </c>
      <c r="D663" t="s">
        <v>1276</v>
      </c>
      <c r="E663" t="s">
        <v>1277</v>
      </c>
      <c r="F663">
        <v>67.900000000000006</v>
      </c>
      <c r="G663">
        <v>68</v>
      </c>
      <c r="H663">
        <v>71.25</v>
      </c>
      <c r="I663">
        <v>68</v>
      </c>
      <c r="J663" s="1">
        <v>71.25</v>
      </c>
      <c r="K663">
        <v>2735800.7</v>
      </c>
      <c r="L663">
        <v>39029</v>
      </c>
      <c r="M663" t="s">
        <v>78</v>
      </c>
      <c r="N663" t="s">
        <v>17</v>
      </c>
      <c r="O663">
        <v>266</v>
      </c>
      <c r="P663">
        <v>71.25</v>
      </c>
      <c r="Q663">
        <v>28.1</v>
      </c>
    </row>
    <row r="664" spans="2:17" x14ac:dyDescent="0.25">
      <c r="B664" t="s">
        <v>78</v>
      </c>
      <c r="C664" t="s">
        <v>79</v>
      </c>
      <c r="D664" t="s">
        <v>1278</v>
      </c>
      <c r="E664" t="s">
        <v>1279</v>
      </c>
      <c r="F664">
        <v>79.25</v>
      </c>
      <c r="G664">
        <v>78.900000000000006</v>
      </c>
      <c r="H664">
        <v>83.2</v>
      </c>
      <c r="I664">
        <v>76.8</v>
      </c>
      <c r="J664" s="1">
        <v>83.2</v>
      </c>
      <c r="K664">
        <v>32212647.550000001</v>
      </c>
      <c r="L664">
        <v>392488</v>
      </c>
      <c r="M664" t="s">
        <v>78</v>
      </c>
      <c r="N664" t="s">
        <v>17</v>
      </c>
      <c r="O664">
        <v>3341</v>
      </c>
      <c r="P664">
        <v>91.4</v>
      </c>
      <c r="Q664">
        <v>24.8</v>
      </c>
    </row>
    <row r="665" spans="2:17" x14ac:dyDescent="0.25">
      <c r="B665" t="s">
        <v>78</v>
      </c>
      <c r="C665" t="s">
        <v>79</v>
      </c>
      <c r="D665" t="s">
        <v>1280</v>
      </c>
      <c r="E665" t="s">
        <v>1281</v>
      </c>
      <c r="F665">
        <v>54.4</v>
      </c>
      <c r="G665">
        <v>54</v>
      </c>
      <c r="H665">
        <v>54.6</v>
      </c>
      <c r="I665">
        <v>53.15</v>
      </c>
      <c r="J665" s="1">
        <v>53.4</v>
      </c>
      <c r="K665">
        <v>248103342.5</v>
      </c>
      <c r="L665">
        <v>4604411</v>
      </c>
      <c r="M665" t="s">
        <v>78</v>
      </c>
      <c r="N665" t="s">
        <v>17</v>
      </c>
      <c r="O665">
        <v>19265</v>
      </c>
      <c r="P665">
        <v>63.9</v>
      </c>
      <c r="Q665">
        <v>37.5</v>
      </c>
    </row>
    <row r="666" spans="2:17" x14ac:dyDescent="0.25">
      <c r="B666" t="s">
        <v>78</v>
      </c>
      <c r="C666" t="s">
        <v>79</v>
      </c>
      <c r="D666" t="s">
        <v>1282</v>
      </c>
      <c r="E666" t="s">
        <v>1283</v>
      </c>
      <c r="F666">
        <v>247.4</v>
      </c>
      <c r="G666">
        <v>247.8</v>
      </c>
      <c r="H666">
        <v>267.35000000000002</v>
      </c>
      <c r="I666">
        <v>247.8</v>
      </c>
      <c r="J666" s="1">
        <v>258.55</v>
      </c>
      <c r="K666">
        <v>185544210.34999999</v>
      </c>
      <c r="L666">
        <v>712218</v>
      </c>
      <c r="M666" t="s">
        <v>78</v>
      </c>
      <c r="N666" t="s">
        <v>17</v>
      </c>
      <c r="O666">
        <v>17322</v>
      </c>
      <c r="P666">
        <v>267.35000000000002</v>
      </c>
      <c r="Q666">
        <v>53.05</v>
      </c>
    </row>
    <row r="667" spans="2:17" x14ac:dyDescent="0.25">
      <c r="B667" t="s">
        <v>78</v>
      </c>
      <c r="C667" t="s">
        <v>79</v>
      </c>
      <c r="D667" t="s">
        <v>1284</v>
      </c>
      <c r="E667" t="s">
        <v>1285</v>
      </c>
      <c r="F667">
        <v>26.35</v>
      </c>
      <c r="G667">
        <v>26.4</v>
      </c>
      <c r="H667">
        <v>31.35</v>
      </c>
      <c r="I667">
        <v>26.15</v>
      </c>
      <c r="J667" s="1">
        <v>30.5</v>
      </c>
      <c r="K667">
        <v>271668315.35000002</v>
      </c>
      <c r="L667">
        <v>9132866</v>
      </c>
      <c r="M667" t="s">
        <v>78</v>
      </c>
      <c r="N667" t="s">
        <v>17</v>
      </c>
      <c r="O667">
        <v>24203</v>
      </c>
      <c r="P667">
        <v>31.35</v>
      </c>
      <c r="Q667">
        <v>11.7</v>
      </c>
    </row>
    <row r="668" spans="2:17" x14ac:dyDescent="0.25">
      <c r="B668" t="s">
        <v>78</v>
      </c>
      <c r="C668" t="s">
        <v>79</v>
      </c>
      <c r="D668" t="s">
        <v>1286</v>
      </c>
      <c r="E668" t="s">
        <v>1287</v>
      </c>
      <c r="F668">
        <v>52.65</v>
      </c>
      <c r="G668">
        <v>52.2</v>
      </c>
      <c r="H668">
        <v>52.45</v>
      </c>
      <c r="I668">
        <v>51.35</v>
      </c>
      <c r="J668" s="1">
        <v>51.7</v>
      </c>
      <c r="K668">
        <v>86082850.700000003</v>
      </c>
      <c r="L668">
        <v>1658712</v>
      </c>
      <c r="M668" t="s">
        <v>78</v>
      </c>
      <c r="N668" t="s">
        <v>17</v>
      </c>
      <c r="O668">
        <v>7311</v>
      </c>
      <c r="P668">
        <v>58.25</v>
      </c>
      <c r="Q668">
        <v>29.85</v>
      </c>
    </row>
    <row r="669" spans="2:17" x14ac:dyDescent="0.25">
      <c r="B669" t="s">
        <v>78</v>
      </c>
      <c r="C669" t="s">
        <v>79</v>
      </c>
      <c r="D669" t="s">
        <v>1288</v>
      </c>
      <c r="E669" t="s">
        <v>1289</v>
      </c>
      <c r="F669">
        <v>313.39999999999998</v>
      </c>
      <c r="G669">
        <v>310.10000000000002</v>
      </c>
      <c r="H669">
        <v>313.95</v>
      </c>
      <c r="I669">
        <v>305.45</v>
      </c>
      <c r="J669" s="1">
        <v>309.14999999999998</v>
      </c>
      <c r="K669">
        <v>38512788.450000003</v>
      </c>
      <c r="L669">
        <v>124502</v>
      </c>
      <c r="M669" t="s">
        <v>78</v>
      </c>
      <c r="N669" t="s">
        <v>17</v>
      </c>
      <c r="O669">
        <v>3992</v>
      </c>
      <c r="P669">
        <v>352.15</v>
      </c>
      <c r="Q669">
        <v>210.2</v>
      </c>
    </row>
    <row r="670" spans="2:17" x14ac:dyDescent="0.25">
      <c r="B670" t="s">
        <v>78</v>
      </c>
      <c r="C670" t="s">
        <v>79</v>
      </c>
      <c r="D670" t="s">
        <v>1290</v>
      </c>
      <c r="E670" t="s">
        <v>1291</v>
      </c>
      <c r="F670">
        <v>143.05000000000001</v>
      </c>
      <c r="G670">
        <v>142.4</v>
      </c>
      <c r="H670">
        <v>162.9</v>
      </c>
      <c r="I670">
        <v>141</v>
      </c>
      <c r="J670" s="1">
        <v>159.30000000000001</v>
      </c>
      <c r="K670">
        <v>12323406326.549999</v>
      </c>
      <c r="L670">
        <v>80473782</v>
      </c>
      <c r="M670" t="s">
        <v>78</v>
      </c>
      <c r="N670" t="s">
        <v>17</v>
      </c>
      <c r="O670">
        <v>331452</v>
      </c>
      <c r="P670">
        <v>162.9</v>
      </c>
      <c r="Q670">
        <v>46.3</v>
      </c>
    </row>
    <row r="671" spans="2:17" x14ac:dyDescent="0.25">
      <c r="B671" t="s">
        <v>78</v>
      </c>
      <c r="C671" t="s">
        <v>79</v>
      </c>
      <c r="D671" t="s">
        <v>1292</v>
      </c>
      <c r="E671" t="s">
        <v>1293</v>
      </c>
      <c r="F671">
        <v>275.55</v>
      </c>
      <c r="G671">
        <v>273</v>
      </c>
      <c r="H671">
        <v>278.8</v>
      </c>
      <c r="I671">
        <v>268.5</v>
      </c>
      <c r="J671" s="1">
        <v>270.85000000000002</v>
      </c>
      <c r="K671">
        <v>2889301530.5</v>
      </c>
      <c r="L671">
        <v>10581170</v>
      </c>
      <c r="M671" t="s">
        <v>78</v>
      </c>
      <c r="N671" t="s">
        <v>17</v>
      </c>
      <c r="O671">
        <v>81258</v>
      </c>
      <c r="P671">
        <v>313.7</v>
      </c>
      <c r="Q671">
        <v>127.75</v>
      </c>
    </row>
    <row r="672" spans="2:17" x14ac:dyDescent="0.25">
      <c r="B672" t="s">
        <v>78</v>
      </c>
      <c r="C672" t="s">
        <v>79</v>
      </c>
      <c r="D672" t="s">
        <v>1294</v>
      </c>
      <c r="E672" t="s">
        <v>1295</v>
      </c>
      <c r="F672">
        <v>85.75</v>
      </c>
      <c r="G672">
        <v>85.25</v>
      </c>
      <c r="H672">
        <v>92.9</v>
      </c>
      <c r="I672">
        <v>83.55</v>
      </c>
      <c r="J672" s="1">
        <v>91.1</v>
      </c>
      <c r="K672">
        <v>15216241.6</v>
      </c>
      <c r="L672">
        <v>167753</v>
      </c>
      <c r="M672" t="s">
        <v>78</v>
      </c>
      <c r="N672" t="s">
        <v>17</v>
      </c>
      <c r="O672">
        <v>1530</v>
      </c>
      <c r="P672">
        <v>120.2</v>
      </c>
      <c r="Q672">
        <v>58.05</v>
      </c>
    </row>
    <row r="673" spans="2:17" x14ac:dyDescent="0.25">
      <c r="B673" t="s">
        <v>78</v>
      </c>
      <c r="C673" t="s">
        <v>79</v>
      </c>
      <c r="D673" t="s">
        <v>1296</v>
      </c>
      <c r="E673" t="s">
        <v>1297</v>
      </c>
      <c r="F673">
        <v>207.2</v>
      </c>
      <c r="G673">
        <v>205</v>
      </c>
      <c r="H673">
        <v>214</v>
      </c>
      <c r="I673">
        <v>197.7</v>
      </c>
      <c r="J673" s="1">
        <v>205.95</v>
      </c>
      <c r="K673">
        <v>354152840.64999998</v>
      </c>
      <c r="L673">
        <v>1702109</v>
      </c>
      <c r="M673" t="s">
        <v>78</v>
      </c>
      <c r="N673" t="s">
        <v>17</v>
      </c>
      <c r="O673">
        <v>22220</v>
      </c>
      <c r="P673">
        <v>214</v>
      </c>
      <c r="Q673">
        <v>39.35</v>
      </c>
    </row>
    <row r="674" spans="2:17" x14ac:dyDescent="0.25">
      <c r="B674" t="s">
        <v>78</v>
      </c>
      <c r="C674" t="s">
        <v>79</v>
      </c>
      <c r="D674" t="s">
        <v>1298</v>
      </c>
      <c r="E674" t="s">
        <v>1299</v>
      </c>
      <c r="F674">
        <v>3560.2</v>
      </c>
      <c r="G674">
        <v>3630</v>
      </c>
      <c r="H674">
        <v>4070</v>
      </c>
      <c r="I674">
        <v>3575.05</v>
      </c>
      <c r="J674" s="1">
        <v>3810.9</v>
      </c>
      <c r="K674">
        <v>720849248.39999998</v>
      </c>
      <c r="L674">
        <v>183921</v>
      </c>
      <c r="M674" t="s">
        <v>78</v>
      </c>
      <c r="N674" t="s">
        <v>17</v>
      </c>
      <c r="O674">
        <v>25369</v>
      </c>
      <c r="P674">
        <v>4070</v>
      </c>
      <c r="Q674">
        <v>2479.8000000000002</v>
      </c>
    </row>
    <row r="675" spans="2:17" x14ac:dyDescent="0.25">
      <c r="B675" t="s">
        <v>78</v>
      </c>
      <c r="C675" t="s">
        <v>79</v>
      </c>
      <c r="D675" t="s">
        <v>1300</v>
      </c>
      <c r="E675" t="s">
        <v>1301</v>
      </c>
      <c r="F675">
        <v>37.799999999999997</v>
      </c>
      <c r="G675">
        <v>37.700000000000003</v>
      </c>
      <c r="H675">
        <v>38.200000000000003</v>
      </c>
      <c r="I675">
        <v>37.5</v>
      </c>
      <c r="J675" s="1">
        <v>37.85</v>
      </c>
      <c r="K675">
        <v>262087786.44999999</v>
      </c>
      <c r="L675">
        <v>6926789</v>
      </c>
      <c r="M675" t="s">
        <v>78</v>
      </c>
      <c r="N675" t="s">
        <v>17</v>
      </c>
      <c r="O675">
        <v>15033</v>
      </c>
      <c r="P675">
        <v>45.2</v>
      </c>
      <c r="Q675">
        <v>26.35</v>
      </c>
    </row>
    <row r="676" spans="2:17" x14ac:dyDescent="0.25">
      <c r="B676" t="s">
        <v>78</v>
      </c>
      <c r="C676" t="s">
        <v>79</v>
      </c>
      <c r="D676" t="s">
        <v>1302</v>
      </c>
      <c r="E676" t="s">
        <v>1303</v>
      </c>
      <c r="F676">
        <v>9.4499999999999993</v>
      </c>
      <c r="G676">
        <v>9.5500000000000007</v>
      </c>
      <c r="H676">
        <v>9.9</v>
      </c>
      <c r="I676">
        <v>8.5500000000000007</v>
      </c>
      <c r="J676" s="1">
        <v>9.15</v>
      </c>
      <c r="K676">
        <v>6942350958.4499998</v>
      </c>
      <c r="L676">
        <v>748615182</v>
      </c>
      <c r="M676" t="s">
        <v>78</v>
      </c>
      <c r="N676" t="s">
        <v>17</v>
      </c>
      <c r="O676">
        <v>269782</v>
      </c>
      <c r="P676">
        <v>13.8</v>
      </c>
      <c r="Q676">
        <v>7.6</v>
      </c>
    </row>
    <row r="677" spans="2:17" x14ac:dyDescent="0.25">
      <c r="B677" t="s">
        <v>78</v>
      </c>
      <c r="C677" t="s">
        <v>79</v>
      </c>
      <c r="D677" t="s">
        <v>1304</v>
      </c>
      <c r="E677" t="s">
        <v>1305</v>
      </c>
      <c r="F677">
        <v>55.85</v>
      </c>
      <c r="G677">
        <v>55.3</v>
      </c>
      <c r="H677">
        <v>55.55</v>
      </c>
      <c r="I677">
        <v>53.4</v>
      </c>
      <c r="J677" s="1">
        <v>53.6</v>
      </c>
      <c r="K677">
        <v>348960177.85000002</v>
      </c>
      <c r="L677">
        <v>6420935</v>
      </c>
      <c r="M677" t="s">
        <v>78</v>
      </c>
      <c r="N677" t="s">
        <v>17</v>
      </c>
      <c r="O677">
        <v>14381</v>
      </c>
      <c r="P677">
        <v>60.3</v>
      </c>
      <c r="Q677">
        <v>18.3</v>
      </c>
    </row>
    <row r="678" spans="2:17" x14ac:dyDescent="0.25">
      <c r="B678" t="s">
        <v>78</v>
      </c>
      <c r="C678" t="s">
        <v>79</v>
      </c>
      <c r="D678" t="s">
        <v>1306</v>
      </c>
      <c r="E678" t="s">
        <v>1307</v>
      </c>
      <c r="F678">
        <v>54.05</v>
      </c>
      <c r="G678">
        <v>53.6</v>
      </c>
      <c r="H678">
        <v>53.7</v>
      </c>
      <c r="I678">
        <v>52.35</v>
      </c>
      <c r="J678" s="1">
        <v>52.6</v>
      </c>
      <c r="K678">
        <v>1442140837</v>
      </c>
      <c r="L678">
        <v>27211665</v>
      </c>
      <c r="M678" t="s">
        <v>78</v>
      </c>
      <c r="N678" t="s">
        <v>17</v>
      </c>
      <c r="O678">
        <v>85258</v>
      </c>
      <c r="P678">
        <v>69.3</v>
      </c>
      <c r="Q678">
        <v>26</v>
      </c>
    </row>
    <row r="679" spans="2:17" x14ac:dyDescent="0.25">
      <c r="B679" t="s">
        <v>78</v>
      </c>
      <c r="C679" t="s">
        <v>79</v>
      </c>
      <c r="D679" t="s">
        <v>1308</v>
      </c>
      <c r="E679" t="s">
        <v>1309</v>
      </c>
      <c r="F679">
        <v>412.35</v>
      </c>
      <c r="G679">
        <v>409.8</v>
      </c>
      <c r="H679">
        <v>444.7</v>
      </c>
      <c r="I679">
        <v>408.55</v>
      </c>
      <c r="J679" s="1">
        <v>435.95</v>
      </c>
      <c r="K679">
        <v>4584502737.8000002</v>
      </c>
      <c r="L679">
        <v>10656393</v>
      </c>
      <c r="M679" t="s">
        <v>78</v>
      </c>
      <c r="N679" t="s">
        <v>17</v>
      </c>
      <c r="O679">
        <v>180403</v>
      </c>
      <c r="P679">
        <v>444.7</v>
      </c>
      <c r="Q679">
        <v>170.25</v>
      </c>
    </row>
    <row r="680" spans="2:17" x14ac:dyDescent="0.25">
      <c r="B680" t="s">
        <v>78</v>
      </c>
      <c r="C680" t="s">
        <v>79</v>
      </c>
      <c r="D680" t="s">
        <v>1310</v>
      </c>
      <c r="E680" t="s">
        <v>1311</v>
      </c>
      <c r="F680">
        <v>591.9</v>
      </c>
      <c r="G680">
        <v>591.9</v>
      </c>
      <c r="H680">
        <v>606.9</v>
      </c>
      <c r="I680">
        <v>585.75</v>
      </c>
      <c r="J680" s="1">
        <v>590.70000000000005</v>
      </c>
      <c r="K680">
        <v>9206441.3499999996</v>
      </c>
      <c r="L680">
        <v>15423</v>
      </c>
      <c r="M680" t="s">
        <v>78</v>
      </c>
      <c r="N680" t="s">
        <v>17</v>
      </c>
      <c r="O680">
        <v>1724</v>
      </c>
      <c r="P680">
        <v>673.9</v>
      </c>
      <c r="Q680">
        <v>260</v>
      </c>
    </row>
    <row r="681" spans="2:17" x14ac:dyDescent="0.25">
      <c r="B681" t="s">
        <v>78</v>
      </c>
      <c r="C681" t="s">
        <v>79</v>
      </c>
      <c r="D681" t="s">
        <v>1312</v>
      </c>
      <c r="E681" t="s">
        <v>1313</v>
      </c>
      <c r="F681">
        <v>1033.1500000000001</v>
      </c>
      <c r="G681">
        <v>1036</v>
      </c>
      <c r="H681">
        <v>1043.6500000000001</v>
      </c>
      <c r="I681">
        <v>1025.1500000000001</v>
      </c>
      <c r="J681" s="1">
        <v>1028</v>
      </c>
      <c r="K681">
        <v>17073607.050000001</v>
      </c>
      <c r="L681">
        <v>16524</v>
      </c>
      <c r="M681" t="s">
        <v>78</v>
      </c>
      <c r="N681" t="s">
        <v>17</v>
      </c>
      <c r="O681">
        <v>2031</v>
      </c>
      <c r="P681">
        <v>1502.9</v>
      </c>
      <c r="Q681">
        <v>362</v>
      </c>
    </row>
    <row r="682" spans="2:17" x14ac:dyDescent="0.25">
      <c r="B682" t="s">
        <v>78</v>
      </c>
      <c r="C682" t="s">
        <v>79</v>
      </c>
      <c r="D682" t="s">
        <v>1314</v>
      </c>
      <c r="E682" t="s">
        <v>1315</v>
      </c>
      <c r="F682">
        <v>14.15</v>
      </c>
      <c r="G682">
        <v>13.95</v>
      </c>
      <c r="H682">
        <v>14.4</v>
      </c>
      <c r="I682">
        <v>13.65</v>
      </c>
      <c r="J682" s="1">
        <v>13.8</v>
      </c>
      <c r="K682">
        <v>59082571.549999997</v>
      </c>
      <c r="L682">
        <v>4221692</v>
      </c>
      <c r="M682" t="s">
        <v>78</v>
      </c>
      <c r="N682" t="s">
        <v>17</v>
      </c>
      <c r="O682">
        <v>8590</v>
      </c>
      <c r="P682">
        <v>16.399999999999999</v>
      </c>
      <c r="Q682">
        <v>5.65</v>
      </c>
    </row>
    <row r="683" spans="2:17" x14ac:dyDescent="0.25">
      <c r="B683" t="s">
        <v>78</v>
      </c>
      <c r="C683" t="s">
        <v>79</v>
      </c>
      <c r="D683" t="s">
        <v>1316</v>
      </c>
      <c r="E683" t="s">
        <v>1317</v>
      </c>
      <c r="F683">
        <v>406.8</v>
      </c>
      <c r="G683">
        <v>408</v>
      </c>
      <c r="H683">
        <v>413.45</v>
      </c>
      <c r="I683">
        <v>401</v>
      </c>
      <c r="J683" s="1">
        <v>406.8</v>
      </c>
      <c r="K683">
        <v>14084932.9</v>
      </c>
      <c r="L683">
        <v>34466</v>
      </c>
      <c r="M683" t="s">
        <v>78</v>
      </c>
      <c r="N683" t="s">
        <v>17</v>
      </c>
      <c r="O683">
        <v>2494</v>
      </c>
      <c r="P683">
        <v>434.9</v>
      </c>
      <c r="Q683">
        <v>104.1</v>
      </c>
    </row>
    <row r="684" spans="2:17" x14ac:dyDescent="0.25">
      <c r="B684" t="s">
        <v>78</v>
      </c>
      <c r="C684" t="s">
        <v>79</v>
      </c>
      <c r="D684" t="s">
        <v>1318</v>
      </c>
      <c r="E684" t="s">
        <v>1319</v>
      </c>
      <c r="F684">
        <v>542.95000000000005</v>
      </c>
      <c r="G684">
        <v>536.70000000000005</v>
      </c>
      <c r="H684">
        <v>540.1</v>
      </c>
      <c r="I684">
        <v>522.75</v>
      </c>
      <c r="J684" s="1">
        <v>529.20000000000005</v>
      </c>
      <c r="K684">
        <v>48466117.25</v>
      </c>
      <c r="L684">
        <v>91303</v>
      </c>
      <c r="M684" t="s">
        <v>78</v>
      </c>
      <c r="N684" t="s">
        <v>17</v>
      </c>
      <c r="O684">
        <v>5589</v>
      </c>
      <c r="P684">
        <v>587</v>
      </c>
      <c r="Q684">
        <v>255.05</v>
      </c>
    </row>
    <row r="685" spans="2:17" x14ac:dyDescent="0.25">
      <c r="B685" t="s">
        <v>78</v>
      </c>
      <c r="C685" t="s">
        <v>79</v>
      </c>
      <c r="D685" t="s">
        <v>1320</v>
      </c>
      <c r="E685" t="s">
        <v>1321</v>
      </c>
      <c r="F685">
        <v>690.55</v>
      </c>
      <c r="G685">
        <v>687.75</v>
      </c>
      <c r="H685">
        <v>714.5</v>
      </c>
      <c r="I685">
        <v>685.15</v>
      </c>
      <c r="J685" s="1">
        <v>704.15</v>
      </c>
      <c r="K685">
        <v>104880451.5</v>
      </c>
      <c r="L685">
        <v>149089</v>
      </c>
      <c r="M685" t="s">
        <v>78</v>
      </c>
      <c r="N685" t="s">
        <v>17</v>
      </c>
      <c r="O685">
        <v>11736</v>
      </c>
      <c r="P685">
        <v>714.5</v>
      </c>
      <c r="Q685">
        <v>150.1</v>
      </c>
    </row>
    <row r="686" spans="2:17" x14ac:dyDescent="0.25">
      <c r="B686" t="s">
        <v>78</v>
      </c>
      <c r="C686" t="s">
        <v>79</v>
      </c>
      <c r="D686" t="s">
        <v>1322</v>
      </c>
      <c r="E686" t="s">
        <v>1323</v>
      </c>
      <c r="F686">
        <v>120.2</v>
      </c>
      <c r="G686">
        <v>119</v>
      </c>
      <c r="H686">
        <v>126.8</v>
      </c>
      <c r="I686">
        <v>118.1</v>
      </c>
      <c r="J686" s="1">
        <v>123.3</v>
      </c>
      <c r="K686">
        <v>362052146.25</v>
      </c>
      <c r="L686">
        <v>2934418</v>
      </c>
      <c r="M686" t="s">
        <v>78</v>
      </c>
      <c r="N686" t="s">
        <v>17</v>
      </c>
      <c r="O686">
        <v>18461</v>
      </c>
      <c r="P686">
        <v>126.8</v>
      </c>
      <c r="Q686">
        <v>35.85</v>
      </c>
    </row>
    <row r="687" spans="2:17" x14ac:dyDescent="0.25">
      <c r="B687" t="s">
        <v>78</v>
      </c>
      <c r="C687" t="s">
        <v>79</v>
      </c>
      <c r="D687" t="s">
        <v>1324</v>
      </c>
      <c r="E687" t="s">
        <v>1325</v>
      </c>
      <c r="F687">
        <v>1388.9</v>
      </c>
      <c r="G687">
        <v>1370</v>
      </c>
      <c r="H687">
        <v>1415.15</v>
      </c>
      <c r="I687">
        <v>1358</v>
      </c>
      <c r="J687" s="1">
        <v>1386.35</v>
      </c>
      <c r="K687">
        <v>207660382.94999999</v>
      </c>
      <c r="L687">
        <v>149800</v>
      </c>
      <c r="M687" t="s">
        <v>78</v>
      </c>
      <c r="N687" t="s">
        <v>17</v>
      </c>
      <c r="O687">
        <v>10002</v>
      </c>
      <c r="P687">
        <v>1440</v>
      </c>
      <c r="Q687">
        <v>856.9</v>
      </c>
    </row>
    <row r="688" spans="2:17" x14ac:dyDescent="0.25">
      <c r="B688" t="s">
        <v>78</v>
      </c>
      <c r="C688" t="s">
        <v>79</v>
      </c>
      <c r="D688" t="s">
        <v>1326</v>
      </c>
      <c r="E688" t="s">
        <v>1327</v>
      </c>
      <c r="F688">
        <v>72.8</v>
      </c>
      <c r="G688">
        <v>76</v>
      </c>
      <c r="H688">
        <v>76.400000000000006</v>
      </c>
      <c r="I688">
        <v>70.3</v>
      </c>
      <c r="J688" s="1">
        <v>71.349999999999994</v>
      </c>
      <c r="K688">
        <v>1250697.1000000001</v>
      </c>
      <c r="L688">
        <v>16869</v>
      </c>
      <c r="M688" t="s">
        <v>78</v>
      </c>
      <c r="N688" t="s">
        <v>17</v>
      </c>
      <c r="O688">
        <v>338</v>
      </c>
      <c r="P688">
        <v>88.25</v>
      </c>
      <c r="Q688">
        <v>46.8</v>
      </c>
    </row>
    <row r="689" spans="2:17" x14ac:dyDescent="0.25">
      <c r="B689" t="s">
        <v>78</v>
      </c>
      <c r="C689" t="s">
        <v>79</v>
      </c>
      <c r="D689" t="s">
        <v>1328</v>
      </c>
      <c r="E689" t="s">
        <v>1329</v>
      </c>
      <c r="F689">
        <v>632.65</v>
      </c>
      <c r="G689">
        <v>628.95000000000005</v>
      </c>
      <c r="H689">
        <v>648</v>
      </c>
      <c r="I689">
        <v>624.70000000000005</v>
      </c>
      <c r="J689" s="1">
        <v>643.1</v>
      </c>
      <c r="K689">
        <v>43879549.5</v>
      </c>
      <c r="L689">
        <v>68828</v>
      </c>
      <c r="M689" t="s">
        <v>78</v>
      </c>
      <c r="N689" t="s">
        <v>17</v>
      </c>
      <c r="O689">
        <v>4862</v>
      </c>
      <c r="P689">
        <v>669.35</v>
      </c>
      <c r="Q689">
        <v>159.94999999999999</v>
      </c>
    </row>
    <row r="690" spans="2:17" x14ac:dyDescent="0.25">
      <c r="B690" t="s">
        <v>78</v>
      </c>
      <c r="C690" t="s">
        <v>79</v>
      </c>
      <c r="D690" t="s">
        <v>1330</v>
      </c>
      <c r="E690" t="s">
        <v>1331</v>
      </c>
      <c r="F690">
        <v>772.7</v>
      </c>
      <c r="G690">
        <v>751.6</v>
      </c>
      <c r="H690">
        <v>771</v>
      </c>
      <c r="I690">
        <v>751.6</v>
      </c>
      <c r="J690" s="1">
        <v>767.75</v>
      </c>
      <c r="K690">
        <v>3384255.55</v>
      </c>
      <c r="L690">
        <v>4447</v>
      </c>
      <c r="M690" t="s">
        <v>78</v>
      </c>
      <c r="N690" t="s">
        <v>17</v>
      </c>
      <c r="O690">
        <v>564</v>
      </c>
      <c r="P690">
        <v>868.45</v>
      </c>
      <c r="Q690">
        <v>508.05</v>
      </c>
    </row>
    <row r="691" spans="2:17" x14ac:dyDescent="0.25">
      <c r="B691" t="s">
        <v>78</v>
      </c>
      <c r="C691" t="s">
        <v>79</v>
      </c>
      <c r="D691" t="s">
        <v>1332</v>
      </c>
      <c r="E691" t="s">
        <v>1333</v>
      </c>
      <c r="F691">
        <v>37.049999999999997</v>
      </c>
      <c r="G691">
        <v>37</v>
      </c>
      <c r="H691">
        <v>40.65</v>
      </c>
      <c r="I691">
        <v>36.950000000000003</v>
      </c>
      <c r="J691" s="1">
        <v>39.200000000000003</v>
      </c>
      <c r="K691">
        <v>5968810.25</v>
      </c>
      <c r="L691">
        <v>151647</v>
      </c>
      <c r="M691" t="s">
        <v>78</v>
      </c>
      <c r="N691" t="s">
        <v>17</v>
      </c>
      <c r="O691">
        <v>1310</v>
      </c>
      <c r="P691">
        <v>44</v>
      </c>
      <c r="Q691">
        <v>15.1</v>
      </c>
    </row>
    <row r="692" spans="2:17" x14ac:dyDescent="0.25">
      <c r="B692" t="s">
        <v>78</v>
      </c>
      <c r="C692" t="s">
        <v>79</v>
      </c>
      <c r="D692" t="s">
        <v>1334</v>
      </c>
      <c r="E692" t="s">
        <v>1335</v>
      </c>
      <c r="F692">
        <v>34</v>
      </c>
      <c r="G692">
        <v>34.299999999999997</v>
      </c>
      <c r="H692">
        <v>35.9</v>
      </c>
      <c r="I692">
        <v>34</v>
      </c>
      <c r="J692" s="1">
        <v>34.25</v>
      </c>
      <c r="K692">
        <v>15188160.699999999</v>
      </c>
      <c r="L692">
        <v>434129</v>
      </c>
      <c r="M692" t="s">
        <v>78</v>
      </c>
      <c r="N692" t="s">
        <v>17</v>
      </c>
      <c r="O692">
        <v>2430</v>
      </c>
      <c r="P692">
        <v>37.4</v>
      </c>
      <c r="Q692">
        <v>6.4</v>
      </c>
    </row>
    <row r="693" spans="2:17" x14ac:dyDescent="0.25">
      <c r="B693" t="s">
        <v>78</v>
      </c>
      <c r="C693" t="s">
        <v>79</v>
      </c>
      <c r="D693" t="s">
        <v>1336</v>
      </c>
      <c r="E693" t="s">
        <v>1337</v>
      </c>
      <c r="F693">
        <v>152.85</v>
      </c>
      <c r="G693">
        <v>151</v>
      </c>
      <c r="H693">
        <v>151.55000000000001</v>
      </c>
      <c r="I693">
        <v>148.15</v>
      </c>
      <c r="J693" s="1">
        <v>150.19999999999999</v>
      </c>
      <c r="K693">
        <v>299669448.5</v>
      </c>
      <c r="L693">
        <v>1995715</v>
      </c>
      <c r="M693" t="s">
        <v>78</v>
      </c>
      <c r="N693" t="s">
        <v>17</v>
      </c>
      <c r="O693">
        <v>15865</v>
      </c>
      <c r="P693">
        <v>157.30000000000001</v>
      </c>
      <c r="Q693">
        <v>76.099999999999994</v>
      </c>
    </row>
    <row r="694" spans="2:17" x14ac:dyDescent="0.25">
      <c r="B694" t="s">
        <v>78</v>
      </c>
      <c r="C694" t="s">
        <v>79</v>
      </c>
      <c r="D694" t="s">
        <v>1338</v>
      </c>
      <c r="E694" t="s">
        <v>1339</v>
      </c>
      <c r="F694">
        <v>192.05</v>
      </c>
      <c r="G694">
        <v>191</v>
      </c>
      <c r="H694">
        <v>194.7</v>
      </c>
      <c r="I694">
        <v>190.35</v>
      </c>
      <c r="J694" s="1">
        <v>192.45</v>
      </c>
      <c r="K694">
        <v>252541728.90000001</v>
      </c>
      <c r="L694">
        <v>1312405</v>
      </c>
      <c r="M694" t="s">
        <v>78</v>
      </c>
      <c r="N694" t="s">
        <v>17</v>
      </c>
      <c r="O694">
        <v>10087</v>
      </c>
      <c r="P694">
        <v>211.4</v>
      </c>
      <c r="Q694">
        <v>107.5</v>
      </c>
    </row>
    <row r="695" spans="2:17" x14ac:dyDescent="0.25">
      <c r="B695" t="s">
        <v>78</v>
      </c>
      <c r="C695" t="s">
        <v>79</v>
      </c>
      <c r="D695" t="s">
        <v>1340</v>
      </c>
      <c r="E695" t="s">
        <v>1341</v>
      </c>
      <c r="F695">
        <v>719.8</v>
      </c>
      <c r="G695">
        <v>707.05</v>
      </c>
      <c r="H695">
        <v>730.8</v>
      </c>
      <c r="I695">
        <v>707.05</v>
      </c>
      <c r="J695" s="1">
        <v>714.05</v>
      </c>
      <c r="K695">
        <v>227599834.34999999</v>
      </c>
      <c r="L695">
        <v>317206</v>
      </c>
      <c r="M695" t="s">
        <v>78</v>
      </c>
      <c r="N695" t="s">
        <v>17</v>
      </c>
      <c r="O695">
        <v>11129</v>
      </c>
      <c r="P695">
        <v>769</v>
      </c>
      <c r="Q695">
        <v>262.89999999999998</v>
      </c>
    </row>
    <row r="696" spans="2:17" x14ac:dyDescent="0.25">
      <c r="B696" t="s">
        <v>78</v>
      </c>
      <c r="C696" t="s">
        <v>79</v>
      </c>
      <c r="D696" t="s">
        <v>1342</v>
      </c>
      <c r="E696" t="s">
        <v>1343</v>
      </c>
      <c r="F696">
        <v>7228.95</v>
      </c>
      <c r="G696">
        <v>7165</v>
      </c>
      <c r="H696">
        <v>7165</v>
      </c>
      <c r="I696">
        <v>7005.3</v>
      </c>
      <c r="J696" s="1">
        <v>7054.3</v>
      </c>
      <c r="K696">
        <v>1174499112.5</v>
      </c>
      <c r="L696">
        <v>166630</v>
      </c>
      <c r="M696" t="s">
        <v>78</v>
      </c>
      <c r="N696" t="s">
        <v>17</v>
      </c>
      <c r="O696">
        <v>31177</v>
      </c>
      <c r="P696">
        <v>9950</v>
      </c>
      <c r="Q696">
        <v>2060</v>
      </c>
    </row>
    <row r="697" spans="2:17" x14ac:dyDescent="0.25">
      <c r="B697" t="s">
        <v>78</v>
      </c>
      <c r="C697" t="s">
        <v>79</v>
      </c>
      <c r="D697" t="s">
        <v>1344</v>
      </c>
      <c r="E697" t="s">
        <v>1345</v>
      </c>
      <c r="F697">
        <v>138.15</v>
      </c>
      <c r="G697">
        <v>138.15</v>
      </c>
      <c r="H697">
        <v>143.80000000000001</v>
      </c>
      <c r="I697">
        <v>137.75</v>
      </c>
      <c r="J697" s="1">
        <v>139.30000000000001</v>
      </c>
      <c r="K697">
        <v>1709980002.2</v>
      </c>
      <c r="L697">
        <v>12124643</v>
      </c>
      <c r="M697" t="s">
        <v>78</v>
      </c>
      <c r="N697" t="s">
        <v>17</v>
      </c>
      <c r="O697">
        <v>63514</v>
      </c>
      <c r="P697">
        <v>157</v>
      </c>
      <c r="Q697">
        <v>53.1</v>
      </c>
    </row>
    <row r="698" spans="2:17" x14ac:dyDescent="0.25">
      <c r="B698" t="s">
        <v>78</v>
      </c>
      <c r="C698" t="s">
        <v>79</v>
      </c>
      <c r="D698" t="s">
        <v>1346</v>
      </c>
      <c r="E698" t="s">
        <v>1347</v>
      </c>
      <c r="F698">
        <v>214.2</v>
      </c>
      <c r="G698">
        <v>214.2</v>
      </c>
      <c r="H698">
        <v>224</v>
      </c>
      <c r="I698">
        <v>210.85</v>
      </c>
      <c r="J698" s="1">
        <v>221.4</v>
      </c>
      <c r="K698">
        <v>11029830.75</v>
      </c>
      <c r="L698">
        <v>49974</v>
      </c>
      <c r="M698" t="s">
        <v>78</v>
      </c>
      <c r="N698" t="s">
        <v>17</v>
      </c>
      <c r="O698">
        <v>4468</v>
      </c>
      <c r="P698">
        <v>234.9</v>
      </c>
      <c r="Q698">
        <v>88.1</v>
      </c>
    </row>
    <row r="699" spans="2:17" x14ac:dyDescent="0.25">
      <c r="B699" t="s">
        <v>78</v>
      </c>
      <c r="C699" t="s">
        <v>79</v>
      </c>
      <c r="D699" t="s">
        <v>1348</v>
      </c>
      <c r="E699" t="s">
        <v>1349</v>
      </c>
      <c r="F699">
        <v>238.15</v>
      </c>
      <c r="G699">
        <v>236.4</v>
      </c>
      <c r="H699">
        <v>237</v>
      </c>
      <c r="I699">
        <v>228.4</v>
      </c>
      <c r="J699" s="1">
        <v>231.55</v>
      </c>
      <c r="K699">
        <v>20237210.199999999</v>
      </c>
      <c r="L699">
        <v>87192</v>
      </c>
      <c r="M699" t="s">
        <v>78</v>
      </c>
      <c r="N699" t="s">
        <v>17</v>
      </c>
      <c r="O699">
        <v>4186</v>
      </c>
      <c r="P699">
        <v>248.95</v>
      </c>
      <c r="Q699">
        <v>153.1</v>
      </c>
    </row>
    <row r="700" spans="2:17" x14ac:dyDescent="0.25">
      <c r="B700" t="s">
        <v>78</v>
      </c>
      <c r="C700" t="s">
        <v>79</v>
      </c>
      <c r="D700" t="s">
        <v>1350</v>
      </c>
      <c r="E700" t="s">
        <v>1351</v>
      </c>
      <c r="F700">
        <v>2610.3000000000002</v>
      </c>
      <c r="G700">
        <v>2595.8000000000002</v>
      </c>
      <c r="H700">
        <v>2635</v>
      </c>
      <c r="I700">
        <v>2566</v>
      </c>
      <c r="J700" s="1">
        <v>2595.1</v>
      </c>
      <c r="K700">
        <v>49778506.149999999</v>
      </c>
      <c r="L700">
        <v>19167</v>
      </c>
      <c r="M700" t="s">
        <v>78</v>
      </c>
      <c r="N700" t="s">
        <v>17</v>
      </c>
      <c r="O700">
        <v>3033</v>
      </c>
      <c r="P700">
        <v>3329.95</v>
      </c>
      <c r="Q700">
        <v>2220.25</v>
      </c>
    </row>
    <row r="701" spans="2:17" x14ac:dyDescent="0.25">
      <c r="B701" t="s">
        <v>78</v>
      </c>
      <c r="C701" t="s">
        <v>1352</v>
      </c>
      <c r="D701" t="s">
        <v>1353</v>
      </c>
      <c r="E701" t="s">
        <v>1354</v>
      </c>
      <c r="F701">
        <v>136.80000000000001</v>
      </c>
      <c r="G701">
        <v>137.75</v>
      </c>
      <c r="H701">
        <v>137.94999999999999</v>
      </c>
      <c r="I701">
        <v>136.15</v>
      </c>
      <c r="J701" s="1">
        <v>137</v>
      </c>
      <c r="K701">
        <v>43445887.380000003</v>
      </c>
      <c r="L701">
        <v>316386</v>
      </c>
      <c r="M701" t="s">
        <v>78</v>
      </c>
      <c r="N701" t="s">
        <v>17</v>
      </c>
      <c r="O701">
        <v>139</v>
      </c>
      <c r="P701">
        <v>145.19999999999999</v>
      </c>
      <c r="Q701">
        <v>98</v>
      </c>
    </row>
    <row r="702" spans="2:17" x14ac:dyDescent="0.25">
      <c r="B702" t="s">
        <v>78</v>
      </c>
      <c r="C702" t="s">
        <v>79</v>
      </c>
      <c r="D702" t="s">
        <v>1355</v>
      </c>
      <c r="E702" t="s">
        <v>1356</v>
      </c>
      <c r="F702">
        <v>15.35</v>
      </c>
      <c r="G702">
        <v>15</v>
      </c>
      <c r="H702">
        <v>15.4</v>
      </c>
      <c r="I702">
        <v>14.65</v>
      </c>
      <c r="J702" s="1">
        <v>14.85</v>
      </c>
      <c r="K702">
        <v>1104413.5</v>
      </c>
      <c r="L702">
        <v>74046</v>
      </c>
      <c r="M702" t="s">
        <v>78</v>
      </c>
      <c r="N702" t="s">
        <v>17</v>
      </c>
      <c r="O702">
        <v>409</v>
      </c>
      <c r="P702">
        <v>21.75</v>
      </c>
      <c r="Q702">
        <v>11</v>
      </c>
    </row>
    <row r="703" spans="2:17" x14ac:dyDescent="0.25">
      <c r="B703" t="s">
        <v>78</v>
      </c>
      <c r="C703" t="s">
        <v>79</v>
      </c>
      <c r="D703" t="s">
        <v>1357</v>
      </c>
      <c r="E703" t="s">
        <v>1358</v>
      </c>
      <c r="F703">
        <v>381.15</v>
      </c>
      <c r="G703">
        <v>384</v>
      </c>
      <c r="H703">
        <v>385</v>
      </c>
      <c r="I703">
        <v>373.25</v>
      </c>
      <c r="J703" s="1">
        <v>374.5</v>
      </c>
      <c r="K703">
        <v>11369682.9</v>
      </c>
      <c r="L703">
        <v>30016</v>
      </c>
      <c r="M703" t="s">
        <v>78</v>
      </c>
      <c r="N703" t="s">
        <v>17</v>
      </c>
      <c r="O703">
        <v>1797</v>
      </c>
      <c r="P703">
        <v>448.8</v>
      </c>
      <c r="Q703">
        <v>264.85000000000002</v>
      </c>
    </row>
    <row r="704" spans="2:17" x14ac:dyDescent="0.25">
      <c r="B704" t="s">
        <v>78</v>
      </c>
      <c r="C704" t="s">
        <v>79</v>
      </c>
      <c r="D704" t="s">
        <v>1359</v>
      </c>
      <c r="E704" t="s">
        <v>1360</v>
      </c>
      <c r="F704">
        <v>442.6</v>
      </c>
      <c r="G704">
        <v>442.6</v>
      </c>
      <c r="H704">
        <v>449</v>
      </c>
      <c r="I704">
        <v>436.15</v>
      </c>
      <c r="J704" s="1">
        <v>438.6</v>
      </c>
      <c r="K704">
        <v>68583696.099999994</v>
      </c>
      <c r="L704">
        <v>155104</v>
      </c>
      <c r="M704" t="s">
        <v>78</v>
      </c>
      <c r="N704" t="s">
        <v>17</v>
      </c>
      <c r="O704">
        <v>7443</v>
      </c>
      <c r="P704">
        <v>494.7</v>
      </c>
      <c r="Q704">
        <v>198</v>
      </c>
    </row>
    <row r="705" spans="2:17" x14ac:dyDescent="0.25">
      <c r="B705" t="s">
        <v>78</v>
      </c>
      <c r="C705" t="s">
        <v>79</v>
      </c>
      <c r="D705" t="s">
        <v>1361</v>
      </c>
      <c r="E705" t="s">
        <v>1362</v>
      </c>
      <c r="F705">
        <v>341.9</v>
      </c>
      <c r="G705">
        <v>339</v>
      </c>
      <c r="H705">
        <v>352.7</v>
      </c>
      <c r="I705">
        <v>337.05</v>
      </c>
      <c r="J705" s="1">
        <v>349.9</v>
      </c>
      <c r="K705">
        <v>39671795.549999997</v>
      </c>
      <c r="L705">
        <v>113841</v>
      </c>
      <c r="M705" t="s">
        <v>78</v>
      </c>
      <c r="N705" t="s">
        <v>17</v>
      </c>
      <c r="O705">
        <v>5081</v>
      </c>
      <c r="P705">
        <v>423.8</v>
      </c>
      <c r="Q705">
        <v>237.6</v>
      </c>
    </row>
    <row r="706" spans="2:17" x14ac:dyDescent="0.25">
      <c r="B706" t="s">
        <v>78</v>
      </c>
      <c r="C706" t="s">
        <v>79</v>
      </c>
      <c r="D706" t="s">
        <v>1363</v>
      </c>
      <c r="E706" t="s">
        <v>1364</v>
      </c>
      <c r="F706">
        <v>260.64999999999998</v>
      </c>
      <c r="G706">
        <v>254.5</v>
      </c>
      <c r="H706">
        <v>266</v>
      </c>
      <c r="I706">
        <v>247.8</v>
      </c>
      <c r="J706" s="1">
        <v>249</v>
      </c>
      <c r="K706">
        <v>10034566.15</v>
      </c>
      <c r="L706">
        <v>39316</v>
      </c>
      <c r="M706" t="s">
        <v>78</v>
      </c>
      <c r="N706" t="s">
        <v>17</v>
      </c>
      <c r="O706">
        <v>1249</v>
      </c>
      <c r="P706">
        <v>292.55</v>
      </c>
      <c r="Q706">
        <v>80.2</v>
      </c>
    </row>
    <row r="707" spans="2:17" x14ac:dyDescent="0.25">
      <c r="B707" t="s">
        <v>78</v>
      </c>
      <c r="C707" t="s">
        <v>79</v>
      </c>
      <c r="D707" t="s">
        <v>1365</v>
      </c>
      <c r="E707" t="s">
        <v>1366</v>
      </c>
      <c r="F707">
        <v>8.1</v>
      </c>
      <c r="G707">
        <v>8.25</v>
      </c>
      <c r="H707">
        <v>8.4</v>
      </c>
      <c r="I707">
        <v>8.0500000000000007</v>
      </c>
      <c r="J707" s="1">
        <v>8.3000000000000007</v>
      </c>
      <c r="K707">
        <v>2550507.6</v>
      </c>
      <c r="L707">
        <v>308919</v>
      </c>
      <c r="M707" t="s">
        <v>78</v>
      </c>
      <c r="N707" t="s">
        <v>17</v>
      </c>
      <c r="O707">
        <v>852</v>
      </c>
      <c r="P707">
        <v>9</v>
      </c>
      <c r="Q707">
        <v>2.4</v>
      </c>
    </row>
    <row r="708" spans="2:17" x14ac:dyDescent="0.25">
      <c r="B708" t="s">
        <v>78</v>
      </c>
      <c r="C708" t="s">
        <v>79</v>
      </c>
      <c r="D708" t="s">
        <v>1367</v>
      </c>
      <c r="E708" t="s">
        <v>1368</v>
      </c>
      <c r="F708">
        <v>84.5</v>
      </c>
      <c r="G708">
        <v>83.8</v>
      </c>
      <c r="H708">
        <v>84.8</v>
      </c>
      <c r="I708">
        <v>82.9</v>
      </c>
      <c r="J708" s="1">
        <v>83.2</v>
      </c>
      <c r="K708">
        <v>34695571.850000001</v>
      </c>
      <c r="L708">
        <v>413629</v>
      </c>
      <c r="M708" t="s">
        <v>78</v>
      </c>
      <c r="N708" t="s">
        <v>17</v>
      </c>
      <c r="O708">
        <v>3460</v>
      </c>
      <c r="P708">
        <v>102.5</v>
      </c>
      <c r="Q708">
        <v>45.3</v>
      </c>
    </row>
    <row r="709" spans="2:17" x14ac:dyDescent="0.25">
      <c r="B709" t="s">
        <v>78</v>
      </c>
      <c r="C709" t="s">
        <v>79</v>
      </c>
      <c r="D709" t="s">
        <v>1369</v>
      </c>
      <c r="E709" t="s">
        <v>1370</v>
      </c>
      <c r="F709">
        <v>115.15</v>
      </c>
      <c r="G709">
        <v>114</v>
      </c>
      <c r="H709">
        <v>124.95</v>
      </c>
      <c r="I709">
        <v>113.45</v>
      </c>
      <c r="J709" s="1">
        <v>121.5</v>
      </c>
      <c r="K709">
        <v>248910053.55000001</v>
      </c>
      <c r="L709">
        <v>2068122</v>
      </c>
      <c r="M709" t="s">
        <v>78</v>
      </c>
      <c r="N709" t="s">
        <v>17</v>
      </c>
      <c r="O709">
        <v>26912</v>
      </c>
      <c r="P709">
        <v>125.6</v>
      </c>
      <c r="Q709">
        <v>32.549999999999997</v>
      </c>
    </row>
    <row r="710" spans="2:17" x14ac:dyDescent="0.25">
      <c r="B710" t="s">
        <v>78</v>
      </c>
      <c r="C710" t="s">
        <v>79</v>
      </c>
      <c r="D710" t="s">
        <v>1371</v>
      </c>
      <c r="E710" t="s">
        <v>1372</v>
      </c>
      <c r="F710">
        <v>45.5</v>
      </c>
      <c r="G710">
        <v>45.05</v>
      </c>
      <c r="H710">
        <v>45.35</v>
      </c>
      <c r="I710">
        <v>41.7</v>
      </c>
      <c r="J710" s="1">
        <v>42.7</v>
      </c>
      <c r="K710">
        <v>23709567.899999999</v>
      </c>
      <c r="L710">
        <v>547342</v>
      </c>
      <c r="M710" t="s">
        <v>78</v>
      </c>
      <c r="N710" t="s">
        <v>17</v>
      </c>
      <c r="O710">
        <v>2350</v>
      </c>
      <c r="P710">
        <v>52.5</v>
      </c>
      <c r="Q710">
        <v>24.1</v>
      </c>
    </row>
    <row r="711" spans="2:17" x14ac:dyDescent="0.25">
      <c r="B711" t="s">
        <v>78</v>
      </c>
      <c r="C711" t="s">
        <v>79</v>
      </c>
      <c r="D711" t="s">
        <v>1373</v>
      </c>
      <c r="E711" t="s">
        <v>1374</v>
      </c>
      <c r="F711">
        <v>240.9</v>
      </c>
      <c r="G711">
        <v>237.95</v>
      </c>
      <c r="H711">
        <v>241.5</v>
      </c>
      <c r="I711">
        <v>217.7</v>
      </c>
      <c r="J711" s="1">
        <v>229.75</v>
      </c>
      <c r="K711">
        <v>1000916330.95</v>
      </c>
      <c r="L711">
        <v>4336840</v>
      </c>
      <c r="M711" t="s">
        <v>78</v>
      </c>
      <c r="N711" t="s">
        <v>17</v>
      </c>
      <c r="O711">
        <v>49885</v>
      </c>
      <c r="P711">
        <v>282.64999999999998</v>
      </c>
      <c r="Q711">
        <v>162.19999999999999</v>
      </c>
    </row>
    <row r="712" spans="2:17" x14ac:dyDescent="0.25">
      <c r="B712" t="s">
        <v>78</v>
      </c>
      <c r="C712" t="s">
        <v>79</v>
      </c>
      <c r="D712" t="s">
        <v>1375</v>
      </c>
      <c r="E712" t="s">
        <v>1376</v>
      </c>
      <c r="F712">
        <v>1425.75</v>
      </c>
      <c r="G712">
        <v>1431.7</v>
      </c>
      <c r="H712">
        <v>1455</v>
      </c>
      <c r="I712">
        <v>1416.2</v>
      </c>
      <c r="J712" s="1">
        <v>1428.15</v>
      </c>
      <c r="K712">
        <v>24882015.399999999</v>
      </c>
      <c r="L712">
        <v>17352</v>
      </c>
      <c r="M712" t="s">
        <v>78</v>
      </c>
      <c r="N712" t="s">
        <v>17</v>
      </c>
      <c r="O712">
        <v>2409</v>
      </c>
      <c r="P712">
        <v>1570</v>
      </c>
      <c r="Q712">
        <v>484</v>
      </c>
    </row>
    <row r="713" spans="2:17" x14ac:dyDescent="0.25">
      <c r="B713" t="s">
        <v>78</v>
      </c>
      <c r="C713" t="s">
        <v>79</v>
      </c>
      <c r="D713" t="s">
        <v>1377</v>
      </c>
      <c r="E713" t="s">
        <v>1378</v>
      </c>
      <c r="F713">
        <v>50</v>
      </c>
      <c r="G713">
        <v>49.75</v>
      </c>
      <c r="H713">
        <v>52.6</v>
      </c>
      <c r="I713">
        <v>47.9</v>
      </c>
      <c r="J713" s="1">
        <v>49</v>
      </c>
      <c r="K713">
        <v>904780699.95000005</v>
      </c>
      <c r="L713">
        <v>17925444</v>
      </c>
      <c r="M713" t="s">
        <v>78</v>
      </c>
      <c r="N713" t="s">
        <v>17</v>
      </c>
      <c r="O713">
        <v>32705</v>
      </c>
      <c r="P713">
        <v>113.7</v>
      </c>
      <c r="Q713">
        <v>36.700000000000003</v>
      </c>
    </row>
    <row r="714" spans="2:17" x14ac:dyDescent="0.25">
      <c r="B714" t="s">
        <v>78</v>
      </c>
      <c r="C714" t="s">
        <v>79</v>
      </c>
      <c r="D714" t="s">
        <v>1379</v>
      </c>
      <c r="E714" t="s">
        <v>1380</v>
      </c>
      <c r="F714">
        <v>4.5999999999999996</v>
      </c>
      <c r="G714">
        <v>4.8</v>
      </c>
      <c r="H714">
        <v>4.8</v>
      </c>
      <c r="I714">
        <v>4.8</v>
      </c>
      <c r="J714" s="1">
        <v>4.8</v>
      </c>
      <c r="K714">
        <v>13416</v>
      </c>
      <c r="L714">
        <v>2795</v>
      </c>
      <c r="M714" t="s">
        <v>78</v>
      </c>
      <c r="N714" t="s">
        <v>17</v>
      </c>
      <c r="O714">
        <v>17</v>
      </c>
      <c r="P714">
        <v>5.25</v>
      </c>
      <c r="Q714">
        <v>2.65</v>
      </c>
    </row>
    <row r="715" spans="2:17" x14ac:dyDescent="0.25">
      <c r="B715" t="s">
        <v>78</v>
      </c>
      <c r="C715" t="s">
        <v>79</v>
      </c>
      <c r="D715" t="s">
        <v>1381</v>
      </c>
      <c r="E715" t="s">
        <v>1382</v>
      </c>
      <c r="F715">
        <v>965.05</v>
      </c>
      <c r="G715">
        <v>969</v>
      </c>
      <c r="H715">
        <v>1033</v>
      </c>
      <c r="I715">
        <v>961.05</v>
      </c>
      <c r="J715" s="1">
        <v>1026.0999999999999</v>
      </c>
      <c r="K715">
        <v>158347295.44999999</v>
      </c>
      <c r="L715">
        <v>156489</v>
      </c>
      <c r="M715" t="s">
        <v>78</v>
      </c>
      <c r="N715" t="s">
        <v>17</v>
      </c>
      <c r="O715">
        <v>9983</v>
      </c>
      <c r="P715">
        <v>1043</v>
      </c>
      <c r="Q715">
        <v>555</v>
      </c>
    </row>
    <row r="716" spans="2:17" x14ac:dyDescent="0.25">
      <c r="B716" t="s">
        <v>78</v>
      </c>
      <c r="C716" t="s">
        <v>287</v>
      </c>
      <c r="D716" t="s">
        <v>1383</v>
      </c>
      <c r="E716" t="s">
        <v>1384</v>
      </c>
      <c r="F716">
        <v>196.55</v>
      </c>
      <c r="G716">
        <v>200</v>
      </c>
      <c r="H716">
        <v>200</v>
      </c>
      <c r="I716">
        <v>187.6</v>
      </c>
      <c r="J716" s="1">
        <v>194.8</v>
      </c>
      <c r="K716">
        <v>582400</v>
      </c>
      <c r="L716">
        <v>3000</v>
      </c>
      <c r="M716" t="s">
        <v>78</v>
      </c>
      <c r="N716" t="s">
        <v>17</v>
      </c>
      <c r="O716">
        <v>3</v>
      </c>
      <c r="P716">
        <v>210.95</v>
      </c>
      <c r="Q716">
        <v>70.25</v>
      </c>
    </row>
    <row r="717" spans="2:17" x14ac:dyDescent="0.25">
      <c r="B717" t="s">
        <v>78</v>
      </c>
      <c r="C717" t="s">
        <v>287</v>
      </c>
      <c r="D717" t="s">
        <v>1385</v>
      </c>
      <c r="E717" t="s">
        <v>1386</v>
      </c>
      <c r="F717">
        <v>16.850000000000001</v>
      </c>
      <c r="G717">
        <v>16.05</v>
      </c>
      <c r="H717">
        <v>16.05</v>
      </c>
      <c r="I717">
        <v>16.05</v>
      </c>
      <c r="J717" s="1">
        <v>16.05</v>
      </c>
      <c r="K717">
        <v>48150</v>
      </c>
      <c r="L717">
        <v>3000</v>
      </c>
      <c r="M717" t="s">
        <v>78</v>
      </c>
      <c r="N717" t="s">
        <v>17</v>
      </c>
      <c r="O717">
        <v>1</v>
      </c>
      <c r="P717">
        <v>20.45</v>
      </c>
      <c r="Q717">
        <v>5.65</v>
      </c>
    </row>
    <row r="718" spans="2:17" x14ac:dyDescent="0.25">
      <c r="B718" t="s">
        <v>78</v>
      </c>
      <c r="C718" t="s">
        <v>79</v>
      </c>
      <c r="D718" t="s">
        <v>1387</v>
      </c>
      <c r="E718" t="s">
        <v>1388</v>
      </c>
      <c r="F718">
        <v>311.64999999999998</v>
      </c>
      <c r="G718">
        <v>311.64999999999998</v>
      </c>
      <c r="H718">
        <v>312</v>
      </c>
      <c r="I718">
        <v>306</v>
      </c>
      <c r="J718" s="1">
        <v>309.10000000000002</v>
      </c>
      <c r="K718">
        <v>54738477.200000003</v>
      </c>
      <c r="L718">
        <v>177373</v>
      </c>
      <c r="M718" t="s">
        <v>78</v>
      </c>
      <c r="N718" t="s">
        <v>17</v>
      </c>
      <c r="O718">
        <v>5213</v>
      </c>
      <c r="P718">
        <v>359</v>
      </c>
      <c r="Q718">
        <v>225.6</v>
      </c>
    </row>
    <row r="719" spans="2:17" x14ac:dyDescent="0.25">
      <c r="B719" t="s">
        <v>78</v>
      </c>
      <c r="C719" t="s">
        <v>79</v>
      </c>
      <c r="D719" t="s">
        <v>1389</v>
      </c>
      <c r="E719" t="s">
        <v>1390</v>
      </c>
      <c r="F719">
        <v>106.3</v>
      </c>
      <c r="G719">
        <v>105.6</v>
      </c>
      <c r="H719">
        <v>114</v>
      </c>
      <c r="I719">
        <v>102.55</v>
      </c>
      <c r="J719" s="1">
        <v>111.65</v>
      </c>
      <c r="K719">
        <v>80930737.950000003</v>
      </c>
      <c r="L719">
        <v>738429</v>
      </c>
      <c r="M719" t="s">
        <v>78</v>
      </c>
      <c r="N719" t="s">
        <v>17</v>
      </c>
      <c r="O719">
        <v>9443</v>
      </c>
      <c r="P719">
        <v>117</v>
      </c>
      <c r="Q719">
        <v>34.049999999999997</v>
      </c>
    </row>
    <row r="720" spans="2:17" x14ac:dyDescent="0.25">
      <c r="B720" t="s">
        <v>78</v>
      </c>
      <c r="C720" t="s">
        <v>79</v>
      </c>
      <c r="D720" t="s">
        <v>1391</v>
      </c>
      <c r="E720" t="s">
        <v>1392</v>
      </c>
      <c r="F720">
        <v>740.5</v>
      </c>
      <c r="G720">
        <v>740</v>
      </c>
      <c r="H720">
        <v>794.7</v>
      </c>
      <c r="I720">
        <v>735</v>
      </c>
      <c r="J720" s="1">
        <v>777.35</v>
      </c>
      <c r="K720">
        <v>107615114.8</v>
      </c>
      <c r="L720">
        <v>140067</v>
      </c>
      <c r="M720" t="s">
        <v>78</v>
      </c>
      <c r="N720" t="s">
        <v>17</v>
      </c>
      <c r="O720">
        <v>9382</v>
      </c>
      <c r="P720">
        <v>808.85</v>
      </c>
      <c r="Q720">
        <v>393</v>
      </c>
    </row>
    <row r="721" spans="2:17" x14ac:dyDescent="0.25">
      <c r="B721" t="s">
        <v>78</v>
      </c>
      <c r="C721" t="s">
        <v>79</v>
      </c>
      <c r="D721" t="s">
        <v>1393</v>
      </c>
      <c r="E721" t="s">
        <v>1394</v>
      </c>
      <c r="F721">
        <v>71.25</v>
      </c>
      <c r="G721">
        <v>70.75</v>
      </c>
      <c r="H721">
        <v>70.75</v>
      </c>
      <c r="I721">
        <v>67.7</v>
      </c>
      <c r="J721" s="1">
        <v>67.7</v>
      </c>
      <c r="K721">
        <v>3016128.95</v>
      </c>
      <c r="L721">
        <v>44050</v>
      </c>
      <c r="M721" t="s">
        <v>78</v>
      </c>
      <c r="N721" t="s">
        <v>17</v>
      </c>
      <c r="O721">
        <v>546</v>
      </c>
      <c r="P721">
        <v>71.849999999999994</v>
      </c>
      <c r="Q721">
        <v>24.2</v>
      </c>
    </row>
    <row r="722" spans="2:17" x14ac:dyDescent="0.25">
      <c r="B722" t="s">
        <v>78</v>
      </c>
      <c r="C722" t="s">
        <v>79</v>
      </c>
      <c r="D722" t="s">
        <v>1395</v>
      </c>
      <c r="E722" t="s">
        <v>1396</v>
      </c>
      <c r="F722">
        <v>777</v>
      </c>
      <c r="G722">
        <v>767.9</v>
      </c>
      <c r="H722">
        <v>804</v>
      </c>
      <c r="I722">
        <v>760</v>
      </c>
      <c r="J722" s="1">
        <v>774.45</v>
      </c>
      <c r="K722">
        <v>475897653.64999998</v>
      </c>
      <c r="L722">
        <v>606332</v>
      </c>
      <c r="M722" t="s">
        <v>78</v>
      </c>
      <c r="N722" t="s">
        <v>17</v>
      </c>
      <c r="O722">
        <v>24164</v>
      </c>
      <c r="P722">
        <v>848.5</v>
      </c>
      <c r="Q722">
        <v>128.05000000000001</v>
      </c>
    </row>
    <row r="723" spans="2:17" x14ac:dyDescent="0.25">
      <c r="B723" t="s">
        <v>78</v>
      </c>
      <c r="C723" t="s">
        <v>79</v>
      </c>
      <c r="D723" t="s">
        <v>1397</v>
      </c>
      <c r="E723" t="s">
        <v>1398</v>
      </c>
      <c r="F723">
        <v>74.599999999999994</v>
      </c>
      <c r="G723">
        <v>75.3</v>
      </c>
      <c r="H723">
        <v>82.05</v>
      </c>
      <c r="I723">
        <v>73.95</v>
      </c>
      <c r="J723" s="1">
        <v>82.05</v>
      </c>
      <c r="K723">
        <v>26869443.850000001</v>
      </c>
      <c r="L723">
        <v>336858</v>
      </c>
      <c r="M723" t="s">
        <v>78</v>
      </c>
      <c r="N723" t="s">
        <v>17</v>
      </c>
      <c r="O723">
        <v>2182</v>
      </c>
      <c r="P723">
        <v>84.85</v>
      </c>
      <c r="Q723">
        <v>27.95</v>
      </c>
    </row>
    <row r="724" spans="2:17" x14ac:dyDescent="0.25">
      <c r="B724" t="s">
        <v>78</v>
      </c>
      <c r="C724" t="s">
        <v>79</v>
      </c>
      <c r="D724" t="s">
        <v>1399</v>
      </c>
      <c r="E724" t="s">
        <v>1400</v>
      </c>
      <c r="F724">
        <v>3.8</v>
      </c>
      <c r="G724">
        <v>3.8</v>
      </c>
      <c r="H724">
        <v>3.8</v>
      </c>
      <c r="I724">
        <v>3.5</v>
      </c>
      <c r="J724" s="1">
        <v>3.55</v>
      </c>
      <c r="K724">
        <v>94116624.700000003</v>
      </c>
      <c r="L724">
        <v>26146740</v>
      </c>
      <c r="M724" t="s">
        <v>78</v>
      </c>
      <c r="N724" t="s">
        <v>17</v>
      </c>
      <c r="O724">
        <v>11240</v>
      </c>
      <c r="P724">
        <v>42</v>
      </c>
      <c r="Q724">
        <v>3.45</v>
      </c>
    </row>
    <row r="725" spans="2:17" x14ac:dyDescent="0.25">
      <c r="B725" t="s">
        <v>78</v>
      </c>
      <c r="C725" t="s">
        <v>79</v>
      </c>
      <c r="D725" t="s">
        <v>1401</v>
      </c>
      <c r="E725" t="s">
        <v>1402</v>
      </c>
      <c r="F725">
        <v>25.25</v>
      </c>
      <c r="G725">
        <v>24.95</v>
      </c>
      <c r="H725">
        <v>25.15</v>
      </c>
      <c r="I725">
        <v>24.5</v>
      </c>
      <c r="J725" s="1">
        <v>24.65</v>
      </c>
      <c r="K725">
        <v>259324186.59999999</v>
      </c>
      <c r="L725">
        <v>10458291</v>
      </c>
      <c r="M725" t="s">
        <v>78</v>
      </c>
      <c r="N725" t="s">
        <v>17</v>
      </c>
      <c r="O725">
        <v>15269</v>
      </c>
      <c r="P725">
        <v>29</v>
      </c>
      <c r="Q725">
        <v>8.5</v>
      </c>
    </row>
    <row r="726" spans="2:17" x14ac:dyDescent="0.25">
      <c r="B726" t="s">
        <v>78</v>
      </c>
      <c r="C726" t="s">
        <v>79</v>
      </c>
      <c r="D726" t="s">
        <v>1403</v>
      </c>
      <c r="E726" t="s">
        <v>1404</v>
      </c>
      <c r="F726">
        <v>662.35</v>
      </c>
      <c r="G726">
        <v>657.95</v>
      </c>
      <c r="H726">
        <v>657.95</v>
      </c>
      <c r="I726">
        <v>646</v>
      </c>
      <c r="J726" s="1">
        <v>648</v>
      </c>
      <c r="K726">
        <v>227782145.05000001</v>
      </c>
      <c r="L726">
        <v>350084</v>
      </c>
      <c r="M726" t="s">
        <v>78</v>
      </c>
      <c r="N726" t="s">
        <v>17</v>
      </c>
      <c r="O726">
        <v>14028</v>
      </c>
      <c r="P726">
        <v>898.9</v>
      </c>
      <c r="Q726">
        <v>522</v>
      </c>
    </row>
    <row r="727" spans="2:17" x14ac:dyDescent="0.25">
      <c r="B727" t="s">
        <v>78</v>
      </c>
      <c r="C727" t="s">
        <v>79</v>
      </c>
      <c r="D727" t="s">
        <v>1405</v>
      </c>
      <c r="E727" t="s">
        <v>1406</v>
      </c>
      <c r="F727">
        <v>2097.65</v>
      </c>
      <c r="G727">
        <v>2091.15</v>
      </c>
      <c r="H727">
        <v>2133.0500000000002</v>
      </c>
      <c r="I727">
        <v>2049.25</v>
      </c>
      <c r="J727" s="1">
        <v>2115.9</v>
      </c>
      <c r="K727">
        <v>437596477.85000002</v>
      </c>
      <c r="L727">
        <v>210109</v>
      </c>
      <c r="M727" t="s">
        <v>78</v>
      </c>
      <c r="N727" t="s">
        <v>17</v>
      </c>
      <c r="O727">
        <v>14011</v>
      </c>
      <c r="P727">
        <v>2460</v>
      </c>
      <c r="Q727">
        <v>1715</v>
      </c>
    </row>
    <row r="728" spans="2:17" x14ac:dyDescent="0.25">
      <c r="B728" t="s">
        <v>78</v>
      </c>
      <c r="C728" t="s">
        <v>79</v>
      </c>
      <c r="D728" t="s">
        <v>1407</v>
      </c>
      <c r="E728" t="s">
        <v>1408</v>
      </c>
      <c r="F728">
        <v>341.25</v>
      </c>
      <c r="G728">
        <v>339</v>
      </c>
      <c r="H728">
        <v>345</v>
      </c>
      <c r="I728">
        <v>338.1</v>
      </c>
      <c r="J728" s="1">
        <v>343.85</v>
      </c>
      <c r="K728">
        <v>352913353</v>
      </c>
      <c r="L728">
        <v>1028672</v>
      </c>
      <c r="M728" t="s">
        <v>78</v>
      </c>
      <c r="N728" t="s">
        <v>17</v>
      </c>
      <c r="O728">
        <v>18979</v>
      </c>
      <c r="P728">
        <v>368</v>
      </c>
      <c r="Q728">
        <v>330.05</v>
      </c>
    </row>
    <row r="729" spans="2:17" x14ac:dyDescent="0.25">
      <c r="B729" t="s">
        <v>78</v>
      </c>
      <c r="C729" t="s">
        <v>79</v>
      </c>
      <c r="D729" t="s">
        <v>1409</v>
      </c>
      <c r="E729" t="s">
        <v>1410</v>
      </c>
      <c r="F729">
        <v>185.2</v>
      </c>
      <c r="G729">
        <v>184</v>
      </c>
      <c r="H729">
        <v>186.2</v>
      </c>
      <c r="I729">
        <v>177.6</v>
      </c>
      <c r="J729" s="1">
        <v>178.3</v>
      </c>
      <c r="K729">
        <v>455662503.05000001</v>
      </c>
      <c r="L729">
        <v>2514196</v>
      </c>
      <c r="M729" t="s">
        <v>78</v>
      </c>
      <c r="N729" t="s">
        <v>17</v>
      </c>
      <c r="O729">
        <v>20518</v>
      </c>
      <c r="P729">
        <v>189.75</v>
      </c>
      <c r="Q729">
        <v>97.4</v>
      </c>
    </row>
    <row r="730" spans="2:17" x14ac:dyDescent="0.25">
      <c r="B730" t="s">
        <v>78</v>
      </c>
      <c r="C730" t="s">
        <v>1352</v>
      </c>
      <c r="D730" t="s">
        <v>1411</v>
      </c>
      <c r="E730" t="s">
        <v>1412</v>
      </c>
      <c r="F730">
        <v>56</v>
      </c>
      <c r="G730">
        <v>55.97</v>
      </c>
      <c r="H730">
        <v>60</v>
      </c>
      <c r="I730">
        <v>55.97</v>
      </c>
      <c r="J730" s="1">
        <v>57.61</v>
      </c>
      <c r="K730">
        <v>23694175</v>
      </c>
      <c r="L730">
        <v>415000</v>
      </c>
      <c r="M730" t="s">
        <v>78</v>
      </c>
      <c r="N730" t="s">
        <v>17</v>
      </c>
      <c r="O730">
        <v>140</v>
      </c>
      <c r="P730">
        <v>60.01</v>
      </c>
      <c r="Q730">
        <v>32.36</v>
      </c>
    </row>
    <row r="731" spans="2:17" x14ac:dyDescent="0.25">
      <c r="B731" t="s">
        <v>78</v>
      </c>
      <c r="C731" t="s">
        <v>79</v>
      </c>
      <c r="D731" t="s">
        <v>1413</v>
      </c>
      <c r="E731" t="s">
        <v>1414</v>
      </c>
      <c r="F731">
        <v>46.25</v>
      </c>
      <c r="G731">
        <v>46.25</v>
      </c>
      <c r="H731">
        <v>46.45</v>
      </c>
      <c r="I731">
        <v>46</v>
      </c>
      <c r="J731" s="1">
        <v>46.15</v>
      </c>
      <c r="K731">
        <v>66380622.850000001</v>
      </c>
      <c r="L731">
        <v>1437962</v>
      </c>
      <c r="M731" t="s">
        <v>78</v>
      </c>
      <c r="N731" t="s">
        <v>17</v>
      </c>
      <c r="O731">
        <v>7563</v>
      </c>
      <c r="P731">
        <v>108.5</v>
      </c>
      <c r="Q731">
        <v>45.3</v>
      </c>
    </row>
    <row r="732" spans="2:17" x14ac:dyDescent="0.25">
      <c r="B732" t="s">
        <v>78</v>
      </c>
      <c r="C732" t="s">
        <v>79</v>
      </c>
      <c r="D732" t="s">
        <v>1415</v>
      </c>
      <c r="E732" t="s">
        <v>1416</v>
      </c>
      <c r="F732">
        <v>2426.65</v>
      </c>
      <c r="G732">
        <v>2404.9</v>
      </c>
      <c r="H732">
        <v>2456</v>
      </c>
      <c r="I732">
        <v>2385.4499999999998</v>
      </c>
      <c r="J732" s="1">
        <v>2424.5</v>
      </c>
      <c r="K732">
        <v>5722658271.1499996</v>
      </c>
      <c r="L732">
        <v>2359576</v>
      </c>
      <c r="M732" t="s">
        <v>78</v>
      </c>
      <c r="N732" t="s">
        <v>17</v>
      </c>
      <c r="O732">
        <v>97532</v>
      </c>
      <c r="P732">
        <v>2457.4</v>
      </c>
      <c r="Q732">
        <v>1290.05</v>
      </c>
    </row>
    <row r="733" spans="2:17" x14ac:dyDescent="0.25">
      <c r="B733" t="s">
        <v>78</v>
      </c>
      <c r="C733" t="s">
        <v>79</v>
      </c>
      <c r="D733" t="s">
        <v>1417</v>
      </c>
      <c r="E733" t="s">
        <v>1418</v>
      </c>
      <c r="F733">
        <v>23.3</v>
      </c>
      <c r="G733">
        <v>23.25</v>
      </c>
      <c r="H733">
        <v>23.45</v>
      </c>
      <c r="I733">
        <v>23.15</v>
      </c>
      <c r="J733" s="1">
        <v>23.35</v>
      </c>
      <c r="K733">
        <v>213455024.05000001</v>
      </c>
      <c r="L733">
        <v>9181862</v>
      </c>
      <c r="M733" t="s">
        <v>78</v>
      </c>
      <c r="N733" t="s">
        <v>17</v>
      </c>
      <c r="O733">
        <v>30678</v>
      </c>
      <c r="P733">
        <v>26.7</v>
      </c>
      <c r="Q733">
        <v>20.8</v>
      </c>
    </row>
    <row r="734" spans="2:17" x14ac:dyDescent="0.25">
      <c r="B734" t="s">
        <v>78</v>
      </c>
      <c r="C734" t="s">
        <v>79</v>
      </c>
      <c r="D734" t="s">
        <v>1419</v>
      </c>
      <c r="E734" t="s">
        <v>1420</v>
      </c>
      <c r="F734">
        <v>149.25</v>
      </c>
      <c r="G734">
        <v>147.19999999999999</v>
      </c>
      <c r="H734">
        <v>155.85</v>
      </c>
      <c r="I734">
        <v>147</v>
      </c>
      <c r="J734" s="1">
        <v>148.75</v>
      </c>
      <c r="K734">
        <v>1830908.8</v>
      </c>
      <c r="L734">
        <v>12116</v>
      </c>
      <c r="M734" t="s">
        <v>78</v>
      </c>
      <c r="N734" t="s">
        <v>17</v>
      </c>
      <c r="O734">
        <v>216</v>
      </c>
      <c r="P734">
        <v>158.5</v>
      </c>
      <c r="Q734">
        <v>62.35</v>
      </c>
    </row>
    <row r="735" spans="2:17" x14ac:dyDescent="0.25">
      <c r="B735" t="s">
        <v>78</v>
      </c>
      <c r="C735" t="s">
        <v>79</v>
      </c>
      <c r="D735" t="s">
        <v>1421</v>
      </c>
      <c r="E735" t="s">
        <v>1422</v>
      </c>
      <c r="F735">
        <v>764.35</v>
      </c>
      <c r="G735">
        <v>757.4</v>
      </c>
      <c r="H735">
        <v>794.9</v>
      </c>
      <c r="I735">
        <v>753.05</v>
      </c>
      <c r="J735" s="1">
        <v>774.6</v>
      </c>
      <c r="K735">
        <v>1874491649</v>
      </c>
      <c r="L735">
        <v>2405452</v>
      </c>
      <c r="M735" t="s">
        <v>78</v>
      </c>
      <c r="N735" t="s">
        <v>17</v>
      </c>
      <c r="O735">
        <v>54924</v>
      </c>
      <c r="P735">
        <v>802.7</v>
      </c>
      <c r="Q735">
        <v>376.9</v>
      </c>
    </row>
    <row r="736" spans="2:17" x14ac:dyDescent="0.25">
      <c r="B736" t="s">
        <v>78</v>
      </c>
      <c r="C736" t="s">
        <v>79</v>
      </c>
      <c r="D736" t="s">
        <v>1423</v>
      </c>
      <c r="E736" t="s">
        <v>1424</v>
      </c>
      <c r="F736">
        <v>112.5</v>
      </c>
      <c r="G736">
        <v>114.95</v>
      </c>
      <c r="H736">
        <v>118.1</v>
      </c>
      <c r="I736">
        <v>114.35</v>
      </c>
      <c r="J736" s="1">
        <v>118.1</v>
      </c>
      <c r="K736">
        <v>6972973.2999999998</v>
      </c>
      <c r="L736">
        <v>59367</v>
      </c>
      <c r="M736" t="s">
        <v>78</v>
      </c>
      <c r="N736" t="s">
        <v>17</v>
      </c>
      <c r="O736">
        <v>661</v>
      </c>
      <c r="P736">
        <v>118.1</v>
      </c>
      <c r="Q736">
        <v>59.5</v>
      </c>
    </row>
    <row r="737" spans="2:17" x14ac:dyDescent="0.25">
      <c r="B737" t="s">
        <v>78</v>
      </c>
      <c r="C737" t="s">
        <v>79</v>
      </c>
      <c r="D737" t="s">
        <v>1425</v>
      </c>
      <c r="E737" t="s">
        <v>1426</v>
      </c>
      <c r="F737">
        <v>805.3</v>
      </c>
      <c r="G737">
        <v>802.9</v>
      </c>
      <c r="H737">
        <v>803.4</v>
      </c>
      <c r="I737">
        <v>782</v>
      </c>
      <c r="J737" s="1">
        <v>787.45</v>
      </c>
      <c r="K737">
        <v>92875090.900000006</v>
      </c>
      <c r="L737">
        <v>117215</v>
      </c>
      <c r="M737" t="s">
        <v>78</v>
      </c>
      <c r="N737" t="s">
        <v>17</v>
      </c>
      <c r="O737">
        <v>6033</v>
      </c>
      <c r="P737">
        <v>878.35</v>
      </c>
      <c r="Q737">
        <v>524.15</v>
      </c>
    </row>
    <row r="738" spans="2:17" x14ac:dyDescent="0.25">
      <c r="B738" t="s">
        <v>78</v>
      </c>
      <c r="C738" t="s">
        <v>79</v>
      </c>
      <c r="D738" t="s">
        <v>1427</v>
      </c>
      <c r="E738" t="s">
        <v>1428</v>
      </c>
      <c r="F738">
        <v>395.55</v>
      </c>
      <c r="G738">
        <v>392</v>
      </c>
      <c r="H738">
        <v>421.95</v>
      </c>
      <c r="I738">
        <v>390.85</v>
      </c>
      <c r="J738" s="1">
        <v>414</v>
      </c>
      <c r="K738">
        <v>139757214.59999999</v>
      </c>
      <c r="L738">
        <v>339335</v>
      </c>
      <c r="M738" t="s">
        <v>78</v>
      </c>
      <c r="N738" t="s">
        <v>17</v>
      </c>
      <c r="O738">
        <v>13042</v>
      </c>
      <c r="P738">
        <v>464.5</v>
      </c>
      <c r="Q738">
        <v>210.9</v>
      </c>
    </row>
    <row r="739" spans="2:17" x14ac:dyDescent="0.25">
      <c r="B739" t="s">
        <v>78</v>
      </c>
      <c r="C739" t="s">
        <v>79</v>
      </c>
      <c r="D739" t="s">
        <v>1429</v>
      </c>
      <c r="E739" t="s">
        <v>1430</v>
      </c>
      <c r="F739">
        <v>91.9</v>
      </c>
      <c r="G739">
        <v>91.05</v>
      </c>
      <c r="H739">
        <v>93.8</v>
      </c>
      <c r="I739">
        <v>88.75</v>
      </c>
      <c r="J739" s="1">
        <v>92.2</v>
      </c>
      <c r="K739">
        <v>109307478.55</v>
      </c>
      <c r="L739">
        <v>1189629</v>
      </c>
      <c r="M739" t="s">
        <v>78</v>
      </c>
      <c r="N739" t="s">
        <v>17</v>
      </c>
      <c r="O739">
        <v>9612</v>
      </c>
      <c r="P739">
        <v>97.45</v>
      </c>
      <c r="Q739">
        <v>41.85</v>
      </c>
    </row>
    <row r="740" spans="2:17" x14ac:dyDescent="0.25">
      <c r="B740" t="s">
        <v>78</v>
      </c>
      <c r="C740" t="s">
        <v>79</v>
      </c>
      <c r="D740" t="s">
        <v>1431</v>
      </c>
      <c r="E740" t="s">
        <v>1432</v>
      </c>
      <c r="F740">
        <v>136.6</v>
      </c>
      <c r="G740">
        <v>133.94999999999999</v>
      </c>
      <c r="H740">
        <v>136.55000000000001</v>
      </c>
      <c r="I740">
        <v>132.75</v>
      </c>
      <c r="J740" s="1">
        <v>133.55000000000001</v>
      </c>
      <c r="K740">
        <v>168454044.94999999</v>
      </c>
      <c r="L740">
        <v>1253345</v>
      </c>
      <c r="M740" t="s">
        <v>78</v>
      </c>
      <c r="N740" t="s">
        <v>17</v>
      </c>
      <c r="O740">
        <v>13163</v>
      </c>
      <c r="P740">
        <v>151.65</v>
      </c>
      <c r="Q740">
        <v>102</v>
      </c>
    </row>
    <row r="741" spans="2:17" x14ac:dyDescent="0.25">
      <c r="B741" t="s">
        <v>78</v>
      </c>
      <c r="C741" t="s">
        <v>79</v>
      </c>
      <c r="D741" t="s">
        <v>1433</v>
      </c>
      <c r="E741" t="s">
        <v>1434</v>
      </c>
      <c r="F741">
        <v>150.69999999999999</v>
      </c>
      <c r="G741">
        <v>151</v>
      </c>
      <c r="H741">
        <v>153.85</v>
      </c>
      <c r="I741">
        <v>147.6</v>
      </c>
      <c r="J741" s="1">
        <v>149.94999999999999</v>
      </c>
      <c r="K741">
        <v>1322207.75</v>
      </c>
      <c r="L741">
        <v>8806</v>
      </c>
      <c r="M741" t="s">
        <v>78</v>
      </c>
      <c r="N741" t="s">
        <v>183</v>
      </c>
      <c r="O741">
        <v>306</v>
      </c>
      <c r="P741">
        <v>165.4</v>
      </c>
      <c r="Q741">
        <v>38.049999999999997</v>
      </c>
    </row>
    <row r="742" spans="2:17" x14ac:dyDescent="0.25">
      <c r="B742" t="s">
        <v>78</v>
      </c>
      <c r="C742" t="s">
        <v>79</v>
      </c>
      <c r="D742" t="s">
        <v>1435</v>
      </c>
      <c r="E742" t="s">
        <v>1436</v>
      </c>
      <c r="F742">
        <v>87.85</v>
      </c>
      <c r="G742">
        <v>86.9</v>
      </c>
      <c r="H742">
        <v>91.2</v>
      </c>
      <c r="I742">
        <v>85</v>
      </c>
      <c r="J742" s="1">
        <v>88.4</v>
      </c>
      <c r="K742">
        <v>11899142.9</v>
      </c>
      <c r="L742">
        <v>133316</v>
      </c>
      <c r="M742" t="s">
        <v>78</v>
      </c>
      <c r="N742" t="s">
        <v>17</v>
      </c>
      <c r="O742">
        <v>1851</v>
      </c>
      <c r="P742">
        <v>95</v>
      </c>
      <c r="Q742">
        <v>19.55</v>
      </c>
    </row>
    <row r="743" spans="2:17" x14ac:dyDescent="0.25">
      <c r="B743" t="s">
        <v>78</v>
      </c>
      <c r="C743" t="s">
        <v>79</v>
      </c>
      <c r="D743" t="s">
        <v>1437</v>
      </c>
      <c r="E743" t="s">
        <v>1438</v>
      </c>
      <c r="F743">
        <v>38.049999999999997</v>
      </c>
      <c r="G743">
        <v>37.85</v>
      </c>
      <c r="H743">
        <v>37.9</v>
      </c>
      <c r="I743">
        <v>37</v>
      </c>
      <c r="J743" s="1">
        <v>37.450000000000003</v>
      </c>
      <c r="K743">
        <v>77104253.200000003</v>
      </c>
      <c r="L743">
        <v>2058810</v>
      </c>
      <c r="M743" t="s">
        <v>78</v>
      </c>
      <c r="N743" t="s">
        <v>17</v>
      </c>
      <c r="O743">
        <v>8147</v>
      </c>
      <c r="P743">
        <v>44.3</v>
      </c>
      <c r="Q743">
        <v>14.05</v>
      </c>
    </row>
    <row r="744" spans="2:17" x14ac:dyDescent="0.25">
      <c r="B744" t="s">
        <v>78</v>
      </c>
      <c r="C744" t="s">
        <v>79</v>
      </c>
      <c r="D744" t="s">
        <v>1439</v>
      </c>
      <c r="E744" t="s">
        <v>1440</v>
      </c>
      <c r="F744">
        <v>66.5</v>
      </c>
      <c r="G744">
        <v>65.95</v>
      </c>
      <c r="H744">
        <v>67.599999999999994</v>
      </c>
      <c r="I744">
        <v>65.55</v>
      </c>
      <c r="J744" s="1">
        <v>66.349999999999994</v>
      </c>
      <c r="K744">
        <v>25909198.899999999</v>
      </c>
      <c r="L744">
        <v>389067</v>
      </c>
      <c r="M744" t="s">
        <v>78</v>
      </c>
      <c r="N744" t="s">
        <v>17</v>
      </c>
      <c r="O744">
        <v>6317</v>
      </c>
      <c r="P744">
        <v>71.5</v>
      </c>
      <c r="Q744">
        <v>35.5</v>
      </c>
    </row>
    <row r="745" spans="2:17" x14ac:dyDescent="0.25">
      <c r="B745" t="s">
        <v>78</v>
      </c>
      <c r="C745" t="s">
        <v>79</v>
      </c>
      <c r="D745" t="s">
        <v>1441</v>
      </c>
      <c r="E745" t="s">
        <v>1442</v>
      </c>
      <c r="F745">
        <v>168</v>
      </c>
      <c r="G745">
        <v>168</v>
      </c>
      <c r="H745">
        <v>175.9</v>
      </c>
      <c r="I745">
        <v>161.94999999999999</v>
      </c>
      <c r="J745" s="1">
        <v>171</v>
      </c>
      <c r="K745">
        <v>36978056.25</v>
      </c>
      <c r="L745">
        <v>216287</v>
      </c>
      <c r="M745" t="s">
        <v>78</v>
      </c>
      <c r="N745" t="s">
        <v>17</v>
      </c>
      <c r="O745">
        <v>5127</v>
      </c>
      <c r="P745">
        <v>188</v>
      </c>
      <c r="Q745">
        <v>33.049999999999997</v>
      </c>
    </row>
    <row r="746" spans="2:17" x14ac:dyDescent="0.25">
      <c r="B746" t="s">
        <v>78</v>
      </c>
      <c r="C746" t="s">
        <v>79</v>
      </c>
      <c r="D746" t="s">
        <v>1443</v>
      </c>
      <c r="E746" t="s">
        <v>1444</v>
      </c>
      <c r="F746">
        <v>63.85</v>
      </c>
      <c r="G746">
        <v>61.25</v>
      </c>
      <c r="H746">
        <v>66</v>
      </c>
      <c r="I746">
        <v>61</v>
      </c>
      <c r="J746" s="1">
        <v>63.6</v>
      </c>
      <c r="K746">
        <v>11150899.6</v>
      </c>
      <c r="L746">
        <v>174051</v>
      </c>
      <c r="M746" t="s">
        <v>78</v>
      </c>
      <c r="N746" t="s">
        <v>17</v>
      </c>
      <c r="O746">
        <v>3129</v>
      </c>
      <c r="P746">
        <v>69.45</v>
      </c>
      <c r="Q746">
        <v>13.75</v>
      </c>
    </row>
    <row r="747" spans="2:17" x14ac:dyDescent="0.25">
      <c r="B747" t="s">
        <v>78</v>
      </c>
      <c r="C747" t="s">
        <v>79</v>
      </c>
      <c r="D747" t="s">
        <v>1445</v>
      </c>
      <c r="E747" t="s">
        <v>1446</v>
      </c>
      <c r="F747">
        <v>162.80000000000001</v>
      </c>
      <c r="G747">
        <v>164.45</v>
      </c>
      <c r="H747">
        <v>172.95</v>
      </c>
      <c r="I747">
        <v>163</v>
      </c>
      <c r="J747" s="1">
        <v>167.05</v>
      </c>
      <c r="K747">
        <v>977189115.54999995</v>
      </c>
      <c r="L747">
        <v>5809682</v>
      </c>
      <c r="M747" t="s">
        <v>78</v>
      </c>
      <c r="N747" t="s">
        <v>17</v>
      </c>
      <c r="O747">
        <v>43523</v>
      </c>
      <c r="P747">
        <v>172.95</v>
      </c>
      <c r="Q747">
        <v>78.05</v>
      </c>
    </row>
    <row r="748" spans="2:17" x14ac:dyDescent="0.25">
      <c r="B748" t="s">
        <v>78</v>
      </c>
      <c r="C748" t="s">
        <v>287</v>
      </c>
      <c r="D748" t="s">
        <v>1447</v>
      </c>
      <c r="E748" t="s">
        <v>1448</v>
      </c>
      <c r="F748">
        <v>5.0999999999999996</v>
      </c>
      <c r="G748">
        <v>5.3</v>
      </c>
      <c r="H748">
        <v>5.3</v>
      </c>
      <c r="I748">
        <v>5.3</v>
      </c>
      <c r="J748" s="1">
        <v>5.3</v>
      </c>
      <c r="K748">
        <v>15900</v>
      </c>
      <c r="L748">
        <v>3000</v>
      </c>
      <c r="M748" t="s">
        <v>78</v>
      </c>
      <c r="N748" t="s">
        <v>17</v>
      </c>
      <c r="O748">
        <v>1</v>
      </c>
      <c r="P748">
        <v>5.3</v>
      </c>
      <c r="Q748">
        <v>2.75</v>
      </c>
    </row>
    <row r="749" spans="2:17" x14ac:dyDescent="0.25">
      <c r="B749" t="s">
        <v>78</v>
      </c>
      <c r="C749" t="s">
        <v>79</v>
      </c>
      <c r="D749" t="s">
        <v>1449</v>
      </c>
      <c r="E749" t="s">
        <v>1450</v>
      </c>
      <c r="F749">
        <v>86.9</v>
      </c>
      <c r="G749">
        <v>86.25</v>
      </c>
      <c r="H749">
        <v>87.5</v>
      </c>
      <c r="I749">
        <v>85.4</v>
      </c>
      <c r="J749" s="1">
        <v>85.75</v>
      </c>
      <c r="K749">
        <v>33659184.100000001</v>
      </c>
      <c r="L749">
        <v>389540</v>
      </c>
      <c r="M749" t="s">
        <v>78</v>
      </c>
      <c r="N749" t="s">
        <v>17</v>
      </c>
      <c r="O749">
        <v>5278</v>
      </c>
      <c r="P749">
        <v>89.7</v>
      </c>
      <c r="Q749">
        <v>28.05</v>
      </c>
    </row>
    <row r="750" spans="2:17" x14ac:dyDescent="0.25">
      <c r="B750" t="s">
        <v>78</v>
      </c>
      <c r="C750" t="s">
        <v>79</v>
      </c>
      <c r="D750" t="s">
        <v>1451</v>
      </c>
      <c r="E750" t="s">
        <v>1452</v>
      </c>
      <c r="F750">
        <v>584.20000000000005</v>
      </c>
      <c r="G750">
        <v>577.95000000000005</v>
      </c>
      <c r="H750">
        <v>590</v>
      </c>
      <c r="I750">
        <v>561.1</v>
      </c>
      <c r="J750" s="1">
        <v>580.79999999999995</v>
      </c>
      <c r="K750">
        <v>18878784.850000001</v>
      </c>
      <c r="L750">
        <v>32474</v>
      </c>
      <c r="M750" t="s">
        <v>78</v>
      </c>
      <c r="N750" t="s">
        <v>17</v>
      </c>
      <c r="O750">
        <v>1633</v>
      </c>
      <c r="P750">
        <v>628</v>
      </c>
      <c r="Q750">
        <v>136</v>
      </c>
    </row>
    <row r="751" spans="2:17" x14ac:dyDescent="0.25">
      <c r="B751" t="s">
        <v>78</v>
      </c>
      <c r="C751" t="s">
        <v>79</v>
      </c>
      <c r="D751" t="s">
        <v>1453</v>
      </c>
      <c r="E751" t="s">
        <v>1454</v>
      </c>
      <c r="F751">
        <v>242.9</v>
      </c>
      <c r="G751">
        <v>241</v>
      </c>
      <c r="H751">
        <v>251</v>
      </c>
      <c r="I751">
        <v>236</v>
      </c>
      <c r="J751" s="1">
        <v>242.15</v>
      </c>
      <c r="K751">
        <v>49548484.25</v>
      </c>
      <c r="L751">
        <v>201676</v>
      </c>
      <c r="M751" t="s">
        <v>78</v>
      </c>
      <c r="N751" t="s">
        <v>17</v>
      </c>
      <c r="O751">
        <v>8562</v>
      </c>
      <c r="P751">
        <v>251</v>
      </c>
      <c r="Q751">
        <v>83.25</v>
      </c>
    </row>
    <row r="752" spans="2:17" x14ac:dyDescent="0.25">
      <c r="B752" t="s">
        <v>78</v>
      </c>
      <c r="C752" t="s">
        <v>79</v>
      </c>
      <c r="D752" t="s">
        <v>1455</v>
      </c>
      <c r="E752" t="s">
        <v>1456</v>
      </c>
      <c r="F752">
        <v>219.55</v>
      </c>
      <c r="G752">
        <v>219.8</v>
      </c>
      <c r="H752">
        <v>222.55</v>
      </c>
      <c r="I752">
        <v>214.8</v>
      </c>
      <c r="J752" s="1">
        <v>216.65</v>
      </c>
      <c r="K752">
        <v>17525034.800000001</v>
      </c>
      <c r="L752">
        <v>79892</v>
      </c>
      <c r="M752" t="s">
        <v>78</v>
      </c>
      <c r="N752" t="s">
        <v>17</v>
      </c>
      <c r="O752">
        <v>3562</v>
      </c>
      <c r="P752">
        <v>387.15</v>
      </c>
      <c r="Q752">
        <v>165.1</v>
      </c>
    </row>
    <row r="753" spans="2:17" x14ac:dyDescent="0.25">
      <c r="B753" t="s">
        <v>78</v>
      </c>
      <c r="C753" t="s">
        <v>79</v>
      </c>
      <c r="D753" t="s">
        <v>1457</v>
      </c>
      <c r="E753" t="s">
        <v>1458</v>
      </c>
      <c r="F753">
        <v>112.85</v>
      </c>
      <c r="G753">
        <v>111.1</v>
      </c>
      <c r="H753">
        <v>116.45</v>
      </c>
      <c r="I753">
        <v>110.65</v>
      </c>
      <c r="J753" s="1">
        <v>113.65</v>
      </c>
      <c r="K753">
        <v>50275852.799999997</v>
      </c>
      <c r="L753">
        <v>440896</v>
      </c>
      <c r="M753" t="s">
        <v>78</v>
      </c>
      <c r="N753" t="s">
        <v>17</v>
      </c>
      <c r="O753">
        <v>9559</v>
      </c>
      <c r="P753">
        <v>126.7</v>
      </c>
      <c r="Q753">
        <v>51</v>
      </c>
    </row>
    <row r="754" spans="2:17" x14ac:dyDescent="0.25">
      <c r="B754" t="s">
        <v>78</v>
      </c>
      <c r="C754" t="s">
        <v>79</v>
      </c>
      <c r="D754" t="s">
        <v>1459</v>
      </c>
      <c r="E754" t="s">
        <v>1460</v>
      </c>
      <c r="F754">
        <v>1892.2</v>
      </c>
      <c r="G754">
        <v>1897.8</v>
      </c>
      <c r="H754">
        <v>1929</v>
      </c>
      <c r="I754">
        <v>1851.05</v>
      </c>
      <c r="J754" s="1">
        <v>1899.7</v>
      </c>
      <c r="K754">
        <v>453743954.80000001</v>
      </c>
      <c r="L754">
        <v>240152</v>
      </c>
      <c r="M754" t="s">
        <v>78</v>
      </c>
      <c r="N754" t="s">
        <v>17</v>
      </c>
      <c r="O754">
        <v>17593</v>
      </c>
      <c r="P754">
        <v>1937.7</v>
      </c>
      <c r="Q754">
        <v>712.05</v>
      </c>
    </row>
    <row r="755" spans="2:17" x14ac:dyDescent="0.25">
      <c r="B755" t="s">
        <v>78</v>
      </c>
      <c r="C755" t="s">
        <v>79</v>
      </c>
      <c r="D755" t="s">
        <v>1461</v>
      </c>
      <c r="E755" t="s">
        <v>1462</v>
      </c>
      <c r="F755">
        <v>502.35</v>
      </c>
      <c r="G755">
        <v>496.95</v>
      </c>
      <c r="H755">
        <v>535.75</v>
      </c>
      <c r="I755">
        <v>493</v>
      </c>
      <c r="J755" s="1">
        <v>523.95000000000005</v>
      </c>
      <c r="K755">
        <v>338280414.10000002</v>
      </c>
      <c r="L755">
        <v>648275</v>
      </c>
      <c r="M755" t="s">
        <v>78</v>
      </c>
      <c r="N755" t="s">
        <v>17</v>
      </c>
      <c r="O755">
        <v>23238</v>
      </c>
      <c r="P755">
        <v>535.75</v>
      </c>
      <c r="Q755">
        <v>183.3</v>
      </c>
    </row>
    <row r="756" spans="2:17" x14ac:dyDescent="0.25">
      <c r="B756" t="s">
        <v>78</v>
      </c>
      <c r="C756" t="s">
        <v>79</v>
      </c>
      <c r="D756" t="s">
        <v>1463</v>
      </c>
      <c r="E756" t="s">
        <v>1464</v>
      </c>
      <c r="F756">
        <v>2281.9499999999998</v>
      </c>
      <c r="G756">
        <v>2290</v>
      </c>
      <c r="H756">
        <v>2334.75</v>
      </c>
      <c r="I756">
        <v>2282</v>
      </c>
      <c r="J756" s="1">
        <v>2300.6999999999998</v>
      </c>
      <c r="K756">
        <v>78889249</v>
      </c>
      <c r="L756">
        <v>34182</v>
      </c>
      <c r="M756" t="s">
        <v>78</v>
      </c>
      <c r="N756" t="s">
        <v>17</v>
      </c>
      <c r="O756">
        <v>5625</v>
      </c>
      <c r="P756">
        <v>2940</v>
      </c>
      <c r="Q756">
        <v>1980.05</v>
      </c>
    </row>
    <row r="757" spans="2:17" x14ac:dyDescent="0.25">
      <c r="B757" t="s">
        <v>78</v>
      </c>
      <c r="C757" t="s">
        <v>287</v>
      </c>
      <c r="D757" t="s">
        <v>1465</v>
      </c>
      <c r="E757" t="s">
        <v>1466</v>
      </c>
      <c r="F757">
        <v>48.8</v>
      </c>
      <c r="G757">
        <v>46.4</v>
      </c>
      <c r="H757">
        <v>46.4</v>
      </c>
      <c r="I757">
        <v>46.4</v>
      </c>
      <c r="J757" s="1">
        <v>46.4</v>
      </c>
      <c r="K757">
        <v>69600</v>
      </c>
      <c r="L757">
        <v>1500</v>
      </c>
      <c r="M757" t="s">
        <v>78</v>
      </c>
      <c r="N757" t="s">
        <v>17</v>
      </c>
      <c r="O757">
        <v>1</v>
      </c>
      <c r="P757">
        <v>54.2</v>
      </c>
      <c r="Q757">
        <v>18</v>
      </c>
    </row>
    <row r="758" spans="2:17" x14ac:dyDescent="0.25">
      <c r="B758" t="s">
        <v>78</v>
      </c>
      <c r="C758" t="s">
        <v>79</v>
      </c>
      <c r="D758" t="s">
        <v>1467</v>
      </c>
      <c r="E758" t="s">
        <v>1468</v>
      </c>
      <c r="F758">
        <v>27.05</v>
      </c>
      <c r="G758">
        <v>26.9</v>
      </c>
      <c r="H758">
        <v>27.3</v>
      </c>
      <c r="I758">
        <v>26</v>
      </c>
      <c r="J758" s="1">
        <v>26.4</v>
      </c>
      <c r="K758">
        <v>6797442.7000000002</v>
      </c>
      <c r="L758">
        <v>253925</v>
      </c>
      <c r="M758" t="s">
        <v>78</v>
      </c>
      <c r="N758" t="s">
        <v>17</v>
      </c>
      <c r="O758">
        <v>1264</v>
      </c>
      <c r="P758">
        <v>34.35</v>
      </c>
      <c r="Q758">
        <v>14.45</v>
      </c>
    </row>
    <row r="759" spans="2:17" x14ac:dyDescent="0.25">
      <c r="B759" t="s">
        <v>78</v>
      </c>
      <c r="C759" t="s">
        <v>79</v>
      </c>
      <c r="D759" t="s">
        <v>1469</v>
      </c>
      <c r="E759" t="s">
        <v>1470</v>
      </c>
      <c r="F759">
        <v>1002.05</v>
      </c>
      <c r="G759">
        <v>994</v>
      </c>
      <c r="H759">
        <v>1006</v>
      </c>
      <c r="I759">
        <v>985.15</v>
      </c>
      <c r="J759" s="1">
        <v>996.95</v>
      </c>
      <c r="K759">
        <v>133711393</v>
      </c>
      <c r="L759">
        <v>134450</v>
      </c>
      <c r="M759" t="s">
        <v>78</v>
      </c>
      <c r="N759" t="s">
        <v>17</v>
      </c>
      <c r="O759">
        <v>6423</v>
      </c>
      <c r="P759">
        <v>1036</v>
      </c>
      <c r="Q759">
        <v>349.35</v>
      </c>
    </row>
    <row r="760" spans="2:17" x14ac:dyDescent="0.25">
      <c r="B760" t="s">
        <v>78</v>
      </c>
      <c r="C760" t="s">
        <v>79</v>
      </c>
      <c r="D760" t="s">
        <v>1471</v>
      </c>
      <c r="E760" t="s">
        <v>1472</v>
      </c>
      <c r="F760">
        <v>129.05000000000001</v>
      </c>
      <c r="G760">
        <v>127.4</v>
      </c>
      <c r="H760">
        <v>128.6</v>
      </c>
      <c r="I760">
        <v>124.35</v>
      </c>
      <c r="J760" s="1">
        <v>125.25</v>
      </c>
      <c r="K760">
        <v>243396498.25</v>
      </c>
      <c r="L760">
        <v>1924576</v>
      </c>
      <c r="M760" t="s">
        <v>78</v>
      </c>
      <c r="N760" t="s">
        <v>17</v>
      </c>
      <c r="O760">
        <v>18170</v>
      </c>
      <c r="P760">
        <v>131.9</v>
      </c>
      <c r="Q760">
        <v>54.3</v>
      </c>
    </row>
    <row r="761" spans="2:17" x14ac:dyDescent="0.25">
      <c r="B761" t="s">
        <v>78</v>
      </c>
      <c r="C761" t="s">
        <v>79</v>
      </c>
      <c r="D761" t="s">
        <v>1473</v>
      </c>
      <c r="E761" t="s">
        <v>1474</v>
      </c>
      <c r="F761">
        <v>405.95</v>
      </c>
      <c r="G761">
        <v>400</v>
      </c>
      <c r="H761">
        <v>404.55</v>
      </c>
      <c r="I761">
        <v>390</v>
      </c>
      <c r="J761" s="1">
        <v>393.45</v>
      </c>
      <c r="K761">
        <v>3945690456.8499999</v>
      </c>
      <c r="L761">
        <v>9945721</v>
      </c>
      <c r="M761" t="s">
        <v>78</v>
      </c>
      <c r="N761" t="s">
        <v>17</v>
      </c>
      <c r="O761">
        <v>98084</v>
      </c>
      <c r="P761">
        <v>501.7</v>
      </c>
      <c r="Q761">
        <v>159.6</v>
      </c>
    </row>
    <row r="762" spans="2:17" x14ac:dyDescent="0.25">
      <c r="B762" t="s">
        <v>78</v>
      </c>
      <c r="C762" t="s">
        <v>79</v>
      </c>
      <c r="D762" t="s">
        <v>1475</v>
      </c>
      <c r="E762" t="s">
        <v>1476</v>
      </c>
      <c r="F762">
        <v>136.25</v>
      </c>
      <c r="G762">
        <v>135</v>
      </c>
      <c r="H762">
        <v>146.69999999999999</v>
      </c>
      <c r="I762">
        <v>133.6</v>
      </c>
      <c r="J762" s="1">
        <v>142.05000000000001</v>
      </c>
      <c r="K762">
        <v>91615910.650000006</v>
      </c>
      <c r="L762">
        <v>644898</v>
      </c>
      <c r="M762" t="s">
        <v>78</v>
      </c>
      <c r="N762" t="s">
        <v>17</v>
      </c>
      <c r="O762">
        <v>12022</v>
      </c>
      <c r="P762">
        <v>146.69999999999999</v>
      </c>
      <c r="Q762">
        <v>65.05</v>
      </c>
    </row>
    <row r="763" spans="2:17" x14ac:dyDescent="0.25">
      <c r="B763" t="s">
        <v>78</v>
      </c>
      <c r="C763" t="s">
        <v>79</v>
      </c>
      <c r="D763" t="s">
        <v>1477</v>
      </c>
      <c r="E763" t="s">
        <v>1478</v>
      </c>
      <c r="F763">
        <v>76.099999999999994</v>
      </c>
      <c r="G763">
        <v>76</v>
      </c>
      <c r="H763">
        <v>81.5</v>
      </c>
      <c r="I763">
        <v>75</v>
      </c>
      <c r="J763" s="1">
        <v>78.25</v>
      </c>
      <c r="K763">
        <v>61957327.299999997</v>
      </c>
      <c r="L763">
        <v>788276</v>
      </c>
      <c r="M763" t="s">
        <v>78</v>
      </c>
      <c r="N763" t="s">
        <v>17</v>
      </c>
      <c r="O763">
        <v>11833</v>
      </c>
      <c r="P763">
        <v>90.6</v>
      </c>
      <c r="Q763">
        <v>42.35</v>
      </c>
    </row>
    <row r="764" spans="2:17" x14ac:dyDescent="0.25">
      <c r="B764" t="s">
        <v>78</v>
      </c>
      <c r="C764" t="s">
        <v>79</v>
      </c>
      <c r="D764" t="s">
        <v>1479</v>
      </c>
      <c r="E764" t="s">
        <v>1480</v>
      </c>
      <c r="F764">
        <v>33.9</v>
      </c>
      <c r="G764">
        <v>33.299999999999997</v>
      </c>
      <c r="H764">
        <v>34.9</v>
      </c>
      <c r="I764">
        <v>33</v>
      </c>
      <c r="J764" s="1">
        <v>34.65</v>
      </c>
      <c r="K764">
        <v>125673764.7</v>
      </c>
      <c r="L764">
        <v>3669854</v>
      </c>
      <c r="M764" t="s">
        <v>78</v>
      </c>
      <c r="N764" t="s">
        <v>17</v>
      </c>
      <c r="O764">
        <v>6619</v>
      </c>
      <c r="P764">
        <v>36.200000000000003</v>
      </c>
      <c r="Q764">
        <v>12</v>
      </c>
    </row>
    <row r="765" spans="2:17" x14ac:dyDescent="0.25">
      <c r="B765" t="s">
        <v>78</v>
      </c>
      <c r="C765" t="s">
        <v>79</v>
      </c>
      <c r="D765" t="s">
        <v>1481</v>
      </c>
      <c r="E765" t="s">
        <v>1482</v>
      </c>
      <c r="F765">
        <v>3158.55</v>
      </c>
      <c r="G765">
        <v>3158.55</v>
      </c>
      <c r="H765">
        <v>3220</v>
      </c>
      <c r="I765">
        <v>3140</v>
      </c>
      <c r="J765" s="1">
        <v>3186.4</v>
      </c>
      <c r="K765">
        <v>126161206.75</v>
      </c>
      <c r="L765">
        <v>39839</v>
      </c>
      <c r="M765" t="s">
        <v>78</v>
      </c>
      <c r="N765" t="s">
        <v>17</v>
      </c>
      <c r="O765">
        <v>7771</v>
      </c>
      <c r="P765">
        <v>3289</v>
      </c>
      <c r="Q765">
        <v>1393.05</v>
      </c>
    </row>
    <row r="766" spans="2:17" x14ac:dyDescent="0.25">
      <c r="B766" t="s">
        <v>78</v>
      </c>
      <c r="C766" t="s">
        <v>79</v>
      </c>
      <c r="D766" t="s">
        <v>1483</v>
      </c>
      <c r="E766" t="s">
        <v>1484</v>
      </c>
      <c r="F766">
        <v>218.5</v>
      </c>
      <c r="G766">
        <v>217</v>
      </c>
      <c r="H766">
        <v>223.75</v>
      </c>
      <c r="I766">
        <v>214.5</v>
      </c>
      <c r="J766" s="1">
        <v>217.65</v>
      </c>
      <c r="K766">
        <v>121761011.3</v>
      </c>
      <c r="L766">
        <v>557155</v>
      </c>
      <c r="M766" t="s">
        <v>78</v>
      </c>
      <c r="N766" t="s">
        <v>17</v>
      </c>
      <c r="O766">
        <v>11213</v>
      </c>
      <c r="P766">
        <v>228.95</v>
      </c>
      <c r="Q766">
        <v>84.55</v>
      </c>
    </row>
    <row r="767" spans="2:17" x14ac:dyDescent="0.25">
      <c r="B767" t="s">
        <v>78</v>
      </c>
      <c r="C767" t="s">
        <v>79</v>
      </c>
      <c r="D767" t="s">
        <v>1485</v>
      </c>
      <c r="E767" t="s">
        <v>1486</v>
      </c>
      <c r="F767">
        <v>656.55</v>
      </c>
      <c r="G767">
        <v>654.75</v>
      </c>
      <c r="H767">
        <v>665.95</v>
      </c>
      <c r="I767">
        <v>653.04999999999995</v>
      </c>
      <c r="J767" s="1">
        <v>659.7</v>
      </c>
      <c r="K767">
        <v>232227726.5</v>
      </c>
      <c r="L767">
        <v>352249</v>
      </c>
      <c r="M767" t="s">
        <v>78</v>
      </c>
      <c r="N767" t="s">
        <v>17</v>
      </c>
      <c r="O767">
        <v>18255</v>
      </c>
      <c r="P767">
        <v>675</v>
      </c>
      <c r="Q767">
        <v>243.2</v>
      </c>
    </row>
    <row r="768" spans="2:17" x14ac:dyDescent="0.25">
      <c r="B768" t="s">
        <v>78</v>
      </c>
      <c r="C768" t="s">
        <v>79</v>
      </c>
      <c r="D768" t="s">
        <v>1487</v>
      </c>
      <c r="E768" t="s">
        <v>1488</v>
      </c>
      <c r="F768">
        <v>219.1</v>
      </c>
      <c r="G768">
        <v>218</v>
      </c>
      <c r="H768">
        <v>234.7</v>
      </c>
      <c r="I768">
        <v>213.25</v>
      </c>
      <c r="J768" s="1">
        <v>223.15</v>
      </c>
      <c r="K768">
        <v>572405027.64999998</v>
      </c>
      <c r="L768">
        <v>2599952</v>
      </c>
      <c r="M768" t="s">
        <v>78</v>
      </c>
      <c r="N768" t="s">
        <v>17</v>
      </c>
      <c r="O768">
        <v>25169</v>
      </c>
      <c r="P768">
        <v>237.45</v>
      </c>
      <c r="Q768">
        <v>86.3</v>
      </c>
    </row>
    <row r="769" spans="2:17" x14ac:dyDescent="0.25">
      <c r="B769" t="s">
        <v>78</v>
      </c>
      <c r="C769" t="s">
        <v>79</v>
      </c>
      <c r="D769" t="s">
        <v>1489</v>
      </c>
      <c r="E769" t="s">
        <v>1490</v>
      </c>
      <c r="F769">
        <v>144.1</v>
      </c>
      <c r="G769">
        <v>142.4</v>
      </c>
      <c r="H769">
        <v>146.9</v>
      </c>
      <c r="I769">
        <v>142.19999999999999</v>
      </c>
      <c r="J769" s="1">
        <v>144.80000000000001</v>
      </c>
      <c r="K769">
        <v>179042537.69999999</v>
      </c>
      <c r="L769">
        <v>1239868</v>
      </c>
      <c r="M769" t="s">
        <v>78</v>
      </c>
      <c r="N769" t="s">
        <v>17</v>
      </c>
      <c r="O769">
        <v>11530</v>
      </c>
      <c r="P769">
        <v>156.6</v>
      </c>
      <c r="Q769">
        <v>54.6</v>
      </c>
    </row>
    <row r="770" spans="2:17" x14ac:dyDescent="0.25">
      <c r="B770" t="s">
        <v>78</v>
      </c>
      <c r="C770" t="s">
        <v>79</v>
      </c>
      <c r="D770" t="s">
        <v>1491</v>
      </c>
      <c r="E770" t="s">
        <v>1492</v>
      </c>
      <c r="F770">
        <v>65.349999999999994</v>
      </c>
      <c r="G770">
        <v>66</v>
      </c>
      <c r="H770">
        <v>66.7</v>
      </c>
      <c r="I770">
        <v>64.7</v>
      </c>
      <c r="J770" s="1">
        <v>66.099999999999994</v>
      </c>
      <c r="K770">
        <v>2504336.9500000002</v>
      </c>
      <c r="L770">
        <v>38089</v>
      </c>
      <c r="M770" t="s">
        <v>78</v>
      </c>
      <c r="N770" t="s">
        <v>17</v>
      </c>
      <c r="O770">
        <v>468</v>
      </c>
      <c r="P770">
        <v>72.7</v>
      </c>
      <c r="Q770">
        <v>22.35</v>
      </c>
    </row>
    <row r="771" spans="2:17" x14ac:dyDescent="0.25">
      <c r="B771" t="s">
        <v>78</v>
      </c>
      <c r="C771" t="s">
        <v>79</v>
      </c>
      <c r="D771" t="s">
        <v>1493</v>
      </c>
      <c r="E771" t="s">
        <v>1494</v>
      </c>
      <c r="F771">
        <v>123.9</v>
      </c>
      <c r="G771">
        <v>123.45</v>
      </c>
      <c r="H771">
        <v>124.45</v>
      </c>
      <c r="I771">
        <v>121.5</v>
      </c>
      <c r="J771" s="1">
        <v>124.1</v>
      </c>
      <c r="K771">
        <v>37686206.950000003</v>
      </c>
      <c r="L771">
        <v>305012</v>
      </c>
      <c r="M771" t="s">
        <v>78</v>
      </c>
      <c r="N771" t="s">
        <v>17</v>
      </c>
      <c r="O771">
        <v>8068</v>
      </c>
      <c r="P771">
        <v>127.3</v>
      </c>
      <c r="Q771">
        <v>43.8</v>
      </c>
    </row>
    <row r="772" spans="2:17" x14ac:dyDescent="0.25">
      <c r="B772" t="s">
        <v>78</v>
      </c>
      <c r="C772" t="s">
        <v>79</v>
      </c>
      <c r="D772" t="s">
        <v>1495</v>
      </c>
      <c r="E772" t="s">
        <v>1496</v>
      </c>
      <c r="F772">
        <v>111.75</v>
      </c>
      <c r="G772">
        <v>110</v>
      </c>
      <c r="H772">
        <v>114.4</v>
      </c>
      <c r="I772">
        <v>107.15</v>
      </c>
      <c r="J772" s="1">
        <v>109.65</v>
      </c>
      <c r="K772">
        <v>1009858462.9</v>
      </c>
      <c r="L772">
        <v>9097565</v>
      </c>
      <c r="M772" t="s">
        <v>78</v>
      </c>
      <c r="N772" t="s">
        <v>17</v>
      </c>
      <c r="O772">
        <v>44500</v>
      </c>
      <c r="P772">
        <v>117.7</v>
      </c>
      <c r="Q772">
        <v>72.95</v>
      </c>
    </row>
    <row r="773" spans="2:17" x14ac:dyDescent="0.25">
      <c r="B773" t="s">
        <v>78</v>
      </c>
      <c r="C773" t="s">
        <v>79</v>
      </c>
      <c r="D773" t="s">
        <v>1497</v>
      </c>
      <c r="E773" t="s">
        <v>1498</v>
      </c>
      <c r="F773">
        <v>3.3</v>
      </c>
      <c r="G773">
        <v>3.3</v>
      </c>
      <c r="H773">
        <v>3.3</v>
      </c>
      <c r="I773">
        <v>3.2</v>
      </c>
      <c r="J773" s="1">
        <v>3.25</v>
      </c>
      <c r="K773">
        <v>2875487.45</v>
      </c>
      <c r="L773">
        <v>884614</v>
      </c>
      <c r="M773" t="s">
        <v>78</v>
      </c>
      <c r="N773" t="s">
        <v>17</v>
      </c>
      <c r="O773">
        <v>3200</v>
      </c>
      <c r="P773">
        <v>3.85</v>
      </c>
      <c r="Q773">
        <v>2.2000000000000002</v>
      </c>
    </row>
    <row r="774" spans="2:17" x14ac:dyDescent="0.25">
      <c r="B774" t="s">
        <v>78</v>
      </c>
      <c r="C774" t="s">
        <v>79</v>
      </c>
      <c r="D774" t="s">
        <v>1499</v>
      </c>
      <c r="E774" t="s">
        <v>1500</v>
      </c>
      <c r="F774">
        <v>202.95</v>
      </c>
      <c r="G774">
        <v>202</v>
      </c>
      <c r="H774">
        <v>207.55</v>
      </c>
      <c r="I774">
        <v>200</v>
      </c>
      <c r="J774" s="1">
        <v>203.25</v>
      </c>
      <c r="K774">
        <v>8371207.3499999996</v>
      </c>
      <c r="L774">
        <v>41044</v>
      </c>
      <c r="M774" t="s">
        <v>78</v>
      </c>
      <c r="N774" t="s">
        <v>17</v>
      </c>
      <c r="O774">
        <v>1378</v>
      </c>
      <c r="P774">
        <v>218.7</v>
      </c>
      <c r="Q774">
        <v>139</v>
      </c>
    </row>
    <row r="775" spans="2:17" x14ac:dyDescent="0.25">
      <c r="B775" t="s">
        <v>78</v>
      </c>
      <c r="C775" t="s">
        <v>79</v>
      </c>
      <c r="D775" t="s">
        <v>1501</v>
      </c>
      <c r="E775" t="s">
        <v>1502</v>
      </c>
      <c r="F775">
        <v>5.85</v>
      </c>
      <c r="G775">
        <v>5.8</v>
      </c>
      <c r="H775">
        <v>6.1</v>
      </c>
      <c r="I775">
        <v>5.75</v>
      </c>
      <c r="J775" s="1">
        <v>6.1</v>
      </c>
      <c r="K775">
        <v>384274957</v>
      </c>
      <c r="L775">
        <v>64255685</v>
      </c>
      <c r="M775" t="s">
        <v>78</v>
      </c>
      <c r="N775" t="s">
        <v>17</v>
      </c>
      <c r="O775">
        <v>41047</v>
      </c>
      <c r="P775">
        <v>6.85</v>
      </c>
      <c r="Q775">
        <v>1.85</v>
      </c>
    </row>
    <row r="776" spans="2:17" x14ac:dyDescent="0.25">
      <c r="B776" t="s">
        <v>78</v>
      </c>
      <c r="C776" t="s">
        <v>79</v>
      </c>
      <c r="D776" t="s">
        <v>1503</v>
      </c>
      <c r="E776" t="s">
        <v>1504</v>
      </c>
      <c r="F776">
        <v>123.8</v>
      </c>
      <c r="G776">
        <v>122.95</v>
      </c>
      <c r="H776">
        <v>126.5</v>
      </c>
      <c r="I776">
        <v>122.5</v>
      </c>
      <c r="J776" s="1">
        <v>124.9</v>
      </c>
      <c r="K776">
        <v>275567947.14999998</v>
      </c>
      <c r="L776">
        <v>2200123</v>
      </c>
      <c r="M776" t="s">
        <v>78</v>
      </c>
      <c r="N776" t="s">
        <v>17</v>
      </c>
      <c r="O776">
        <v>16961</v>
      </c>
      <c r="P776">
        <v>129.6</v>
      </c>
      <c r="Q776">
        <v>35.25</v>
      </c>
    </row>
    <row r="777" spans="2:17" x14ac:dyDescent="0.25">
      <c r="B777" t="s">
        <v>78</v>
      </c>
      <c r="C777" t="s">
        <v>79</v>
      </c>
      <c r="D777" t="s">
        <v>1505</v>
      </c>
      <c r="E777" t="s">
        <v>1506</v>
      </c>
      <c r="F777">
        <v>230.9</v>
      </c>
      <c r="G777">
        <v>229</v>
      </c>
      <c r="H777">
        <v>235.8</v>
      </c>
      <c r="I777">
        <v>227.8</v>
      </c>
      <c r="J777" s="1">
        <v>231.85</v>
      </c>
      <c r="K777">
        <v>152501461.84999999</v>
      </c>
      <c r="L777">
        <v>659226</v>
      </c>
      <c r="M777" t="s">
        <v>78</v>
      </c>
      <c r="N777" t="s">
        <v>17</v>
      </c>
      <c r="O777">
        <v>7035</v>
      </c>
      <c r="P777">
        <v>235.8</v>
      </c>
      <c r="Q777">
        <v>66.8</v>
      </c>
    </row>
    <row r="778" spans="2:17" x14ac:dyDescent="0.25">
      <c r="B778" t="s">
        <v>78</v>
      </c>
      <c r="C778" t="s">
        <v>79</v>
      </c>
      <c r="D778" t="s">
        <v>1507</v>
      </c>
      <c r="E778" t="s">
        <v>1508</v>
      </c>
      <c r="F778">
        <v>194.05</v>
      </c>
      <c r="G778">
        <v>191.5</v>
      </c>
      <c r="H778">
        <v>202</v>
      </c>
      <c r="I778">
        <v>189.25</v>
      </c>
      <c r="J778" s="1">
        <v>196.5</v>
      </c>
      <c r="K778">
        <v>1396644115.55</v>
      </c>
      <c r="L778">
        <v>7088387</v>
      </c>
      <c r="M778" t="s">
        <v>78</v>
      </c>
      <c r="N778" t="s">
        <v>17</v>
      </c>
      <c r="O778">
        <v>46544</v>
      </c>
      <c r="P778">
        <v>202</v>
      </c>
      <c r="Q778">
        <v>44.75</v>
      </c>
    </row>
    <row r="779" spans="2:17" x14ac:dyDescent="0.25">
      <c r="B779" t="s">
        <v>78</v>
      </c>
      <c r="C779" t="s">
        <v>79</v>
      </c>
      <c r="D779" t="s">
        <v>1509</v>
      </c>
      <c r="E779" t="s">
        <v>1510</v>
      </c>
      <c r="F779">
        <v>4701.1499999999996</v>
      </c>
      <c r="G779">
        <v>4610</v>
      </c>
      <c r="H779">
        <v>4731.8999999999996</v>
      </c>
      <c r="I779">
        <v>4610</v>
      </c>
      <c r="J779" s="1">
        <v>4718.6000000000004</v>
      </c>
      <c r="K779">
        <v>1312890.6499999999</v>
      </c>
      <c r="L779">
        <v>279</v>
      </c>
      <c r="M779" t="s">
        <v>78</v>
      </c>
      <c r="N779" t="s">
        <v>17</v>
      </c>
      <c r="O779">
        <v>112</v>
      </c>
      <c r="P779">
        <v>6000</v>
      </c>
      <c r="Q779">
        <v>1566.2</v>
      </c>
    </row>
    <row r="780" spans="2:17" x14ac:dyDescent="0.25">
      <c r="B780" t="s">
        <v>78</v>
      </c>
      <c r="C780" t="s">
        <v>79</v>
      </c>
      <c r="D780" t="s">
        <v>1511</v>
      </c>
      <c r="E780" t="s">
        <v>1512</v>
      </c>
      <c r="F780">
        <v>113.65</v>
      </c>
      <c r="G780">
        <v>112.5</v>
      </c>
      <c r="H780">
        <v>118.8</v>
      </c>
      <c r="I780">
        <v>112</v>
      </c>
      <c r="J780" s="1">
        <v>114.7</v>
      </c>
      <c r="K780">
        <v>120243885</v>
      </c>
      <c r="L780">
        <v>1037777</v>
      </c>
      <c r="M780" t="s">
        <v>78</v>
      </c>
      <c r="N780" t="s">
        <v>17</v>
      </c>
      <c r="O780">
        <v>19695</v>
      </c>
      <c r="P780">
        <v>122.95</v>
      </c>
      <c r="Q780">
        <v>61</v>
      </c>
    </row>
    <row r="781" spans="2:17" x14ac:dyDescent="0.25">
      <c r="B781" t="s">
        <v>78</v>
      </c>
      <c r="C781" t="s">
        <v>79</v>
      </c>
      <c r="D781" t="s">
        <v>1513</v>
      </c>
      <c r="E781" t="s">
        <v>1514</v>
      </c>
      <c r="F781">
        <v>3145.2</v>
      </c>
      <c r="G781">
        <v>3128</v>
      </c>
      <c r="H781">
        <v>3128</v>
      </c>
      <c r="I781">
        <v>3076</v>
      </c>
      <c r="J781" s="1">
        <v>3082.65</v>
      </c>
      <c r="K781">
        <v>819295505.10000002</v>
      </c>
      <c r="L781">
        <v>264374</v>
      </c>
      <c r="M781" t="s">
        <v>78</v>
      </c>
      <c r="N781" t="s">
        <v>17</v>
      </c>
      <c r="O781">
        <v>22620</v>
      </c>
      <c r="P781">
        <v>3332.7</v>
      </c>
      <c r="Q781">
        <v>1655.15</v>
      </c>
    </row>
    <row r="782" spans="2:17" x14ac:dyDescent="0.25">
      <c r="B782" t="s">
        <v>78</v>
      </c>
      <c r="C782" t="s">
        <v>79</v>
      </c>
      <c r="D782" t="s">
        <v>1515</v>
      </c>
      <c r="E782" t="s">
        <v>1516</v>
      </c>
      <c r="F782">
        <v>351.85</v>
      </c>
      <c r="G782">
        <v>349</v>
      </c>
      <c r="H782">
        <v>368</v>
      </c>
      <c r="I782">
        <v>344.3</v>
      </c>
      <c r="J782" s="1">
        <v>364.1</v>
      </c>
      <c r="K782">
        <v>38462951.75</v>
      </c>
      <c r="L782">
        <v>106665</v>
      </c>
      <c r="M782" t="s">
        <v>78</v>
      </c>
      <c r="N782" t="s">
        <v>17</v>
      </c>
      <c r="O782">
        <v>3420</v>
      </c>
      <c r="P782">
        <v>376</v>
      </c>
      <c r="Q782">
        <v>103.2</v>
      </c>
    </row>
    <row r="783" spans="2:17" x14ac:dyDescent="0.25">
      <c r="B783" t="s">
        <v>78</v>
      </c>
      <c r="C783" t="s">
        <v>79</v>
      </c>
      <c r="D783" t="s">
        <v>1517</v>
      </c>
      <c r="E783" t="s">
        <v>1518</v>
      </c>
      <c r="F783">
        <v>562.6</v>
      </c>
      <c r="G783">
        <v>563</v>
      </c>
      <c r="H783">
        <v>592</v>
      </c>
      <c r="I783">
        <v>557.6</v>
      </c>
      <c r="J783" s="1">
        <v>566.29999999999995</v>
      </c>
      <c r="K783">
        <v>2165000695.6999998</v>
      </c>
      <c r="L783">
        <v>3772322</v>
      </c>
      <c r="M783" t="s">
        <v>78</v>
      </c>
      <c r="N783" t="s">
        <v>17</v>
      </c>
      <c r="O783">
        <v>69251</v>
      </c>
      <c r="P783">
        <v>611.6</v>
      </c>
      <c r="Q783">
        <v>295.5</v>
      </c>
    </row>
    <row r="784" spans="2:17" x14ac:dyDescent="0.25">
      <c r="B784" t="s">
        <v>78</v>
      </c>
      <c r="C784" t="s">
        <v>79</v>
      </c>
      <c r="D784" t="s">
        <v>1519</v>
      </c>
      <c r="E784" t="s">
        <v>1520</v>
      </c>
      <c r="F784">
        <v>713.8</v>
      </c>
      <c r="G784">
        <v>717</v>
      </c>
      <c r="H784">
        <v>724.5</v>
      </c>
      <c r="I784">
        <v>715</v>
      </c>
      <c r="J784" s="1">
        <v>717.8</v>
      </c>
      <c r="K784">
        <v>224519415.69999999</v>
      </c>
      <c r="L784">
        <v>312037</v>
      </c>
      <c r="M784" t="s">
        <v>78</v>
      </c>
      <c r="N784" t="s">
        <v>17</v>
      </c>
      <c r="O784">
        <v>9423</v>
      </c>
      <c r="P784">
        <v>1046.95</v>
      </c>
      <c r="Q784">
        <v>634.1</v>
      </c>
    </row>
    <row r="785" spans="2:17" x14ac:dyDescent="0.25">
      <c r="B785" t="s">
        <v>78</v>
      </c>
      <c r="C785" t="s">
        <v>79</v>
      </c>
      <c r="D785" t="s">
        <v>1521</v>
      </c>
      <c r="E785" t="s">
        <v>1522</v>
      </c>
      <c r="F785">
        <v>10.5</v>
      </c>
      <c r="G785">
        <v>10.95</v>
      </c>
      <c r="H785">
        <v>11</v>
      </c>
      <c r="I785">
        <v>10.5</v>
      </c>
      <c r="J785" s="1">
        <v>11</v>
      </c>
      <c r="K785">
        <v>18389417.300000001</v>
      </c>
      <c r="L785">
        <v>1677579</v>
      </c>
      <c r="M785" t="s">
        <v>78</v>
      </c>
      <c r="N785" t="s">
        <v>17</v>
      </c>
      <c r="O785">
        <v>2147</v>
      </c>
      <c r="P785">
        <v>105.9</v>
      </c>
      <c r="Q785">
        <v>5</v>
      </c>
    </row>
    <row r="786" spans="2:17" x14ac:dyDescent="0.25">
      <c r="B786" t="s">
        <v>78</v>
      </c>
      <c r="C786" t="s">
        <v>79</v>
      </c>
      <c r="D786" t="s">
        <v>1523</v>
      </c>
      <c r="E786" t="s">
        <v>1524</v>
      </c>
      <c r="F786">
        <v>1072.7</v>
      </c>
      <c r="G786">
        <v>1072.5</v>
      </c>
      <c r="H786">
        <v>1072.5</v>
      </c>
      <c r="I786">
        <v>1010</v>
      </c>
      <c r="J786" s="1">
        <v>1018.15</v>
      </c>
      <c r="K786">
        <v>8462778631.9499998</v>
      </c>
      <c r="L786">
        <v>8196385</v>
      </c>
      <c r="M786" t="s">
        <v>78</v>
      </c>
      <c r="N786" t="s">
        <v>17</v>
      </c>
      <c r="O786">
        <v>210198</v>
      </c>
      <c r="P786">
        <v>1138</v>
      </c>
      <c r="Q786">
        <v>332.3</v>
      </c>
    </row>
    <row r="787" spans="2:17" x14ac:dyDescent="0.25">
      <c r="B787" t="s">
        <v>78</v>
      </c>
      <c r="C787" t="s">
        <v>79</v>
      </c>
      <c r="D787" t="s">
        <v>1525</v>
      </c>
      <c r="E787" t="s">
        <v>1526</v>
      </c>
      <c r="F787">
        <v>176.1</v>
      </c>
      <c r="G787">
        <v>176.5</v>
      </c>
      <c r="H787">
        <v>177.3</v>
      </c>
      <c r="I787">
        <v>172.6</v>
      </c>
      <c r="J787" s="1">
        <v>173.9</v>
      </c>
      <c r="K787">
        <v>111662407.8</v>
      </c>
      <c r="L787">
        <v>637862</v>
      </c>
      <c r="M787" t="s">
        <v>78</v>
      </c>
      <c r="N787" t="s">
        <v>17</v>
      </c>
      <c r="O787">
        <v>7987</v>
      </c>
      <c r="P787">
        <v>187.3</v>
      </c>
      <c r="Q787">
        <v>119.35</v>
      </c>
    </row>
    <row r="788" spans="2:17" x14ac:dyDescent="0.25">
      <c r="B788" t="s">
        <v>78</v>
      </c>
      <c r="C788" t="s">
        <v>79</v>
      </c>
      <c r="D788" t="s">
        <v>1527</v>
      </c>
      <c r="E788" t="s">
        <v>1528</v>
      </c>
      <c r="F788">
        <v>207.1</v>
      </c>
      <c r="G788">
        <v>209.5</v>
      </c>
      <c r="H788">
        <v>234</v>
      </c>
      <c r="I788">
        <v>208</v>
      </c>
      <c r="J788" s="1">
        <v>229.1</v>
      </c>
      <c r="K788">
        <v>443796978.94999999</v>
      </c>
      <c r="L788">
        <v>1995728</v>
      </c>
      <c r="M788" t="s">
        <v>78</v>
      </c>
      <c r="N788" t="s">
        <v>17</v>
      </c>
      <c r="O788">
        <v>36806</v>
      </c>
      <c r="P788">
        <v>234</v>
      </c>
      <c r="Q788">
        <v>45.1</v>
      </c>
    </row>
    <row r="789" spans="2:17" x14ac:dyDescent="0.25">
      <c r="B789" t="s">
        <v>78</v>
      </c>
      <c r="C789" t="s">
        <v>79</v>
      </c>
      <c r="D789" t="s">
        <v>1529</v>
      </c>
      <c r="E789" t="s">
        <v>1530</v>
      </c>
      <c r="F789">
        <v>1003.55</v>
      </c>
      <c r="G789">
        <v>1007.8</v>
      </c>
      <c r="H789">
        <v>1008</v>
      </c>
      <c r="I789">
        <v>993.6</v>
      </c>
      <c r="J789" s="1">
        <v>1001.1</v>
      </c>
      <c r="K789">
        <v>128530130.65000001</v>
      </c>
      <c r="L789">
        <v>128505</v>
      </c>
      <c r="M789" t="s">
        <v>78</v>
      </c>
      <c r="N789" t="s">
        <v>17</v>
      </c>
      <c r="O789">
        <v>5529</v>
      </c>
      <c r="P789">
        <v>1054.9000000000001</v>
      </c>
      <c r="Q789">
        <v>389</v>
      </c>
    </row>
    <row r="790" spans="2:17" x14ac:dyDescent="0.25">
      <c r="B790" t="s">
        <v>78</v>
      </c>
      <c r="C790" t="s">
        <v>79</v>
      </c>
      <c r="D790" t="s">
        <v>1531</v>
      </c>
      <c r="E790" t="s">
        <v>1532</v>
      </c>
      <c r="F790">
        <v>252.4</v>
      </c>
      <c r="G790">
        <v>249</v>
      </c>
      <c r="H790">
        <v>259.5</v>
      </c>
      <c r="I790">
        <v>249</v>
      </c>
      <c r="J790" s="1">
        <v>255.65</v>
      </c>
      <c r="K790">
        <v>6576425.2000000002</v>
      </c>
      <c r="L790">
        <v>25739</v>
      </c>
      <c r="M790" t="s">
        <v>78</v>
      </c>
      <c r="N790" t="s">
        <v>17</v>
      </c>
      <c r="O790">
        <v>1451</v>
      </c>
      <c r="P790">
        <v>319.89999999999998</v>
      </c>
      <c r="Q790">
        <v>133.5</v>
      </c>
    </row>
    <row r="791" spans="2:17" x14ac:dyDescent="0.25">
      <c r="B791" t="s">
        <v>78</v>
      </c>
      <c r="C791" t="s">
        <v>79</v>
      </c>
      <c r="D791" t="s">
        <v>1533</v>
      </c>
      <c r="E791" t="s">
        <v>1534</v>
      </c>
      <c r="F791">
        <v>472</v>
      </c>
      <c r="G791">
        <v>466.8</v>
      </c>
      <c r="H791">
        <v>494.5</v>
      </c>
      <c r="I791">
        <v>463</v>
      </c>
      <c r="J791" s="1">
        <v>473.85</v>
      </c>
      <c r="K791">
        <v>724474679.89999998</v>
      </c>
      <c r="L791">
        <v>1502804</v>
      </c>
      <c r="M791" t="s">
        <v>78</v>
      </c>
      <c r="N791" t="s">
        <v>17</v>
      </c>
      <c r="O791">
        <v>35646</v>
      </c>
      <c r="P791">
        <v>494.5</v>
      </c>
      <c r="Q791">
        <v>224.25</v>
      </c>
    </row>
    <row r="792" spans="2:17" x14ac:dyDescent="0.25">
      <c r="B792" t="s">
        <v>78</v>
      </c>
      <c r="C792" t="s">
        <v>79</v>
      </c>
      <c r="D792" t="s">
        <v>1535</v>
      </c>
      <c r="E792" t="s">
        <v>1536</v>
      </c>
      <c r="F792">
        <v>75</v>
      </c>
      <c r="G792">
        <v>74.95</v>
      </c>
      <c r="H792">
        <v>74.95</v>
      </c>
      <c r="I792">
        <v>72.25</v>
      </c>
      <c r="J792" s="1">
        <v>72.8</v>
      </c>
      <c r="K792">
        <v>115783854.09999999</v>
      </c>
      <c r="L792">
        <v>1578263</v>
      </c>
      <c r="M792" t="s">
        <v>78</v>
      </c>
      <c r="N792" t="s">
        <v>17</v>
      </c>
      <c r="O792">
        <v>13059</v>
      </c>
      <c r="P792">
        <v>89.75</v>
      </c>
      <c r="Q792">
        <v>56.3</v>
      </c>
    </row>
    <row r="793" spans="2:17" x14ac:dyDescent="0.25">
      <c r="B793" t="s">
        <v>78</v>
      </c>
      <c r="C793" t="s">
        <v>79</v>
      </c>
      <c r="D793" t="s">
        <v>1537</v>
      </c>
      <c r="E793" t="s">
        <v>1538</v>
      </c>
      <c r="F793">
        <v>180.45</v>
      </c>
      <c r="G793">
        <v>177.95</v>
      </c>
      <c r="H793">
        <v>184</v>
      </c>
      <c r="I793">
        <v>172.7</v>
      </c>
      <c r="J793" s="1">
        <v>175.15</v>
      </c>
      <c r="K793">
        <v>24232538.949999999</v>
      </c>
      <c r="L793">
        <v>135969</v>
      </c>
      <c r="M793" t="s">
        <v>78</v>
      </c>
      <c r="N793" t="s">
        <v>17</v>
      </c>
      <c r="O793">
        <v>3952</v>
      </c>
      <c r="P793">
        <v>185.4</v>
      </c>
      <c r="Q793">
        <v>65.25</v>
      </c>
    </row>
    <row r="794" spans="2:17" x14ac:dyDescent="0.25">
      <c r="B794" t="s">
        <v>78</v>
      </c>
      <c r="C794" t="s">
        <v>79</v>
      </c>
      <c r="D794" t="s">
        <v>1539</v>
      </c>
      <c r="E794" t="s">
        <v>1540</v>
      </c>
      <c r="F794">
        <v>162.5</v>
      </c>
      <c r="G794">
        <v>164</v>
      </c>
      <c r="H794">
        <v>170.6</v>
      </c>
      <c r="I794">
        <v>158.19999999999999</v>
      </c>
      <c r="J794" s="1">
        <v>165.75</v>
      </c>
      <c r="K794">
        <v>14381172.4</v>
      </c>
      <c r="L794">
        <v>85054</v>
      </c>
      <c r="M794" t="s">
        <v>78</v>
      </c>
      <c r="N794" t="s">
        <v>17</v>
      </c>
      <c r="O794">
        <v>1083</v>
      </c>
      <c r="P794">
        <v>170.6</v>
      </c>
      <c r="Q794">
        <v>31</v>
      </c>
    </row>
    <row r="795" spans="2:17" x14ac:dyDescent="0.25">
      <c r="B795" t="s">
        <v>78</v>
      </c>
      <c r="C795" t="s">
        <v>79</v>
      </c>
      <c r="D795" t="s">
        <v>1541</v>
      </c>
      <c r="E795" t="s">
        <v>1542</v>
      </c>
      <c r="F795">
        <v>279.75</v>
      </c>
      <c r="G795">
        <v>279.7</v>
      </c>
      <c r="H795">
        <v>289.39999999999998</v>
      </c>
      <c r="I795">
        <v>270</v>
      </c>
      <c r="J795" s="1">
        <v>281.05</v>
      </c>
      <c r="K795">
        <v>50855300</v>
      </c>
      <c r="L795">
        <v>181670</v>
      </c>
      <c r="M795" t="s">
        <v>78</v>
      </c>
      <c r="N795" t="s">
        <v>17</v>
      </c>
      <c r="O795">
        <v>6130</v>
      </c>
      <c r="P795">
        <v>289.39999999999998</v>
      </c>
      <c r="Q795">
        <v>96.35</v>
      </c>
    </row>
    <row r="796" spans="2:17" x14ac:dyDescent="0.25">
      <c r="B796" t="s">
        <v>78</v>
      </c>
      <c r="C796" t="s">
        <v>79</v>
      </c>
      <c r="D796" t="s">
        <v>1543</v>
      </c>
      <c r="E796" t="s">
        <v>1544</v>
      </c>
      <c r="F796">
        <v>599.9</v>
      </c>
      <c r="G796">
        <v>600</v>
      </c>
      <c r="H796">
        <v>607.95000000000005</v>
      </c>
      <c r="I796">
        <v>596.70000000000005</v>
      </c>
      <c r="J796" s="1">
        <v>600.75</v>
      </c>
      <c r="K796">
        <v>167068347.44999999</v>
      </c>
      <c r="L796">
        <v>278495</v>
      </c>
      <c r="M796" t="s">
        <v>78</v>
      </c>
      <c r="N796" t="s">
        <v>17</v>
      </c>
      <c r="O796">
        <v>6610</v>
      </c>
      <c r="P796">
        <v>680</v>
      </c>
      <c r="Q796">
        <v>416.5</v>
      </c>
    </row>
    <row r="797" spans="2:17" x14ac:dyDescent="0.25">
      <c r="B797" t="s">
        <v>78</v>
      </c>
      <c r="C797" t="s">
        <v>79</v>
      </c>
      <c r="D797" t="s">
        <v>1545</v>
      </c>
      <c r="E797" t="s">
        <v>1546</v>
      </c>
      <c r="F797">
        <v>51.15</v>
      </c>
      <c r="G797">
        <v>50.8</v>
      </c>
      <c r="H797">
        <v>51.15</v>
      </c>
      <c r="I797">
        <v>50.5</v>
      </c>
      <c r="J797" s="1">
        <v>50.6</v>
      </c>
      <c r="K797">
        <v>51572639.799999997</v>
      </c>
      <c r="L797">
        <v>1015415</v>
      </c>
      <c r="M797" t="s">
        <v>78</v>
      </c>
      <c r="N797" t="s">
        <v>17</v>
      </c>
      <c r="O797">
        <v>5100</v>
      </c>
      <c r="P797">
        <v>64.55</v>
      </c>
      <c r="Q797">
        <v>29.3</v>
      </c>
    </row>
    <row r="798" spans="2:17" x14ac:dyDescent="0.25">
      <c r="B798" t="s">
        <v>78</v>
      </c>
      <c r="C798" t="s">
        <v>79</v>
      </c>
      <c r="D798" t="s">
        <v>1547</v>
      </c>
      <c r="E798" t="s">
        <v>1548</v>
      </c>
      <c r="F798">
        <v>510.25</v>
      </c>
      <c r="G798">
        <v>506</v>
      </c>
      <c r="H798">
        <v>515.65</v>
      </c>
      <c r="I798">
        <v>495.4</v>
      </c>
      <c r="J798" s="1">
        <v>497.5</v>
      </c>
      <c r="K798">
        <v>27233426.25</v>
      </c>
      <c r="L798">
        <v>54190</v>
      </c>
      <c r="M798" t="s">
        <v>78</v>
      </c>
      <c r="N798" t="s">
        <v>17</v>
      </c>
      <c r="O798">
        <v>2473</v>
      </c>
      <c r="P798">
        <v>548.29999999999995</v>
      </c>
      <c r="Q798">
        <v>198</v>
      </c>
    </row>
    <row r="799" spans="2:17" x14ac:dyDescent="0.25">
      <c r="B799" t="s">
        <v>78</v>
      </c>
      <c r="C799" t="s">
        <v>79</v>
      </c>
      <c r="D799" t="s">
        <v>1549</v>
      </c>
      <c r="E799" t="s">
        <v>1550</v>
      </c>
      <c r="F799">
        <v>154.69999999999999</v>
      </c>
      <c r="G799">
        <v>152.5</v>
      </c>
      <c r="H799">
        <v>157.9</v>
      </c>
      <c r="I799">
        <v>151.94999999999999</v>
      </c>
      <c r="J799" s="1">
        <v>154.4</v>
      </c>
      <c r="K799">
        <v>61053408.350000001</v>
      </c>
      <c r="L799">
        <v>395597</v>
      </c>
      <c r="M799" t="s">
        <v>78</v>
      </c>
      <c r="N799" t="s">
        <v>17</v>
      </c>
      <c r="O799">
        <v>6817</v>
      </c>
      <c r="P799">
        <v>167.3</v>
      </c>
      <c r="Q799">
        <v>53.25</v>
      </c>
    </row>
    <row r="800" spans="2:17" x14ac:dyDescent="0.25">
      <c r="B800" t="s">
        <v>78</v>
      </c>
      <c r="C800" t="s">
        <v>79</v>
      </c>
      <c r="D800" t="s">
        <v>1551</v>
      </c>
      <c r="E800" t="s">
        <v>1552</v>
      </c>
      <c r="F800">
        <v>27.3</v>
      </c>
      <c r="G800">
        <v>27</v>
      </c>
      <c r="H800">
        <v>28.65</v>
      </c>
      <c r="I800">
        <v>26.5</v>
      </c>
      <c r="J800" s="1">
        <v>28.45</v>
      </c>
      <c r="K800">
        <v>48949310.899999999</v>
      </c>
      <c r="L800">
        <v>1743581</v>
      </c>
      <c r="M800" t="s">
        <v>78</v>
      </c>
      <c r="N800" t="s">
        <v>17</v>
      </c>
      <c r="O800">
        <v>4702</v>
      </c>
      <c r="P800">
        <v>32.35</v>
      </c>
      <c r="Q800">
        <v>13.5</v>
      </c>
    </row>
    <row r="801" spans="2:17" x14ac:dyDescent="0.25">
      <c r="B801" t="s">
        <v>78</v>
      </c>
      <c r="C801" t="s">
        <v>79</v>
      </c>
      <c r="D801" t="s">
        <v>1553</v>
      </c>
      <c r="E801" t="s">
        <v>1554</v>
      </c>
      <c r="F801">
        <v>417.55</v>
      </c>
      <c r="G801">
        <v>422.9</v>
      </c>
      <c r="H801">
        <v>423</v>
      </c>
      <c r="I801">
        <v>412.1</v>
      </c>
      <c r="J801" s="1">
        <v>413.65</v>
      </c>
      <c r="K801">
        <v>104498739.84999999</v>
      </c>
      <c r="L801">
        <v>250888</v>
      </c>
      <c r="M801" t="s">
        <v>78</v>
      </c>
      <c r="N801" t="s">
        <v>1555</v>
      </c>
      <c r="O801">
        <v>8612</v>
      </c>
      <c r="P801">
        <v>486</v>
      </c>
      <c r="Q801">
        <v>258</v>
      </c>
    </row>
    <row r="802" spans="2:17" x14ac:dyDescent="0.25">
      <c r="B802" t="s">
        <v>78</v>
      </c>
      <c r="C802" t="s">
        <v>79</v>
      </c>
      <c r="D802" t="s">
        <v>1556</v>
      </c>
      <c r="E802" t="s">
        <v>1557</v>
      </c>
      <c r="F802">
        <v>21.5</v>
      </c>
      <c r="G802">
        <v>21.95</v>
      </c>
      <c r="H802">
        <v>21.95</v>
      </c>
      <c r="I802">
        <v>21.35</v>
      </c>
      <c r="J802" s="1">
        <v>21.45</v>
      </c>
      <c r="K802">
        <v>66041.100000000006</v>
      </c>
      <c r="L802">
        <v>3071</v>
      </c>
      <c r="M802" t="s">
        <v>78</v>
      </c>
      <c r="N802" t="s">
        <v>17</v>
      </c>
      <c r="O802">
        <v>35</v>
      </c>
      <c r="P802">
        <v>32.65</v>
      </c>
      <c r="Q802">
        <v>20</v>
      </c>
    </row>
    <row r="803" spans="2:17" x14ac:dyDescent="0.25">
      <c r="B803" t="s">
        <v>78</v>
      </c>
      <c r="C803" t="s">
        <v>79</v>
      </c>
      <c r="D803" t="s">
        <v>1558</v>
      </c>
      <c r="E803" t="s">
        <v>1559</v>
      </c>
      <c r="F803">
        <v>710.95</v>
      </c>
      <c r="G803">
        <v>708.4</v>
      </c>
      <c r="H803">
        <v>734.05</v>
      </c>
      <c r="I803">
        <v>705.05</v>
      </c>
      <c r="J803" s="1">
        <v>712.95</v>
      </c>
      <c r="K803">
        <v>426184059.19999999</v>
      </c>
      <c r="L803">
        <v>593507</v>
      </c>
      <c r="M803" t="s">
        <v>78</v>
      </c>
      <c r="N803" t="s">
        <v>17</v>
      </c>
      <c r="O803">
        <v>15007</v>
      </c>
      <c r="P803">
        <v>763.65</v>
      </c>
      <c r="Q803">
        <v>319.60000000000002</v>
      </c>
    </row>
    <row r="804" spans="2:17" x14ac:dyDescent="0.25">
      <c r="B804" t="s">
        <v>78</v>
      </c>
      <c r="C804" t="s">
        <v>79</v>
      </c>
      <c r="D804" t="s">
        <v>1560</v>
      </c>
      <c r="E804" t="s">
        <v>1561</v>
      </c>
      <c r="F804">
        <v>62.5</v>
      </c>
      <c r="G804">
        <v>61.8</v>
      </c>
      <c r="H804">
        <v>62.35</v>
      </c>
      <c r="I804">
        <v>60.6</v>
      </c>
      <c r="J804" s="1">
        <v>61.25</v>
      </c>
      <c r="K804">
        <v>60491289.5</v>
      </c>
      <c r="L804">
        <v>983367</v>
      </c>
      <c r="M804" t="s">
        <v>78</v>
      </c>
      <c r="N804" t="s">
        <v>17</v>
      </c>
      <c r="O804">
        <v>8811</v>
      </c>
      <c r="P804">
        <v>92</v>
      </c>
      <c r="Q804">
        <v>27</v>
      </c>
    </row>
    <row r="805" spans="2:17" x14ac:dyDescent="0.25">
      <c r="B805" t="s">
        <v>78</v>
      </c>
      <c r="C805" t="s">
        <v>79</v>
      </c>
      <c r="D805" t="s">
        <v>1562</v>
      </c>
      <c r="E805" t="s">
        <v>1563</v>
      </c>
      <c r="F805">
        <v>1248.3499999999999</v>
      </c>
      <c r="G805">
        <v>1264</v>
      </c>
      <c r="H805">
        <v>1288</v>
      </c>
      <c r="I805">
        <v>1232.8499999999999</v>
      </c>
      <c r="J805" s="1">
        <v>1258.4000000000001</v>
      </c>
      <c r="K805">
        <v>10334303.300000001</v>
      </c>
      <c r="L805">
        <v>8203</v>
      </c>
      <c r="M805" t="s">
        <v>78</v>
      </c>
      <c r="N805" t="s">
        <v>17</v>
      </c>
      <c r="O805">
        <v>1047</v>
      </c>
      <c r="P805">
        <v>1440</v>
      </c>
      <c r="Q805">
        <v>699.25</v>
      </c>
    </row>
    <row r="806" spans="2:17" x14ac:dyDescent="0.25">
      <c r="B806" t="s">
        <v>78</v>
      </c>
      <c r="C806" t="s">
        <v>79</v>
      </c>
      <c r="D806" t="s">
        <v>1564</v>
      </c>
      <c r="E806" t="s">
        <v>1565</v>
      </c>
      <c r="F806">
        <v>91.55</v>
      </c>
      <c r="G806">
        <v>90.75</v>
      </c>
      <c r="H806">
        <v>93.35</v>
      </c>
      <c r="I806">
        <v>89.6</v>
      </c>
      <c r="J806" s="1">
        <v>91.55</v>
      </c>
      <c r="K806">
        <v>94935117.349999994</v>
      </c>
      <c r="L806">
        <v>1037753</v>
      </c>
      <c r="M806" t="s">
        <v>78</v>
      </c>
      <c r="N806" t="s">
        <v>17</v>
      </c>
      <c r="O806">
        <v>7162</v>
      </c>
      <c r="P806">
        <v>99.15</v>
      </c>
      <c r="Q806">
        <v>34.450000000000003</v>
      </c>
    </row>
    <row r="807" spans="2:17" x14ac:dyDescent="0.25">
      <c r="B807" t="s">
        <v>78</v>
      </c>
      <c r="C807" t="s">
        <v>79</v>
      </c>
      <c r="D807" t="s">
        <v>1566</v>
      </c>
      <c r="E807" t="s">
        <v>1567</v>
      </c>
      <c r="F807">
        <v>74.400000000000006</v>
      </c>
      <c r="G807">
        <v>76.2</v>
      </c>
      <c r="H807">
        <v>78.099999999999994</v>
      </c>
      <c r="I807">
        <v>72.55</v>
      </c>
      <c r="J807" s="1">
        <v>77.75</v>
      </c>
      <c r="K807">
        <v>1145776.3500000001</v>
      </c>
      <c r="L807">
        <v>14886</v>
      </c>
      <c r="M807" t="s">
        <v>78</v>
      </c>
      <c r="N807" t="s">
        <v>17</v>
      </c>
      <c r="O807">
        <v>328</v>
      </c>
      <c r="P807">
        <v>117</v>
      </c>
      <c r="Q807">
        <v>31.4</v>
      </c>
    </row>
    <row r="808" spans="2:17" x14ac:dyDescent="0.25">
      <c r="B808" t="s">
        <v>78</v>
      </c>
      <c r="C808" t="s">
        <v>79</v>
      </c>
      <c r="D808" t="s">
        <v>1568</v>
      </c>
      <c r="E808" t="s">
        <v>1569</v>
      </c>
      <c r="F808">
        <v>305.60000000000002</v>
      </c>
      <c r="G808">
        <v>304.5</v>
      </c>
      <c r="H808">
        <v>304.5</v>
      </c>
      <c r="I808">
        <v>288.2</v>
      </c>
      <c r="J808" s="1">
        <v>295.10000000000002</v>
      </c>
      <c r="K808">
        <v>29480964.350000001</v>
      </c>
      <c r="L808">
        <v>99520</v>
      </c>
      <c r="M808" t="s">
        <v>78</v>
      </c>
      <c r="N808" t="s">
        <v>17</v>
      </c>
      <c r="O808">
        <v>4485</v>
      </c>
      <c r="P808">
        <v>358</v>
      </c>
      <c r="Q808">
        <v>99.55</v>
      </c>
    </row>
    <row r="809" spans="2:17" x14ac:dyDescent="0.25">
      <c r="B809" t="s">
        <v>78</v>
      </c>
      <c r="C809" t="s">
        <v>79</v>
      </c>
      <c r="D809" t="s">
        <v>1570</v>
      </c>
      <c r="E809" t="s">
        <v>1571</v>
      </c>
      <c r="F809">
        <v>62.5</v>
      </c>
      <c r="G809">
        <v>63.2</v>
      </c>
      <c r="H809">
        <v>68.75</v>
      </c>
      <c r="I809">
        <v>62.7</v>
      </c>
      <c r="J809" s="1">
        <v>67</v>
      </c>
      <c r="K809">
        <v>62925535.600000001</v>
      </c>
      <c r="L809">
        <v>947049</v>
      </c>
      <c r="M809" t="s">
        <v>78</v>
      </c>
      <c r="N809" t="s">
        <v>17</v>
      </c>
      <c r="O809">
        <v>9960</v>
      </c>
      <c r="P809">
        <v>68.75</v>
      </c>
      <c r="Q809">
        <v>18</v>
      </c>
    </row>
    <row r="810" spans="2:17" x14ac:dyDescent="0.25">
      <c r="B810" t="s">
        <v>78</v>
      </c>
      <c r="C810" t="s">
        <v>79</v>
      </c>
      <c r="D810" t="s">
        <v>1572</v>
      </c>
      <c r="E810" t="s">
        <v>1573</v>
      </c>
      <c r="F810">
        <v>17.5</v>
      </c>
      <c r="G810">
        <v>17.45</v>
      </c>
      <c r="H810">
        <v>18.350000000000001</v>
      </c>
      <c r="I810">
        <v>17</v>
      </c>
      <c r="J810" s="1">
        <v>18.3</v>
      </c>
      <c r="K810">
        <v>388032.3</v>
      </c>
      <c r="L810">
        <v>21615</v>
      </c>
      <c r="M810" t="s">
        <v>78</v>
      </c>
      <c r="N810" t="s">
        <v>17</v>
      </c>
      <c r="O810">
        <v>64</v>
      </c>
      <c r="P810">
        <v>23.3</v>
      </c>
      <c r="Q810">
        <v>7.45</v>
      </c>
    </row>
    <row r="811" spans="2:17" x14ac:dyDescent="0.25">
      <c r="B811" t="s">
        <v>78</v>
      </c>
      <c r="C811" t="s">
        <v>79</v>
      </c>
      <c r="D811" t="s">
        <v>1574</v>
      </c>
      <c r="E811" t="s">
        <v>1575</v>
      </c>
      <c r="F811">
        <v>2073.9499999999998</v>
      </c>
      <c r="G811">
        <v>2090</v>
      </c>
      <c r="H811">
        <v>2090</v>
      </c>
      <c r="I811">
        <v>2054.5500000000002</v>
      </c>
      <c r="J811" s="1">
        <v>2076.65</v>
      </c>
      <c r="K811">
        <v>3211277.95</v>
      </c>
      <c r="L811">
        <v>1548</v>
      </c>
      <c r="M811" t="s">
        <v>78</v>
      </c>
      <c r="N811" t="s">
        <v>17</v>
      </c>
      <c r="O811">
        <v>175</v>
      </c>
      <c r="P811">
        <v>2157.4499999999998</v>
      </c>
      <c r="Q811">
        <v>1215</v>
      </c>
    </row>
    <row r="812" spans="2:17" x14ac:dyDescent="0.25">
      <c r="B812" t="s">
        <v>78</v>
      </c>
      <c r="C812" t="s">
        <v>79</v>
      </c>
      <c r="D812" t="s">
        <v>1576</v>
      </c>
      <c r="E812" t="s">
        <v>1577</v>
      </c>
      <c r="F812">
        <v>1281.5</v>
      </c>
      <c r="G812">
        <v>1268</v>
      </c>
      <c r="H812">
        <v>1305</v>
      </c>
      <c r="I812">
        <v>1257.55</v>
      </c>
      <c r="J812" s="1">
        <v>1297.7</v>
      </c>
      <c r="K812">
        <v>604688080.60000002</v>
      </c>
      <c r="L812">
        <v>471816</v>
      </c>
      <c r="M812" t="s">
        <v>78</v>
      </c>
      <c r="N812" t="s">
        <v>17</v>
      </c>
      <c r="O812">
        <v>13832</v>
      </c>
      <c r="P812">
        <v>1325</v>
      </c>
      <c r="Q812">
        <v>937.55</v>
      </c>
    </row>
    <row r="813" spans="2:17" x14ac:dyDescent="0.25">
      <c r="B813" t="s">
        <v>78</v>
      </c>
      <c r="C813" t="s">
        <v>79</v>
      </c>
      <c r="D813" t="s">
        <v>1578</v>
      </c>
      <c r="E813" t="s">
        <v>1579</v>
      </c>
      <c r="F813">
        <v>1215.5</v>
      </c>
      <c r="G813">
        <v>1215.5</v>
      </c>
      <c r="H813">
        <v>1245</v>
      </c>
      <c r="I813">
        <v>1180</v>
      </c>
      <c r="J813" s="1">
        <v>1186.95</v>
      </c>
      <c r="K813">
        <v>7871231.75</v>
      </c>
      <c r="L813">
        <v>6552</v>
      </c>
      <c r="M813" t="s">
        <v>78</v>
      </c>
      <c r="N813" t="s">
        <v>17</v>
      </c>
      <c r="O813">
        <v>826</v>
      </c>
      <c r="P813">
        <v>1321.9</v>
      </c>
      <c r="Q813">
        <v>387.65</v>
      </c>
    </row>
    <row r="814" spans="2:17" x14ac:dyDescent="0.25">
      <c r="B814" t="s">
        <v>78</v>
      </c>
      <c r="C814" t="s">
        <v>79</v>
      </c>
      <c r="D814" t="s">
        <v>1580</v>
      </c>
      <c r="E814" t="s">
        <v>1581</v>
      </c>
      <c r="F814">
        <v>264.64999999999998</v>
      </c>
      <c r="G814">
        <v>264.45</v>
      </c>
      <c r="H814">
        <v>268</v>
      </c>
      <c r="I814">
        <v>262.60000000000002</v>
      </c>
      <c r="J814" s="1">
        <v>263.75</v>
      </c>
      <c r="K814">
        <v>13948230.300000001</v>
      </c>
      <c r="L814">
        <v>52568</v>
      </c>
      <c r="M814" t="s">
        <v>78</v>
      </c>
      <c r="N814" t="s">
        <v>17</v>
      </c>
      <c r="O814">
        <v>7932</v>
      </c>
      <c r="P814">
        <v>306.5</v>
      </c>
      <c r="Q814">
        <v>97.75</v>
      </c>
    </row>
    <row r="815" spans="2:17" x14ac:dyDescent="0.25">
      <c r="B815" t="s">
        <v>78</v>
      </c>
      <c r="C815" t="s">
        <v>79</v>
      </c>
      <c r="D815" t="s">
        <v>1582</v>
      </c>
      <c r="E815" t="s">
        <v>1583</v>
      </c>
      <c r="F815">
        <v>594.54999999999995</v>
      </c>
      <c r="G815">
        <v>592</v>
      </c>
      <c r="H815">
        <v>597.1</v>
      </c>
      <c r="I815">
        <v>582.04999999999995</v>
      </c>
      <c r="J815" s="1">
        <v>585.95000000000005</v>
      </c>
      <c r="K815">
        <v>122012726.75</v>
      </c>
      <c r="L815">
        <v>206558</v>
      </c>
      <c r="M815" t="s">
        <v>78</v>
      </c>
      <c r="N815" t="s">
        <v>17</v>
      </c>
      <c r="O815">
        <v>5428</v>
      </c>
      <c r="P815">
        <v>679</v>
      </c>
      <c r="Q815">
        <v>395</v>
      </c>
    </row>
    <row r="816" spans="2:17" x14ac:dyDescent="0.25">
      <c r="B816" t="s">
        <v>78</v>
      </c>
      <c r="C816" t="s">
        <v>79</v>
      </c>
      <c r="D816" t="s">
        <v>1584</v>
      </c>
      <c r="E816" t="s">
        <v>1585</v>
      </c>
      <c r="F816">
        <v>286.35000000000002</v>
      </c>
      <c r="G816">
        <v>286</v>
      </c>
      <c r="H816">
        <v>294</v>
      </c>
      <c r="I816">
        <v>286</v>
      </c>
      <c r="J816" s="1">
        <v>290.2</v>
      </c>
      <c r="K816">
        <v>78657263.400000006</v>
      </c>
      <c r="L816">
        <v>270595</v>
      </c>
      <c r="M816" t="s">
        <v>78</v>
      </c>
      <c r="N816" t="s">
        <v>17</v>
      </c>
      <c r="O816">
        <v>8957</v>
      </c>
      <c r="P816">
        <v>299</v>
      </c>
      <c r="Q816">
        <v>72.349999999999994</v>
      </c>
    </row>
    <row r="817" spans="2:17" x14ac:dyDescent="0.25">
      <c r="B817" t="s">
        <v>78</v>
      </c>
      <c r="C817" t="s">
        <v>79</v>
      </c>
      <c r="D817" t="s">
        <v>1586</v>
      </c>
      <c r="E817" t="s">
        <v>1587</v>
      </c>
      <c r="F817">
        <v>262.5</v>
      </c>
      <c r="G817">
        <v>262.8</v>
      </c>
      <c r="H817">
        <v>274.7</v>
      </c>
      <c r="I817">
        <v>260.3</v>
      </c>
      <c r="J817" s="1">
        <v>266.7</v>
      </c>
      <c r="K817">
        <v>88083330.650000006</v>
      </c>
      <c r="L817">
        <v>326752</v>
      </c>
      <c r="M817" t="s">
        <v>78</v>
      </c>
      <c r="N817" t="s">
        <v>17</v>
      </c>
      <c r="O817">
        <v>10618</v>
      </c>
      <c r="P817">
        <v>274.7</v>
      </c>
      <c r="Q817">
        <v>94.25</v>
      </c>
    </row>
    <row r="818" spans="2:17" x14ac:dyDescent="0.25">
      <c r="B818" t="s">
        <v>78</v>
      </c>
      <c r="C818" t="s">
        <v>79</v>
      </c>
      <c r="D818" t="s">
        <v>1588</v>
      </c>
      <c r="E818" t="s">
        <v>1589</v>
      </c>
      <c r="F818">
        <v>1677.8</v>
      </c>
      <c r="G818">
        <v>1677.8</v>
      </c>
      <c r="H818">
        <v>1703.9</v>
      </c>
      <c r="I818">
        <v>1653.05</v>
      </c>
      <c r="J818" s="1">
        <v>1696.1</v>
      </c>
      <c r="K818">
        <v>4684441.75</v>
      </c>
      <c r="L818">
        <v>2765</v>
      </c>
      <c r="M818" t="s">
        <v>78</v>
      </c>
      <c r="N818" t="s">
        <v>17</v>
      </c>
      <c r="O818">
        <v>333</v>
      </c>
      <c r="P818">
        <v>1973.85</v>
      </c>
      <c r="Q818">
        <v>575</v>
      </c>
    </row>
    <row r="819" spans="2:17" x14ac:dyDescent="0.25">
      <c r="B819" t="s">
        <v>78</v>
      </c>
      <c r="C819" t="s">
        <v>79</v>
      </c>
      <c r="D819" t="s">
        <v>1590</v>
      </c>
      <c r="E819" t="s">
        <v>1591</v>
      </c>
      <c r="F819">
        <v>175</v>
      </c>
      <c r="G819">
        <v>177</v>
      </c>
      <c r="H819">
        <v>192.5</v>
      </c>
      <c r="I819">
        <v>176.55</v>
      </c>
      <c r="J819" s="1">
        <v>190.9</v>
      </c>
      <c r="K819">
        <v>719610710.95000005</v>
      </c>
      <c r="L819">
        <v>3814250</v>
      </c>
      <c r="M819" t="s">
        <v>78</v>
      </c>
      <c r="N819" t="s">
        <v>17</v>
      </c>
      <c r="O819">
        <v>33457</v>
      </c>
      <c r="P819">
        <v>223.9</v>
      </c>
      <c r="Q819">
        <v>91.15</v>
      </c>
    </row>
    <row r="820" spans="2:17" x14ac:dyDescent="0.25">
      <c r="B820" t="s">
        <v>78</v>
      </c>
      <c r="C820" t="s">
        <v>79</v>
      </c>
      <c r="D820" t="s">
        <v>1592</v>
      </c>
      <c r="E820" t="s">
        <v>1593</v>
      </c>
      <c r="F820">
        <v>922.15</v>
      </c>
      <c r="G820">
        <v>933</v>
      </c>
      <c r="H820">
        <v>946.9</v>
      </c>
      <c r="I820">
        <v>915</v>
      </c>
      <c r="J820" s="1">
        <v>921.2</v>
      </c>
      <c r="K820">
        <v>5900565.1500000004</v>
      </c>
      <c r="L820">
        <v>6369</v>
      </c>
      <c r="M820" t="s">
        <v>78</v>
      </c>
      <c r="N820" t="s">
        <v>17</v>
      </c>
      <c r="O820">
        <v>1538</v>
      </c>
      <c r="P820">
        <v>1032.5</v>
      </c>
      <c r="Q820">
        <v>669.65</v>
      </c>
    </row>
    <row r="821" spans="2:17" x14ac:dyDescent="0.25">
      <c r="B821" t="s">
        <v>78</v>
      </c>
      <c r="C821" t="s">
        <v>79</v>
      </c>
      <c r="D821" t="s">
        <v>1594</v>
      </c>
      <c r="E821" t="s">
        <v>1595</v>
      </c>
      <c r="F821">
        <v>31.35</v>
      </c>
      <c r="G821">
        <v>30</v>
      </c>
      <c r="H821">
        <v>32.9</v>
      </c>
      <c r="I821">
        <v>29.85</v>
      </c>
      <c r="J821" s="1">
        <v>32.9</v>
      </c>
      <c r="K821">
        <v>32002587.699999999</v>
      </c>
      <c r="L821">
        <v>993175</v>
      </c>
      <c r="M821" t="s">
        <v>78</v>
      </c>
      <c r="N821" t="s">
        <v>17</v>
      </c>
      <c r="O821">
        <v>3527</v>
      </c>
      <c r="P821">
        <v>39.049999999999997</v>
      </c>
      <c r="Q821">
        <v>8.25</v>
      </c>
    </row>
    <row r="822" spans="2:17" x14ac:dyDescent="0.25">
      <c r="B822" t="s">
        <v>78</v>
      </c>
      <c r="C822" t="s">
        <v>79</v>
      </c>
      <c r="D822" t="s">
        <v>1596</v>
      </c>
      <c r="E822" t="s">
        <v>1597</v>
      </c>
      <c r="F822">
        <v>255.9</v>
      </c>
      <c r="G822">
        <v>251</v>
      </c>
      <c r="H822">
        <v>265</v>
      </c>
      <c r="I822">
        <v>249.25</v>
      </c>
      <c r="J822" s="1">
        <v>262.75</v>
      </c>
      <c r="K822">
        <v>396271391.94999999</v>
      </c>
      <c r="L822">
        <v>1526546</v>
      </c>
      <c r="M822" t="s">
        <v>78</v>
      </c>
      <c r="N822" t="s">
        <v>17</v>
      </c>
      <c r="O822">
        <v>59986</v>
      </c>
      <c r="P822">
        <v>481</v>
      </c>
      <c r="Q822">
        <v>188</v>
      </c>
    </row>
    <row r="823" spans="2:17" x14ac:dyDescent="0.25">
      <c r="B823" t="s">
        <v>78</v>
      </c>
      <c r="C823" t="s">
        <v>79</v>
      </c>
      <c r="D823" t="s">
        <v>1598</v>
      </c>
      <c r="E823" t="s">
        <v>1599</v>
      </c>
      <c r="F823">
        <v>73.650000000000006</v>
      </c>
      <c r="G823">
        <v>72.8</v>
      </c>
      <c r="H823">
        <v>74.2</v>
      </c>
      <c r="I823">
        <v>72.099999999999994</v>
      </c>
      <c r="J823" s="1">
        <v>72.55</v>
      </c>
      <c r="K823">
        <v>29318185.300000001</v>
      </c>
      <c r="L823">
        <v>401279</v>
      </c>
      <c r="M823" t="s">
        <v>78</v>
      </c>
      <c r="N823" t="s">
        <v>17</v>
      </c>
      <c r="O823">
        <v>6291</v>
      </c>
      <c r="P823">
        <v>79.900000000000006</v>
      </c>
      <c r="Q823">
        <v>51</v>
      </c>
    </row>
    <row r="824" spans="2:17" x14ac:dyDescent="0.25">
      <c r="B824" t="s">
        <v>78</v>
      </c>
      <c r="C824" t="s">
        <v>79</v>
      </c>
      <c r="D824" t="s">
        <v>1600</v>
      </c>
      <c r="E824" t="s">
        <v>1601</v>
      </c>
      <c r="F824">
        <v>242.05</v>
      </c>
      <c r="G824">
        <v>240.5</v>
      </c>
      <c r="H824">
        <v>251</v>
      </c>
      <c r="I824">
        <v>238.3</v>
      </c>
      <c r="J824" s="1">
        <v>245.3</v>
      </c>
      <c r="K824">
        <v>398931056.35000002</v>
      </c>
      <c r="L824">
        <v>1619191</v>
      </c>
      <c r="M824" t="s">
        <v>78</v>
      </c>
      <c r="N824" t="s">
        <v>17</v>
      </c>
      <c r="O824">
        <v>24330</v>
      </c>
      <c r="P824">
        <v>285.60000000000002</v>
      </c>
      <c r="Q824">
        <v>132.69999999999999</v>
      </c>
    </row>
    <row r="825" spans="2:17" x14ac:dyDescent="0.25">
      <c r="B825" t="s">
        <v>78</v>
      </c>
      <c r="C825" t="s">
        <v>79</v>
      </c>
      <c r="D825" t="s">
        <v>1602</v>
      </c>
      <c r="E825" t="s">
        <v>1603</v>
      </c>
      <c r="F825">
        <v>37.65</v>
      </c>
      <c r="G825">
        <v>37</v>
      </c>
      <c r="H825">
        <v>40.950000000000003</v>
      </c>
      <c r="I825">
        <v>37</v>
      </c>
      <c r="J825" s="1">
        <v>39.700000000000003</v>
      </c>
      <c r="K825">
        <v>24132718.25</v>
      </c>
      <c r="L825">
        <v>607809</v>
      </c>
      <c r="M825" t="s">
        <v>78</v>
      </c>
      <c r="N825" t="s">
        <v>17</v>
      </c>
      <c r="O825">
        <v>2568</v>
      </c>
      <c r="P825">
        <v>50.35</v>
      </c>
      <c r="Q825">
        <v>12.3</v>
      </c>
    </row>
    <row r="826" spans="2:17" x14ac:dyDescent="0.25">
      <c r="B826" t="s">
        <v>78</v>
      </c>
      <c r="C826" t="s">
        <v>79</v>
      </c>
      <c r="D826" t="s">
        <v>1604</v>
      </c>
      <c r="E826" t="s">
        <v>1605</v>
      </c>
      <c r="F826">
        <v>42.7</v>
      </c>
      <c r="G826">
        <v>42</v>
      </c>
      <c r="H826">
        <v>42.9</v>
      </c>
      <c r="I826">
        <v>41.45</v>
      </c>
      <c r="J826" s="1">
        <v>41.7</v>
      </c>
      <c r="K826">
        <v>9568897.5500000007</v>
      </c>
      <c r="L826">
        <v>226317</v>
      </c>
      <c r="M826" t="s">
        <v>78</v>
      </c>
      <c r="N826" t="s">
        <v>17</v>
      </c>
      <c r="O826">
        <v>2532</v>
      </c>
      <c r="P826">
        <v>51.15</v>
      </c>
      <c r="Q826">
        <v>14.15</v>
      </c>
    </row>
    <row r="827" spans="2:17" x14ac:dyDescent="0.25">
      <c r="B827" t="s">
        <v>78</v>
      </c>
      <c r="C827" t="s">
        <v>79</v>
      </c>
      <c r="D827" t="s">
        <v>1606</v>
      </c>
      <c r="E827" t="s">
        <v>1607</v>
      </c>
      <c r="F827">
        <v>118.25</v>
      </c>
      <c r="G827">
        <v>120</v>
      </c>
      <c r="H827">
        <v>120</v>
      </c>
      <c r="I827">
        <v>117.05</v>
      </c>
      <c r="J827" s="1">
        <v>117.95</v>
      </c>
      <c r="K827">
        <v>3444043.9</v>
      </c>
      <c r="L827">
        <v>29053</v>
      </c>
      <c r="M827" t="s">
        <v>78</v>
      </c>
      <c r="N827" t="s">
        <v>17</v>
      </c>
      <c r="O827">
        <v>527</v>
      </c>
      <c r="P827">
        <v>137.44999999999999</v>
      </c>
      <c r="Q827">
        <v>51.2</v>
      </c>
    </row>
    <row r="828" spans="2:17" x14ac:dyDescent="0.25">
      <c r="B828" t="s">
        <v>78</v>
      </c>
      <c r="C828" t="s">
        <v>79</v>
      </c>
      <c r="D828" t="s">
        <v>1608</v>
      </c>
      <c r="E828" t="s">
        <v>1609</v>
      </c>
      <c r="F828">
        <v>266.45</v>
      </c>
      <c r="G828">
        <v>267.05</v>
      </c>
      <c r="H828">
        <v>278</v>
      </c>
      <c r="I828">
        <v>265.35000000000002</v>
      </c>
      <c r="J828" s="1">
        <v>269.25</v>
      </c>
      <c r="K828">
        <v>715434325.60000002</v>
      </c>
      <c r="L828">
        <v>2634323</v>
      </c>
      <c r="M828" t="s">
        <v>78</v>
      </c>
      <c r="N828" t="s">
        <v>17</v>
      </c>
      <c r="O828">
        <v>53009</v>
      </c>
      <c r="P828">
        <v>278</v>
      </c>
      <c r="Q828">
        <v>63.1</v>
      </c>
    </row>
    <row r="829" spans="2:17" x14ac:dyDescent="0.25">
      <c r="B829" t="s">
        <v>78</v>
      </c>
      <c r="C829" t="s">
        <v>79</v>
      </c>
      <c r="D829" t="s">
        <v>1610</v>
      </c>
      <c r="E829" t="s">
        <v>1611</v>
      </c>
      <c r="F829">
        <v>1857.8</v>
      </c>
      <c r="G829">
        <v>1860</v>
      </c>
      <c r="H829">
        <v>1880</v>
      </c>
      <c r="I829">
        <v>1822.5</v>
      </c>
      <c r="J829" s="1">
        <v>1837.15</v>
      </c>
      <c r="K829">
        <v>83621856.349999994</v>
      </c>
      <c r="L829">
        <v>45367</v>
      </c>
      <c r="M829" t="s">
        <v>78</v>
      </c>
      <c r="N829" t="s">
        <v>17</v>
      </c>
      <c r="O829">
        <v>11038</v>
      </c>
      <c r="P829">
        <v>1903</v>
      </c>
      <c r="Q829">
        <v>415</v>
      </c>
    </row>
    <row r="830" spans="2:17" x14ac:dyDescent="0.25">
      <c r="B830" t="s">
        <v>78</v>
      </c>
      <c r="C830" t="s">
        <v>79</v>
      </c>
      <c r="D830" t="s">
        <v>1612</v>
      </c>
      <c r="E830" t="s">
        <v>1613</v>
      </c>
      <c r="F830">
        <v>285.45</v>
      </c>
      <c r="G830">
        <v>288.25</v>
      </c>
      <c r="H830">
        <v>292.55</v>
      </c>
      <c r="I830">
        <v>282.45</v>
      </c>
      <c r="J830" s="1">
        <v>286</v>
      </c>
      <c r="K830">
        <v>246458900.19999999</v>
      </c>
      <c r="L830">
        <v>855360</v>
      </c>
      <c r="M830" t="s">
        <v>78</v>
      </c>
      <c r="N830" t="s">
        <v>17</v>
      </c>
      <c r="O830">
        <v>12792</v>
      </c>
      <c r="P830">
        <v>339</v>
      </c>
      <c r="Q830">
        <v>173.15</v>
      </c>
    </row>
    <row r="831" spans="2:17" x14ac:dyDescent="0.25">
      <c r="B831" t="s">
        <v>78</v>
      </c>
      <c r="C831" t="s">
        <v>79</v>
      </c>
      <c r="D831" t="s">
        <v>1614</v>
      </c>
      <c r="E831" t="s">
        <v>1615</v>
      </c>
      <c r="F831">
        <v>114.45</v>
      </c>
      <c r="G831">
        <v>114.1</v>
      </c>
      <c r="H831">
        <v>116</v>
      </c>
      <c r="I831">
        <v>112.5</v>
      </c>
      <c r="J831" s="1">
        <v>115.45</v>
      </c>
      <c r="K831">
        <v>1600732.3</v>
      </c>
      <c r="L831">
        <v>13919</v>
      </c>
      <c r="M831" t="s">
        <v>78</v>
      </c>
      <c r="N831" t="s">
        <v>17</v>
      </c>
      <c r="O831">
        <v>346</v>
      </c>
      <c r="P831">
        <v>148.80000000000001</v>
      </c>
      <c r="Q831">
        <v>68.099999999999994</v>
      </c>
    </row>
    <row r="832" spans="2:17" x14ac:dyDescent="0.25">
      <c r="B832" t="s">
        <v>78</v>
      </c>
      <c r="C832" t="s">
        <v>79</v>
      </c>
      <c r="D832" t="s">
        <v>1616</v>
      </c>
      <c r="E832" t="s">
        <v>1617</v>
      </c>
      <c r="F832">
        <v>111.5</v>
      </c>
      <c r="G832">
        <v>114.5</v>
      </c>
      <c r="H832">
        <v>114.5</v>
      </c>
      <c r="I832">
        <v>110.75</v>
      </c>
      <c r="J832" s="1">
        <v>111.3</v>
      </c>
      <c r="K832">
        <v>873821.5</v>
      </c>
      <c r="L832">
        <v>7776</v>
      </c>
      <c r="M832" t="s">
        <v>78</v>
      </c>
      <c r="N832" t="s">
        <v>17</v>
      </c>
      <c r="O832">
        <v>181</v>
      </c>
      <c r="P832">
        <v>130.94999999999999</v>
      </c>
      <c r="Q832">
        <v>70</v>
      </c>
    </row>
    <row r="833" spans="2:17" x14ac:dyDescent="0.25">
      <c r="B833" t="s">
        <v>78</v>
      </c>
      <c r="C833" t="s">
        <v>79</v>
      </c>
      <c r="D833" t="s">
        <v>1618</v>
      </c>
      <c r="E833" t="s">
        <v>1619</v>
      </c>
      <c r="F833">
        <v>1078.4000000000001</v>
      </c>
      <c r="G833">
        <v>1075</v>
      </c>
      <c r="H833">
        <v>1089.9000000000001</v>
      </c>
      <c r="I833">
        <v>1035.1500000000001</v>
      </c>
      <c r="J833" s="1">
        <v>1069.4000000000001</v>
      </c>
      <c r="K833">
        <v>30744774.949999999</v>
      </c>
      <c r="L833">
        <v>28879</v>
      </c>
      <c r="M833" t="s">
        <v>78</v>
      </c>
      <c r="N833" t="s">
        <v>17</v>
      </c>
      <c r="O833">
        <v>3361</v>
      </c>
      <c r="P833">
        <v>1114.4000000000001</v>
      </c>
      <c r="Q833">
        <v>427.5</v>
      </c>
    </row>
    <row r="834" spans="2:17" x14ac:dyDescent="0.25">
      <c r="B834" t="s">
        <v>78</v>
      </c>
      <c r="C834" t="s">
        <v>79</v>
      </c>
      <c r="D834" t="s">
        <v>1620</v>
      </c>
      <c r="E834" t="s">
        <v>1621</v>
      </c>
      <c r="F834">
        <v>744.75</v>
      </c>
      <c r="G834">
        <v>734.9</v>
      </c>
      <c r="H834">
        <v>739</v>
      </c>
      <c r="I834">
        <v>722</v>
      </c>
      <c r="J834" s="1">
        <v>724.1</v>
      </c>
      <c r="K834">
        <v>95620726.349999994</v>
      </c>
      <c r="L834">
        <v>131016</v>
      </c>
      <c r="M834" t="s">
        <v>78</v>
      </c>
      <c r="N834" t="s">
        <v>17</v>
      </c>
      <c r="O834">
        <v>6252</v>
      </c>
      <c r="P834">
        <v>816.65</v>
      </c>
      <c r="Q834">
        <v>463.05</v>
      </c>
    </row>
    <row r="835" spans="2:17" x14ac:dyDescent="0.25">
      <c r="B835" t="s">
        <v>78</v>
      </c>
      <c r="C835" t="s">
        <v>79</v>
      </c>
      <c r="D835" t="s">
        <v>1622</v>
      </c>
      <c r="E835" t="s">
        <v>1623</v>
      </c>
      <c r="F835">
        <v>408.1</v>
      </c>
      <c r="G835">
        <v>406.1</v>
      </c>
      <c r="H835">
        <v>425</v>
      </c>
      <c r="I835">
        <v>401.3</v>
      </c>
      <c r="J835" s="1">
        <v>408.75</v>
      </c>
      <c r="K835">
        <v>129188943.40000001</v>
      </c>
      <c r="L835">
        <v>310957</v>
      </c>
      <c r="M835" t="s">
        <v>78</v>
      </c>
      <c r="N835" t="s">
        <v>17</v>
      </c>
      <c r="O835">
        <v>12151</v>
      </c>
      <c r="P835">
        <v>425</v>
      </c>
      <c r="Q835">
        <v>196.3</v>
      </c>
    </row>
    <row r="836" spans="2:17" x14ac:dyDescent="0.25">
      <c r="B836" t="s">
        <v>78</v>
      </c>
      <c r="C836" t="s">
        <v>287</v>
      </c>
      <c r="D836" t="s">
        <v>1624</v>
      </c>
      <c r="E836" t="s">
        <v>1625</v>
      </c>
      <c r="F836">
        <v>493.9</v>
      </c>
      <c r="G836">
        <v>518.54999999999995</v>
      </c>
      <c r="H836">
        <v>518.54999999999995</v>
      </c>
      <c r="I836">
        <v>503</v>
      </c>
      <c r="J836" s="1">
        <v>518.54999999999995</v>
      </c>
      <c r="K836">
        <v>17380540</v>
      </c>
      <c r="L836">
        <v>33600</v>
      </c>
      <c r="M836" t="s">
        <v>78</v>
      </c>
      <c r="N836" t="s">
        <v>17</v>
      </c>
      <c r="O836">
        <v>71</v>
      </c>
      <c r="P836">
        <v>1718.2</v>
      </c>
      <c r="Q836">
        <v>102.05</v>
      </c>
    </row>
    <row r="837" spans="2:17" x14ac:dyDescent="0.25">
      <c r="B837" t="s">
        <v>78</v>
      </c>
      <c r="C837" t="s">
        <v>79</v>
      </c>
      <c r="D837" t="s">
        <v>1626</v>
      </c>
      <c r="E837" t="s">
        <v>1627</v>
      </c>
      <c r="F837">
        <v>62.55</v>
      </c>
      <c r="G837">
        <v>62.4</v>
      </c>
      <c r="H837">
        <v>62.4</v>
      </c>
      <c r="I837">
        <v>61.25</v>
      </c>
      <c r="J837" s="1">
        <v>61.4</v>
      </c>
      <c r="K837">
        <v>54425803.299999997</v>
      </c>
      <c r="L837">
        <v>881844</v>
      </c>
      <c r="M837" t="s">
        <v>78</v>
      </c>
      <c r="N837" t="s">
        <v>17</v>
      </c>
      <c r="O837">
        <v>4932</v>
      </c>
      <c r="P837">
        <v>73.8</v>
      </c>
      <c r="Q837">
        <v>39.5</v>
      </c>
    </row>
    <row r="838" spans="2:17" x14ac:dyDescent="0.25">
      <c r="B838" t="s">
        <v>78</v>
      </c>
      <c r="C838" t="s">
        <v>79</v>
      </c>
      <c r="D838" t="s">
        <v>1628</v>
      </c>
      <c r="E838" t="s">
        <v>1629</v>
      </c>
      <c r="F838">
        <v>79.3</v>
      </c>
      <c r="G838">
        <v>79.2</v>
      </c>
      <c r="H838">
        <v>79.2</v>
      </c>
      <c r="I838">
        <v>76.3</v>
      </c>
      <c r="J838" s="1">
        <v>78.400000000000006</v>
      </c>
      <c r="K838">
        <v>5383624.25</v>
      </c>
      <c r="L838">
        <v>69172</v>
      </c>
      <c r="M838" t="s">
        <v>78</v>
      </c>
      <c r="N838" t="s">
        <v>17</v>
      </c>
      <c r="O838">
        <v>1267</v>
      </c>
      <c r="P838">
        <v>86.8</v>
      </c>
      <c r="Q838">
        <v>37.1</v>
      </c>
    </row>
    <row r="839" spans="2:17" x14ac:dyDescent="0.25">
      <c r="B839" t="s">
        <v>78</v>
      </c>
      <c r="C839" t="s">
        <v>79</v>
      </c>
      <c r="D839" t="s">
        <v>1630</v>
      </c>
      <c r="E839" t="s">
        <v>1631</v>
      </c>
      <c r="F839">
        <v>94.9</v>
      </c>
      <c r="G839">
        <v>93</v>
      </c>
      <c r="H839">
        <v>94</v>
      </c>
      <c r="I839">
        <v>89.9</v>
      </c>
      <c r="J839" s="1">
        <v>90.55</v>
      </c>
      <c r="K839">
        <v>2327563239.9499998</v>
      </c>
      <c r="L839">
        <v>25467025</v>
      </c>
      <c r="M839" t="s">
        <v>78</v>
      </c>
      <c r="N839" t="s">
        <v>546</v>
      </c>
      <c r="O839">
        <v>85343</v>
      </c>
      <c r="P839">
        <v>113.4</v>
      </c>
      <c r="Q839">
        <v>55.6</v>
      </c>
    </row>
    <row r="840" spans="2:17" x14ac:dyDescent="0.25">
      <c r="B840" t="s">
        <v>78</v>
      </c>
      <c r="C840" t="s">
        <v>287</v>
      </c>
      <c r="D840" t="s">
        <v>1632</v>
      </c>
      <c r="E840" t="s">
        <v>1633</v>
      </c>
      <c r="F840">
        <v>32.049999999999997</v>
      </c>
      <c r="G840">
        <v>33.65</v>
      </c>
      <c r="H840">
        <v>33.65</v>
      </c>
      <c r="I840">
        <v>33.65</v>
      </c>
      <c r="J840" s="1">
        <v>33.65</v>
      </c>
      <c r="K840">
        <v>504750</v>
      </c>
      <c r="L840">
        <v>15000</v>
      </c>
      <c r="M840" t="s">
        <v>78</v>
      </c>
      <c r="N840" t="s">
        <v>17</v>
      </c>
      <c r="O840">
        <v>1</v>
      </c>
      <c r="P840">
        <v>33.65</v>
      </c>
      <c r="Q840">
        <v>6.6</v>
      </c>
    </row>
    <row r="841" spans="2:17" x14ac:dyDescent="0.25">
      <c r="B841" t="s">
        <v>78</v>
      </c>
      <c r="C841" t="s">
        <v>79</v>
      </c>
      <c r="D841" t="s">
        <v>1634</v>
      </c>
      <c r="E841" t="s">
        <v>1635</v>
      </c>
      <c r="F841">
        <v>3416.25</v>
      </c>
      <c r="G841">
        <v>3410</v>
      </c>
      <c r="H841">
        <v>3504</v>
      </c>
      <c r="I841">
        <v>3363</v>
      </c>
      <c r="J841" s="1">
        <v>3451.45</v>
      </c>
      <c r="K841">
        <v>649112402.60000002</v>
      </c>
      <c r="L841">
        <v>187875</v>
      </c>
      <c r="M841" t="s">
        <v>78</v>
      </c>
      <c r="N841" t="s">
        <v>17</v>
      </c>
      <c r="O841">
        <v>20902</v>
      </c>
      <c r="P841">
        <v>3533</v>
      </c>
      <c r="Q841">
        <v>1736.6</v>
      </c>
    </row>
    <row r="842" spans="2:17" x14ac:dyDescent="0.25">
      <c r="B842" t="s">
        <v>78</v>
      </c>
      <c r="C842" t="s">
        <v>79</v>
      </c>
      <c r="D842" t="s">
        <v>1636</v>
      </c>
      <c r="E842" t="s">
        <v>1637</v>
      </c>
      <c r="F842">
        <v>108.5</v>
      </c>
      <c r="G842">
        <v>106.6</v>
      </c>
      <c r="H842">
        <v>108.75</v>
      </c>
      <c r="I842">
        <v>105.15</v>
      </c>
      <c r="J842" s="1">
        <v>105.75</v>
      </c>
      <c r="K842">
        <v>15161477.6</v>
      </c>
      <c r="L842">
        <v>142032</v>
      </c>
      <c r="M842" t="s">
        <v>78</v>
      </c>
      <c r="N842" t="s">
        <v>17</v>
      </c>
      <c r="O842">
        <v>10347</v>
      </c>
      <c r="P842">
        <v>111.95</v>
      </c>
      <c r="Q842">
        <v>25.4</v>
      </c>
    </row>
    <row r="843" spans="2:17" x14ac:dyDescent="0.25">
      <c r="B843" t="s">
        <v>78</v>
      </c>
      <c r="C843" t="s">
        <v>79</v>
      </c>
      <c r="D843" t="s">
        <v>1638</v>
      </c>
      <c r="E843" t="s">
        <v>1639</v>
      </c>
      <c r="F843">
        <v>273.89999999999998</v>
      </c>
      <c r="G843">
        <v>270.55</v>
      </c>
      <c r="H843">
        <v>275.3</v>
      </c>
      <c r="I843">
        <v>268.39999999999998</v>
      </c>
      <c r="J843" s="1">
        <v>270.05</v>
      </c>
      <c r="K843">
        <v>17868299</v>
      </c>
      <c r="L843">
        <v>65789</v>
      </c>
      <c r="M843" t="s">
        <v>78</v>
      </c>
      <c r="N843" t="s">
        <v>17</v>
      </c>
      <c r="O843">
        <v>3740</v>
      </c>
      <c r="P843">
        <v>296.25</v>
      </c>
      <c r="Q843">
        <v>176.35</v>
      </c>
    </row>
    <row r="844" spans="2:17" x14ac:dyDescent="0.25">
      <c r="B844" t="s">
        <v>78</v>
      </c>
      <c r="C844" t="s">
        <v>79</v>
      </c>
      <c r="D844" t="s">
        <v>1640</v>
      </c>
      <c r="E844" t="s">
        <v>1641</v>
      </c>
      <c r="F844">
        <v>84.8</v>
      </c>
      <c r="G844">
        <v>83.9</v>
      </c>
      <c r="H844">
        <v>86</v>
      </c>
      <c r="I844">
        <v>82.9</v>
      </c>
      <c r="J844" s="1">
        <v>84.2</v>
      </c>
      <c r="K844">
        <v>18956211.350000001</v>
      </c>
      <c r="L844">
        <v>224114</v>
      </c>
      <c r="M844" t="s">
        <v>78</v>
      </c>
      <c r="N844" t="s">
        <v>17</v>
      </c>
      <c r="O844">
        <v>3646</v>
      </c>
      <c r="P844">
        <v>100.9</v>
      </c>
      <c r="Q844">
        <v>55</v>
      </c>
    </row>
    <row r="845" spans="2:17" x14ac:dyDescent="0.25">
      <c r="B845" t="s">
        <v>78</v>
      </c>
      <c r="C845" t="s">
        <v>79</v>
      </c>
      <c r="D845" t="s">
        <v>1642</v>
      </c>
      <c r="E845" t="s">
        <v>1643</v>
      </c>
      <c r="F845">
        <v>668.8</v>
      </c>
      <c r="G845">
        <v>666.5</v>
      </c>
      <c r="H845">
        <v>674</v>
      </c>
      <c r="I845">
        <v>659.15</v>
      </c>
      <c r="J845" s="1">
        <v>664.6</v>
      </c>
      <c r="K845">
        <v>1030289548.45</v>
      </c>
      <c r="L845">
        <v>1546785</v>
      </c>
      <c r="M845" t="s">
        <v>78</v>
      </c>
      <c r="N845" t="s">
        <v>17</v>
      </c>
      <c r="O845">
        <v>37087</v>
      </c>
      <c r="P845">
        <v>1550</v>
      </c>
      <c r="Q845">
        <v>252</v>
      </c>
    </row>
    <row r="846" spans="2:17" x14ac:dyDescent="0.25">
      <c r="B846" t="s">
        <v>78</v>
      </c>
      <c r="C846" t="s">
        <v>287</v>
      </c>
      <c r="D846" t="s">
        <v>1644</v>
      </c>
      <c r="E846" t="s">
        <v>1645</v>
      </c>
      <c r="F846">
        <v>15.6</v>
      </c>
      <c r="G846">
        <v>15.75</v>
      </c>
      <c r="H846">
        <v>18.350000000000001</v>
      </c>
      <c r="I846">
        <v>15.75</v>
      </c>
      <c r="J846" s="1">
        <v>18.25</v>
      </c>
      <c r="K846">
        <v>2275800</v>
      </c>
      <c r="L846">
        <v>132000</v>
      </c>
      <c r="M846" t="s">
        <v>78</v>
      </c>
      <c r="N846" t="s">
        <v>17</v>
      </c>
      <c r="O846">
        <v>22</v>
      </c>
      <c r="P846">
        <v>18.350000000000001</v>
      </c>
      <c r="Q846">
        <v>7.5</v>
      </c>
    </row>
    <row r="847" spans="2:17" x14ac:dyDescent="0.25">
      <c r="B847" t="s">
        <v>78</v>
      </c>
      <c r="C847" t="s">
        <v>79</v>
      </c>
      <c r="D847" t="s">
        <v>1646</v>
      </c>
      <c r="E847" t="s">
        <v>1647</v>
      </c>
      <c r="F847">
        <v>7716.05</v>
      </c>
      <c r="G847">
        <v>7716.05</v>
      </c>
      <c r="H847">
        <v>8050.05</v>
      </c>
      <c r="I847">
        <v>7639.65</v>
      </c>
      <c r="J847" s="1">
        <v>7830.7</v>
      </c>
      <c r="K847">
        <v>295722646.60000002</v>
      </c>
      <c r="L847">
        <v>37435</v>
      </c>
      <c r="M847" t="s">
        <v>78</v>
      </c>
      <c r="N847" t="s">
        <v>17</v>
      </c>
      <c r="O847">
        <v>8395</v>
      </c>
      <c r="P847">
        <v>8050.05</v>
      </c>
      <c r="Q847">
        <v>2779.95</v>
      </c>
    </row>
    <row r="848" spans="2:17" x14ac:dyDescent="0.25">
      <c r="B848" t="s">
        <v>78</v>
      </c>
      <c r="C848" t="s">
        <v>79</v>
      </c>
      <c r="D848" t="s">
        <v>1648</v>
      </c>
      <c r="E848" t="s">
        <v>1649</v>
      </c>
      <c r="F848">
        <v>42.1</v>
      </c>
      <c r="G848">
        <v>41.5</v>
      </c>
      <c r="H848">
        <v>42.65</v>
      </c>
      <c r="I848">
        <v>41.2</v>
      </c>
      <c r="J848" s="1">
        <v>41.85</v>
      </c>
      <c r="K848">
        <v>114587196.09999999</v>
      </c>
      <c r="L848">
        <v>2753392</v>
      </c>
      <c r="M848" t="s">
        <v>78</v>
      </c>
      <c r="N848" t="s">
        <v>17</v>
      </c>
      <c r="O848">
        <v>13594</v>
      </c>
      <c r="P848">
        <v>49.5</v>
      </c>
      <c r="Q848">
        <v>23</v>
      </c>
    </row>
    <row r="849" spans="2:17" x14ac:dyDescent="0.25">
      <c r="B849" t="s">
        <v>78</v>
      </c>
      <c r="C849" t="s">
        <v>287</v>
      </c>
      <c r="D849" t="s">
        <v>1650</v>
      </c>
      <c r="E849" t="s">
        <v>1651</v>
      </c>
      <c r="F849">
        <v>12.85</v>
      </c>
      <c r="G849">
        <v>12.85</v>
      </c>
      <c r="H849">
        <v>12.85</v>
      </c>
      <c r="I849">
        <v>12.85</v>
      </c>
      <c r="J849" s="1">
        <v>12.85</v>
      </c>
      <c r="K849">
        <v>25700</v>
      </c>
      <c r="L849">
        <v>2000</v>
      </c>
      <c r="M849" t="s">
        <v>78</v>
      </c>
      <c r="N849" t="s">
        <v>17</v>
      </c>
      <c r="O849">
        <v>2</v>
      </c>
      <c r="P849">
        <v>22.5</v>
      </c>
      <c r="Q849">
        <v>7.2</v>
      </c>
    </row>
    <row r="850" spans="2:17" x14ac:dyDescent="0.25">
      <c r="B850" t="s">
        <v>78</v>
      </c>
      <c r="C850" t="s">
        <v>79</v>
      </c>
      <c r="D850" t="s">
        <v>1652</v>
      </c>
      <c r="E850" t="s">
        <v>1653</v>
      </c>
      <c r="F850">
        <v>79.7</v>
      </c>
      <c r="G850">
        <v>82.85</v>
      </c>
      <c r="H850">
        <v>82.85</v>
      </c>
      <c r="I850">
        <v>80</v>
      </c>
      <c r="J850" s="1">
        <v>80.849999999999994</v>
      </c>
      <c r="K850">
        <v>55582.5</v>
      </c>
      <c r="L850">
        <v>684</v>
      </c>
      <c r="M850" t="s">
        <v>78</v>
      </c>
      <c r="N850" t="s">
        <v>17</v>
      </c>
      <c r="O850">
        <v>53</v>
      </c>
      <c r="P850">
        <v>93.7</v>
      </c>
      <c r="Q850">
        <v>45.2</v>
      </c>
    </row>
    <row r="851" spans="2:17" x14ac:dyDescent="0.25">
      <c r="B851" t="s">
        <v>78</v>
      </c>
      <c r="C851" t="s">
        <v>79</v>
      </c>
      <c r="D851" t="s">
        <v>1654</v>
      </c>
      <c r="E851" t="s">
        <v>1655</v>
      </c>
      <c r="F851">
        <v>464.4</v>
      </c>
      <c r="G851">
        <v>460</v>
      </c>
      <c r="H851">
        <v>489</v>
      </c>
      <c r="I851">
        <v>455.3</v>
      </c>
      <c r="J851" s="1">
        <v>481.4</v>
      </c>
      <c r="K851">
        <v>160682142.94999999</v>
      </c>
      <c r="L851">
        <v>336177</v>
      </c>
      <c r="M851" t="s">
        <v>78</v>
      </c>
      <c r="N851" t="s">
        <v>17</v>
      </c>
      <c r="O851">
        <v>13845</v>
      </c>
      <c r="P851">
        <v>499</v>
      </c>
      <c r="Q851">
        <v>200</v>
      </c>
    </row>
    <row r="852" spans="2:17" x14ac:dyDescent="0.25">
      <c r="B852" t="s">
        <v>78</v>
      </c>
      <c r="C852" t="s">
        <v>79</v>
      </c>
      <c r="D852" t="s">
        <v>1656</v>
      </c>
      <c r="E852" t="s">
        <v>1657</v>
      </c>
      <c r="F852">
        <v>71.900000000000006</v>
      </c>
      <c r="G852">
        <v>71</v>
      </c>
      <c r="H852">
        <v>73.599999999999994</v>
      </c>
      <c r="I852">
        <v>71</v>
      </c>
      <c r="J852" s="1">
        <v>72.099999999999994</v>
      </c>
      <c r="K852">
        <v>22531441.75</v>
      </c>
      <c r="L852">
        <v>311366</v>
      </c>
      <c r="M852" t="s">
        <v>78</v>
      </c>
      <c r="N852" t="s">
        <v>17</v>
      </c>
      <c r="O852">
        <v>2440</v>
      </c>
      <c r="P852">
        <v>76.400000000000006</v>
      </c>
      <c r="Q852">
        <v>27.25</v>
      </c>
    </row>
    <row r="853" spans="2:17" x14ac:dyDescent="0.25">
      <c r="B853" t="s">
        <v>78</v>
      </c>
      <c r="C853" t="s">
        <v>79</v>
      </c>
      <c r="D853" t="s">
        <v>1658</v>
      </c>
      <c r="E853" t="s">
        <v>1659</v>
      </c>
      <c r="F853">
        <v>182.2</v>
      </c>
      <c r="G853">
        <v>180</v>
      </c>
      <c r="H853">
        <v>186.5</v>
      </c>
      <c r="I853">
        <v>178.1</v>
      </c>
      <c r="J853" s="1">
        <v>181.85</v>
      </c>
      <c r="K853">
        <v>162180403.69999999</v>
      </c>
      <c r="L853">
        <v>888780</v>
      </c>
      <c r="M853" t="s">
        <v>78</v>
      </c>
      <c r="N853" t="s">
        <v>17</v>
      </c>
      <c r="O853">
        <v>14845</v>
      </c>
      <c r="P853">
        <v>186.5</v>
      </c>
      <c r="Q853">
        <v>115.9</v>
      </c>
    </row>
    <row r="854" spans="2:17" x14ac:dyDescent="0.25">
      <c r="B854" t="s">
        <v>78</v>
      </c>
      <c r="C854" t="s">
        <v>79</v>
      </c>
      <c r="D854" t="s">
        <v>1660</v>
      </c>
      <c r="E854" t="s">
        <v>1661</v>
      </c>
      <c r="F854">
        <v>468.5</v>
      </c>
      <c r="G854">
        <v>465</v>
      </c>
      <c r="H854">
        <v>466</v>
      </c>
      <c r="I854">
        <v>458</v>
      </c>
      <c r="J854" s="1">
        <v>460.75</v>
      </c>
      <c r="K854">
        <v>705892884.95000005</v>
      </c>
      <c r="L854">
        <v>1527570</v>
      </c>
      <c r="M854" t="s">
        <v>78</v>
      </c>
      <c r="N854" t="s">
        <v>17</v>
      </c>
      <c r="O854">
        <v>24574</v>
      </c>
      <c r="P854">
        <v>542.45000000000005</v>
      </c>
      <c r="Q854">
        <v>255.4</v>
      </c>
    </row>
    <row r="855" spans="2:17" x14ac:dyDescent="0.25">
      <c r="B855" t="s">
        <v>78</v>
      </c>
      <c r="C855" t="s">
        <v>79</v>
      </c>
      <c r="D855" t="s">
        <v>1662</v>
      </c>
      <c r="E855" t="s">
        <v>1663</v>
      </c>
      <c r="F855">
        <v>422.05</v>
      </c>
      <c r="G855">
        <v>416</v>
      </c>
      <c r="H855">
        <v>422.5</v>
      </c>
      <c r="I855">
        <v>408</v>
      </c>
      <c r="J855" s="1">
        <v>409.45</v>
      </c>
      <c r="K855">
        <v>60772397.5</v>
      </c>
      <c r="L855">
        <v>147136</v>
      </c>
      <c r="M855" t="s">
        <v>78</v>
      </c>
      <c r="N855" t="s">
        <v>17</v>
      </c>
      <c r="O855">
        <v>6175</v>
      </c>
      <c r="P855">
        <v>480</v>
      </c>
      <c r="Q855">
        <v>133.80000000000001</v>
      </c>
    </row>
    <row r="856" spans="2:17" x14ac:dyDescent="0.25">
      <c r="B856" t="s">
        <v>78</v>
      </c>
      <c r="C856" t="s">
        <v>79</v>
      </c>
      <c r="D856" t="s">
        <v>1664</v>
      </c>
      <c r="E856" t="s">
        <v>1665</v>
      </c>
      <c r="F856">
        <v>368.85</v>
      </c>
      <c r="G856">
        <v>365</v>
      </c>
      <c r="H856">
        <v>366.85</v>
      </c>
      <c r="I856">
        <v>355</v>
      </c>
      <c r="J856" s="1">
        <v>358.6</v>
      </c>
      <c r="K856">
        <v>73483476.450000003</v>
      </c>
      <c r="L856">
        <v>203328</v>
      </c>
      <c r="M856" t="s">
        <v>78</v>
      </c>
      <c r="N856" t="s">
        <v>17</v>
      </c>
      <c r="O856">
        <v>8642</v>
      </c>
      <c r="P856">
        <v>381.5</v>
      </c>
      <c r="Q856">
        <v>173.05</v>
      </c>
    </row>
    <row r="857" spans="2:17" x14ac:dyDescent="0.25">
      <c r="B857" t="s">
        <v>78</v>
      </c>
      <c r="C857" t="s">
        <v>79</v>
      </c>
      <c r="D857" t="s">
        <v>1666</v>
      </c>
      <c r="E857" t="s">
        <v>1667</v>
      </c>
      <c r="F857">
        <v>1639.85</v>
      </c>
      <c r="G857">
        <v>1645</v>
      </c>
      <c r="H857">
        <v>1694</v>
      </c>
      <c r="I857">
        <v>1632.55</v>
      </c>
      <c r="J857" s="1">
        <v>1663.9</v>
      </c>
      <c r="K857">
        <v>136605601.69999999</v>
      </c>
      <c r="L857">
        <v>82273</v>
      </c>
      <c r="M857" t="s">
        <v>78</v>
      </c>
      <c r="N857" t="s">
        <v>17</v>
      </c>
      <c r="O857">
        <v>8401</v>
      </c>
      <c r="P857">
        <v>2074</v>
      </c>
      <c r="Q857">
        <v>621.1</v>
      </c>
    </row>
    <row r="858" spans="2:17" x14ac:dyDescent="0.25">
      <c r="B858" t="s">
        <v>78</v>
      </c>
      <c r="C858" t="s">
        <v>79</v>
      </c>
      <c r="D858" t="s">
        <v>1668</v>
      </c>
      <c r="E858" t="s">
        <v>1669</v>
      </c>
      <c r="F858">
        <v>852.6</v>
      </c>
      <c r="G858">
        <v>824</v>
      </c>
      <c r="H858">
        <v>847.7</v>
      </c>
      <c r="I858">
        <v>821</v>
      </c>
      <c r="J858" s="1">
        <v>831.8</v>
      </c>
      <c r="K858">
        <v>463359146.85000002</v>
      </c>
      <c r="L858">
        <v>555326</v>
      </c>
      <c r="M858" t="s">
        <v>78</v>
      </c>
      <c r="N858" t="s">
        <v>17</v>
      </c>
      <c r="O858">
        <v>26624</v>
      </c>
      <c r="P858">
        <v>872.5</v>
      </c>
      <c r="Q858">
        <v>422.6</v>
      </c>
    </row>
    <row r="859" spans="2:17" x14ac:dyDescent="0.25">
      <c r="B859" t="s">
        <v>78</v>
      </c>
      <c r="C859" t="s">
        <v>79</v>
      </c>
      <c r="D859" t="s">
        <v>1670</v>
      </c>
      <c r="E859" t="s">
        <v>1671</v>
      </c>
      <c r="F859">
        <v>3396.7</v>
      </c>
      <c r="G859">
        <v>3370</v>
      </c>
      <c r="H859">
        <v>3477.8</v>
      </c>
      <c r="I859">
        <v>3346.25</v>
      </c>
      <c r="J859" s="1">
        <v>3398.5</v>
      </c>
      <c r="K859">
        <v>2011279534.45</v>
      </c>
      <c r="L859">
        <v>589670</v>
      </c>
      <c r="M859" t="s">
        <v>78</v>
      </c>
      <c r="N859" t="s">
        <v>17</v>
      </c>
      <c r="O859">
        <v>35838</v>
      </c>
      <c r="P859">
        <v>3493.4</v>
      </c>
      <c r="Q859">
        <v>1351.25</v>
      </c>
    </row>
    <row r="860" spans="2:17" x14ac:dyDescent="0.25">
      <c r="B860" t="s">
        <v>78</v>
      </c>
      <c r="C860" t="s">
        <v>79</v>
      </c>
      <c r="D860" t="s">
        <v>1672</v>
      </c>
      <c r="E860" t="s">
        <v>1673</v>
      </c>
      <c r="F860">
        <v>1500.95</v>
      </c>
      <c r="G860">
        <v>1500.95</v>
      </c>
      <c r="H860">
        <v>1514</v>
      </c>
      <c r="I860">
        <v>1491</v>
      </c>
      <c r="J860" s="1">
        <v>1502.45</v>
      </c>
      <c r="K860">
        <v>6356196.6500000004</v>
      </c>
      <c r="L860">
        <v>4228</v>
      </c>
      <c r="M860" t="s">
        <v>78</v>
      </c>
      <c r="N860" t="s">
        <v>17</v>
      </c>
      <c r="O860">
        <v>764</v>
      </c>
      <c r="P860">
        <v>1783.4</v>
      </c>
      <c r="Q860">
        <v>1176</v>
      </c>
    </row>
    <row r="861" spans="2:17" x14ac:dyDescent="0.25">
      <c r="B861" t="s">
        <v>78</v>
      </c>
      <c r="C861" t="s">
        <v>79</v>
      </c>
      <c r="D861" t="s">
        <v>1674</v>
      </c>
      <c r="E861" t="s">
        <v>1675</v>
      </c>
      <c r="F861">
        <v>171</v>
      </c>
      <c r="G861">
        <v>169.5</v>
      </c>
      <c r="H861">
        <v>181</v>
      </c>
      <c r="I861">
        <v>169</v>
      </c>
      <c r="J861" s="1">
        <v>179.55</v>
      </c>
      <c r="K861">
        <v>200021753.25</v>
      </c>
      <c r="L861">
        <v>1128778</v>
      </c>
      <c r="M861" t="s">
        <v>78</v>
      </c>
      <c r="N861" t="s">
        <v>17</v>
      </c>
      <c r="O861">
        <v>24732</v>
      </c>
      <c r="P861">
        <v>181</v>
      </c>
      <c r="Q861">
        <v>88</v>
      </c>
    </row>
    <row r="862" spans="2:17" x14ac:dyDescent="0.25">
      <c r="B862" t="s">
        <v>78</v>
      </c>
      <c r="C862" t="s">
        <v>79</v>
      </c>
      <c r="D862" t="s">
        <v>1676</v>
      </c>
      <c r="E862" t="s">
        <v>1677</v>
      </c>
      <c r="F862">
        <v>3681.7</v>
      </c>
      <c r="G862">
        <v>3650</v>
      </c>
      <c r="H862">
        <v>3770</v>
      </c>
      <c r="I862">
        <v>3643.45</v>
      </c>
      <c r="J862" s="1">
        <v>3670.45</v>
      </c>
      <c r="K862">
        <v>161948965.15000001</v>
      </c>
      <c r="L862">
        <v>43549</v>
      </c>
      <c r="M862" t="s">
        <v>78</v>
      </c>
      <c r="N862" t="s">
        <v>17</v>
      </c>
      <c r="O862">
        <v>5213</v>
      </c>
      <c r="P862">
        <v>3875.45</v>
      </c>
      <c r="Q862">
        <v>1104.8499999999999</v>
      </c>
    </row>
    <row r="863" spans="2:17" x14ac:dyDescent="0.25">
      <c r="B863" t="s">
        <v>78</v>
      </c>
      <c r="C863" t="s">
        <v>79</v>
      </c>
      <c r="D863" t="s">
        <v>1678</v>
      </c>
      <c r="E863" t="s">
        <v>1679</v>
      </c>
      <c r="F863">
        <v>262.35000000000002</v>
      </c>
      <c r="G863">
        <v>259.89999999999998</v>
      </c>
      <c r="H863">
        <v>263.60000000000002</v>
      </c>
      <c r="I863">
        <v>257</v>
      </c>
      <c r="J863" s="1">
        <v>258.64999999999998</v>
      </c>
      <c r="K863">
        <v>402014378.94999999</v>
      </c>
      <c r="L863">
        <v>1546544</v>
      </c>
      <c r="M863" t="s">
        <v>78</v>
      </c>
      <c r="N863" t="s">
        <v>17</v>
      </c>
      <c r="O863">
        <v>29377</v>
      </c>
      <c r="P863">
        <v>273.39999999999998</v>
      </c>
      <c r="Q863">
        <v>143.25</v>
      </c>
    </row>
    <row r="864" spans="2:17" x14ac:dyDescent="0.25">
      <c r="B864" t="s">
        <v>78</v>
      </c>
      <c r="C864" t="s">
        <v>79</v>
      </c>
      <c r="D864" t="s">
        <v>1680</v>
      </c>
      <c r="E864" t="s">
        <v>1681</v>
      </c>
      <c r="F864">
        <v>5.7</v>
      </c>
      <c r="G864">
        <v>5.9</v>
      </c>
      <c r="H864">
        <v>5.9</v>
      </c>
      <c r="I864">
        <v>5.5</v>
      </c>
      <c r="J864" s="1">
        <v>5.65</v>
      </c>
      <c r="K864">
        <v>132229.1</v>
      </c>
      <c r="L864">
        <v>23445</v>
      </c>
      <c r="M864" t="s">
        <v>78</v>
      </c>
      <c r="N864" t="s">
        <v>17</v>
      </c>
      <c r="O864">
        <v>142</v>
      </c>
      <c r="P864">
        <v>7</v>
      </c>
      <c r="Q864">
        <v>2.4</v>
      </c>
    </row>
    <row r="865" spans="2:17" x14ac:dyDescent="0.25">
      <c r="B865" t="s">
        <v>78</v>
      </c>
      <c r="C865" t="s">
        <v>79</v>
      </c>
      <c r="D865" t="s">
        <v>1682</v>
      </c>
      <c r="E865" t="s">
        <v>1683</v>
      </c>
      <c r="F865">
        <v>162</v>
      </c>
      <c r="G865">
        <v>160</v>
      </c>
      <c r="H865">
        <v>161.19999999999999</v>
      </c>
      <c r="I865">
        <v>156.30000000000001</v>
      </c>
      <c r="J865" s="1">
        <v>156.85</v>
      </c>
      <c r="K865">
        <v>766463025.95000005</v>
      </c>
      <c r="L865">
        <v>4843713</v>
      </c>
      <c r="M865" t="s">
        <v>78</v>
      </c>
      <c r="N865" t="s">
        <v>17</v>
      </c>
      <c r="O865">
        <v>36097</v>
      </c>
      <c r="P865">
        <v>239.4</v>
      </c>
      <c r="Q865">
        <v>112.7</v>
      </c>
    </row>
    <row r="866" spans="2:17" x14ac:dyDescent="0.25">
      <c r="B866" t="s">
        <v>78</v>
      </c>
      <c r="C866" t="s">
        <v>79</v>
      </c>
      <c r="D866" t="s">
        <v>1684</v>
      </c>
      <c r="E866" t="s">
        <v>1685</v>
      </c>
      <c r="F866">
        <v>398.95</v>
      </c>
      <c r="G866">
        <v>397.6</v>
      </c>
      <c r="H866">
        <v>410</v>
      </c>
      <c r="I866">
        <v>390</v>
      </c>
      <c r="J866" s="1">
        <v>401.35</v>
      </c>
      <c r="K866">
        <v>27752560.800000001</v>
      </c>
      <c r="L866">
        <v>68752</v>
      </c>
      <c r="M866" t="s">
        <v>78</v>
      </c>
      <c r="N866" t="s">
        <v>17</v>
      </c>
      <c r="O866">
        <v>4828</v>
      </c>
      <c r="P866">
        <v>410</v>
      </c>
      <c r="Q866">
        <v>48</v>
      </c>
    </row>
    <row r="867" spans="2:17" x14ac:dyDescent="0.25">
      <c r="B867" t="s">
        <v>78</v>
      </c>
      <c r="C867" t="s">
        <v>79</v>
      </c>
      <c r="D867" t="s">
        <v>1686</v>
      </c>
      <c r="E867" t="s">
        <v>1687</v>
      </c>
      <c r="F867">
        <v>153.80000000000001</v>
      </c>
      <c r="G867">
        <v>156.69999999999999</v>
      </c>
      <c r="H867">
        <v>159.19999999999999</v>
      </c>
      <c r="I867">
        <v>153.05000000000001</v>
      </c>
      <c r="J867" s="1">
        <v>155.55000000000001</v>
      </c>
      <c r="K867">
        <v>4119451.1</v>
      </c>
      <c r="L867">
        <v>26250</v>
      </c>
      <c r="M867" t="s">
        <v>78</v>
      </c>
      <c r="N867" t="s">
        <v>17</v>
      </c>
      <c r="O867">
        <v>285</v>
      </c>
      <c r="P867">
        <v>172.15</v>
      </c>
      <c r="Q867">
        <v>53.1</v>
      </c>
    </row>
    <row r="868" spans="2:17" x14ac:dyDescent="0.25">
      <c r="B868" t="s">
        <v>78</v>
      </c>
      <c r="C868" t="s">
        <v>79</v>
      </c>
      <c r="D868" t="s">
        <v>1688</v>
      </c>
      <c r="E868" t="s">
        <v>1689</v>
      </c>
      <c r="F868">
        <v>67.5</v>
      </c>
      <c r="G868">
        <v>66</v>
      </c>
      <c r="H868">
        <v>67.900000000000006</v>
      </c>
      <c r="I868">
        <v>65</v>
      </c>
      <c r="J868" s="1">
        <v>65.75</v>
      </c>
      <c r="K868">
        <v>3140860.8</v>
      </c>
      <c r="L868">
        <v>47275</v>
      </c>
      <c r="M868" t="s">
        <v>78</v>
      </c>
      <c r="N868" t="s">
        <v>17</v>
      </c>
      <c r="O868">
        <v>1344</v>
      </c>
      <c r="P868">
        <v>72.7</v>
      </c>
      <c r="Q868">
        <v>20</v>
      </c>
    </row>
    <row r="869" spans="2:17" x14ac:dyDescent="0.25">
      <c r="B869" t="s">
        <v>78</v>
      </c>
      <c r="C869" t="s">
        <v>79</v>
      </c>
      <c r="D869" t="s">
        <v>1690</v>
      </c>
      <c r="E869" t="s">
        <v>1691</v>
      </c>
      <c r="F869">
        <v>6.5</v>
      </c>
      <c r="G869">
        <v>6.65</v>
      </c>
      <c r="H869">
        <v>6.8</v>
      </c>
      <c r="I869">
        <v>6.45</v>
      </c>
      <c r="J869" s="1">
        <v>6.8</v>
      </c>
      <c r="K869">
        <v>1263668.6499999999</v>
      </c>
      <c r="L869">
        <v>188720</v>
      </c>
      <c r="M869" t="s">
        <v>78</v>
      </c>
      <c r="N869" t="s">
        <v>17</v>
      </c>
      <c r="O869">
        <v>239</v>
      </c>
      <c r="P869">
        <v>7.6</v>
      </c>
      <c r="Q869">
        <v>2.2999999999999998</v>
      </c>
    </row>
    <row r="870" spans="2:17" x14ac:dyDescent="0.25">
      <c r="B870" t="s">
        <v>78</v>
      </c>
      <c r="C870" t="s">
        <v>79</v>
      </c>
      <c r="D870" t="s">
        <v>1692</v>
      </c>
      <c r="E870" t="s">
        <v>1693</v>
      </c>
      <c r="F870">
        <v>32.549999999999997</v>
      </c>
      <c r="G870">
        <v>32.1</v>
      </c>
      <c r="H870">
        <v>32.5</v>
      </c>
      <c r="I870">
        <v>32.049999999999997</v>
      </c>
      <c r="J870" s="1">
        <v>32.1</v>
      </c>
      <c r="K870">
        <v>3820893.35</v>
      </c>
      <c r="L870">
        <v>118533</v>
      </c>
      <c r="M870" t="s">
        <v>78</v>
      </c>
      <c r="N870" t="s">
        <v>17</v>
      </c>
      <c r="O870">
        <v>610</v>
      </c>
      <c r="P870">
        <v>35.6</v>
      </c>
      <c r="Q870">
        <v>15.25</v>
      </c>
    </row>
    <row r="871" spans="2:17" x14ac:dyDescent="0.25">
      <c r="B871" t="s">
        <v>78</v>
      </c>
      <c r="C871" t="s">
        <v>79</v>
      </c>
      <c r="D871" t="s">
        <v>1694</v>
      </c>
      <c r="E871" t="s">
        <v>1695</v>
      </c>
      <c r="F871">
        <v>327</v>
      </c>
      <c r="G871">
        <v>324</v>
      </c>
      <c r="H871">
        <v>343.35</v>
      </c>
      <c r="I871">
        <v>319.89999999999998</v>
      </c>
      <c r="J871" s="1">
        <v>343</v>
      </c>
      <c r="K871">
        <v>33332931.050000001</v>
      </c>
      <c r="L871">
        <v>98319</v>
      </c>
      <c r="M871" t="s">
        <v>78</v>
      </c>
      <c r="N871" t="s">
        <v>17</v>
      </c>
      <c r="O871">
        <v>2443</v>
      </c>
      <c r="P871">
        <v>386.95</v>
      </c>
      <c r="Q871">
        <v>88.95</v>
      </c>
    </row>
    <row r="872" spans="2:17" x14ac:dyDescent="0.25">
      <c r="B872" t="s">
        <v>78</v>
      </c>
      <c r="C872" t="s">
        <v>79</v>
      </c>
      <c r="D872" t="s">
        <v>1696</v>
      </c>
      <c r="E872" t="s">
        <v>1697</v>
      </c>
      <c r="F872">
        <v>24</v>
      </c>
      <c r="G872">
        <v>23.8</v>
      </c>
      <c r="H872">
        <v>24.4</v>
      </c>
      <c r="I872">
        <v>23.4</v>
      </c>
      <c r="J872" s="1">
        <v>23.95</v>
      </c>
      <c r="K872">
        <v>109420908.90000001</v>
      </c>
      <c r="L872">
        <v>4571789</v>
      </c>
      <c r="M872" t="s">
        <v>78</v>
      </c>
      <c r="N872" t="s">
        <v>17</v>
      </c>
      <c r="O872">
        <v>10078</v>
      </c>
      <c r="P872">
        <v>32</v>
      </c>
      <c r="Q872">
        <v>10.55</v>
      </c>
    </row>
    <row r="873" spans="2:17" x14ac:dyDescent="0.25">
      <c r="B873" t="s">
        <v>78</v>
      </c>
      <c r="C873" t="s">
        <v>79</v>
      </c>
      <c r="D873" t="s">
        <v>1698</v>
      </c>
      <c r="E873" t="s">
        <v>1699</v>
      </c>
      <c r="F873">
        <v>89.45</v>
      </c>
      <c r="G873">
        <v>89.45</v>
      </c>
      <c r="H873">
        <v>89.8</v>
      </c>
      <c r="I873">
        <v>88.5</v>
      </c>
      <c r="J873" s="1">
        <v>88.55</v>
      </c>
      <c r="K873">
        <v>1369296.3</v>
      </c>
      <c r="L873">
        <v>15361</v>
      </c>
      <c r="M873" t="s">
        <v>78</v>
      </c>
      <c r="N873" t="s">
        <v>17</v>
      </c>
      <c r="O873">
        <v>272</v>
      </c>
      <c r="P873">
        <v>130.30000000000001</v>
      </c>
      <c r="Q873">
        <v>70</v>
      </c>
    </row>
    <row r="874" spans="2:17" x14ac:dyDescent="0.25">
      <c r="B874" t="s">
        <v>78</v>
      </c>
      <c r="C874" t="s">
        <v>79</v>
      </c>
      <c r="D874" t="s">
        <v>1700</v>
      </c>
      <c r="E874" t="s">
        <v>1701</v>
      </c>
      <c r="F874">
        <v>167.75</v>
      </c>
      <c r="G874">
        <v>167.7</v>
      </c>
      <c r="H874">
        <v>168.8</v>
      </c>
      <c r="I874">
        <v>165.25</v>
      </c>
      <c r="J874" s="1">
        <v>165.65</v>
      </c>
      <c r="K874">
        <v>24168431</v>
      </c>
      <c r="L874">
        <v>145011</v>
      </c>
      <c r="M874" t="s">
        <v>78</v>
      </c>
      <c r="N874" t="s">
        <v>17</v>
      </c>
      <c r="O874">
        <v>4439</v>
      </c>
      <c r="P874">
        <v>194.5</v>
      </c>
      <c r="Q874">
        <v>125.25</v>
      </c>
    </row>
    <row r="875" spans="2:17" x14ac:dyDescent="0.25">
      <c r="B875" t="s">
        <v>78</v>
      </c>
      <c r="C875" t="s">
        <v>79</v>
      </c>
      <c r="D875" t="s">
        <v>1702</v>
      </c>
      <c r="E875" t="s">
        <v>1703</v>
      </c>
      <c r="F875">
        <v>105.9</v>
      </c>
      <c r="G875">
        <v>110.1</v>
      </c>
      <c r="H875">
        <v>113.45</v>
      </c>
      <c r="I875">
        <v>106.25</v>
      </c>
      <c r="J875" s="1">
        <v>110.75</v>
      </c>
      <c r="K875">
        <v>9994269.5999999996</v>
      </c>
      <c r="L875">
        <v>89730</v>
      </c>
      <c r="M875" t="s">
        <v>78</v>
      </c>
      <c r="N875" t="s">
        <v>17</v>
      </c>
      <c r="O875">
        <v>2182</v>
      </c>
      <c r="P875">
        <v>224.9</v>
      </c>
      <c r="Q875">
        <v>73.3</v>
      </c>
    </row>
    <row r="876" spans="2:17" x14ac:dyDescent="0.25">
      <c r="B876" t="s">
        <v>78</v>
      </c>
      <c r="C876" t="s">
        <v>287</v>
      </c>
      <c r="D876" t="s">
        <v>1704</v>
      </c>
      <c r="E876" t="s">
        <v>1705</v>
      </c>
      <c r="F876">
        <v>82.1</v>
      </c>
      <c r="G876">
        <v>86.25</v>
      </c>
      <c r="H876">
        <v>86.25</v>
      </c>
      <c r="I876">
        <v>86.25</v>
      </c>
      <c r="J876" s="1">
        <v>86.25</v>
      </c>
      <c r="K876">
        <v>129375</v>
      </c>
      <c r="L876">
        <v>1500</v>
      </c>
      <c r="M876" t="s">
        <v>78</v>
      </c>
      <c r="N876" t="s">
        <v>17</v>
      </c>
      <c r="O876">
        <v>1</v>
      </c>
      <c r="P876">
        <v>95</v>
      </c>
      <c r="Q876">
        <v>70.05</v>
      </c>
    </row>
    <row r="877" spans="2:17" x14ac:dyDescent="0.25">
      <c r="B877" t="s">
        <v>78</v>
      </c>
      <c r="C877" t="s">
        <v>79</v>
      </c>
      <c r="D877" t="s">
        <v>1706</v>
      </c>
      <c r="E877" t="s">
        <v>1707</v>
      </c>
      <c r="F877">
        <v>250.5</v>
      </c>
      <c r="G877">
        <v>250.8</v>
      </c>
      <c r="H877">
        <v>259</v>
      </c>
      <c r="I877">
        <v>243.4</v>
      </c>
      <c r="J877" s="1">
        <v>246.95</v>
      </c>
      <c r="K877">
        <v>226717717.65000001</v>
      </c>
      <c r="L877">
        <v>897067</v>
      </c>
      <c r="M877" t="s">
        <v>78</v>
      </c>
      <c r="N877" t="s">
        <v>17</v>
      </c>
      <c r="O877">
        <v>20631</v>
      </c>
      <c r="P877">
        <v>259</v>
      </c>
      <c r="Q877">
        <v>101</v>
      </c>
    </row>
    <row r="878" spans="2:17" x14ac:dyDescent="0.25">
      <c r="B878" t="s">
        <v>78</v>
      </c>
      <c r="C878" t="s">
        <v>79</v>
      </c>
      <c r="D878" t="s">
        <v>1708</v>
      </c>
      <c r="E878" t="s">
        <v>1709</v>
      </c>
      <c r="F878">
        <v>692.1</v>
      </c>
      <c r="G878">
        <v>689.8</v>
      </c>
      <c r="H878">
        <v>703</v>
      </c>
      <c r="I878">
        <v>673</v>
      </c>
      <c r="J878" s="1">
        <v>680.4</v>
      </c>
      <c r="K878">
        <v>155114305.55000001</v>
      </c>
      <c r="L878">
        <v>228195</v>
      </c>
      <c r="M878" t="s">
        <v>78</v>
      </c>
      <c r="N878" t="s">
        <v>17</v>
      </c>
      <c r="O878">
        <v>4040</v>
      </c>
      <c r="P878">
        <v>719.85</v>
      </c>
      <c r="Q878">
        <v>198.35</v>
      </c>
    </row>
    <row r="879" spans="2:17" x14ac:dyDescent="0.25">
      <c r="B879" t="s">
        <v>78</v>
      </c>
      <c r="C879" t="s">
        <v>79</v>
      </c>
      <c r="D879" t="s">
        <v>1710</v>
      </c>
      <c r="E879" t="s">
        <v>1711</v>
      </c>
      <c r="F879">
        <v>581.85</v>
      </c>
      <c r="G879">
        <v>579.9</v>
      </c>
      <c r="H879">
        <v>584.1</v>
      </c>
      <c r="I879">
        <v>573</v>
      </c>
      <c r="J879" s="1">
        <v>580.04999999999995</v>
      </c>
      <c r="K879">
        <v>22586747</v>
      </c>
      <c r="L879">
        <v>39022</v>
      </c>
      <c r="M879" t="s">
        <v>78</v>
      </c>
      <c r="N879" t="s">
        <v>1555</v>
      </c>
      <c r="O879">
        <v>3470</v>
      </c>
      <c r="P879">
        <v>615</v>
      </c>
      <c r="Q879">
        <v>273.3</v>
      </c>
    </row>
    <row r="880" spans="2:17" x14ac:dyDescent="0.25">
      <c r="B880" t="s">
        <v>78</v>
      </c>
      <c r="C880" t="s">
        <v>79</v>
      </c>
      <c r="D880" t="s">
        <v>1712</v>
      </c>
      <c r="E880" t="s">
        <v>1713</v>
      </c>
      <c r="F880">
        <v>3809.25</v>
      </c>
      <c r="G880">
        <v>3791</v>
      </c>
      <c r="H880">
        <v>3850</v>
      </c>
      <c r="I880">
        <v>3779</v>
      </c>
      <c r="J880" s="1">
        <v>3789.7</v>
      </c>
      <c r="K880">
        <v>13090596.550000001</v>
      </c>
      <c r="L880">
        <v>3434</v>
      </c>
      <c r="M880" t="s">
        <v>78</v>
      </c>
      <c r="N880" t="s">
        <v>17</v>
      </c>
      <c r="O880">
        <v>909</v>
      </c>
      <c r="P880">
        <v>4399.95</v>
      </c>
      <c r="Q880">
        <v>2737.05</v>
      </c>
    </row>
    <row r="881" spans="2:17" x14ac:dyDescent="0.25">
      <c r="B881" t="s">
        <v>78</v>
      </c>
      <c r="C881" t="s">
        <v>79</v>
      </c>
      <c r="D881" t="s">
        <v>1714</v>
      </c>
      <c r="E881" t="s">
        <v>1715</v>
      </c>
      <c r="F881">
        <v>318.55</v>
      </c>
      <c r="G881">
        <v>313</v>
      </c>
      <c r="H881">
        <v>319.8</v>
      </c>
      <c r="I881">
        <v>310</v>
      </c>
      <c r="J881" s="1">
        <v>311</v>
      </c>
      <c r="K881">
        <v>36013774.399999999</v>
      </c>
      <c r="L881">
        <v>114944</v>
      </c>
      <c r="M881" t="s">
        <v>78</v>
      </c>
      <c r="N881" t="s">
        <v>17</v>
      </c>
      <c r="O881">
        <v>6097</v>
      </c>
      <c r="P881">
        <v>354.4</v>
      </c>
      <c r="Q881">
        <v>193.65</v>
      </c>
    </row>
    <row r="882" spans="2:17" x14ac:dyDescent="0.25">
      <c r="B882" t="s">
        <v>78</v>
      </c>
      <c r="C882" t="s">
        <v>79</v>
      </c>
      <c r="D882" t="s">
        <v>1716</v>
      </c>
      <c r="E882" t="s">
        <v>1717</v>
      </c>
      <c r="F882">
        <v>1038.9000000000001</v>
      </c>
      <c r="G882">
        <v>1034.8</v>
      </c>
      <c r="H882">
        <v>1038.2</v>
      </c>
      <c r="I882">
        <v>1014.15</v>
      </c>
      <c r="J882" s="1">
        <v>1021</v>
      </c>
      <c r="K882">
        <v>79629295</v>
      </c>
      <c r="L882">
        <v>77835</v>
      </c>
      <c r="M882" t="s">
        <v>78</v>
      </c>
      <c r="N882" t="s">
        <v>17</v>
      </c>
      <c r="O882">
        <v>5196</v>
      </c>
      <c r="P882">
        <v>1138</v>
      </c>
      <c r="Q882">
        <v>422.2</v>
      </c>
    </row>
    <row r="883" spans="2:17" x14ac:dyDescent="0.25">
      <c r="B883" t="s">
        <v>78</v>
      </c>
      <c r="C883" t="s">
        <v>79</v>
      </c>
      <c r="D883" t="s">
        <v>1718</v>
      </c>
      <c r="E883" t="s">
        <v>1719</v>
      </c>
      <c r="F883">
        <v>91.85</v>
      </c>
      <c r="G883">
        <v>90.85</v>
      </c>
      <c r="H883">
        <v>92.6</v>
      </c>
      <c r="I883">
        <v>90</v>
      </c>
      <c r="J883" s="1">
        <v>90.4</v>
      </c>
      <c r="K883">
        <v>16720713.65</v>
      </c>
      <c r="L883">
        <v>182977</v>
      </c>
      <c r="M883" t="s">
        <v>78</v>
      </c>
      <c r="N883" t="s">
        <v>17</v>
      </c>
      <c r="O883">
        <v>3000</v>
      </c>
      <c r="P883">
        <v>1009.9</v>
      </c>
      <c r="Q883">
        <v>12.2</v>
      </c>
    </row>
    <row r="884" spans="2:17" x14ac:dyDescent="0.25">
      <c r="B884" t="s">
        <v>78</v>
      </c>
      <c r="C884" t="s">
        <v>79</v>
      </c>
      <c r="D884" t="s">
        <v>1720</v>
      </c>
      <c r="E884" t="s">
        <v>1721</v>
      </c>
      <c r="F884">
        <v>36.299999999999997</v>
      </c>
      <c r="G884">
        <v>36.1</v>
      </c>
      <c r="H884">
        <v>36.35</v>
      </c>
      <c r="I884">
        <v>35.35</v>
      </c>
      <c r="J884" s="1">
        <v>35.85</v>
      </c>
      <c r="K884">
        <v>2095064.85</v>
      </c>
      <c r="L884">
        <v>58541</v>
      </c>
      <c r="M884" t="s">
        <v>78</v>
      </c>
      <c r="N884" t="s">
        <v>17</v>
      </c>
      <c r="O884">
        <v>796</v>
      </c>
      <c r="P884">
        <v>42.1</v>
      </c>
      <c r="Q884">
        <v>22.45</v>
      </c>
    </row>
    <row r="885" spans="2:17" x14ac:dyDescent="0.25">
      <c r="B885" t="s">
        <v>78</v>
      </c>
      <c r="C885" t="s">
        <v>79</v>
      </c>
      <c r="D885" t="s">
        <v>1722</v>
      </c>
      <c r="E885" t="s">
        <v>1723</v>
      </c>
      <c r="F885">
        <v>14.15</v>
      </c>
      <c r="G885">
        <v>14.5</v>
      </c>
      <c r="H885">
        <v>14.5</v>
      </c>
      <c r="I885">
        <v>14.1</v>
      </c>
      <c r="J885" s="1">
        <v>14.2</v>
      </c>
      <c r="K885">
        <v>852303.25</v>
      </c>
      <c r="L885">
        <v>59694</v>
      </c>
      <c r="M885" t="s">
        <v>78</v>
      </c>
      <c r="N885" t="s">
        <v>17</v>
      </c>
      <c r="O885">
        <v>360</v>
      </c>
      <c r="P885">
        <v>18.8</v>
      </c>
      <c r="Q885">
        <v>3.6</v>
      </c>
    </row>
    <row r="886" spans="2:17" x14ac:dyDescent="0.25">
      <c r="B886" t="s">
        <v>78</v>
      </c>
      <c r="C886" t="s">
        <v>79</v>
      </c>
      <c r="D886" t="s">
        <v>1724</v>
      </c>
      <c r="E886" t="s">
        <v>1725</v>
      </c>
      <c r="F886">
        <v>70.75</v>
      </c>
      <c r="G886">
        <v>71</v>
      </c>
      <c r="H886">
        <v>71.2</v>
      </c>
      <c r="I886">
        <v>69.099999999999994</v>
      </c>
      <c r="J886" s="1">
        <v>69.3</v>
      </c>
      <c r="K886">
        <v>6152711.2999999998</v>
      </c>
      <c r="L886">
        <v>87766</v>
      </c>
      <c r="M886" t="s">
        <v>78</v>
      </c>
      <c r="N886" t="s">
        <v>17</v>
      </c>
      <c r="O886">
        <v>1633</v>
      </c>
      <c r="P886">
        <v>78.2</v>
      </c>
      <c r="Q886">
        <v>33</v>
      </c>
    </row>
    <row r="887" spans="2:17" x14ac:dyDescent="0.25">
      <c r="B887" t="s">
        <v>78</v>
      </c>
      <c r="C887" t="s">
        <v>79</v>
      </c>
      <c r="D887" t="s">
        <v>1726</v>
      </c>
      <c r="E887" t="s">
        <v>1727</v>
      </c>
      <c r="F887">
        <v>34.25</v>
      </c>
      <c r="G887">
        <v>35.950000000000003</v>
      </c>
      <c r="H887">
        <v>35.950000000000003</v>
      </c>
      <c r="I887">
        <v>32.700000000000003</v>
      </c>
      <c r="J887" s="1">
        <v>35.1</v>
      </c>
      <c r="K887">
        <v>67302914.049999997</v>
      </c>
      <c r="L887">
        <v>1903705</v>
      </c>
      <c r="M887" t="s">
        <v>78</v>
      </c>
      <c r="N887" t="s">
        <v>17</v>
      </c>
      <c r="O887">
        <v>4617</v>
      </c>
      <c r="P887">
        <v>35.950000000000003</v>
      </c>
      <c r="Q887">
        <v>8.65</v>
      </c>
    </row>
    <row r="888" spans="2:17" x14ac:dyDescent="0.25">
      <c r="B888" t="s">
        <v>78</v>
      </c>
      <c r="C888" t="s">
        <v>79</v>
      </c>
      <c r="D888" t="s">
        <v>1728</v>
      </c>
      <c r="E888" t="s">
        <v>1729</v>
      </c>
      <c r="F888">
        <v>186.95</v>
      </c>
      <c r="G888">
        <v>186</v>
      </c>
      <c r="H888">
        <v>188.15</v>
      </c>
      <c r="I888">
        <v>184.55</v>
      </c>
      <c r="J888" s="1">
        <v>186.2</v>
      </c>
      <c r="K888">
        <v>415099885.75</v>
      </c>
      <c r="L888">
        <v>2226001</v>
      </c>
      <c r="M888" t="s">
        <v>78</v>
      </c>
      <c r="N888" t="s">
        <v>17</v>
      </c>
      <c r="O888">
        <v>23145</v>
      </c>
      <c r="P888">
        <v>190.85</v>
      </c>
      <c r="Q888">
        <v>139.1</v>
      </c>
    </row>
    <row r="889" spans="2:17" x14ac:dyDescent="0.25">
      <c r="B889" t="s">
        <v>78</v>
      </c>
      <c r="C889" t="s">
        <v>79</v>
      </c>
      <c r="D889" t="s">
        <v>1730</v>
      </c>
      <c r="E889" t="s">
        <v>1731</v>
      </c>
      <c r="F889">
        <v>165.8</v>
      </c>
      <c r="G889">
        <v>160</v>
      </c>
      <c r="H889">
        <v>165.8</v>
      </c>
      <c r="I889">
        <v>160</v>
      </c>
      <c r="J889" s="1">
        <v>165.1</v>
      </c>
      <c r="K889">
        <v>25371842.25</v>
      </c>
      <c r="L889">
        <v>155375</v>
      </c>
      <c r="M889" t="s">
        <v>78</v>
      </c>
      <c r="N889" t="s">
        <v>17</v>
      </c>
      <c r="O889">
        <v>4237</v>
      </c>
      <c r="P889">
        <v>178</v>
      </c>
      <c r="Q889">
        <v>96</v>
      </c>
    </row>
    <row r="890" spans="2:17" x14ac:dyDescent="0.25">
      <c r="B890" t="s">
        <v>78</v>
      </c>
      <c r="C890" t="s">
        <v>79</v>
      </c>
      <c r="D890" t="s">
        <v>1732</v>
      </c>
      <c r="E890" t="s">
        <v>1733</v>
      </c>
      <c r="F890">
        <v>87.45</v>
      </c>
      <c r="G890">
        <v>86</v>
      </c>
      <c r="H890">
        <v>89.95</v>
      </c>
      <c r="I890">
        <v>85.25</v>
      </c>
      <c r="J890" s="1">
        <v>86.6</v>
      </c>
      <c r="K890">
        <v>60246260.700000003</v>
      </c>
      <c r="L890">
        <v>687880</v>
      </c>
      <c r="M890" t="s">
        <v>78</v>
      </c>
      <c r="N890" t="s">
        <v>17</v>
      </c>
      <c r="O890">
        <v>8897</v>
      </c>
      <c r="P890">
        <v>101</v>
      </c>
      <c r="Q890">
        <v>27.25</v>
      </c>
    </row>
    <row r="891" spans="2:17" x14ac:dyDescent="0.25">
      <c r="B891" t="s">
        <v>78</v>
      </c>
      <c r="C891" t="s">
        <v>79</v>
      </c>
      <c r="D891" t="s">
        <v>1734</v>
      </c>
      <c r="E891" t="s">
        <v>1735</v>
      </c>
      <c r="F891">
        <v>394.65</v>
      </c>
      <c r="G891">
        <v>425</v>
      </c>
      <c r="H891">
        <v>429.9</v>
      </c>
      <c r="I891">
        <v>411.5</v>
      </c>
      <c r="J891" s="1">
        <v>417.45</v>
      </c>
      <c r="K891">
        <v>368449936.94999999</v>
      </c>
      <c r="L891">
        <v>875911</v>
      </c>
      <c r="M891" t="s">
        <v>78</v>
      </c>
      <c r="N891" t="s">
        <v>17</v>
      </c>
      <c r="O891">
        <v>22713</v>
      </c>
      <c r="P891">
        <v>429.9</v>
      </c>
      <c r="Q891">
        <v>171.4</v>
      </c>
    </row>
    <row r="892" spans="2:17" x14ac:dyDescent="0.25">
      <c r="B892" t="s">
        <v>78</v>
      </c>
      <c r="C892" t="s">
        <v>79</v>
      </c>
      <c r="D892" t="s">
        <v>1736</v>
      </c>
      <c r="E892" t="s">
        <v>1737</v>
      </c>
      <c r="F892">
        <v>117.75</v>
      </c>
      <c r="G892">
        <v>116.2</v>
      </c>
      <c r="H892">
        <v>123.65</v>
      </c>
      <c r="I892">
        <v>115.6</v>
      </c>
      <c r="J892" s="1">
        <v>122.15</v>
      </c>
      <c r="K892">
        <v>133387061.90000001</v>
      </c>
      <c r="L892">
        <v>1111661</v>
      </c>
      <c r="M892" t="s">
        <v>78</v>
      </c>
      <c r="N892" t="s">
        <v>17</v>
      </c>
      <c r="O892">
        <v>14484</v>
      </c>
      <c r="P892">
        <v>123.65</v>
      </c>
      <c r="Q892">
        <v>45.05</v>
      </c>
    </row>
    <row r="893" spans="2:17" x14ac:dyDescent="0.25">
      <c r="B893" t="s">
        <v>78</v>
      </c>
      <c r="C893" t="s">
        <v>79</v>
      </c>
      <c r="D893" t="s">
        <v>1738</v>
      </c>
      <c r="E893" t="s">
        <v>1739</v>
      </c>
      <c r="F893">
        <v>60.45</v>
      </c>
      <c r="G893">
        <v>59.25</v>
      </c>
      <c r="H893">
        <v>62.65</v>
      </c>
      <c r="I893">
        <v>58.5</v>
      </c>
      <c r="J893" s="1">
        <v>62.35</v>
      </c>
      <c r="K893">
        <v>144002898.05000001</v>
      </c>
      <c r="L893">
        <v>2350245</v>
      </c>
      <c r="M893" t="s">
        <v>78</v>
      </c>
      <c r="N893" t="s">
        <v>17</v>
      </c>
      <c r="O893">
        <v>9288</v>
      </c>
      <c r="P893">
        <v>65.2</v>
      </c>
      <c r="Q893">
        <v>17.149999999999999</v>
      </c>
    </row>
    <row r="894" spans="2:17" x14ac:dyDescent="0.25">
      <c r="B894" t="s">
        <v>78</v>
      </c>
      <c r="C894" t="s">
        <v>79</v>
      </c>
      <c r="D894" t="s">
        <v>1740</v>
      </c>
      <c r="E894" t="s">
        <v>1741</v>
      </c>
      <c r="F894">
        <v>58.35</v>
      </c>
      <c r="G894">
        <v>58.55</v>
      </c>
      <c r="H894">
        <v>64.150000000000006</v>
      </c>
      <c r="I894">
        <v>58.35</v>
      </c>
      <c r="J894" s="1">
        <v>64.150000000000006</v>
      </c>
      <c r="K894">
        <v>10434063.449999999</v>
      </c>
      <c r="L894">
        <v>164499</v>
      </c>
      <c r="M894" t="s">
        <v>78</v>
      </c>
      <c r="N894" t="s">
        <v>17</v>
      </c>
      <c r="O894">
        <v>1221</v>
      </c>
      <c r="P894">
        <v>64.150000000000006</v>
      </c>
      <c r="Q894">
        <v>10.75</v>
      </c>
    </row>
    <row r="895" spans="2:17" x14ac:dyDescent="0.25">
      <c r="B895" t="s">
        <v>78</v>
      </c>
      <c r="C895" t="s">
        <v>79</v>
      </c>
      <c r="D895" t="s">
        <v>1742</v>
      </c>
      <c r="E895" t="s">
        <v>1743</v>
      </c>
      <c r="F895">
        <v>88.15</v>
      </c>
      <c r="G895">
        <v>85.6</v>
      </c>
      <c r="H895">
        <v>92.55</v>
      </c>
      <c r="I895">
        <v>84</v>
      </c>
      <c r="J895" s="1">
        <v>92.45</v>
      </c>
      <c r="K895">
        <v>55738813.850000001</v>
      </c>
      <c r="L895">
        <v>614519</v>
      </c>
      <c r="M895" t="s">
        <v>78</v>
      </c>
      <c r="N895" t="s">
        <v>17</v>
      </c>
      <c r="O895">
        <v>7452</v>
      </c>
      <c r="P895">
        <v>107.95</v>
      </c>
      <c r="Q895">
        <v>42.05</v>
      </c>
    </row>
    <row r="896" spans="2:17" x14ac:dyDescent="0.25">
      <c r="B896" t="s">
        <v>78</v>
      </c>
      <c r="C896" t="s">
        <v>79</v>
      </c>
      <c r="D896" t="s">
        <v>1744</v>
      </c>
      <c r="E896" t="s">
        <v>1745</v>
      </c>
      <c r="F896">
        <v>56.8</v>
      </c>
      <c r="G896">
        <v>56.65</v>
      </c>
      <c r="H896">
        <v>57.7</v>
      </c>
      <c r="I896">
        <v>55.8</v>
      </c>
      <c r="J896" s="1">
        <v>56.45</v>
      </c>
      <c r="K896">
        <v>95562361.200000003</v>
      </c>
      <c r="L896">
        <v>1688845</v>
      </c>
      <c r="M896" t="s">
        <v>78</v>
      </c>
      <c r="N896" t="s">
        <v>17</v>
      </c>
      <c r="O896">
        <v>6827</v>
      </c>
      <c r="P896">
        <v>266</v>
      </c>
      <c r="Q896">
        <v>48.5</v>
      </c>
    </row>
    <row r="897" spans="2:17" x14ac:dyDescent="0.25">
      <c r="B897" t="s">
        <v>78</v>
      </c>
      <c r="C897" t="s">
        <v>79</v>
      </c>
      <c r="D897" t="s">
        <v>1746</v>
      </c>
      <c r="E897" t="s">
        <v>1747</v>
      </c>
      <c r="F897">
        <v>88.1</v>
      </c>
      <c r="G897">
        <v>87.95</v>
      </c>
      <c r="H897">
        <v>90.9</v>
      </c>
      <c r="I897">
        <v>87.5</v>
      </c>
      <c r="J897" s="1">
        <v>88.45</v>
      </c>
      <c r="K897">
        <v>328667218</v>
      </c>
      <c r="L897">
        <v>3691112</v>
      </c>
      <c r="M897" t="s">
        <v>78</v>
      </c>
      <c r="N897" t="s">
        <v>17</v>
      </c>
      <c r="O897">
        <v>15084</v>
      </c>
      <c r="P897">
        <v>97.6</v>
      </c>
      <c r="Q897">
        <v>34.35</v>
      </c>
    </row>
    <row r="898" spans="2:17" x14ac:dyDescent="0.25">
      <c r="B898" t="s">
        <v>78</v>
      </c>
      <c r="C898" t="s">
        <v>287</v>
      </c>
      <c r="D898" t="s">
        <v>1748</v>
      </c>
      <c r="E898" t="s">
        <v>1749</v>
      </c>
      <c r="F898">
        <v>28</v>
      </c>
      <c r="G898">
        <v>26.6</v>
      </c>
      <c r="H898">
        <v>29.4</v>
      </c>
      <c r="I898">
        <v>26.6</v>
      </c>
      <c r="J898" s="1">
        <v>29.4</v>
      </c>
      <c r="K898">
        <v>2443500</v>
      </c>
      <c r="L898">
        <v>87000</v>
      </c>
      <c r="M898" t="s">
        <v>78</v>
      </c>
      <c r="N898" t="s">
        <v>17</v>
      </c>
      <c r="O898">
        <v>29</v>
      </c>
      <c r="P898">
        <v>32.450000000000003</v>
      </c>
      <c r="Q898">
        <v>5.5</v>
      </c>
    </row>
    <row r="899" spans="2:17" x14ac:dyDescent="0.25">
      <c r="B899" t="s">
        <v>78</v>
      </c>
      <c r="C899" t="s">
        <v>79</v>
      </c>
      <c r="D899" t="s">
        <v>1750</v>
      </c>
      <c r="E899" t="s">
        <v>1751</v>
      </c>
      <c r="F899">
        <v>878.85</v>
      </c>
      <c r="G899">
        <v>884.95</v>
      </c>
      <c r="H899">
        <v>893.4</v>
      </c>
      <c r="I899">
        <v>862</v>
      </c>
      <c r="J899" s="1">
        <v>868.9</v>
      </c>
      <c r="K899">
        <v>19334551.199999999</v>
      </c>
      <c r="L899">
        <v>21945</v>
      </c>
      <c r="M899" t="s">
        <v>78</v>
      </c>
      <c r="N899" t="s">
        <v>17</v>
      </c>
      <c r="O899">
        <v>4406</v>
      </c>
      <c r="P899">
        <v>1110.8499999999999</v>
      </c>
      <c r="Q899">
        <v>620</v>
      </c>
    </row>
    <row r="900" spans="2:17" x14ac:dyDescent="0.25">
      <c r="B900" t="s">
        <v>78</v>
      </c>
      <c r="C900" t="s">
        <v>79</v>
      </c>
      <c r="D900" t="s">
        <v>1752</v>
      </c>
      <c r="E900" t="s">
        <v>1753</v>
      </c>
      <c r="F900">
        <v>2483.5</v>
      </c>
      <c r="G900">
        <v>2470</v>
      </c>
      <c r="H900">
        <v>2536.85</v>
      </c>
      <c r="I900">
        <v>2450.0500000000002</v>
      </c>
      <c r="J900" s="1">
        <v>2491.25</v>
      </c>
      <c r="K900">
        <v>841814500.25</v>
      </c>
      <c r="L900">
        <v>337057</v>
      </c>
      <c r="M900" t="s">
        <v>78</v>
      </c>
      <c r="N900" t="s">
        <v>17</v>
      </c>
      <c r="O900">
        <v>23011</v>
      </c>
      <c r="P900">
        <v>2536.85</v>
      </c>
      <c r="Q900">
        <v>412.55</v>
      </c>
    </row>
    <row r="901" spans="2:17" x14ac:dyDescent="0.25">
      <c r="B901" t="s">
        <v>78</v>
      </c>
      <c r="C901" t="s">
        <v>79</v>
      </c>
      <c r="D901" t="s">
        <v>1754</v>
      </c>
      <c r="E901" t="s">
        <v>1755</v>
      </c>
      <c r="F901">
        <v>1109</v>
      </c>
      <c r="G901">
        <v>1125</v>
      </c>
      <c r="H901">
        <v>1125</v>
      </c>
      <c r="I901">
        <v>1090</v>
      </c>
      <c r="J901" s="1">
        <v>1094.8499999999999</v>
      </c>
      <c r="K901">
        <v>16397872.550000001</v>
      </c>
      <c r="L901">
        <v>14858</v>
      </c>
      <c r="M901" t="s">
        <v>78</v>
      </c>
      <c r="N901" t="s">
        <v>17</v>
      </c>
      <c r="O901">
        <v>1793</v>
      </c>
      <c r="P901">
        <v>1242</v>
      </c>
      <c r="Q901">
        <v>380</v>
      </c>
    </row>
    <row r="902" spans="2:17" x14ac:dyDescent="0.25">
      <c r="B902" t="s">
        <v>78</v>
      </c>
      <c r="C902" t="s">
        <v>79</v>
      </c>
      <c r="D902" t="s">
        <v>1756</v>
      </c>
      <c r="E902" t="s">
        <v>1757</v>
      </c>
      <c r="F902">
        <v>268.8</v>
      </c>
      <c r="G902">
        <v>267.2</v>
      </c>
      <c r="H902">
        <v>271.85000000000002</v>
      </c>
      <c r="I902">
        <v>266.25</v>
      </c>
      <c r="J902" s="1">
        <v>267</v>
      </c>
      <c r="K902">
        <v>87141290.049999997</v>
      </c>
      <c r="L902">
        <v>324186</v>
      </c>
      <c r="M902" t="s">
        <v>78</v>
      </c>
      <c r="N902" t="s">
        <v>17</v>
      </c>
      <c r="O902">
        <v>8609</v>
      </c>
      <c r="P902">
        <v>289.7</v>
      </c>
      <c r="Q902">
        <v>97.15</v>
      </c>
    </row>
    <row r="903" spans="2:17" x14ac:dyDescent="0.25">
      <c r="B903" t="s">
        <v>78</v>
      </c>
      <c r="C903" t="s">
        <v>79</v>
      </c>
      <c r="D903" t="s">
        <v>1758</v>
      </c>
      <c r="E903" t="s">
        <v>1759</v>
      </c>
      <c r="F903">
        <v>73.2</v>
      </c>
      <c r="G903">
        <v>72.900000000000006</v>
      </c>
      <c r="H903">
        <v>72.900000000000006</v>
      </c>
      <c r="I903">
        <v>71.75</v>
      </c>
      <c r="J903" s="1">
        <v>72.2</v>
      </c>
      <c r="K903">
        <v>17517457.350000001</v>
      </c>
      <c r="L903">
        <v>242297</v>
      </c>
      <c r="M903" t="s">
        <v>78</v>
      </c>
      <c r="N903" t="s">
        <v>17</v>
      </c>
      <c r="O903">
        <v>2094</v>
      </c>
      <c r="P903">
        <v>77.349999999999994</v>
      </c>
      <c r="Q903">
        <v>52.35</v>
      </c>
    </row>
    <row r="904" spans="2:17" x14ac:dyDescent="0.25">
      <c r="B904" t="s">
        <v>78</v>
      </c>
      <c r="C904" t="s">
        <v>79</v>
      </c>
      <c r="D904" t="s">
        <v>1760</v>
      </c>
      <c r="E904" t="s">
        <v>1761</v>
      </c>
      <c r="F904">
        <v>79.400000000000006</v>
      </c>
      <c r="G904">
        <v>79</v>
      </c>
      <c r="H904">
        <v>82.5</v>
      </c>
      <c r="I904">
        <v>78.3</v>
      </c>
      <c r="J904" s="1">
        <v>80.849999999999994</v>
      </c>
      <c r="K904">
        <v>40426790.75</v>
      </c>
      <c r="L904">
        <v>504311</v>
      </c>
      <c r="M904" t="s">
        <v>78</v>
      </c>
      <c r="N904" t="s">
        <v>17</v>
      </c>
      <c r="O904">
        <v>9362</v>
      </c>
      <c r="P904">
        <v>83.9</v>
      </c>
      <c r="Q904">
        <v>32.4</v>
      </c>
    </row>
    <row r="905" spans="2:17" x14ac:dyDescent="0.25">
      <c r="B905" t="s">
        <v>78</v>
      </c>
      <c r="C905" t="s">
        <v>79</v>
      </c>
      <c r="D905" t="s">
        <v>1762</v>
      </c>
      <c r="E905" t="s">
        <v>1763</v>
      </c>
      <c r="F905">
        <v>491.4</v>
      </c>
      <c r="G905">
        <v>495</v>
      </c>
      <c r="H905">
        <v>509</v>
      </c>
      <c r="I905">
        <v>493.5</v>
      </c>
      <c r="J905" s="1">
        <v>502.15</v>
      </c>
      <c r="K905">
        <v>43457994.25</v>
      </c>
      <c r="L905">
        <v>86419</v>
      </c>
      <c r="M905" t="s">
        <v>78</v>
      </c>
      <c r="N905" t="s">
        <v>17</v>
      </c>
      <c r="O905">
        <v>4907</v>
      </c>
      <c r="P905">
        <v>546</v>
      </c>
      <c r="Q905">
        <v>210.15</v>
      </c>
    </row>
    <row r="906" spans="2:17" x14ac:dyDescent="0.25">
      <c r="B906" t="s">
        <v>78</v>
      </c>
      <c r="C906" t="s">
        <v>79</v>
      </c>
      <c r="D906" t="s">
        <v>1764</v>
      </c>
      <c r="E906" t="s">
        <v>1765</v>
      </c>
      <c r="F906">
        <v>616.45000000000005</v>
      </c>
      <c r="G906">
        <v>621</v>
      </c>
      <c r="H906">
        <v>621.1</v>
      </c>
      <c r="I906">
        <v>601.1</v>
      </c>
      <c r="J906" s="1">
        <v>604.54999999999995</v>
      </c>
      <c r="K906">
        <v>4112138.75</v>
      </c>
      <c r="L906">
        <v>6770</v>
      </c>
      <c r="M906" t="s">
        <v>78</v>
      </c>
      <c r="N906" t="s">
        <v>17</v>
      </c>
      <c r="O906">
        <v>802</v>
      </c>
      <c r="P906">
        <v>752.95</v>
      </c>
      <c r="Q906">
        <v>298</v>
      </c>
    </row>
    <row r="907" spans="2:17" x14ac:dyDescent="0.25">
      <c r="B907" t="s">
        <v>78</v>
      </c>
      <c r="C907" t="s">
        <v>79</v>
      </c>
      <c r="D907" t="s">
        <v>1766</v>
      </c>
      <c r="E907" t="s">
        <v>1767</v>
      </c>
      <c r="F907">
        <v>260.3</v>
      </c>
      <c r="G907">
        <v>258</v>
      </c>
      <c r="H907">
        <v>263</v>
      </c>
      <c r="I907">
        <v>256</v>
      </c>
      <c r="J907" s="1">
        <v>257.95</v>
      </c>
      <c r="K907">
        <v>159143058.40000001</v>
      </c>
      <c r="L907">
        <v>613857</v>
      </c>
      <c r="M907" t="s">
        <v>78</v>
      </c>
      <c r="N907" t="s">
        <v>17</v>
      </c>
      <c r="O907">
        <v>9271</v>
      </c>
      <c r="P907">
        <v>296</v>
      </c>
      <c r="Q907">
        <v>164</v>
      </c>
    </row>
    <row r="908" spans="2:17" x14ac:dyDescent="0.25">
      <c r="B908" t="s">
        <v>78</v>
      </c>
      <c r="C908" t="s">
        <v>79</v>
      </c>
      <c r="D908" t="s">
        <v>1768</v>
      </c>
      <c r="E908" t="s">
        <v>1769</v>
      </c>
      <c r="F908">
        <v>124.15</v>
      </c>
      <c r="G908">
        <v>129.9</v>
      </c>
      <c r="H908">
        <v>129.9</v>
      </c>
      <c r="I908">
        <v>122</v>
      </c>
      <c r="J908" s="1">
        <v>124.15</v>
      </c>
      <c r="K908">
        <v>371102.15</v>
      </c>
      <c r="L908">
        <v>2966</v>
      </c>
      <c r="M908" t="s">
        <v>78</v>
      </c>
      <c r="N908" t="s">
        <v>17</v>
      </c>
      <c r="O908">
        <v>100</v>
      </c>
      <c r="P908">
        <v>135</v>
      </c>
      <c r="Q908">
        <v>76.05</v>
      </c>
    </row>
    <row r="909" spans="2:17" x14ac:dyDescent="0.25">
      <c r="B909" t="s">
        <v>78</v>
      </c>
      <c r="C909" t="s">
        <v>79</v>
      </c>
      <c r="D909" t="s">
        <v>1770</v>
      </c>
      <c r="E909" t="s">
        <v>1771</v>
      </c>
      <c r="F909">
        <v>23.85</v>
      </c>
      <c r="G909">
        <v>23.7</v>
      </c>
      <c r="H909">
        <v>24.5</v>
      </c>
      <c r="I909">
        <v>23.5</v>
      </c>
      <c r="J909" s="1">
        <v>24</v>
      </c>
      <c r="K909">
        <v>3272878.35</v>
      </c>
      <c r="L909">
        <v>135999</v>
      </c>
      <c r="M909" t="s">
        <v>78</v>
      </c>
      <c r="N909" t="s">
        <v>17</v>
      </c>
      <c r="O909">
        <v>732</v>
      </c>
      <c r="P909">
        <v>29.85</v>
      </c>
      <c r="Q909">
        <v>6.55</v>
      </c>
    </row>
    <row r="910" spans="2:17" x14ac:dyDescent="0.25">
      <c r="B910" t="s">
        <v>78</v>
      </c>
      <c r="C910" t="s">
        <v>79</v>
      </c>
      <c r="D910" t="s">
        <v>1772</v>
      </c>
      <c r="E910" t="s">
        <v>1773</v>
      </c>
      <c r="F910">
        <v>61.5</v>
      </c>
      <c r="G910">
        <v>61.85</v>
      </c>
      <c r="H910">
        <v>64.900000000000006</v>
      </c>
      <c r="I910">
        <v>59.1</v>
      </c>
      <c r="J910" s="1">
        <v>64.099999999999994</v>
      </c>
      <c r="K910">
        <v>32166520.899999999</v>
      </c>
      <c r="L910">
        <v>514780</v>
      </c>
      <c r="M910" t="s">
        <v>78</v>
      </c>
      <c r="N910" t="s">
        <v>17</v>
      </c>
      <c r="O910">
        <v>5037</v>
      </c>
      <c r="P910">
        <v>116</v>
      </c>
      <c r="Q910">
        <v>54.3</v>
      </c>
    </row>
    <row r="911" spans="2:17" x14ac:dyDescent="0.25">
      <c r="B911" t="s">
        <v>78</v>
      </c>
      <c r="C911" t="s">
        <v>79</v>
      </c>
      <c r="D911" t="s">
        <v>1774</v>
      </c>
      <c r="E911" t="s">
        <v>1775</v>
      </c>
      <c r="F911">
        <v>1717.5</v>
      </c>
      <c r="G911">
        <v>1692</v>
      </c>
      <c r="H911">
        <v>1847.9</v>
      </c>
      <c r="I911">
        <v>1681.25</v>
      </c>
      <c r="J911" s="1">
        <v>1777.7</v>
      </c>
      <c r="K911">
        <v>4929459828.75</v>
      </c>
      <c r="L911">
        <v>2764674</v>
      </c>
      <c r="M911" t="s">
        <v>78</v>
      </c>
      <c r="N911" t="s">
        <v>17</v>
      </c>
      <c r="O911">
        <v>127244</v>
      </c>
      <c r="P911">
        <v>1875</v>
      </c>
      <c r="Q911">
        <v>1355</v>
      </c>
    </row>
    <row r="912" spans="2:17" x14ac:dyDescent="0.25">
      <c r="B912" t="s">
        <v>78</v>
      </c>
      <c r="C912" t="s">
        <v>287</v>
      </c>
      <c r="D912" t="s">
        <v>1776</v>
      </c>
      <c r="E912" t="s">
        <v>1777</v>
      </c>
      <c r="F912">
        <v>21.05</v>
      </c>
      <c r="G912">
        <v>21</v>
      </c>
      <c r="H912">
        <v>21</v>
      </c>
      <c r="I912">
        <v>21</v>
      </c>
      <c r="J912" s="1">
        <v>21</v>
      </c>
      <c r="K912">
        <v>42000</v>
      </c>
      <c r="L912">
        <v>2000</v>
      </c>
      <c r="M912" t="s">
        <v>78</v>
      </c>
      <c r="N912" t="s">
        <v>17</v>
      </c>
      <c r="O912">
        <v>1</v>
      </c>
      <c r="P912">
        <v>29.95</v>
      </c>
      <c r="Q912">
        <v>16.5</v>
      </c>
    </row>
    <row r="913" spans="2:17" x14ac:dyDescent="0.25">
      <c r="B913" t="s">
        <v>78</v>
      </c>
      <c r="C913" t="s">
        <v>79</v>
      </c>
      <c r="D913" t="s">
        <v>1778</v>
      </c>
      <c r="E913" t="s">
        <v>1779</v>
      </c>
      <c r="F913">
        <v>80.05</v>
      </c>
      <c r="G913">
        <v>79.7</v>
      </c>
      <c r="H913">
        <v>83</v>
      </c>
      <c r="I913">
        <v>78.5</v>
      </c>
      <c r="J913" s="1">
        <v>81.5</v>
      </c>
      <c r="K913">
        <v>13770506.300000001</v>
      </c>
      <c r="L913">
        <v>170785</v>
      </c>
      <c r="M913" t="s">
        <v>78</v>
      </c>
      <c r="N913" t="s">
        <v>17</v>
      </c>
      <c r="O913">
        <v>5583</v>
      </c>
      <c r="P913">
        <v>85.45</v>
      </c>
      <c r="Q913">
        <v>36.799999999999997</v>
      </c>
    </row>
    <row r="914" spans="2:17" x14ac:dyDescent="0.25">
      <c r="B914" t="s">
        <v>78</v>
      </c>
      <c r="C914" t="s">
        <v>79</v>
      </c>
      <c r="D914" t="s">
        <v>1780</v>
      </c>
      <c r="E914" t="s">
        <v>1781</v>
      </c>
      <c r="F914">
        <v>26.5</v>
      </c>
      <c r="G914">
        <v>25.95</v>
      </c>
      <c r="H914">
        <v>27</v>
      </c>
      <c r="I914">
        <v>25.8</v>
      </c>
      <c r="J914" s="1">
        <v>26.05</v>
      </c>
      <c r="K914">
        <v>6246406.9000000004</v>
      </c>
      <c r="L914">
        <v>237710</v>
      </c>
      <c r="M914" t="s">
        <v>78</v>
      </c>
      <c r="N914" t="s">
        <v>17</v>
      </c>
      <c r="O914">
        <v>1292</v>
      </c>
      <c r="P914">
        <v>28.4</v>
      </c>
      <c r="Q914">
        <v>12.05</v>
      </c>
    </row>
    <row r="915" spans="2:17" x14ac:dyDescent="0.25">
      <c r="B915" t="s">
        <v>78</v>
      </c>
      <c r="C915" t="s">
        <v>79</v>
      </c>
      <c r="D915" t="s">
        <v>1782</v>
      </c>
      <c r="E915" t="s">
        <v>1783</v>
      </c>
      <c r="F915">
        <v>2833.95</v>
      </c>
      <c r="G915">
        <v>2833.95</v>
      </c>
      <c r="H915">
        <v>2882.15</v>
      </c>
      <c r="I915">
        <v>2770.05</v>
      </c>
      <c r="J915" s="1">
        <v>2803.35</v>
      </c>
      <c r="K915">
        <v>324224522.14999998</v>
      </c>
      <c r="L915">
        <v>114288</v>
      </c>
      <c r="M915" t="s">
        <v>78</v>
      </c>
      <c r="N915" t="s">
        <v>17</v>
      </c>
      <c r="O915">
        <v>11931</v>
      </c>
      <c r="P915">
        <v>3144.45</v>
      </c>
      <c r="Q915">
        <v>1421.25</v>
      </c>
    </row>
    <row r="916" spans="2:17" x14ac:dyDescent="0.25">
      <c r="B916" t="s">
        <v>78</v>
      </c>
      <c r="C916" t="s">
        <v>79</v>
      </c>
      <c r="D916" t="s">
        <v>1784</v>
      </c>
      <c r="E916" t="s">
        <v>1785</v>
      </c>
      <c r="F916">
        <v>1064.5</v>
      </c>
      <c r="G916">
        <v>1064.5</v>
      </c>
      <c r="H916">
        <v>1071.25</v>
      </c>
      <c r="I916">
        <v>1047.0999999999999</v>
      </c>
      <c r="J916" s="1">
        <v>1065</v>
      </c>
      <c r="K916">
        <v>387057396.80000001</v>
      </c>
      <c r="L916">
        <v>365562</v>
      </c>
      <c r="M916" t="s">
        <v>78</v>
      </c>
      <c r="N916" t="s">
        <v>17</v>
      </c>
      <c r="O916">
        <v>13895</v>
      </c>
      <c r="P916">
        <v>1097.55</v>
      </c>
      <c r="Q916">
        <v>514.9</v>
      </c>
    </row>
    <row r="917" spans="2:17" x14ac:dyDescent="0.25">
      <c r="B917" t="s">
        <v>78</v>
      </c>
      <c r="C917" t="s">
        <v>79</v>
      </c>
      <c r="D917" t="s">
        <v>1786</v>
      </c>
      <c r="E917" t="s">
        <v>1787</v>
      </c>
      <c r="F917">
        <v>56.35</v>
      </c>
      <c r="G917">
        <v>56.05</v>
      </c>
      <c r="H917">
        <v>57.6</v>
      </c>
      <c r="I917">
        <v>55.1</v>
      </c>
      <c r="J917" s="1">
        <v>57.05</v>
      </c>
      <c r="K917">
        <v>1974772.65</v>
      </c>
      <c r="L917">
        <v>34802</v>
      </c>
      <c r="M917" t="s">
        <v>78</v>
      </c>
      <c r="N917" t="s">
        <v>17</v>
      </c>
      <c r="O917">
        <v>327</v>
      </c>
      <c r="P917">
        <v>66.5</v>
      </c>
      <c r="Q917">
        <v>35.200000000000003</v>
      </c>
    </row>
    <row r="918" spans="2:17" x14ac:dyDescent="0.25">
      <c r="B918" t="s">
        <v>78</v>
      </c>
      <c r="C918" t="s">
        <v>79</v>
      </c>
      <c r="D918" t="s">
        <v>1788</v>
      </c>
      <c r="E918" t="s">
        <v>1789</v>
      </c>
      <c r="F918">
        <v>1152.75</v>
      </c>
      <c r="G918">
        <v>1154</v>
      </c>
      <c r="H918">
        <v>1158.7</v>
      </c>
      <c r="I918">
        <v>1138.05</v>
      </c>
      <c r="J918" s="1">
        <v>1148.75</v>
      </c>
      <c r="K918">
        <v>429688904.10000002</v>
      </c>
      <c r="L918">
        <v>373234</v>
      </c>
      <c r="M918" t="s">
        <v>78</v>
      </c>
      <c r="N918" t="s">
        <v>17</v>
      </c>
      <c r="O918">
        <v>16252</v>
      </c>
      <c r="P918">
        <v>1284.4000000000001</v>
      </c>
      <c r="Q918">
        <v>779.65</v>
      </c>
    </row>
    <row r="919" spans="2:17" x14ac:dyDescent="0.25">
      <c r="B919" t="s">
        <v>78</v>
      </c>
      <c r="C919" t="s">
        <v>287</v>
      </c>
      <c r="D919" t="s">
        <v>1790</v>
      </c>
      <c r="E919" t="s">
        <v>1791</v>
      </c>
      <c r="F919">
        <v>27.05</v>
      </c>
      <c r="G919">
        <v>26</v>
      </c>
      <c r="H919">
        <v>27.7</v>
      </c>
      <c r="I919">
        <v>25.8</v>
      </c>
      <c r="J919" s="1">
        <v>27.05</v>
      </c>
      <c r="K919">
        <v>811500</v>
      </c>
      <c r="L919">
        <v>30000</v>
      </c>
      <c r="M919" t="s">
        <v>78</v>
      </c>
      <c r="N919" t="s">
        <v>17</v>
      </c>
      <c r="O919">
        <v>10</v>
      </c>
      <c r="P919">
        <v>39.5</v>
      </c>
      <c r="Q919">
        <v>14.4</v>
      </c>
    </row>
    <row r="920" spans="2:17" x14ac:dyDescent="0.25">
      <c r="B920" t="s">
        <v>78</v>
      </c>
      <c r="C920" t="s">
        <v>79</v>
      </c>
      <c r="D920" t="s">
        <v>1792</v>
      </c>
      <c r="E920" t="s">
        <v>1793</v>
      </c>
      <c r="F920">
        <v>324.60000000000002</v>
      </c>
      <c r="G920">
        <v>319</v>
      </c>
      <c r="H920">
        <v>320.3</v>
      </c>
      <c r="I920">
        <v>306.60000000000002</v>
      </c>
      <c r="J920" s="1">
        <v>313.60000000000002</v>
      </c>
      <c r="K920">
        <v>156821978.44999999</v>
      </c>
      <c r="L920">
        <v>499811</v>
      </c>
      <c r="M920" t="s">
        <v>78</v>
      </c>
      <c r="N920" t="s">
        <v>17</v>
      </c>
      <c r="O920">
        <v>11941</v>
      </c>
      <c r="P920">
        <v>338.65</v>
      </c>
      <c r="Q920">
        <v>152.5</v>
      </c>
    </row>
    <row r="921" spans="2:17" x14ac:dyDescent="0.25">
      <c r="B921" t="s">
        <v>78</v>
      </c>
      <c r="C921" t="s">
        <v>79</v>
      </c>
      <c r="D921" t="s">
        <v>1794</v>
      </c>
      <c r="E921" t="s">
        <v>1795</v>
      </c>
      <c r="F921">
        <v>199.4</v>
      </c>
      <c r="G921">
        <v>198.1</v>
      </c>
      <c r="H921">
        <v>201.15</v>
      </c>
      <c r="I921">
        <v>198</v>
      </c>
      <c r="J921" s="1">
        <v>198.35</v>
      </c>
      <c r="K921">
        <v>58101026.850000001</v>
      </c>
      <c r="L921">
        <v>291782</v>
      </c>
      <c r="M921" t="s">
        <v>78</v>
      </c>
      <c r="N921" t="s">
        <v>17</v>
      </c>
      <c r="O921">
        <v>4937</v>
      </c>
      <c r="P921">
        <v>236</v>
      </c>
      <c r="Q921">
        <v>172.8</v>
      </c>
    </row>
    <row r="922" spans="2:17" x14ac:dyDescent="0.25">
      <c r="B922" t="s">
        <v>78</v>
      </c>
      <c r="C922" t="s">
        <v>79</v>
      </c>
      <c r="D922" t="s">
        <v>1796</v>
      </c>
      <c r="E922" t="s">
        <v>1797</v>
      </c>
      <c r="F922">
        <v>143.1</v>
      </c>
      <c r="G922">
        <v>141</v>
      </c>
      <c r="H922">
        <v>143.80000000000001</v>
      </c>
      <c r="I922">
        <v>137.15</v>
      </c>
      <c r="J922" s="1">
        <v>138.80000000000001</v>
      </c>
      <c r="K922">
        <v>81244757.849999994</v>
      </c>
      <c r="L922">
        <v>579371</v>
      </c>
      <c r="M922" t="s">
        <v>78</v>
      </c>
      <c r="N922" t="s">
        <v>17</v>
      </c>
      <c r="O922">
        <v>8513</v>
      </c>
      <c r="P922">
        <v>148.1</v>
      </c>
      <c r="Q922">
        <v>65.099999999999994</v>
      </c>
    </row>
    <row r="923" spans="2:17" x14ac:dyDescent="0.25">
      <c r="B923" t="s">
        <v>78</v>
      </c>
      <c r="C923" t="s">
        <v>79</v>
      </c>
      <c r="D923" t="s">
        <v>1798</v>
      </c>
      <c r="E923" t="s">
        <v>1799</v>
      </c>
      <c r="F923">
        <v>719.9</v>
      </c>
      <c r="G923">
        <v>714</v>
      </c>
      <c r="H923">
        <v>742</v>
      </c>
      <c r="I923">
        <v>705.65</v>
      </c>
      <c r="J923" s="1">
        <v>723.95</v>
      </c>
      <c r="K923">
        <v>335200297.44999999</v>
      </c>
      <c r="L923">
        <v>459416</v>
      </c>
      <c r="M923" t="s">
        <v>78</v>
      </c>
      <c r="N923" t="s">
        <v>17</v>
      </c>
      <c r="O923">
        <v>17746</v>
      </c>
      <c r="P923">
        <v>742</v>
      </c>
      <c r="Q923">
        <v>275</v>
      </c>
    </row>
    <row r="924" spans="2:17" x14ac:dyDescent="0.25">
      <c r="B924" t="s">
        <v>78</v>
      </c>
      <c r="C924" t="s">
        <v>618</v>
      </c>
      <c r="D924" t="s">
        <v>1800</v>
      </c>
      <c r="E924" t="s">
        <v>1801</v>
      </c>
      <c r="F924">
        <v>281.42</v>
      </c>
      <c r="G924">
        <v>282</v>
      </c>
      <c r="H924">
        <v>287.49</v>
      </c>
      <c r="I924">
        <v>280.05</v>
      </c>
      <c r="J924" s="1">
        <v>285.56</v>
      </c>
      <c r="K924">
        <v>120070180</v>
      </c>
      <c r="L924">
        <v>421400</v>
      </c>
      <c r="M924" t="s">
        <v>78</v>
      </c>
      <c r="N924" t="s">
        <v>17</v>
      </c>
      <c r="O924">
        <v>1003</v>
      </c>
      <c r="P924">
        <v>342</v>
      </c>
      <c r="Q924">
        <v>274.95</v>
      </c>
    </row>
    <row r="925" spans="2:17" x14ac:dyDescent="0.25">
      <c r="B925" t="s">
        <v>78</v>
      </c>
      <c r="C925" t="s">
        <v>79</v>
      </c>
      <c r="D925" t="s">
        <v>1802</v>
      </c>
      <c r="E925" t="s">
        <v>1803</v>
      </c>
      <c r="F925">
        <v>91.6</v>
      </c>
      <c r="G925">
        <v>93</v>
      </c>
      <c r="H925">
        <v>96.15</v>
      </c>
      <c r="I925">
        <v>90</v>
      </c>
      <c r="J925" s="1">
        <v>96.15</v>
      </c>
      <c r="K925">
        <v>7343295.5999999996</v>
      </c>
      <c r="L925">
        <v>77385</v>
      </c>
      <c r="M925" t="s">
        <v>78</v>
      </c>
      <c r="N925" t="s">
        <v>17</v>
      </c>
      <c r="O925">
        <v>948</v>
      </c>
      <c r="P925">
        <v>96.15</v>
      </c>
      <c r="Q925">
        <v>22</v>
      </c>
    </row>
    <row r="926" spans="2:17" x14ac:dyDescent="0.25">
      <c r="B926" t="s">
        <v>78</v>
      </c>
      <c r="C926" t="s">
        <v>79</v>
      </c>
      <c r="D926" t="s">
        <v>1804</v>
      </c>
      <c r="E926" t="s">
        <v>1805</v>
      </c>
      <c r="F926">
        <v>2736.2</v>
      </c>
      <c r="G926">
        <v>2734.4</v>
      </c>
      <c r="H926">
        <v>2793.55</v>
      </c>
      <c r="I926">
        <v>2714.35</v>
      </c>
      <c r="J926" s="1">
        <v>2729.65</v>
      </c>
      <c r="K926">
        <v>2852525981.9000001</v>
      </c>
      <c r="L926">
        <v>1038483</v>
      </c>
      <c r="M926" t="s">
        <v>78</v>
      </c>
      <c r="N926" t="s">
        <v>17</v>
      </c>
      <c r="O926">
        <v>45448</v>
      </c>
      <c r="P926">
        <v>2793.55</v>
      </c>
      <c r="Q926">
        <v>1002</v>
      </c>
    </row>
    <row r="927" spans="2:17" x14ac:dyDescent="0.25">
      <c r="B927" t="s">
        <v>78</v>
      </c>
      <c r="C927" t="s">
        <v>79</v>
      </c>
      <c r="D927" t="s">
        <v>1806</v>
      </c>
      <c r="E927" t="s">
        <v>1807</v>
      </c>
      <c r="F927">
        <v>21.8</v>
      </c>
      <c r="G927">
        <v>21.55</v>
      </c>
      <c r="H927">
        <v>22.85</v>
      </c>
      <c r="I927">
        <v>21.5</v>
      </c>
      <c r="J927" s="1">
        <v>22.55</v>
      </c>
      <c r="K927">
        <v>24239909.199999999</v>
      </c>
      <c r="L927">
        <v>1076064</v>
      </c>
      <c r="M927" t="s">
        <v>78</v>
      </c>
      <c r="N927" t="s">
        <v>17</v>
      </c>
      <c r="O927">
        <v>1941</v>
      </c>
      <c r="P927">
        <v>25.5</v>
      </c>
      <c r="Q927">
        <v>7.45</v>
      </c>
    </row>
    <row r="928" spans="2:17" x14ac:dyDescent="0.25">
      <c r="B928" t="s">
        <v>78</v>
      </c>
      <c r="C928" t="s">
        <v>79</v>
      </c>
      <c r="D928" t="s">
        <v>1808</v>
      </c>
      <c r="E928" t="s">
        <v>1809</v>
      </c>
      <c r="F928">
        <v>56.65</v>
      </c>
      <c r="G928">
        <v>55.9</v>
      </c>
      <c r="H928">
        <v>57.6</v>
      </c>
      <c r="I928">
        <v>55.55</v>
      </c>
      <c r="J928" s="1">
        <v>56.45</v>
      </c>
      <c r="K928">
        <v>63674128.649999999</v>
      </c>
      <c r="L928">
        <v>1120873</v>
      </c>
      <c r="M928" t="s">
        <v>78</v>
      </c>
      <c r="N928" t="s">
        <v>17</v>
      </c>
      <c r="O928">
        <v>5694</v>
      </c>
      <c r="P928">
        <v>62.9</v>
      </c>
      <c r="Q928">
        <v>43</v>
      </c>
    </row>
    <row r="929" spans="2:17" x14ac:dyDescent="0.25">
      <c r="B929" t="s">
        <v>78</v>
      </c>
      <c r="C929" t="s">
        <v>287</v>
      </c>
      <c r="D929" t="s">
        <v>1810</v>
      </c>
      <c r="E929" t="s">
        <v>1811</v>
      </c>
      <c r="F929">
        <v>39.5</v>
      </c>
      <c r="G929">
        <v>39.5</v>
      </c>
      <c r="H929">
        <v>39.5</v>
      </c>
      <c r="I929">
        <v>39.5</v>
      </c>
      <c r="J929" s="1">
        <v>39.5</v>
      </c>
      <c r="K929">
        <v>1027000</v>
      </c>
      <c r="L929">
        <v>26000</v>
      </c>
      <c r="M929" t="s">
        <v>78</v>
      </c>
      <c r="N929" t="s">
        <v>17</v>
      </c>
      <c r="O929">
        <v>2</v>
      </c>
      <c r="P929">
        <v>42.15</v>
      </c>
      <c r="Q929">
        <v>33.1</v>
      </c>
    </row>
    <row r="930" spans="2:17" x14ac:dyDescent="0.25">
      <c r="B930" t="s">
        <v>78</v>
      </c>
      <c r="C930" t="s">
        <v>79</v>
      </c>
      <c r="D930" t="s">
        <v>1812</v>
      </c>
      <c r="E930" t="s">
        <v>1813</v>
      </c>
      <c r="F930">
        <v>12.2</v>
      </c>
      <c r="G930">
        <v>12.75</v>
      </c>
      <c r="H930">
        <v>12.75</v>
      </c>
      <c r="I930">
        <v>11.6</v>
      </c>
      <c r="J930" s="1">
        <v>11.85</v>
      </c>
      <c r="K930">
        <v>2688877.15</v>
      </c>
      <c r="L930">
        <v>221689</v>
      </c>
      <c r="M930" t="s">
        <v>78</v>
      </c>
      <c r="N930" t="s">
        <v>17</v>
      </c>
      <c r="O930">
        <v>532</v>
      </c>
      <c r="P930">
        <v>63.8</v>
      </c>
      <c r="Q930">
        <v>8.25</v>
      </c>
    </row>
    <row r="931" spans="2:17" x14ac:dyDescent="0.25">
      <c r="B931" t="s">
        <v>78</v>
      </c>
      <c r="C931" t="s">
        <v>79</v>
      </c>
      <c r="D931" t="s">
        <v>1814</v>
      </c>
      <c r="E931" t="s">
        <v>1815</v>
      </c>
      <c r="F931">
        <v>752.45</v>
      </c>
      <c r="G931">
        <v>752</v>
      </c>
      <c r="H931">
        <v>760</v>
      </c>
      <c r="I931">
        <v>736.9</v>
      </c>
      <c r="J931" s="1">
        <v>744.05</v>
      </c>
      <c r="K931">
        <v>6458605.0499999998</v>
      </c>
      <c r="L931">
        <v>8637</v>
      </c>
      <c r="M931" t="s">
        <v>78</v>
      </c>
      <c r="N931" t="s">
        <v>17</v>
      </c>
      <c r="O931">
        <v>833</v>
      </c>
      <c r="P931">
        <v>798</v>
      </c>
      <c r="Q931">
        <v>183.5</v>
      </c>
    </row>
    <row r="932" spans="2:17" x14ac:dyDescent="0.25">
      <c r="B932" t="s">
        <v>78</v>
      </c>
      <c r="C932" t="s">
        <v>79</v>
      </c>
      <c r="D932" t="s">
        <v>1816</v>
      </c>
      <c r="E932" t="s">
        <v>1817</v>
      </c>
      <c r="F932">
        <v>139.55000000000001</v>
      </c>
      <c r="G932">
        <v>139.55000000000001</v>
      </c>
      <c r="H932">
        <v>141.94999999999999</v>
      </c>
      <c r="I932">
        <v>136</v>
      </c>
      <c r="J932" s="1">
        <v>137.55000000000001</v>
      </c>
      <c r="K932">
        <v>8440630</v>
      </c>
      <c r="L932">
        <v>61277</v>
      </c>
      <c r="M932" t="s">
        <v>78</v>
      </c>
      <c r="N932" t="s">
        <v>17</v>
      </c>
      <c r="O932">
        <v>1697</v>
      </c>
      <c r="P932">
        <v>148</v>
      </c>
      <c r="Q932">
        <v>65.099999999999994</v>
      </c>
    </row>
    <row r="933" spans="2:17" x14ac:dyDescent="0.25">
      <c r="B933" t="s">
        <v>78</v>
      </c>
      <c r="C933" t="s">
        <v>79</v>
      </c>
      <c r="D933" t="s">
        <v>1818</v>
      </c>
      <c r="E933" t="s">
        <v>1819</v>
      </c>
      <c r="F933">
        <v>52.05</v>
      </c>
      <c r="G933">
        <v>51.65</v>
      </c>
      <c r="H933">
        <v>52.6</v>
      </c>
      <c r="I933">
        <v>51.15</v>
      </c>
      <c r="J933" s="1">
        <v>51.35</v>
      </c>
      <c r="K933">
        <v>117834398.09999999</v>
      </c>
      <c r="L933">
        <v>2274600</v>
      </c>
      <c r="M933" t="s">
        <v>78</v>
      </c>
      <c r="N933" t="s">
        <v>17</v>
      </c>
      <c r="O933">
        <v>9224</v>
      </c>
      <c r="P933">
        <v>63.95</v>
      </c>
      <c r="Q933">
        <v>15.7</v>
      </c>
    </row>
    <row r="934" spans="2:17" x14ac:dyDescent="0.25">
      <c r="B934" t="s">
        <v>78</v>
      </c>
      <c r="C934" t="s">
        <v>79</v>
      </c>
      <c r="D934" t="s">
        <v>1820</v>
      </c>
      <c r="E934" t="s">
        <v>1821</v>
      </c>
      <c r="F934">
        <v>87.85</v>
      </c>
      <c r="G934">
        <v>87.65</v>
      </c>
      <c r="H934">
        <v>89.85</v>
      </c>
      <c r="I934">
        <v>87.1</v>
      </c>
      <c r="J934" s="1">
        <v>88.95</v>
      </c>
      <c r="K934">
        <v>22842466.350000001</v>
      </c>
      <c r="L934">
        <v>257983</v>
      </c>
      <c r="M934" t="s">
        <v>78</v>
      </c>
      <c r="N934" t="s">
        <v>17</v>
      </c>
      <c r="O934">
        <v>4905</v>
      </c>
      <c r="P934">
        <v>95.75</v>
      </c>
      <c r="Q934">
        <v>52.05</v>
      </c>
    </row>
    <row r="935" spans="2:17" x14ac:dyDescent="0.25">
      <c r="B935" t="s">
        <v>78</v>
      </c>
      <c r="C935" t="s">
        <v>79</v>
      </c>
      <c r="D935" t="s">
        <v>1822</v>
      </c>
      <c r="E935" t="s">
        <v>1823</v>
      </c>
      <c r="F935">
        <v>9.6999999999999993</v>
      </c>
      <c r="G935">
        <v>9.5</v>
      </c>
      <c r="H935">
        <v>10</v>
      </c>
      <c r="I935">
        <v>9.5</v>
      </c>
      <c r="J935" s="1">
        <v>9.75</v>
      </c>
      <c r="K935">
        <v>601364.30000000005</v>
      </c>
      <c r="L935">
        <v>61637</v>
      </c>
      <c r="M935" t="s">
        <v>78</v>
      </c>
      <c r="N935" t="s">
        <v>17</v>
      </c>
      <c r="O935">
        <v>185</v>
      </c>
      <c r="P935">
        <v>14.65</v>
      </c>
      <c r="Q935">
        <v>5.95</v>
      </c>
    </row>
    <row r="936" spans="2:17" x14ac:dyDescent="0.25">
      <c r="B936" t="s">
        <v>78</v>
      </c>
      <c r="C936" t="s">
        <v>79</v>
      </c>
      <c r="D936" t="s">
        <v>1824</v>
      </c>
      <c r="E936" t="s">
        <v>1825</v>
      </c>
      <c r="F936">
        <v>188.95</v>
      </c>
      <c r="G936">
        <v>188.75</v>
      </c>
      <c r="H936">
        <v>189.45</v>
      </c>
      <c r="I936">
        <v>184.35</v>
      </c>
      <c r="J936" s="1">
        <v>185.7</v>
      </c>
      <c r="K936">
        <v>76733423.700000003</v>
      </c>
      <c r="L936">
        <v>410468</v>
      </c>
      <c r="M936" t="s">
        <v>78</v>
      </c>
      <c r="N936" t="s">
        <v>17</v>
      </c>
      <c r="O936">
        <v>6387</v>
      </c>
      <c r="P936">
        <v>207.95</v>
      </c>
      <c r="Q936">
        <v>120.6</v>
      </c>
    </row>
    <row r="937" spans="2:17" x14ac:dyDescent="0.25">
      <c r="B937" t="s">
        <v>78</v>
      </c>
      <c r="C937" t="s">
        <v>79</v>
      </c>
      <c r="D937" t="s">
        <v>1826</v>
      </c>
      <c r="E937" t="s">
        <v>1827</v>
      </c>
      <c r="F937">
        <v>26.1</v>
      </c>
      <c r="G937">
        <v>26.4</v>
      </c>
      <c r="H937">
        <v>26.75</v>
      </c>
      <c r="I937">
        <v>25.8</v>
      </c>
      <c r="J937" s="1">
        <v>26.55</v>
      </c>
      <c r="K937">
        <v>59018303.600000001</v>
      </c>
      <c r="L937">
        <v>2240665</v>
      </c>
      <c r="M937" t="s">
        <v>78</v>
      </c>
      <c r="N937" t="s">
        <v>17</v>
      </c>
      <c r="O937">
        <v>1195</v>
      </c>
      <c r="P937">
        <v>123.85</v>
      </c>
      <c r="Q937">
        <v>24</v>
      </c>
    </row>
    <row r="938" spans="2:17" x14ac:dyDescent="0.25">
      <c r="B938" t="s">
        <v>78</v>
      </c>
      <c r="C938" t="s">
        <v>79</v>
      </c>
      <c r="D938" t="s">
        <v>1828</v>
      </c>
      <c r="E938" t="s">
        <v>1829</v>
      </c>
      <c r="F938">
        <v>99.55</v>
      </c>
      <c r="G938">
        <v>98.6</v>
      </c>
      <c r="H938">
        <v>100.75</v>
      </c>
      <c r="I938">
        <v>96.9</v>
      </c>
      <c r="J938" s="1">
        <v>99.15</v>
      </c>
      <c r="K938">
        <v>15176424.050000001</v>
      </c>
      <c r="L938">
        <v>152593</v>
      </c>
      <c r="M938" t="s">
        <v>78</v>
      </c>
      <c r="N938" t="s">
        <v>17</v>
      </c>
      <c r="O938">
        <v>2893</v>
      </c>
      <c r="P938">
        <v>108</v>
      </c>
      <c r="Q938">
        <v>31.95</v>
      </c>
    </row>
    <row r="939" spans="2:17" x14ac:dyDescent="0.25">
      <c r="B939" t="s">
        <v>78</v>
      </c>
      <c r="C939" t="s">
        <v>862</v>
      </c>
      <c r="D939" t="s">
        <v>1830</v>
      </c>
      <c r="E939" t="s">
        <v>1831</v>
      </c>
      <c r="F939">
        <v>386.4</v>
      </c>
      <c r="G939">
        <v>385</v>
      </c>
      <c r="H939">
        <v>398.95</v>
      </c>
      <c r="I939">
        <v>366.75</v>
      </c>
      <c r="J939" s="1">
        <v>385.95</v>
      </c>
      <c r="K939">
        <v>112624.75</v>
      </c>
      <c r="L939">
        <v>293</v>
      </c>
      <c r="M939" t="s">
        <v>78</v>
      </c>
      <c r="N939" t="s">
        <v>17</v>
      </c>
      <c r="O939">
        <v>49</v>
      </c>
      <c r="P939">
        <v>426.3</v>
      </c>
      <c r="Q939">
        <v>130</v>
      </c>
    </row>
    <row r="940" spans="2:17" x14ac:dyDescent="0.25">
      <c r="B940" t="s">
        <v>78</v>
      </c>
      <c r="C940" t="s">
        <v>79</v>
      </c>
      <c r="D940" t="s">
        <v>1832</v>
      </c>
      <c r="E940" t="s">
        <v>1833</v>
      </c>
      <c r="F940">
        <v>520.25</v>
      </c>
      <c r="G940">
        <v>529.70000000000005</v>
      </c>
      <c r="H940">
        <v>529.70000000000005</v>
      </c>
      <c r="I940">
        <v>516.45000000000005</v>
      </c>
      <c r="J940" s="1">
        <v>521.54999999999995</v>
      </c>
      <c r="K940">
        <v>19233426.850000001</v>
      </c>
      <c r="L940">
        <v>36844</v>
      </c>
      <c r="M940" t="s">
        <v>78</v>
      </c>
      <c r="N940" t="s">
        <v>17</v>
      </c>
      <c r="O940">
        <v>3145</v>
      </c>
      <c r="P940">
        <v>546</v>
      </c>
      <c r="Q940">
        <v>205.9</v>
      </c>
    </row>
    <row r="941" spans="2:17" x14ac:dyDescent="0.25">
      <c r="B941" t="s">
        <v>78</v>
      </c>
      <c r="C941" t="s">
        <v>79</v>
      </c>
      <c r="D941" t="s">
        <v>1834</v>
      </c>
      <c r="E941" t="s">
        <v>1835</v>
      </c>
      <c r="F941">
        <v>368.4</v>
      </c>
      <c r="G941">
        <v>368.4</v>
      </c>
      <c r="H941">
        <v>368.4</v>
      </c>
      <c r="I941">
        <v>355.2</v>
      </c>
      <c r="J941" s="1">
        <v>362.95</v>
      </c>
      <c r="K941">
        <v>17127767.25</v>
      </c>
      <c r="L941">
        <v>47306</v>
      </c>
      <c r="M941" t="s">
        <v>78</v>
      </c>
      <c r="N941" t="s">
        <v>17</v>
      </c>
      <c r="O941">
        <v>2768</v>
      </c>
      <c r="P941">
        <v>378.55</v>
      </c>
      <c r="Q941">
        <v>154</v>
      </c>
    </row>
    <row r="942" spans="2:17" x14ac:dyDescent="0.25">
      <c r="B942" t="s">
        <v>78</v>
      </c>
      <c r="C942" t="s">
        <v>79</v>
      </c>
      <c r="D942" t="s">
        <v>1836</v>
      </c>
      <c r="E942" t="s">
        <v>1837</v>
      </c>
      <c r="F942">
        <v>20.399999999999999</v>
      </c>
      <c r="G942">
        <v>19.7</v>
      </c>
      <c r="H942">
        <v>20.7</v>
      </c>
      <c r="I942">
        <v>19.399999999999999</v>
      </c>
      <c r="J942" s="1">
        <v>19.45</v>
      </c>
      <c r="K942">
        <v>1495531.4</v>
      </c>
      <c r="L942">
        <v>75797</v>
      </c>
      <c r="M942" t="s">
        <v>78</v>
      </c>
      <c r="N942" t="s">
        <v>17</v>
      </c>
      <c r="O942">
        <v>332</v>
      </c>
      <c r="P942">
        <v>23.95</v>
      </c>
      <c r="Q942">
        <v>8.1</v>
      </c>
    </row>
    <row r="943" spans="2:17" x14ac:dyDescent="0.25">
      <c r="B943" t="s">
        <v>78</v>
      </c>
      <c r="C943" t="s">
        <v>79</v>
      </c>
      <c r="D943" t="s">
        <v>1838</v>
      </c>
      <c r="E943" t="s">
        <v>1839</v>
      </c>
      <c r="F943">
        <v>66.8</v>
      </c>
      <c r="G943">
        <v>66.25</v>
      </c>
      <c r="H943">
        <v>69.400000000000006</v>
      </c>
      <c r="I943">
        <v>65.5</v>
      </c>
      <c r="J943" s="1">
        <v>67.349999999999994</v>
      </c>
      <c r="K943">
        <v>213400873.59999999</v>
      </c>
      <c r="L943">
        <v>3142999</v>
      </c>
      <c r="M943" t="s">
        <v>78</v>
      </c>
      <c r="N943" t="s">
        <v>17</v>
      </c>
      <c r="O943">
        <v>16056</v>
      </c>
      <c r="P943">
        <v>75</v>
      </c>
      <c r="Q943">
        <v>19.25</v>
      </c>
    </row>
    <row r="944" spans="2:17" x14ac:dyDescent="0.25">
      <c r="B944" t="s">
        <v>78</v>
      </c>
      <c r="C944" t="s">
        <v>79</v>
      </c>
      <c r="D944" t="s">
        <v>1840</v>
      </c>
      <c r="E944" t="s">
        <v>1841</v>
      </c>
      <c r="F944">
        <v>1125.0999999999999</v>
      </c>
      <c r="G944">
        <v>1110</v>
      </c>
      <c r="H944">
        <v>1188</v>
      </c>
      <c r="I944">
        <v>1067.6500000000001</v>
      </c>
      <c r="J944" s="1">
        <v>1098.7</v>
      </c>
      <c r="K944">
        <v>3650939692.75</v>
      </c>
      <c r="L944">
        <v>3208779</v>
      </c>
      <c r="M944" t="s">
        <v>78</v>
      </c>
      <c r="N944" t="s">
        <v>17</v>
      </c>
      <c r="O944">
        <v>108216</v>
      </c>
      <c r="P944">
        <v>1188</v>
      </c>
      <c r="Q944">
        <v>538</v>
      </c>
    </row>
    <row r="945" spans="2:17" x14ac:dyDescent="0.25">
      <c r="B945" t="s">
        <v>78</v>
      </c>
      <c r="C945" t="s">
        <v>79</v>
      </c>
      <c r="D945" t="s">
        <v>1842</v>
      </c>
      <c r="E945" t="s">
        <v>1843</v>
      </c>
      <c r="F945">
        <v>22.9</v>
      </c>
      <c r="G945">
        <v>23</v>
      </c>
      <c r="H945">
        <v>24</v>
      </c>
      <c r="I945">
        <v>22.15</v>
      </c>
      <c r="J945" s="1">
        <v>23.15</v>
      </c>
      <c r="K945">
        <v>647875.80000000005</v>
      </c>
      <c r="L945">
        <v>27428</v>
      </c>
      <c r="M945" t="s">
        <v>78</v>
      </c>
      <c r="N945" t="s">
        <v>17</v>
      </c>
      <c r="O945">
        <v>280</v>
      </c>
      <c r="P945">
        <v>25.8</v>
      </c>
      <c r="Q945">
        <v>13.2</v>
      </c>
    </row>
    <row r="946" spans="2:17" x14ac:dyDescent="0.25">
      <c r="B946" t="s">
        <v>78</v>
      </c>
      <c r="C946" t="s">
        <v>79</v>
      </c>
      <c r="D946" t="s">
        <v>1844</v>
      </c>
      <c r="E946" t="s">
        <v>1845</v>
      </c>
      <c r="F946">
        <v>2390.1999999999998</v>
      </c>
      <c r="G946">
        <v>2390.1999999999998</v>
      </c>
      <c r="H946">
        <v>2407.25</v>
      </c>
      <c r="I946">
        <v>2330.9499999999998</v>
      </c>
      <c r="J946" s="1">
        <v>2342.8000000000002</v>
      </c>
      <c r="K946">
        <v>1187191794.6500001</v>
      </c>
      <c r="L946">
        <v>503783</v>
      </c>
      <c r="M946" t="s">
        <v>78</v>
      </c>
      <c r="N946" t="s">
        <v>17</v>
      </c>
      <c r="O946">
        <v>46996</v>
      </c>
      <c r="P946">
        <v>2421.9499999999998</v>
      </c>
      <c r="Q946">
        <v>975</v>
      </c>
    </row>
    <row r="947" spans="2:17" x14ac:dyDescent="0.25">
      <c r="B947" t="s">
        <v>78</v>
      </c>
      <c r="C947" t="s">
        <v>79</v>
      </c>
      <c r="D947" t="s">
        <v>1846</v>
      </c>
      <c r="E947" t="s">
        <v>1847</v>
      </c>
      <c r="F947">
        <v>635.04999999999995</v>
      </c>
      <c r="G947">
        <v>635</v>
      </c>
      <c r="H947">
        <v>650.35</v>
      </c>
      <c r="I947">
        <v>618.04999999999995</v>
      </c>
      <c r="J947" s="1">
        <v>626.70000000000005</v>
      </c>
      <c r="K947">
        <v>12952889.800000001</v>
      </c>
      <c r="L947">
        <v>20563</v>
      </c>
      <c r="M947" t="s">
        <v>78</v>
      </c>
      <c r="N947" t="s">
        <v>17</v>
      </c>
      <c r="O947">
        <v>2403</v>
      </c>
      <c r="P947">
        <v>685</v>
      </c>
      <c r="Q947">
        <v>282.3</v>
      </c>
    </row>
    <row r="948" spans="2:17" x14ac:dyDescent="0.25">
      <c r="B948" t="s">
        <v>78</v>
      </c>
      <c r="C948" t="s">
        <v>287</v>
      </c>
      <c r="D948" t="s">
        <v>1848</v>
      </c>
      <c r="E948" t="s">
        <v>1849</v>
      </c>
      <c r="F948">
        <v>25.45</v>
      </c>
      <c r="G948">
        <v>24.2</v>
      </c>
      <c r="H948">
        <v>26.65</v>
      </c>
      <c r="I948">
        <v>24.2</v>
      </c>
      <c r="J948" s="1">
        <v>26.65</v>
      </c>
      <c r="K948">
        <v>101700</v>
      </c>
      <c r="L948">
        <v>4000</v>
      </c>
      <c r="M948" t="s">
        <v>78</v>
      </c>
      <c r="N948" t="s">
        <v>17</v>
      </c>
      <c r="O948">
        <v>2</v>
      </c>
      <c r="P948">
        <v>26.75</v>
      </c>
      <c r="Q948">
        <v>9.6999999999999993</v>
      </c>
    </row>
    <row r="949" spans="2:17" x14ac:dyDescent="0.25">
      <c r="B949" t="s">
        <v>78</v>
      </c>
      <c r="C949" t="s">
        <v>79</v>
      </c>
      <c r="D949" t="s">
        <v>1850</v>
      </c>
      <c r="E949" t="s">
        <v>1851</v>
      </c>
      <c r="F949">
        <v>82449.850000000006</v>
      </c>
      <c r="G949">
        <v>81800</v>
      </c>
      <c r="H949">
        <v>82964.95</v>
      </c>
      <c r="I949">
        <v>81625</v>
      </c>
      <c r="J949" s="1">
        <v>82236.3</v>
      </c>
      <c r="K949">
        <v>631982163.64999998</v>
      </c>
      <c r="L949">
        <v>7692</v>
      </c>
      <c r="M949" t="s">
        <v>78</v>
      </c>
      <c r="N949" t="s">
        <v>17</v>
      </c>
      <c r="O949">
        <v>5361</v>
      </c>
      <c r="P949">
        <v>98599.95</v>
      </c>
      <c r="Q949">
        <v>55300</v>
      </c>
    </row>
    <row r="950" spans="2:17" x14ac:dyDescent="0.25">
      <c r="B950" t="s">
        <v>78</v>
      </c>
      <c r="C950" t="s">
        <v>79</v>
      </c>
      <c r="D950" t="s">
        <v>1852</v>
      </c>
      <c r="E950" t="s">
        <v>1853</v>
      </c>
      <c r="F950">
        <v>32.950000000000003</v>
      </c>
      <c r="G950">
        <v>34.15</v>
      </c>
      <c r="H950">
        <v>34.15</v>
      </c>
      <c r="I950">
        <v>32.049999999999997</v>
      </c>
      <c r="J950" s="1">
        <v>33.299999999999997</v>
      </c>
      <c r="K950">
        <v>227357.1</v>
      </c>
      <c r="L950">
        <v>6897</v>
      </c>
      <c r="M950" t="s">
        <v>78</v>
      </c>
      <c r="N950" t="s">
        <v>17</v>
      </c>
      <c r="O950">
        <v>43</v>
      </c>
      <c r="P950">
        <v>39.25</v>
      </c>
      <c r="Q950">
        <v>18.100000000000001</v>
      </c>
    </row>
    <row r="951" spans="2:17" x14ac:dyDescent="0.25">
      <c r="B951" t="s">
        <v>78</v>
      </c>
      <c r="C951" t="s">
        <v>79</v>
      </c>
      <c r="D951" t="s">
        <v>1854</v>
      </c>
      <c r="E951" t="s">
        <v>1854</v>
      </c>
      <c r="F951">
        <v>47.75</v>
      </c>
      <c r="G951">
        <v>47.7</v>
      </c>
      <c r="H951">
        <v>48.15</v>
      </c>
      <c r="I951">
        <v>47</v>
      </c>
      <c r="J951" s="1">
        <v>47.5</v>
      </c>
      <c r="K951">
        <v>90285158.75</v>
      </c>
      <c r="L951">
        <v>1894498</v>
      </c>
      <c r="M951" t="s">
        <v>78</v>
      </c>
      <c r="N951" t="s">
        <v>17</v>
      </c>
      <c r="O951">
        <v>7718</v>
      </c>
      <c r="P951">
        <v>56.6</v>
      </c>
      <c r="Q951">
        <v>25.25</v>
      </c>
    </row>
    <row r="952" spans="2:17" x14ac:dyDescent="0.25">
      <c r="B952" t="s">
        <v>78</v>
      </c>
      <c r="C952" t="s">
        <v>79</v>
      </c>
      <c r="D952" t="s">
        <v>1855</v>
      </c>
      <c r="E952" t="s">
        <v>1856</v>
      </c>
      <c r="F952">
        <v>312.7</v>
      </c>
      <c r="G952">
        <v>306.2</v>
      </c>
      <c r="H952">
        <v>311.95</v>
      </c>
      <c r="I952">
        <v>304.14999999999998</v>
      </c>
      <c r="J952" s="1">
        <v>306.45</v>
      </c>
      <c r="K952">
        <v>101497507.40000001</v>
      </c>
      <c r="L952">
        <v>329739</v>
      </c>
      <c r="M952" t="s">
        <v>78</v>
      </c>
      <c r="N952" t="s">
        <v>17</v>
      </c>
      <c r="O952">
        <v>7128</v>
      </c>
      <c r="P952">
        <v>400</v>
      </c>
      <c r="Q952">
        <v>137.5</v>
      </c>
    </row>
    <row r="953" spans="2:17" x14ac:dyDescent="0.25">
      <c r="B953" t="s">
        <v>78</v>
      </c>
      <c r="C953" t="s">
        <v>79</v>
      </c>
      <c r="D953" t="s">
        <v>1857</v>
      </c>
      <c r="E953" t="s">
        <v>1858</v>
      </c>
      <c r="F953">
        <v>1477.65</v>
      </c>
      <c r="G953">
        <v>1459</v>
      </c>
      <c r="H953">
        <v>1543.9</v>
      </c>
      <c r="I953">
        <v>1445.15</v>
      </c>
      <c r="J953" s="1">
        <v>1527.1</v>
      </c>
      <c r="K953">
        <v>1097612814.1500001</v>
      </c>
      <c r="L953">
        <v>724949</v>
      </c>
      <c r="M953" t="s">
        <v>78</v>
      </c>
      <c r="N953" t="s">
        <v>17</v>
      </c>
      <c r="O953">
        <v>42437</v>
      </c>
      <c r="P953">
        <v>1563.95</v>
      </c>
      <c r="Q953">
        <v>860</v>
      </c>
    </row>
    <row r="954" spans="2:17" x14ac:dyDescent="0.25">
      <c r="B954" t="s">
        <v>78</v>
      </c>
      <c r="C954" t="s">
        <v>79</v>
      </c>
      <c r="D954" t="s">
        <v>1859</v>
      </c>
      <c r="E954" t="s">
        <v>1860</v>
      </c>
      <c r="F954">
        <v>22</v>
      </c>
      <c r="G954">
        <v>21.6</v>
      </c>
      <c r="H954">
        <v>21.85</v>
      </c>
      <c r="I954">
        <v>21.35</v>
      </c>
      <c r="J954" s="1">
        <v>21.4</v>
      </c>
      <c r="K954">
        <v>45883730.850000001</v>
      </c>
      <c r="L954">
        <v>2129682</v>
      </c>
      <c r="M954" t="s">
        <v>78</v>
      </c>
      <c r="N954" t="s">
        <v>17</v>
      </c>
      <c r="O954">
        <v>4329</v>
      </c>
      <c r="P954">
        <v>24.4</v>
      </c>
      <c r="Q954">
        <v>7.5</v>
      </c>
    </row>
    <row r="955" spans="2:17" x14ac:dyDescent="0.25">
      <c r="B955" t="s">
        <v>78</v>
      </c>
      <c r="C955" t="s">
        <v>79</v>
      </c>
      <c r="D955" t="s">
        <v>1861</v>
      </c>
      <c r="E955" t="s">
        <v>1862</v>
      </c>
      <c r="F955">
        <v>37.25</v>
      </c>
      <c r="G955">
        <v>37.9</v>
      </c>
      <c r="H955">
        <v>38.299999999999997</v>
      </c>
      <c r="I955">
        <v>36.799999999999997</v>
      </c>
      <c r="J955" s="1">
        <v>37.299999999999997</v>
      </c>
      <c r="K955">
        <v>589187.35</v>
      </c>
      <c r="L955">
        <v>15681</v>
      </c>
      <c r="M955" t="s">
        <v>78</v>
      </c>
      <c r="N955" t="s">
        <v>17</v>
      </c>
      <c r="O955">
        <v>268</v>
      </c>
      <c r="P955">
        <v>40.450000000000003</v>
      </c>
      <c r="Q955">
        <v>24</v>
      </c>
    </row>
    <row r="956" spans="2:17" x14ac:dyDescent="0.25">
      <c r="B956" t="s">
        <v>78</v>
      </c>
      <c r="C956" t="s">
        <v>79</v>
      </c>
      <c r="D956" t="s">
        <v>1863</v>
      </c>
      <c r="E956" t="s">
        <v>1864</v>
      </c>
      <c r="F956">
        <v>68.099999999999994</v>
      </c>
      <c r="G956">
        <v>67.45</v>
      </c>
      <c r="H956">
        <v>69</v>
      </c>
      <c r="I956">
        <v>67.099999999999994</v>
      </c>
      <c r="J956" s="1">
        <v>67.599999999999994</v>
      </c>
      <c r="K956">
        <v>36495755.200000003</v>
      </c>
      <c r="L956">
        <v>536090</v>
      </c>
      <c r="M956" t="s">
        <v>78</v>
      </c>
      <c r="N956" t="s">
        <v>17</v>
      </c>
      <c r="O956">
        <v>5715</v>
      </c>
      <c r="P956">
        <v>72.75</v>
      </c>
      <c r="Q956">
        <v>46.1</v>
      </c>
    </row>
    <row r="957" spans="2:17" x14ac:dyDescent="0.25">
      <c r="B957" t="s">
        <v>78</v>
      </c>
      <c r="C957" t="s">
        <v>79</v>
      </c>
      <c r="D957" t="s">
        <v>1865</v>
      </c>
      <c r="E957" t="s">
        <v>1866</v>
      </c>
      <c r="F957">
        <v>150.15</v>
      </c>
      <c r="G957">
        <v>149.80000000000001</v>
      </c>
      <c r="H957">
        <v>152</v>
      </c>
      <c r="I957">
        <v>148.55000000000001</v>
      </c>
      <c r="J957" s="1">
        <v>150.25</v>
      </c>
      <c r="K957">
        <v>8981783.3499999996</v>
      </c>
      <c r="L957">
        <v>59867</v>
      </c>
      <c r="M957" t="s">
        <v>78</v>
      </c>
      <c r="N957" t="s">
        <v>17</v>
      </c>
      <c r="O957">
        <v>1836</v>
      </c>
      <c r="P957">
        <v>176.45</v>
      </c>
      <c r="Q957">
        <v>100.9</v>
      </c>
    </row>
    <row r="958" spans="2:17" x14ac:dyDescent="0.25">
      <c r="B958" t="s">
        <v>78</v>
      </c>
      <c r="C958" t="s">
        <v>79</v>
      </c>
      <c r="D958" t="s">
        <v>1867</v>
      </c>
      <c r="E958" t="s">
        <v>1868</v>
      </c>
      <c r="F958">
        <v>31.1</v>
      </c>
      <c r="G958">
        <v>30.5</v>
      </c>
      <c r="H958">
        <v>31.7</v>
      </c>
      <c r="I958">
        <v>30.3</v>
      </c>
      <c r="J958" s="1">
        <v>30.4</v>
      </c>
      <c r="K958">
        <v>4814033.7</v>
      </c>
      <c r="L958">
        <v>155814</v>
      </c>
      <c r="M958" t="s">
        <v>78</v>
      </c>
      <c r="N958" t="s">
        <v>17</v>
      </c>
      <c r="O958">
        <v>1623</v>
      </c>
      <c r="P958">
        <v>33.450000000000003</v>
      </c>
      <c r="Q958">
        <v>13.8</v>
      </c>
    </row>
    <row r="959" spans="2:17" x14ac:dyDescent="0.25">
      <c r="B959" t="s">
        <v>78</v>
      </c>
      <c r="C959" t="s">
        <v>79</v>
      </c>
      <c r="D959" t="s">
        <v>1869</v>
      </c>
      <c r="E959" t="s">
        <v>1870</v>
      </c>
      <c r="F959">
        <v>412.3</v>
      </c>
      <c r="G959">
        <v>410</v>
      </c>
      <c r="H959">
        <v>418.95</v>
      </c>
      <c r="I959">
        <v>405</v>
      </c>
      <c r="J959" s="1">
        <v>408.2</v>
      </c>
      <c r="K959">
        <v>11498967.75</v>
      </c>
      <c r="L959">
        <v>27988</v>
      </c>
      <c r="M959" t="s">
        <v>78</v>
      </c>
      <c r="N959" t="s">
        <v>17</v>
      </c>
      <c r="O959">
        <v>2188</v>
      </c>
      <c r="P959">
        <v>528</v>
      </c>
      <c r="Q959">
        <v>348.2</v>
      </c>
    </row>
    <row r="960" spans="2:17" x14ac:dyDescent="0.25">
      <c r="B960" t="s">
        <v>78</v>
      </c>
      <c r="C960" t="s">
        <v>79</v>
      </c>
      <c r="D960" t="s">
        <v>1871</v>
      </c>
      <c r="E960" t="s">
        <v>1872</v>
      </c>
      <c r="F960">
        <v>79.150000000000006</v>
      </c>
      <c r="G960">
        <v>78.5</v>
      </c>
      <c r="H960">
        <v>79.2</v>
      </c>
      <c r="I960">
        <v>77</v>
      </c>
      <c r="J960" s="1">
        <v>77.75</v>
      </c>
      <c r="K960">
        <v>7001675.2999999998</v>
      </c>
      <c r="L960">
        <v>89684</v>
      </c>
      <c r="M960" t="s">
        <v>78</v>
      </c>
      <c r="N960" t="s">
        <v>17</v>
      </c>
      <c r="O960">
        <v>1469</v>
      </c>
      <c r="P960">
        <v>89.2</v>
      </c>
      <c r="Q960">
        <v>29.6</v>
      </c>
    </row>
    <row r="961" spans="2:17" x14ac:dyDescent="0.25">
      <c r="B961" t="s">
        <v>783</v>
      </c>
      <c r="C961" t="s">
        <v>79</v>
      </c>
      <c r="D961" t="s">
        <v>1873</v>
      </c>
      <c r="E961" t="s">
        <v>1874</v>
      </c>
      <c r="F961">
        <v>7</v>
      </c>
      <c r="G961">
        <v>7</v>
      </c>
      <c r="H961">
        <v>7.15</v>
      </c>
      <c r="I961">
        <v>7</v>
      </c>
      <c r="J961" s="1">
        <v>7.15</v>
      </c>
      <c r="K961">
        <v>6683.5</v>
      </c>
      <c r="L961">
        <v>940</v>
      </c>
      <c r="M961" t="s">
        <v>78</v>
      </c>
      <c r="N961" t="s">
        <v>17</v>
      </c>
      <c r="O961">
        <v>6</v>
      </c>
      <c r="P961">
        <v>8.4499999999999993</v>
      </c>
      <c r="Q961">
        <v>4.7</v>
      </c>
    </row>
    <row r="962" spans="2:17" x14ac:dyDescent="0.25">
      <c r="B962" t="s">
        <v>78</v>
      </c>
      <c r="C962" t="s">
        <v>79</v>
      </c>
      <c r="D962" t="s">
        <v>1875</v>
      </c>
      <c r="E962" t="s">
        <v>1876</v>
      </c>
      <c r="F962">
        <v>33.549999999999997</v>
      </c>
      <c r="G962">
        <v>32</v>
      </c>
      <c r="H962">
        <v>35.200000000000003</v>
      </c>
      <c r="I962">
        <v>32</v>
      </c>
      <c r="J962" s="1">
        <v>34.450000000000003</v>
      </c>
      <c r="K962">
        <v>1730088.95</v>
      </c>
      <c r="L962">
        <v>49959</v>
      </c>
      <c r="M962" t="s">
        <v>78</v>
      </c>
      <c r="N962" t="s">
        <v>17</v>
      </c>
      <c r="O962">
        <v>421</v>
      </c>
      <c r="P962">
        <v>35.200000000000003</v>
      </c>
      <c r="Q962">
        <v>11.15</v>
      </c>
    </row>
    <row r="963" spans="2:17" x14ac:dyDescent="0.25">
      <c r="B963" t="s">
        <v>78</v>
      </c>
      <c r="C963" t="s">
        <v>79</v>
      </c>
      <c r="D963" t="s">
        <v>1877</v>
      </c>
      <c r="E963" t="s">
        <v>1878</v>
      </c>
      <c r="F963">
        <v>222.1</v>
      </c>
      <c r="G963">
        <v>225.9</v>
      </c>
      <c r="H963">
        <v>262</v>
      </c>
      <c r="I963">
        <v>218.05</v>
      </c>
      <c r="J963" s="1">
        <v>251.65</v>
      </c>
      <c r="K963">
        <v>60934153.200000003</v>
      </c>
      <c r="L963">
        <v>244426</v>
      </c>
      <c r="M963" t="s">
        <v>78</v>
      </c>
      <c r="N963" t="s">
        <v>17</v>
      </c>
      <c r="O963">
        <v>9183</v>
      </c>
      <c r="P963">
        <v>262</v>
      </c>
      <c r="Q963">
        <v>59.1</v>
      </c>
    </row>
    <row r="964" spans="2:17" x14ac:dyDescent="0.25">
      <c r="B964" t="s">
        <v>78</v>
      </c>
      <c r="C964" t="s">
        <v>79</v>
      </c>
      <c r="D964" t="s">
        <v>1879</v>
      </c>
      <c r="E964" t="s">
        <v>1880</v>
      </c>
      <c r="F964">
        <v>108.2</v>
      </c>
      <c r="G964">
        <v>110</v>
      </c>
      <c r="H964">
        <v>113.6</v>
      </c>
      <c r="I964">
        <v>110</v>
      </c>
      <c r="J964" s="1">
        <v>112.85</v>
      </c>
      <c r="K964">
        <v>22347370.300000001</v>
      </c>
      <c r="L964">
        <v>197626</v>
      </c>
      <c r="M964" t="s">
        <v>78</v>
      </c>
      <c r="N964" t="s">
        <v>17</v>
      </c>
      <c r="O964">
        <v>1229</v>
      </c>
      <c r="P964">
        <v>113.6</v>
      </c>
      <c r="Q964">
        <v>22.75</v>
      </c>
    </row>
    <row r="965" spans="2:17" x14ac:dyDescent="0.25">
      <c r="B965" t="s">
        <v>78</v>
      </c>
      <c r="C965" t="s">
        <v>79</v>
      </c>
      <c r="D965" t="s">
        <v>1881</v>
      </c>
      <c r="E965" t="s">
        <v>1882</v>
      </c>
      <c r="F965">
        <v>205.85</v>
      </c>
      <c r="G965">
        <v>203.35</v>
      </c>
      <c r="H965">
        <v>214.7</v>
      </c>
      <c r="I965">
        <v>201.6</v>
      </c>
      <c r="J965" s="1">
        <v>212</v>
      </c>
      <c r="K965">
        <v>41877281.25</v>
      </c>
      <c r="L965">
        <v>199781</v>
      </c>
      <c r="M965" t="s">
        <v>78</v>
      </c>
      <c r="N965" t="s">
        <v>17</v>
      </c>
      <c r="O965">
        <v>8503</v>
      </c>
      <c r="P965">
        <v>219.05</v>
      </c>
      <c r="Q965">
        <v>55.85</v>
      </c>
    </row>
    <row r="966" spans="2:17" x14ac:dyDescent="0.25">
      <c r="B966" t="s">
        <v>78</v>
      </c>
      <c r="C966" t="s">
        <v>79</v>
      </c>
      <c r="D966" t="s">
        <v>1883</v>
      </c>
      <c r="E966" t="s">
        <v>1884</v>
      </c>
      <c r="F966">
        <v>418.6</v>
      </c>
      <c r="G966">
        <v>414</v>
      </c>
      <c r="H966">
        <v>420.9</v>
      </c>
      <c r="I966">
        <v>400.5</v>
      </c>
      <c r="J966" s="1">
        <v>405.35</v>
      </c>
      <c r="K966">
        <v>1258403015.1500001</v>
      </c>
      <c r="L966">
        <v>3060902</v>
      </c>
      <c r="M966" t="s">
        <v>78</v>
      </c>
      <c r="N966" t="s">
        <v>17</v>
      </c>
      <c r="O966">
        <v>46576</v>
      </c>
      <c r="P966">
        <v>439.35</v>
      </c>
      <c r="Q966">
        <v>249</v>
      </c>
    </row>
    <row r="967" spans="2:17" x14ac:dyDescent="0.25">
      <c r="B967" t="s">
        <v>78</v>
      </c>
      <c r="C967" t="s">
        <v>79</v>
      </c>
      <c r="D967" t="s">
        <v>1885</v>
      </c>
      <c r="E967" t="s">
        <v>1886</v>
      </c>
      <c r="F967">
        <v>1108.05</v>
      </c>
      <c r="G967">
        <v>1095</v>
      </c>
      <c r="H967">
        <v>1102.75</v>
      </c>
      <c r="I967">
        <v>1084.5</v>
      </c>
      <c r="J967" s="1">
        <v>1089.3</v>
      </c>
      <c r="K967">
        <v>361866343.5</v>
      </c>
      <c r="L967">
        <v>331300</v>
      </c>
      <c r="M967" t="s">
        <v>78</v>
      </c>
      <c r="N967" t="s">
        <v>17</v>
      </c>
      <c r="O967">
        <v>7384</v>
      </c>
      <c r="P967">
        <v>1189</v>
      </c>
      <c r="Q967">
        <v>666.15</v>
      </c>
    </row>
    <row r="968" spans="2:17" x14ac:dyDescent="0.25">
      <c r="B968" t="s">
        <v>78</v>
      </c>
      <c r="C968" t="s">
        <v>79</v>
      </c>
      <c r="D968" t="s">
        <v>1887</v>
      </c>
      <c r="E968" t="s">
        <v>1888</v>
      </c>
      <c r="F968">
        <v>376.55</v>
      </c>
      <c r="G968">
        <v>374</v>
      </c>
      <c r="H968">
        <v>379.2</v>
      </c>
      <c r="I968">
        <v>372.55</v>
      </c>
      <c r="J968" s="1">
        <v>375.7</v>
      </c>
      <c r="K968">
        <v>12851241.050000001</v>
      </c>
      <c r="L968">
        <v>34124</v>
      </c>
      <c r="M968" t="s">
        <v>78</v>
      </c>
      <c r="N968" t="s">
        <v>17</v>
      </c>
      <c r="O968">
        <v>1895</v>
      </c>
      <c r="P968">
        <v>473.95</v>
      </c>
      <c r="Q968">
        <v>221.2</v>
      </c>
    </row>
    <row r="969" spans="2:17" x14ac:dyDescent="0.25">
      <c r="B969" t="s">
        <v>78</v>
      </c>
      <c r="C969" t="s">
        <v>79</v>
      </c>
      <c r="D969" t="s">
        <v>1889</v>
      </c>
      <c r="E969" t="s">
        <v>1890</v>
      </c>
      <c r="F969">
        <v>88.3</v>
      </c>
      <c r="G969">
        <v>87.4</v>
      </c>
      <c r="H969">
        <v>91</v>
      </c>
      <c r="I969">
        <v>87</v>
      </c>
      <c r="J969" s="1">
        <v>88.95</v>
      </c>
      <c r="K969">
        <v>8850375339.7999992</v>
      </c>
      <c r="L969">
        <v>99178570</v>
      </c>
      <c r="M969" t="s">
        <v>78</v>
      </c>
      <c r="N969" t="s">
        <v>17</v>
      </c>
      <c r="O969">
        <v>137569</v>
      </c>
      <c r="P969">
        <v>91</v>
      </c>
      <c r="Q969">
        <v>29.1</v>
      </c>
    </row>
    <row r="970" spans="2:17" x14ac:dyDescent="0.25">
      <c r="B970" t="s">
        <v>78</v>
      </c>
      <c r="C970" t="s">
        <v>79</v>
      </c>
      <c r="D970" t="s">
        <v>1891</v>
      </c>
      <c r="E970" t="s">
        <v>1892</v>
      </c>
      <c r="F970">
        <v>3889.35</v>
      </c>
      <c r="G970">
        <v>3880</v>
      </c>
      <c r="H970">
        <v>3930</v>
      </c>
      <c r="I970">
        <v>3826.5</v>
      </c>
      <c r="J970" s="1">
        <v>3885.25</v>
      </c>
      <c r="K970">
        <v>436373521.80000001</v>
      </c>
      <c r="L970">
        <v>112511</v>
      </c>
      <c r="M970" t="s">
        <v>78</v>
      </c>
      <c r="N970" t="s">
        <v>17</v>
      </c>
      <c r="O970">
        <v>11134</v>
      </c>
      <c r="P970">
        <v>3969</v>
      </c>
      <c r="Q970">
        <v>1692</v>
      </c>
    </row>
    <row r="971" spans="2:17" x14ac:dyDescent="0.25">
      <c r="B971" t="s">
        <v>78</v>
      </c>
      <c r="C971" t="s">
        <v>79</v>
      </c>
      <c r="D971" t="s">
        <v>1893</v>
      </c>
      <c r="E971" t="s">
        <v>1894</v>
      </c>
      <c r="F971">
        <v>51.85</v>
      </c>
      <c r="G971">
        <v>51.95</v>
      </c>
      <c r="H971">
        <v>54.75</v>
      </c>
      <c r="I971">
        <v>51.7</v>
      </c>
      <c r="J971" s="1">
        <v>53.8</v>
      </c>
      <c r="K971">
        <v>196146723.69999999</v>
      </c>
      <c r="L971">
        <v>3652653</v>
      </c>
      <c r="M971" t="s">
        <v>78</v>
      </c>
      <c r="N971" t="s">
        <v>17</v>
      </c>
      <c r="O971">
        <v>18452</v>
      </c>
      <c r="P971">
        <v>54.75</v>
      </c>
      <c r="Q971">
        <v>24</v>
      </c>
    </row>
    <row r="972" spans="2:17" x14ac:dyDescent="0.25">
      <c r="B972" t="s">
        <v>78</v>
      </c>
      <c r="C972" t="s">
        <v>79</v>
      </c>
      <c r="D972" t="s">
        <v>1895</v>
      </c>
      <c r="E972" t="s">
        <v>1896</v>
      </c>
      <c r="F972">
        <v>97.8</v>
      </c>
      <c r="G972">
        <v>97.8</v>
      </c>
      <c r="H972">
        <v>98.2</v>
      </c>
      <c r="I972">
        <v>97.15</v>
      </c>
      <c r="J972" s="1">
        <v>97.5</v>
      </c>
      <c r="K972">
        <v>15844451.5</v>
      </c>
      <c r="L972">
        <v>162230</v>
      </c>
      <c r="M972" t="s">
        <v>78</v>
      </c>
      <c r="N972" t="s">
        <v>17</v>
      </c>
      <c r="O972">
        <v>6108</v>
      </c>
      <c r="P972">
        <v>107.5</v>
      </c>
      <c r="Q972">
        <v>72.7</v>
      </c>
    </row>
    <row r="973" spans="2:17" x14ac:dyDescent="0.25">
      <c r="B973" t="s">
        <v>78</v>
      </c>
      <c r="C973" t="s">
        <v>79</v>
      </c>
      <c r="D973" t="s">
        <v>1897</v>
      </c>
      <c r="E973" t="s">
        <v>1898</v>
      </c>
      <c r="F973">
        <v>1922.55</v>
      </c>
      <c r="G973">
        <v>1901</v>
      </c>
      <c r="H973">
        <v>1973</v>
      </c>
      <c r="I973">
        <v>1898.95</v>
      </c>
      <c r="J973" s="1">
        <v>1921</v>
      </c>
      <c r="K973">
        <v>771521651.5</v>
      </c>
      <c r="L973">
        <v>398664</v>
      </c>
      <c r="M973" t="s">
        <v>78</v>
      </c>
      <c r="N973" t="s">
        <v>17</v>
      </c>
      <c r="O973">
        <v>32963</v>
      </c>
      <c r="P973">
        <v>2024.9</v>
      </c>
      <c r="Q973">
        <v>1432</v>
      </c>
    </row>
    <row r="974" spans="2:17" x14ac:dyDescent="0.25">
      <c r="B974" t="s">
        <v>78</v>
      </c>
      <c r="C974" t="s">
        <v>79</v>
      </c>
      <c r="D974" t="s">
        <v>1899</v>
      </c>
      <c r="E974" t="s">
        <v>1900</v>
      </c>
      <c r="F974">
        <v>52.9</v>
      </c>
      <c r="G974">
        <v>52.5</v>
      </c>
      <c r="H974">
        <v>53.1</v>
      </c>
      <c r="I974">
        <v>51.9</v>
      </c>
      <c r="J974" s="1">
        <v>52.4</v>
      </c>
      <c r="K974">
        <v>297854817.14999998</v>
      </c>
      <c r="L974">
        <v>5669511</v>
      </c>
      <c r="M974" t="s">
        <v>78</v>
      </c>
      <c r="N974" t="s">
        <v>17</v>
      </c>
      <c r="O974">
        <v>18124</v>
      </c>
      <c r="P974">
        <v>59.8</v>
      </c>
      <c r="Q974">
        <v>22.2</v>
      </c>
    </row>
    <row r="975" spans="2:17" x14ac:dyDescent="0.25">
      <c r="B975" t="s">
        <v>78</v>
      </c>
      <c r="C975" t="s">
        <v>79</v>
      </c>
      <c r="D975" t="s">
        <v>1901</v>
      </c>
      <c r="E975" t="s">
        <v>1902</v>
      </c>
      <c r="F975">
        <v>2263.9499999999998</v>
      </c>
      <c r="G975">
        <v>2245</v>
      </c>
      <c r="H975">
        <v>2280</v>
      </c>
      <c r="I975">
        <v>2115.15</v>
      </c>
      <c r="J975" s="1">
        <v>2267.25</v>
      </c>
      <c r="K975">
        <v>1580135.3</v>
      </c>
      <c r="L975">
        <v>699</v>
      </c>
      <c r="M975" t="s">
        <v>78</v>
      </c>
      <c r="N975" t="s">
        <v>17</v>
      </c>
      <c r="O975">
        <v>85</v>
      </c>
      <c r="P975">
        <v>3200</v>
      </c>
      <c r="Q975">
        <v>1326</v>
      </c>
    </row>
    <row r="976" spans="2:17" x14ac:dyDescent="0.25">
      <c r="B976" t="s">
        <v>78</v>
      </c>
      <c r="C976" t="s">
        <v>79</v>
      </c>
      <c r="D976" t="s">
        <v>1903</v>
      </c>
      <c r="E976" t="s">
        <v>1904</v>
      </c>
      <c r="F976">
        <v>115.45</v>
      </c>
      <c r="G976">
        <v>114.95</v>
      </c>
      <c r="H976">
        <v>121.45</v>
      </c>
      <c r="I976">
        <v>114.15</v>
      </c>
      <c r="J976" s="1">
        <v>119.4</v>
      </c>
      <c r="K976">
        <v>143636132.69999999</v>
      </c>
      <c r="L976">
        <v>1208702</v>
      </c>
      <c r="M976" t="s">
        <v>78</v>
      </c>
      <c r="N976" t="s">
        <v>17</v>
      </c>
      <c r="O976">
        <v>12930</v>
      </c>
      <c r="P976">
        <v>128.55000000000001</v>
      </c>
      <c r="Q976">
        <v>46</v>
      </c>
    </row>
    <row r="977" spans="2:17" x14ac:dyDescent="0.25">
      <c r="B977" t="s">
        <v>78</v>
      </c>
      <c r="C977" t="s">
        <v>79</v>
      </c>
      <c r="D977" t="s">
        <v>1905</v>
      </c>
      <c r="E977" t="s">
        <v>1906</v>
      </c>
      <c r="F977">
        <v>94.3</v>
      </c>
      <c r="G977">
        <v>92.85</v>
      </c>
      <c r="H977">
        <v>93.9</v>
      </c>
      <c r="I977">
        <v>91</v>
      </c>
      <c r="J977" s="1">
        <v>92.1</v>
      </c>
      <c r="K977">
        <v>350366695.25</v>
      </c>
      <c r="L977">
        <v>3792357</v>
      </c>
      <c r="M977" t="s">
        <v>78</v>
      </c>
      <c r="N977" t="s">
        <v>17</v>
      </c>
      <c r="O977">
        <v>17818</v>
      </c>
      <c r="P977">
        <v>99.85</v>
      </c>
      <c r="Q977">
        <v>27.5</v>
      </c>
    </row>
    <row r="978" spans="2:17" x14ac:dyDescent="0.25">
      <c r="B978" t="s">
        <v>78</v>
      </c>
      <c r="C978" t="s">
        <v>79</v>
      </c>
      <c r="D978" t="s">
        <v>1907</v>
      </c>
      <c r="E978" t="s">
        <v>1908</v>
      </c>
      <c r="F978">
        <v>247.7</v>
      </c>
      <c r="G978">
        <v>247.55</v>
      </c>
      <c r="H978">
        <v>262.45</v>
      </c>
      <c r="I978">
        <v>245</v>
      </c>
      <c r="J978" s="1">
        <v>259.5</v>
      </c>
      <c r="K978">
        <v>187946865.80000001</v>
      </c>
      <c r="L978">
        <v>734571</v>
      </c>
      <c r="M978" t="s">
        <v>78</v>
      </c>
      <c r="N978" t="s">
        <v>17</v>
      </c>
      <c r="O978">
        <v>15691</v>
      </c>
      <c r="P978">
        <v>262.45</v>
      </c>
      <c r="Q978">
        <v>74.75</v>
      </c>
    </row>
    <row r="979" spans="2:17" x14ac:dyDescent="0.25">
      <c r="B979" t="s">
        <v>78</v>
      </c>
      <c r="C979" t="s">
        <v>79</v>
      </c>
      <c r="D979" t="s">
        <v>1909</v>
      </c>
      <c r="E979" t="s">
        <v>1910</v>
      </c>
      <c r="F979">
        <v>1685.25</v>
      </c>
      <c r="G979">
        <v>1647</v>
      </c>
      <c r="H979">
        <v>1706.7</v>
      </c>
      <c r="I979">
        <v>1647</v>
      </c>
      <c r="J979" s="1">
        <v>1666.75</v>
      </c>
      <c r="K979">
        <v>1393149.5</v>
      </c>
      <c r="L979">
        <v>832</v>
      </c>
      <c r="M979" t="s">
        <v>78</v>
      </c>
      <c r="N979" t="s">
        <v>17</v>
      </c>
      <c r="O979">
        <v>138</v>
      </c>
      <c r="P979">
        <v>2175</v>
      </c>
      <c r="Q979">
        <v>476.15</v>
      </c>
    </row>
    <row r="980" spans="2:17" x14ac:dyDescent="0.25">
      <c r="B980" t="s">
        <v>78</v>
      </c>
      <c r="C980" t="s">
        <v>79</v>
      </c>
      <c r="D980" t="s">
        <v>1911</v>
      </c>
      <c r="E980" t="s">
        <v>1912</v>
      </c>
      <c r="F980">
        <v>369.05</v>
      </c>
      <c r="G980">
        <v>363</v>
      </c>
      <c r="H980">
        <v>374.8</v>
      </c>
      <c r="I980">
        <v>360</v>
      </c>
      <c r="J980" s="1">
        <v>370.55</v>
      </c>
      <c r="K980">
        <v>12605995.699999999</v>
      </c>
      <c r="L980">
        <v>34146</v>
      </c>
      <c r="M980" t="s">
        <v>78</v>
      </c>
      <c r="N980" t="s">
        <v>17</v>
      </c>
      <c r="O980">
        <v>2210</v>
      </c>
      <c r="P980">
        <v>395.5</v>
      </c>
      <c r="Q980">
        <v>120</v>
      </c>
    </row>
    <row r="981" spans="2:17" x14ac:dyDescent="0.25">
      <c r="B981" t="s">
        <v>78</v>
      </c>
      <c r="C981" t="s">
        <v>79</v>
      </c>
      <c r="D981" t="s">
        <v>1913</v>
      </c>
      <c r="E981" t="s">
        <v>1914</v>
      </c>
      <c r="F981">
        <v>75.2</v>
      </c>
      <c r="G981">
        <v>76.55</v>
      </c>
      <c r="H981">
        <v>76.55</v>
      </c>
      <c r="I981">
        <v>73.3</v>
      </c>
      <c r="J981" s="1">
        <v>75.45</v>
      </c>
      <c r="K981">
        <v>4891479.5</v>
      </c>
      <c r="L981">
        <v>65282</v>
      </c>
      <c r="M981" t="s">
        <v>78</v>
      </c>
      <c r="N981" t="s">
        <v>17</v>
      </c>
      <c r="O981">
        <v>844</v>
      </c>
      <c r="P981">
        <v>86.15</v>
      </c>
      <c r="Q981">
        <v>25.7</v>
      </c>
    </row>
    <row r="982" spans="2:17" x14ac:dyDescent="0.25">
      <c r="B982" t="s">
        <v>78</v>
      </c>
      <c r="C982" t="s">
        <v>79</v>
      </c>
      <c r="D982" t="s">
        <v>1915</v>
      </c>
      <c r="E982" t="s">
        <v>1916</v>
      </c>
      <c r="F982">
        <v>14.9</v>
      </c>
      <c r="G982">
        <v>14.7</v>
      </c>
      <c r="H982">
        <v>15.45</v>
      </c>
      <c r="I982">
        <v>14.7</v>
      </c>
      <c r="J982" s="1">
        <v>15.15</v>
      </c>
      <c r="K982">
        <v>1526449.9</v>
      </c>
      <c r="L982">
        <v>101062</v>
      </c>
      <c r="M982" t="s">
        <v>78</v>
      </c>
      <c r="N982" t="s">
        <v>17</v>
      </c>
      <c r="O982">
        <v>501</v>
      </c>
      <c r="P982">
        <v>18.95</v>
      </c>
      <c r="Q982">
        <v>6.55</v>
      </c>
    </row>
    <row r="983" spans="2:17" x14ac:dyDescent="0.25">
      <c r="B983" t="s">
        <v>78</v>
      </c>
      <c r="C983" t="s">
        <v>79</v>
      </c>
      <c r="D983" t="s">
        <v>1917</v>
      </c>
      <c r="E983" t="s">
        <v>1918</v>
      </c>
      <c r="F983">
        <v>40.75</v>
      </c>
      <c r="G983">
        <v>39.9</v>
      </c>
      <c r="H983">
        <v>40.950000000000003</v>
      </c>
      <c r="I983">
        <v>39.65</v>
      </c>
      <c r="J983" s="1">
        <v>39.85</v>
      </c>
      <c r="K983">
        <v>29106124.800000001</v>
      </c>
      <c r="L983">
        <v>721979</v>
      </c>
      <c r="M983" t="s">
        <v>78</v>
      </c>
      <c r="N983" t="s">
        <v>17</v>
      </c>
      <c r="O983">
        <v>3813</v>
      </c>
      <c r="P983">
        <v>47.9</v>
      </c>
      <c r="Q983">
        <v>16.149999999999999</v>
      </c>
    </row>
    <row r="984" spans="2:17" x14ac:dyDescent="0.25">
      <c r="B984" t="s">
        <v>78</v>
      </c>
      <c r="C984" t="s">
        <v>79</v>
      </c>
      <c r="D984" t="s">
        <v>1919</v>
      </c>
      <c r="E984" t="s">
        <v>1920</v>
      </c>
      <c r="F984">
        <v>87.85</v>
      </c>
      <c r="G984">
        <v>88</v>
      </c>
      <c r="H984">
        <v>91.35</v>
      </c>
      <c r="I984">
        <v>87.5</v>
      </c>
      <c r="J984" s="1">
        <v>89.1</v>
      </c>
      <c r="K984">
        <v>78607292.549999997</v>
      </c>
      <c r="L984">
        <v>879187</v>
      </c>
      <c r="M984" t="s">
        <v>78</v>
      </c>
      <c r="N984" t="s">
        <v>17</v>
      </c>
      <c r="O984">
        <v>8490</v>
      </c>
      <c r="P984">
        <v>91.35</v>
      </c>
      <c r="Q984">
        <v>48.05</v>
      </c>
    </row>
    <row r="985" spans="2:17" x14ac:dyDescent="0.25">
      <c r="B985" t="s">
        <v>78</v>
      </c>
      <c r="C985" t="s">
        <v>79</v>
      </c>
      <c r="D985" t="s">
        <v>1921</v>
      </c>
      <c r="E985" t="s">
        <v>1922</v>
      </c>
      <c r="F985">
        <v>379.65</v>
      </c>
      <c r="G985">
        <v>379.8</v>
      </c>
      <c r="H985">
        <v>391</v>
      </c>
      <c r="I985">
        <v>374.35</v>
      </c>
      <c r="J985" s="1">
        <v>378.85</v>
      </c>
      <c r="K985">
        <v>65481087.700000003</v>
      </c>
      <c r="L985">
        <v>170975</v>
      </c>
      <c r="M985" t="s">
        <v>78</v>
      </c>
      <c r="N985" t="s">
        <v>17</v>
      </c>
      <c r="O985">
        <v>4908</v>
      </c>
      <c r="P985">
        <v>409</v>
      </c>
      <c r="Q985">
        <v>172.55</v>
      </c>
    </row>
    <row r="986" spans="2:17" x14ac:dyDescent="0.25">
      <c r="B986" t="s">
        <v>78</v>
      </c>
      <c r="C986" t="s">
        <v>79</v>
      </c>
      <c r="D986" t="s">
        <v>1923</v>
      </c>
      <c r="E986" t="s">
        <v>1924</v>
      </c>
      <c r="F986">
        <v>890.3</v>
      </c>
      <c r="G986">
        <v>892</v>
      </c>
      <c r="H986">
        <v>914</v>
      </c>
      <c r="I986">
        <v>882.5</v>
      </c>
      <c r="J986" s="1">
        <v>894.2</v>
      </c>
      <c r="K986">
        <v>51935949.149999999</v>
      </c>
      <c r="L986">
        <v>57788</v>
      </c>
      <c r="M986" t="s">
        <v>78</v>
      </c>
      <c r="N986" t="s">
        <v>17</v>
      </c>
      <c r="O986">
        <v>4866</v>
      </c>
      <c r="P986">
        <v>1028</v>
      </c>
      <c r="Q986">
        <v>512</v>
      </c>
    </row>
    <row r="987" spans="2:17" x14ac:dyDescent="0.25">
      <c r="B987" t="s">
        <v>78</v>
      </c>
      <c r="C987" t="s">
        <v>79</v>
      </c>
      <c r="D987" t="s">
        <v>1925</v>
      </c>
      <c r="E987" t="s">
        <v>1926</v>
      </c>
      <c r="F987">
        <v>634.29999999999995</v>
      </c>
      <c r="G987">
        <v>630</v>
      </c>
      <c r="H987">
        <v>648.95000000000005</v>
      </c>
      <c r="I987">
        <v>624.95000000000005</v>
      </c>
      <c r="J987" s="1">
        <v>637.65</v>
      </c>
      <c r="K987">
        <v>50669132.549999997</v>
      </c>
      <c r="L987">
        <v>79249</v>
      </c>
      <c r="M987" t="s">
        <v>78</v>
      </c>
      <c r="N987" t="s">
        <v>17</v>
      </c>
      <c r="O987">
        <v>5581</v>
      </c>
      <c r="P987">
        <v>696.8</v>
      </c>
      <c r="Q987">
        <v>423.5</v>
      </c>
    </row>
    <row r="988" spans="2:17" x14ac:dyDescent="0.25">
      <c r="B988" t="s">
        <v>78</v>
      </c>
      <c r="C988" t="s">
        <v>79</v>
      </c>
      <c r="D988" t="s">
        <v>1927</v>
      </c>
      <c r="E988" t="s">
        <v>1928</v>
      </c>
      <c r="F988">
        <v>51.45</v>
      </c>
      <c r="G988">
        <v>51.15</v>
      </c>
      <c r="H988">
        <v>52.15</v>
      </c>
      <c r="I988">
        <v>50.9</v>
      </c>
      <c r="J988" s="1">
        <v>51.45</v>
      </c>
      <c r="K988">
        <v>55210356.950000003</v>
      </c>
      <c r="L988">
        <v>1071027</v>
      </c>
      <c r="M988" t="s">
        <v>78</v>
      </c>
      <c r="N988" t="s">
        <v>17</v>
      </c>
      <c r="O988">
        <v>3979</v>
      </c>
      <c r="P988">
        <v>58</v>
      </c>
      <c r="Q988">
        <v>31.35</v>
      </c>
    </row>
    <row r="989" spans="2:17" x14ac:dyDescent="0.25">
      <c r="B989" t="s">
        <v>78</v>
      </c>
      <c r="C989" t="s">
        <v>79</v>
      </c>
      <c r="D989" t="s">
        <v>1929</v>
      </c>
      <c r="E989" t="s">
        <v>1930</v>
      </c>
      <c r="F989">
        <v>5.9</v>
      </c>
      <c r="G989">
        <v>5.75</v>
      </c>
      <c r="H989">
        <v>6</v>
      </c>
      <c r="I989">
        <v>5.75</v>
      </c>
      <c r="J989" s="1">
        <v>5.95</v>
      </c>
      <c r="K989">
        <v>88223.45</v>
      </c>
      <c r="L989">
        <v>15112</v>
      </c>
      <c r="M989" t="s">
        <v>78</v>
      </c>
      <c r="N989" t="s">
        <v>17</v>
      </c>
      <c r="O989">
        <v>75</v>
      </c>
      <c r="P989">
        <v>7.1</v>
      </c>
      <c r="Q989">
        <v>3.5</v>
      </c>
    </row>
    <row r="990" spans="2:17" x14ac:dyDescent="0.25">
      <c r="B990" t="s">
        <v>78</v>
      </c>
      <c r="C990" t="s">
        <v>79</v>
      </c>
      <c r="D990" t="s">
        <v>1931</v>
      </c>
      <c r="E990" t="s">
        <v>1932</v>
      </c>
      <c r="F990">
        <v>62.8</v>
      </c>
      <c r="G990">
        <v>62.2</v>
      </c>
      <c r="H990">
        <v>62.8</v>
      </c>
      <c r="I990">
        <v>61.5</v>
      </c>
      <c r="J990" s="1">
        <v>61.8</v>
      </c>
      <c r="K990">
        <v>61996601</v>
      </c>
      <c r="L990">
        <v>998371</v>
      </c>
      <c r="M990" t="s">
        <v>78</v>
      </c>
      <c r="N990" t="s">
        <v>17</v>
      </c>
      <c r="O990">
        <v>6795</v>
      </c>
      <c r="P990">
        <v>73.7</v>
      </c>
      <c r="Q990">
        <v>29.85</v>
      </c>
    </row>
    <row r="991" spans="2:17" x14ac:dyDescent="0.25">
      <c r="B991" t="s">
        <v>78</v>
      </c>
      <c r="C991" t="s">
        <v>79</v>
      </c>
      <c r="D991" t="s">
        <v>1933</v>
      </c>
      <c r="E991" t="s">
        <v>1934</v>
      </c>
      <c r="F991">
        <v>504.3</v>
      </c>
      <c r="G991">
        <v>504</v>
      </c>
      <c r="H991">
        <v>504</v>
      </c>
      <c r="I991">
        <v>490</v>
      </c>
      <c r="J991" s="1">
        <v>491</v>
      </c>
      <c r="K991">
        <v>103738430.15000001</v>
      </c>
      <c r="L991">
        <v>209520</v>
      </c>
      <c r="M991" t="s">
        <v>78</v>
      </c>
      <c r="N991" t="s">
        <v>17</v>
      </c>
      <c r="O991">
        <v>10168</v>
      </c>
      <c r="P991">
        <v>566.70000000000005</v>
      </c>
      <c r="Q991">
        <v>265.60000000000002</v>
      </c>
    </row>
    <row r="992" spans="2:17" x14ac:dyDescent="0.25">
      <c r="B992" t="s">
        <v>78</v>
      </c>
      <c r="C992" t="s">
        <v>79</v>
      </c>
      <c r="D992" t="s">
        <v>1935</v>
      </c>
      <c r="E992" t="s">
        <v>1936</v>
      </c>
      <c r="F992">
        <v>25.9</v>
      </c>
      <c r="G992">
        <v>25.8</v>
      </c>
      <c r="H992">
        <v>26.05</v>
      </c>
      <c r="I992">
        <v>25.75</v>
      </c>
      <c r="J992" s="1">
        <v>26</v>
      </c>
      <c r="K992">
        <v>86788702.299999997</v>
      </c>
      <c r="L992">
        <v>3342052</v>
      </c>
      <c r="M992" t="s">
        <v>78</v>
      </c>
      <c r="N992" t="s">
        <v>17</v>
      </c>
      <c r="O992">
        <v>13233</v>
      </c>
      <c r="P992">
        <v>27.6</v>
      </c>
      <c r="Q992">
        <v>19.7</v>
      </c>
    </row>
    <row r="993" spans="2:17" x14ac:dyDescent="0.25">
      <c r="B993" t="s">
        <v>78</v>
      </c>
      <c r="C993" t="s">
        <v>79</v>
      </c>
      <c r="D993" t="s">
        <v>1937</v>
      </c>
      <c r="E993" t="s">
        <v>1938</v>
      </c>
      <c r="F993">
        <v>164.7</v>
      </c>
      <c r="G993">
        <v>164.4</v>
      </c>
      <c r="H993">
        <v>166.8</v>
      </c>
      <c r="I993">
        <v>163</v>
      </c>
      <c r="J993" s="1">
        <v>164.1</v>
      </c>
      <c r="K993">
        <v>57667924.100000001</v>
      </c>
      <c r="L993">
        <v>350679</v>
      </c>
      <c r="M993" t="s">
        <v>78</v>
      </c>
      <c r="N993" t="s">
        <v>17</v>
      </c>
      <c r="O993">
        <v>11003</v>
      </c>
      <c r="P993">
        <v>197</v>
      </c>
      <c r="Q993">
        <v>99.8</v>
      </c>
    </row>
    <row r="994" spans="2:17" x14ac:dyDescent="0.25">
      <c r="B994" t="s">
        <v>78</v>
      </c>
      <c r="C994" t="s">
        <v>79</v>
      </c>
      <c r="D994" t="s">
        <v>1939</v>
      </c>
      <c r="E994" t="s">
        <v>1940</v>
      </c>
      <c r="F994">
        <v>291</v>
      </c>
      <c r="G994">
        <v>287.95</v>
      </c>
      <c r="H994">
        <v>293.7</v>
      </c>
      <c r="I994">
        <v>281.35000000000002</v>
      </c>
      <c r="J994" s="1">
        <v>283.95</v>
      </c>
      <c r="K994">
        <v>136281786.84999999</v>
      </c>
      <c r="L994">
        <v>472843</v>
      </c>
      <c r="M994" t="s">
        <v>78</v>
      </c>
      <c r="N994" t="s">
        <v>1555</v>
      </c>
      <c r="O994">
        <v>8381</v>
      </c>
      <c r="P994">
        <v>319.39999999999998</v>
      </c>
      <c r="Q994">
        <v>92</v>
      </c>
    </row>
    <row r="995" spans="2:17" x14ac:dyDescent="0.25">
      <c r="B995" t="s">
        <v>78</v>
      </c>
      <c r="C995" t="s">
        <v>79</v>
      </c>
      <c r="D995" t="s">
        <v>1941</v>
      </c>
      <c r="E995" t="s">
        <v>1942</v>
      </c>
      <c r="F995">
        <v>6.75</v>
      </c>
      <c r="G995">
        <v>6.65</v>
      </c>
      <c r="H995">
        <v>7</v>
      </c>
      <c r="I995">
        <v>6.5</v>
      </c>
      <c r="J995" s="1">
        <v>6.5</v>
      </c>
      <c r="K995">
        <v>5946379.1500000004</v>
      </c>
      <c r="L995">
        <v>891392</v>
      </c>
      <c r="M995" t="s">
        <v>78</v>
      </c>
      <c r="N995" t="s">
        <v>17</v>
      </c>
      <c r="O995">
        <v>1097</v>
      </c>
      <c r="P995">
        <v>8.3000000000000007</v>
      </c>
      <c r="Q995">
        <v>3.7</v>
      </c>
    </row>
    <row r="996" spans="2:17" x14ac:dyDescent="0.25">
      <c r="B996" t="s">
        <v>78</v>
      </c>
      <c r="C996" t="s">
        <v>79</v>
      </c>
      <c r="D996" t="s">
        <v>1943</v>
      </c>
      <c r="E996" t="s">
        <v>1944</v>
      </c>
      <c r="F996">
        <v>2523.3000000000002</v>
      </c>
      <c r="G996">
        <v>2500</v>
      </c>
      <c r="H996">
        <v>2537.9</v>
      </c>
      <c r="I996">
        <v>2500</v>
      </c>
      <c r="J996" s="1">
        <v>2500.8000000000002</v>
      </c>
      <c r="K996">
        <v>21856307.25</v>
      </c>
      <c r="L996">
        <v>8697</v>
      </c>
      <c r="M996" t="s">
        <v>78</v>
      </c>
      <c r="N996" t="s">
        <v>17</v>
      </c>
      <c r="O996">
        <v>1535</v>
      </c>
      <c r="P996">
        <v>2606.5</v>
      </c>
      <c r="Q996">
        <v>1174.6500000000001</v>
      </c>
    </row>
    <row r="997" spans="2:17" x14ac:dyDescent="0.25">
      <c r="B997" t="s">
        <v>78</v>
      </c>
      <c r="C997" t="s">
        <v>79</v>
      </c>
      <c r="D997" t="s">
        <v>1945</v>
      </c>
      <c r="E997" t="s">
        <v>1946</v>
      </c>
      <c r="F997">
        <v>1098.95</v>
      </c>
      <c r="G997">
        <v>1089</v>
      </c>
      <c r="H997">
        <v>1116.45</v>
      </c>
      <c r="I997">
        <v>1050.0999999999999</v>
      </c>
      <c r="J997" s="1">
        <v>1063.8499999999999</v>
      </c>
      <c r="K997">
        <v>43802574.100000001</v>
      </c>
      <c r="L997">
        <v>40487</v>
      </c>
      <c r="M997" t="s">
        <v>78</v>
      </c>
      <c r="N997" t="s">
        <v>17</v>
      </c>
      <c r="O997">
        <v>3418</v>
      </c>
      <c r="P997">
        <v>1187.8</v>
      </c>
      <c r="Q997">
        <v>484</v>
      </c>
    </row>
    <row r="998" spans="2:17" x14ac:dyDescent="0.25">
      <c r="B998" t="s">
        <v>78</v>
      </c>
      <c r="C998" t="s">
        <v>79</v>
      </c>
      <c r="D998" t="s">
        <v>1947</v>
      </c>
      <c r="E998" t="s">
        <v>1948</v>
      </c>
      <c r="F998">
        <v>49.7</v>
      </c>
      <c r="G998">
        <v>50</v>
      </c>
      <c r="H998">
        <v>51.5</v>
      </c>
      <c r="I998">
        <v>48.4</v>
      </c>
      <c r="J998" s="1">
        <v>51.25</v>
      </c>
      <c r="K998">
        <v>2287508.6</v>
      </c>
      <c r="L998">
        <v>45452</v>
      </c>
      <c r="M998" t="s">
        <v>78</v>
      </c>
      <c r="N998" t="s">
        <v>17</v>
      </c>
      <c r="O998">
        <v>769</v>
      </c>
      <c r="P998">
        <v>54.45</v>
      </c>
      <c r="Q998">
        <v>34.799999999999997</v>
      </c>
    </row>
    <row r="999" spans="2:17" x14ac:dyDescent="0.25">
      <c r="B999" t="s">
        <v>78</v>
      </c>
      <c r="C999" t="s">
        <v>79</v>
      </c>
      <c r="D999" t="s">
        <v>1949</v>
      </c>
      <c r="E999" t="s">
        <v>1950</v>
      </c>
      <c r="F999">
        <v>27.1</v>
      </c>
      <c r="G999">
        <v>27.25</v>
      </c>
      <c r="H999">
        <v>27.25</v>
      </c>
      <c r="I999">
        <v>26.7</v>
      </c>
      <c r="J999" s="1">
        <v>26.8</v>
      </c>
      <c r="K999">
        <v>1400813</v>
      </c>
      <c r="L999">
        <v>51961</v>
      </c>
      <c r="M999" t="s">
        <v>78</v>
      </c>
      <c r="N999" t="s">
        <v>17</v>
      </c>
      <c r="O999">
        <v>412</v>
      </c>
      <c r="P999">
        <v>33.950000000000003</v>
      </c>
      <c r="Q999">
        <v>15.6</v>
      </c>
    </row>
    <row r="1000" spans="2:17" x14ac:dyDescent="0.25">
      <c r="B1000" t="s">
        <v>78</v>
      </c>
      <c r="C1000" t="s">
        <v>79</v>
      </c>
      <c r="D1000" t="s">
        <v>1951</v>
      </c>
      <c r="E1000" t="s">
        <v>1952</v>
      </c>
      <c r="F1000">
        <v>180.25</v>
      </c>
      <c r="G1000">
        <v>177.8</v>
      </c>
      <c r="H1000">
        <v>189.6</v>
      </c>
      <c r="I1000">
        <v>174.5</v>
      </c>
      <c r="J1000" s="1">
        <v>183.55</v>
      </c>
      <c r="K1000">
        <v>234074029.25</v>
      </c>
      <c r="L1000">
        <v>1260683</v>
      </c>
      <c r="M1000" t="s">
        <v>78</v>
      </c>
      <c r="N1000" t="s">
        <v>17</v>
      </c>
      <c r="O1000">
        <v>19097</v>
      </c>
      <c r="P1000">
        <v>189.6</v>
      </c>
      <c r="Q1000">
        <v>35.049999999999997</v>
      </c>
    </row>
    <row r="1001" spans="2:17" x14ac:dyDescent="0.25">
      <c r="B1001" t="s">
        <v>78</v>
      </c>
      <c r="C1001" t="s">
        <v>79</v>
      </c>
      <c r="D1001" t="s">
        <v>1953</v>
      </c>
      <c r="E1001" t="s">
        <v>1954</v>
      </c>
      <c r="F1001">
        <v>50.95</v>
      </c>
      <c r="G1001">
        <v>52.9</v>
      </c>
      <c r="H1001">
        <v>52.9</v>
      </c>
      <c r="I1001">
        <v>50.05</v>
      </c>
      <c r="J1001" s="1">
        <v>52.45</v>
      </c>
      <c r="K1001">
        <v>135488.4</v>
      </c>
      <c r="L1001">
        <v>2632</v>
      </c>
      <c r="M1001" t="s">
        <v>78</v>
      </c>
      <c r="N1001" t="s">
        <v>17</v>
      </c>
      <c r="O1001">
        <v>120</v>
      </c>
      <c r="P1001">
        <v>66</v>
      </c>
      <c r="Q1001">
        <v>38.200000000000003</v>
      </c>
    </row>
    <row r="1002" spans="2:17" x14ac:dyDescent="0.25">
      <c r="B1002" t="s">
        <v>78</v>
      </c>
      <c r="C1002" t="s">
        <v>79</v>
      </c>
      <c r="D1002" t="s">
        <v>1955</v>
      </c>
      <c r="E1002" t="s">
        <v>1956</v>
      </c>
      <c r="F1002">
        <v>60.05</v>
      </c>
      <c r="G1002">
        <v>60</v>
      </c>
      <c r="H1002">
        <v>61.15</v>
      </c>
      <c r="I1002">
        <v>59.9</v>
      </c>
      <c r="J1002" s="1">
        <v>60.25</v>
      </c>
      <c r="K1002">
        <v>139359001.30000001</v>
      </c>
      <c r="L1002">
        <v>2308656</v>
      </c>
      <c r="M1002" t="s">
        <v>78</v>
      </c>
      <c r="N1002" t="s">
        <v>17</v>
      </c>
      <c r="O1002">
        <v>8442</v>
      </c>
      <c r="P1002">
        <v>73.75</v>
      </c>
      <c r="Q1002">
        <v>46</v>
      </c>
    </row>
    <row r="1003" spans="2:17" x14ac:dyDescent="0.25">
      <c r="B1003" t="s">
        <v>78</v>
      </c>
      <c r="C1003" t="s">
        <v>79</v>
      </c>
      <c r="D1003" t="s">
        <v>1957</v>
      </c>
      <c r="E1003" t="s">
        <v>1958</v>
      </c>
      <c r="F1003">
        <v>266.45</v>
      </c>
      <c r="G1003">
        <v>260.8</v>
      </c>
      <c r="H1003">
        <v>263.89999999999998</v>
      </c>
      <c r="I1003">
        <v>254.6</v>
      </c>
      <c r="J1003" s="1">
        <v>257.10000000000002</v>
      </c>
      <c r="K1003">
        <v>335540265.14999998</v>
      </c>
      <c r="L1003">
        <v>1297253</v>
      </c>
      <c r="M1003" t="s">
        <v>78</v>
      </c>
      <c r="N1003" t="s">
        <v>17</v>
      </c>
      <c r="O1003">
        <v>23212</v>
      </c>
      <c r="P1003">
        <v>271.39999999999998</v>
      </c>
      <c r="Q1003">
        <v>102.1</v>
      </c>
    </row>
    <row r="1004" spans="2:17" x14ac:dyDescent="0.25">
      <c r="B1004" t="s">
        <v>78</v>
      </c>
      <c r="C1004" t="s">
        <v>79</v>
      </c>
      <c r="D1004" t="s">
        <v>1959</v>
      </c>
      <c r="E1004" t="s">
        <v>1960</v>
      </c>
      <c r="F1004">
        <v>6.5</v>
      </c>
      <c r="G1004">
        <v>6.5</v>
      </c>
      <c r="H1004">
        <v>6.7</v>
      </c>
      <c r="I1004">
        <v>6.2</v>
      </c>
      <c r="J1004" s="1">
        <v>6.35</v>
      </c>
      <c r="K1004">
        <v>2284482.25</v>
      </c>
      <c r="L1004">
        <v>362203</v>
      </c>
      <c r="M1004" t="s">
        <v>78</v>
      </c>
      <c r="N1004" t="s">
        <v>17</v>
      </c>
      <c r="O1004">
        <v>359</v>
      </c>
      <c r="P1004">
        <v>8.65</v>
      </c>
      <c r="Q1004">
        <v>3.1</v>
      </c>
    </row>
    <row r="1005" spans="2:17" x14ac:dyDescent="0.25">
      <c r="B1005" t="s">
        <v>783</v>
      </c>
      <c r="C1005" t="s">
        <v>79</v>
      </c>
      <c r="D1005" t="s">
        <v>1961</v>
      </c>
      <c r="E1005" t="s">
        <v>1962</v>
      </c>
      <c r="F1005">
        <v>6.55</v>
      </c>
      <c r="G1005">
        <v>6.6</v>
      </c>
      <c r="H1005">
        <v>6.6</v>
      </c>
      <c r="I1005">
        <v>6.6</v>
      </c>
      <c r="J1005" s="1">
        <v>6.6</v>
      </c>
      <c r="K1005">
        <v>23100</v>
      </c>
      <c r="L1005">
        <v>3500</v>
      </c>
      <c r="M1005" t="s">
        <v>78</v>
      </c>
      <c r="N1005" t="s">
        <v>17</v>
      </c>
      <c r="O1005">
        <v>4</v>
      </c>
      <c r="P1005">
        <v>9.9499999999999993</v>
      </c>
      <c r="Q1005">
        <v>3.95</v>
      </c>
    </row>
    <row r="1006" spans="2:17" x14ac:dyDescent="0.25">
      <c r="B1006" t="s">
        <v>78</v>
      </c>
      <c r="C1006" t="s">
        <v>79</v>
      </c>
      <c r="D1006" t="s">
        <v>1963</v>
      </c>
      <c r="E1006" t="s">
        <v>1964</v>
      </c>
      <c r="F1006">
        <v>1001.1</v>
      </c>
      <c r="G1006">
        <v>1000</v>
      </c>
      <c r="H1006">
        <v>1028</v>
      </c>
      <c r="I1006">
        <v>973.4</v>
      </c>
      <c r="J1006" s="1">
        <v>988.5</v>
      </c>
      <c r="K1006">
        <v>46450027.399999999</v>
      </c>
      <c r="L1006">
        <v>46517</v>
      </c>
      <c r="M1006" t="s">
        <v>78</v>
      </c>
      <c r="N1006" t="s">
        <v>17</v>
      </c>
      <c r="O1006">
        <v>4447</v>
      </c>
      <c r="P1006">
        <v>1098</v>
      </c>
      <c r="Q1006">
        <v>624.79999999999995</v>
      </c>
    </row>
    <row r="1007" spans="2:17" x14ac:dyDescent="0.25">
      <c r="B1007" t="s">
        <v>78</v>
      </c>
      <c r="C1007" t="s">
        <v>79</v>
      </c>
      <c r="D1007" t="s">
        <v>1965</v>
      </c>
      <c r="E1007" t="s">
        <v>1966</v>
      </c>
      <c r="F1007">
        <v>249.15</v>
      </c>
      <c r="G1007">
        <v>248</v>
      </c>
      <c r="H1007">
        <v>248</v>
      </c>
      <c r="I1007">
        <v>241</v>
      </c>
      <c r="J1007" s="1">
        <v>242.25</v>
      </c>
      <c r="K1007">
        <v>5998683.9500000002</v>
      </c>
      <c r="L1007">
        <v>24579</v>
      </c>
      <c r="M1007" t="s">
        <v>78</v>
      </c>
      <c r="N1007" t="s">
        <v>17</v>
      </c>
      <c r="O1007">
        <v>1260</v>
      </c>
      <c r="P1007">
        <v>282.85000000000002</v>
      </c>
      <c r="Q1007">
        <v>171.5</v>
      </c>
    </row>
    <row r="1008" spans="2:17" x14ac:dyDescent="0.25">
      <c r="B1008" t="s">
        <v>78</v>
      </c>
      <c r="C1008" t="s">
        <v>79</v>
      </c>
      <c r="D1008" t="s">
        <v>1967</v>
      </c>
      <c r="E1008" t="s">
        <v>1968</v>
      </c>
      <c r="F1008">
        <v>142.6</v>
      </c>
      <c r="G1008">
        <v>142</v>
      </c>
      <c r="H1008">
        <v>143.5</v>
      </c>
      <c r="I1008">
        <v>140.6</v>
      </c>
      <c r="J1008" s="1">
        <v>141.5</v>
      </c>
      <c r="K1008">
        <v>31934021.050000001</v>
      </c>
      <c r="L1008">
        <v>224846</v>
      </c>
      <c r="M1008" t="s">
        <v>78</v>
      </c>
      <c r="N1008" t="s">
        <v>17</v>
      </c>
      <c r="O1008">
        <v>4902</v>
      </c>
      <c r="P1008">
        <v>154.4</v>
      </c>
      <c r="Q1008">
        <v>66.5</v>
      </c>
    </row>
    <row r="1009" spans="2:17" x14ac:dyDescent="0.25">
      <c r="B1009" t="s">
        <v>78</v>
      </c>
      <c r="C1009" t="s">
        <v>79</v>
      </c>
      <c r="D1009" t="s">
        <v>1969</v>
      </c>
      <c r="E1009" t="s">
        <v>1970</v>
      </c>
      <c r="F1009">
        <v>1781.2</v>
      </c>
      <c r="G1009">
        <v>1811</v>
      </c>
      <c r="H1009">
        <v>1811</v>
      </c>
      <c r="I1009">
        <v>1752.05</v>
      </c>
      <c r="J1009" s="1">
        <v>1776.1</v>
      </c>
      <c r="K1009">
        <v>563350.15</v>
      </c>
      <c r="L1009">
        <v>317</v>
      </c>
      <c r="M1009" t="s">
        <v>78</v>
      </c>
      <c r="N1009" t="s">
        <v>17</v>
      </c>
      <c r="O1009">
        <v>94</v>
      </c>
      <c r="P1009">
        <v>1850</v>
      </c>
      <c r="Q1009">
        <v>621.5</v>
      </c>
    </row>
    <row r="1010" spans="2:17" x14ac:dyDescent="0.25">
      <c r="B1010" t="s">
        <v>78</v>
      </c>
      <c r="C1010" t="s">
        <v>79</v>
      </c>
      <c r="D1010" t="s">
        <v>1971</v>
      </c>
      <c r="E1010" t="s">
        <v>1972</v>
      </c>
      <c r="F1010">
        <v>705.15</v>
      </c>
      <c r="G1010">
        <v>696</v>
      </c>
      <c r="H1010">
        <v>717</v>
      </c>
      <c r="I1010">
        <v>694.8</v>
      </c>
      <c r="J1010" s="1">
        <v>708.8</v>
      </c>
      <c r="K1010">
        <v>95328747.799999997</v>
      </c>
      <c r="L1010">
        <v>134699</v>
      </c>
      <c r="M1010" t="s">
        <v>78</v>
      </c>
      <c r="N1010" t="s">
        <v>17</v>
      </c>
      <c r="O1010">
        <v>7588</v>
      </c>
      <c r="P1010">
        <v>766</v>
      </c>
      <c r="Q1010">
        <v>276</v>
      </c>
    </row>
    <row r="1011" spans="2:17" x14ac:dyDescent="0.25">
      <c r="B1011" t="s">
        <v>78</v>
      </c>
      <c r="C1011" t="s">
        <v>79</v>
      </c>
      <c r="D1011" t="s">
        <v>1973</v>
      </c>
      <c r="E1011" t="s">
        <v>1974</v>
      </c>
      <c r="F1011">
        <v>1603.8</v>
      </c>
      <c r="G1011">
        <v>1600</v>
      </c>
      <c r="H1011">
        <v>1623.05</v>
      </c>
      <c r="I1011">
        <v>1570.6</v>
      </c>
      <c r="J1011" s="1">
        <v>1593.65</v>
      </c>
      <c r="K1011">
        <v>22063462.949999999</v>
      </c>
      <c r="L1011">
        <v>13774</v>
      </c>
      <c r="M1011" t="s">
        <v>78</v>
      </c>
      <c r="N1011" t="s">
        <v>17</v>
      </c>
      <c r="O1011">
        <v>1049</v>
      </c>
      <c r="P1011">
        <v>1792</v>
      </c>
      <c r="Q1011">
        <v>555.6</v>
      </c>
    </row>
    <row r="1012" spans="2:17" x14ac:dyDescent="0.25">
      <c r="B1012" t="s">
        <v>78</v>
      </c>
      <c r="C1012" t="s">
        <v>79</v>
      </c>
      <c r="D1012" t="s">
        <v>1975</v>
      </c>
      <c r="E1012" t="s">
        <v>1976</v>
      </c>
      <c r="F1012">
        <v>502.25</v>
      </c>
      <c r="G1012">
        <v>500</v>
      </c>
      <c r="H1012">
        <v>500</v>
      </c>
      <c r="I1012">
        <v>485.5</v>
      </c>
      <c r="J1012" s="1">
        <v>487.4</v>
      </c>
      <c r="K1012">
        <v>4067689.05</v>
      </c>
      <c r="L1012">
        <v>8291</v>
      </c>
      <c r="M1012" t="s">
        <v>78</v>
      </c>
      <c r="N1012" t="s">
        <v>17</v>
      </c>
      <c r="O1012">
        <v>823</v>
      </c>
      <c r="P1012">
        <v>724.8</v>
      </c>
      <c r="Q1012">
        <v>375.5</v>
      </c>
    </row>
    <row r="1013" spans="2:17" x14ac:dyDescent="0.25">
      <c r="B1013" t="s">
        <v>78</v>
      </c>
      <c r="C1013" t="s">
        <v>79</v>
      </c>
      <c r="D1013" t="s">
        <v>1977</v>
      </c>
      <c r="E1013" t="s">
        <v>1978</v>
      </c>
      <c r="F1013">
        <v>954.4</v>
      </c>
      <c r="G1013">
        <v>957</v>
      </c>
      <c r="H1013">
        <v>984.8</v>
      </c>
      <c r="I1013">
        <v>945</v>
      </c>
      <c r="J1013" s="1">
        <v>957.15</v>
      </c>
      <c r="K1013">
        <v>49436835.799999997</v>
      </c>
      <c r="L1013">
        <v>51131</v>
      </c>
      <c r="M1013" t="s">
        <v>78</v>
      </c>
      <c r="N1013" t="s">
        <v>17</v>
      </c>
      <c r="O1013">
        <v>6801</v>
      </c>
      <c r="P1013">
        <v>1019</v>
      </c>
      <c r="Q1013">
        <v>282.75</v>
      </c>
    </row>
    <row r="1014" spans="2:17" x14ac:dyDescent="0.25">
      <c r="B1014" t="s">
        <v>78</v>
      </c>
      <c r="C1014" t="s">
        <v>79</v>
      </c>
      <c r="D1014" t="s">
        <v>1979</v>
      </c>
      <c r="E1014" t="s">
        <v>1980</v>
      </c>
      <c r="F1014">
        <v>706.75</v>
      </c>
      <c r="G1014">
        <v>699</v>
      </c>
      <c r="H1014">
        <v>722.3</v>
      </c>
      <c r="I1014">
        <v>695.6</v>
      </c>
      <c r="J1014" s="1">
        <v>711.85</v>
      </c>
      <c r="K1014">
        <v>326147034.69999999</v>
      </c>
      <c r="L1014">
        <v>459029</v>
      </c>
      <c r="M1014" t="s">
        <v>78</v>
      </c>
      <c r="N1014" t="s">
        <v>17</v>
      </c>
      <c r="O1014">
        <v>13239</v>
      </c>
      <c r="P1014">
        <v>729</v>
      </c>
      <c r="Q1014">
        <v>330.85</v>
      </c>
    </row>
    <row r="1015" spans="2:17" x14ac:dyDescent="0.25">
      <c r="B1015" t="s">
        <v>78</v>
      </c>
      <c r="C1015" t="s">
        <v>79</v>
      </c>
      <c r="D1015" t="s">
        <v>1981</v>
      </c>
      <c r="E1015" t="s">
        <v>1982</v>
      </c>
      <c r="F1015">
        <v>1111.3499999999999</v>
      </c>
      <c r="G1015">
        <v>1111.3499999999999</v>
      </c>
      <c r="H1015">
        <v>1130</v>
      </c>
      <c r="I1015">
        <v>1088.0999999999999</v>
      </c>
      <c r="J1015" s="1">
        <v>1095.4000000000001</v>
      </c>
      <c r="K1015">
        <v>28180746.350000001</v>
      </c>
      <c r="L1015">
        <v>25258</v>
      </c>
      <c r="M1015" t="s">
        <v>78</v>
      </c>
      <c r="N1015" t="s">
        <v>17</v>
      </c>
      <c r="O1015">
        <v>3184</v>
      </c>
      <c r="P1015">
        <v>1160</v>
      </c>
      <c r="Q1015">
        <v>727</v>
      </c>
    </row>
    <row r="1016" spans="2:17" x14ac:dyDescent="0.25">
      <c r="B1016" t="s">
        <v>78</v>
      </c>
      <c r="C1016" t="s">
        <v>79</v>
      </c>
      <c r="D1016" t="s">
        <v>1983</v>
      </c>
      <c r="E1016" t="s">
        <v>1984</v>
      </c>
      <c r="F1016">
        <v>156.65</v>
      </c>
      <c r="G1016">
        <v>155</v>
      </c>
      <c r="H1016">
        <v>158.80000000000001</v>
      </c>
      <c r="I1016">
        <v>153.55000000000001</v>
      </c>
      <c r="J1016" s="1">
        <v>155.85</v>
      </c>
      <c r="K1016">
        <v>230366349.80000001</v>
      </c>
      <c r="L1016">
        <v>1476527</v>
      </c>
      <c r="M1016" t="s">
        <v>78</v>
      </c>
      <c r="N1016" t="s">
        <v>17</v>
      </c>
      <c r="O1016">
        <v>22123</v>
      </c>
      <c r="P1016">
        <v>177.4</v>
      </c>
      <c r="Q1016">
        <v>83.5</v>
      </c>
    </row>
    <row r="1017" spans="2:17" x14ac:dyDescent="0.25">
      <c r="B1017" t="s">
        <v>78</v>
      </c>
      <c r="C1017" t="s">
        <v>79</v>
      </c>
      <c r="D1017" t="s">
        <v>1985</v>
      </c>
      <c r="E1017" t="s">
        <v>1986</v>
      </c>
      <c r="F1017">
        <v>69.75</v>
      </c>
      <c r="G1017">
        <v>69.25</v>
      </c>
      <c r="H1017">
        <v>70.099999999999994</v>
      </c>
      <c r="I1017">
        <v>67.349999999999994</v>
      </c>
      <c r="J1017" s="1">
        <v>68.8</v>
      </c>
      <c r="K1017">
        <v>4859782.6500000004</v>
      </c>
      <c r="L1017">
        <v>70720</v>
      </c>
      <c r="M1017" t="s">
        <v>78</v>
      </c>
      <c r="N1017" t="s">
        <v>17</v>
      </c>
      <c r="O1017">
        <v>2567</v>
      </c>
      <c r="P1017">
        <v>73.75</v>
      </c>
      <c r="Q1017">
        <v>29.05</v>
      </c>
    </row>
    <row r="1018" spans="2:17" x14ac:dyDescent="0.25">
      <c r="B1018" t="s">
        <v>78</v>
      </c>
      <c r="C1018" t="s">
        <v>79</v>
      </c>
      <c r="D1018" t="s">
        <v>1987</v>
      </c>
      <c r="E1018" t="s">
        <v>1988</v>
      </c>
      <c r="F1018">
        <v>94.9</v>
      </c>
      <c r="G1018">
        <v>94.3</v>
      </c>
      <c r="H1018">
        <v>95.5</v>
      </c>
      <c r="I1018">
        <v>90.35</v>
      </c>
      <c r="J1018" s="1">
        <v>91.3</v>
      </c>
      <c r="K1018">
        <v>15875319</v>
      </c>
      <c r="L1018">
        <v>170870</v>
      </c>
      <c r="M1018" t="s">
        <v>78</v>
      </c>
      <c r="N1018" t="s">
        <v>17</v>
      </c>
      <c r="O1018">
        <v>2819</v>
      </c>
      <c r="P1018">
        <v>98.6</v>
      </c>
      <c r="Q1018">
        <v>59.5</v>
      </c>
    </row>
    <row r="1019" spans="2:17" x14ac:dyDescent="0.25">
      <c r="B1019" t="s">
        <v>78</v>
      </c>
      <c r="C1019" t="s">
        <v>79</v>
      </c>
      <c r="D1019" t="s">
        <v>1989</v>
      </c>
      <c r="E1019" t="s">
        <v>1990</v>
      </c>
      <c r="F1019">
        <v>36.25</v>
      </c>
      <c r="G1019">
        <v>36</v>
      </c>
      <c r="H1019">
        <v>37.450000000000003</v>
      </c>
      <c r="I1019">
        <v>35</v>
      </c>
      <c r="J1019" s="1">
        <v>36.200000000000003</v>
      </c>
      <c r="K1019">
        <v>8658984.3499999996</v>
      </c>
      <c r="L1019">
        <v>236805</v>
      </c>
      <c r="M1019" t="s">
        <v>78</v>
      </c>
      <c r="N1019" t="s">
        <v>17</v>
      </c>
      <c r="O1019">
        <v>2079</v>
      </c>
      <c r="P1019">
        <v>37.700000000000003</v>
      </c>
      <c r="Q1019">
        <v>15</v>
      </c>
    </row>
    <row r="1020" spans="2:17" x14ac:dyDescent="0.25">
      <c r="B1020" t="s">
        <v>78</v>
      </c>
      <c r="C1020" t="s">
        <v>79</v>
      </c>
      <c r="D1020" t="s">
        <v>1991</v>
      </c>
      <c r="E1020" t="s">
        <v>1992</v>
      </c>
      <c r="F1020">
        <v>10.15</v>
      </c>
      <c r="G1020">
        <v>10.65</v>
      </c>
      <c r="H1020">
        <v>10.65</v>
      </c>
      <c r="I1020">
        <v>10.65</v>
      </c>
      <c r="J1020" s="1">
        <v>10.65</v>
      </c>
      <c r="K1020">
        <v>360310.8</v>
      </c>
      <c r="L1020">
        <v>33832</v>
      </c>
      <c r="M1020" t="s">
        <v>78</v>
      </c>
      <c r="N1020" t="s">
        <v>17</v>
      </c>
      <c r="O1020">
        <v>30</v>
      </c>
      <c r="P1020">
        <v>11.15</v>
      </c>
      <c r="Q1020">
        <v>2.25</v>
      </c>
    </row>
    <row r="1021" spans="2:17" x14ac:dyDescent="0.25">
      <c r="B1021" t="s">
        <v>78</v>
      </c>
      <c r="C1021" t="s">
        <v>79</v>
      </c>
      <c r="D1021" t="s">
        <v>1993</v>
      </c>
      <c r="E1021" t="s">
        <v>1994</v>
      </c>
      <c r="F1021">
        <v>145.05000000000001</v>
      </c>
      <c r="G1021">
        <v>142.19999999999999</v>
      </c>
      <c r="H1021">
        <v>145.19999999999999</v>
      </c>
      <c r="I1021">
        <v>138.5</v>
      </c>
      <c r="J1021" s="1">
        <v>140.6</v>
      </c>
      <c r="K1021">
        <v>126379797</v>
      </c>
      <c r="L1021">
        <v>892560</v>
      </c>
      <c r="M1021" t="s">
        <v>78</v>
      </c>
      <c r="N1021" t="s">
        <v>17</v>
      </c>
      <c r="O1021">
        <v>13067</v>
      </c>
      <c r="P1021">
        <v>154.4</v>
      </c>
      <c r="Q1021">
        <v>27.75</v>
      </c>
    </row>
    <row r="1022" spans="2:17" x14ac:dyDescent="0.25">
      <c r="B1022" t="s">
        <v>78</v>
      </c>
      <c r="C1022" t="s">
        <v>79</v>
      </c>
      <c r="D1022" t="s">
        <v>1995</v>
      </c>
      <c r="E1022" t="s">
        <v>1996</v>
      </c>
      <c r="F1022">
        <v>72.8</v>
      </c>
      <c r="G1022">
        <v>73</v>
      </c>
      <c r="H1022">
        <v>74.349999999999994</v>
      </c>
      <c r="I1022">
        <v>72.099999999999994</v>
      </c>
      <c r="J1022" s="1">
        <v>72.650000000000006</v>
      </c>
      <c r="K1022">
        <v>2560175.85</v>
      </c>
      <c r="L1022">
        <v>35022</v>
      </c>
      <c r="M1022" t="s">
        <v>78</v>
      </c>
      <c r="N1022" t="s">
        <v>17</v>
      </c>
      <c r="O1022">
        <v>983</v>
      </c>
      <c r="P1022">
        <v>89.05</v>
      </c>
      <c r="Q1022">
        <v>54.35</v>
      </c>
    </row>
    <row r="1023" spans="2:17" x14ac:dyDescent="0.25">
      <c r="B1023" t="s">
        <v>78</v>
      </c>
      <c r="C1023" t="s">
        <v>79</v>
      </c>
      <c r="D1023" t="s">
        <v>1997</v>
      </c>
      <c r="E1023" t="s">
        <v>1998</v>
      </c>
      <c r="F1023">
        <v>29.8</v>
      </c>
      <c r="G1023">
        <v>30</v>
      </c>
      <c r="H1023">
        <v>30.2</v>
      </c>
      <c r="I1023">
        <v>28.45</v>
      </c>
      <c r="J1023" s="1">
        <v>28.6</v>
      </c>
      <c r="K1023">
        <v>6265548.8499999996</v>
      </c>
      <c r="L1023">
        <v>215494</v>
      </c>
      <c r="M1023" t="s">
        <v>78</v>
      </c>
      <c r="N1023" t="s">
        <v>17</v>
      </c>
      <c r="O1023">
        <v>772</v>
      </c>
      <c r="P1023">
        <v>32.6</v>
      </c>
      <c r="Q1023">
        <v>15.8</v>
      </c>
    </row>
    <row r="1024" spans="2:17" x14ac:dyDescent="0.25">
      <c r="B1024" t="s">
        <v>78</v>
      </c>
      <c r="C1024" t="s">
        <v>79</v>
      </c>
      <c r="D1024" t="s">
        <v>1999</v>
      </c>
      <c r="E1024" t="s">
        <v>2000</v>
      </c>
      <c r="F1024">
        <v>33</v>
      </c>
      <c r="G1024">
        <v>33.200000000000003</v>
      </c>
      <c r="H1024">
        <v>34.65</v>
      </c>
      <c r="I1024">
        <v>32.799999999999997</v>
      </c>
      <c r="J1024" s="1">
        <v>33.200000000000003</v>
      </c>
      <c r="K1024">
        <v>11266362.5</v>
      </c>
      <c r="L1024">
        <v>333853</v>
      </c>
      <c r="M1024" t="s">
        <v>78</v>
      </c>
      <c r="N1024" t="s">
        <v>17</v>
      </c>
      <c r="O1024">
        <v>2271</v>
      </c>
      <c r="P1024">
        <v>38.65</v>
      </c>
      <c r="Q1024">
        <v>15.6</v>
      </c>
    </row>
    <row r="1025" spans="2:17" x14ac:dyDescent="0.25">
      <c r="B1025" t="s">
        <v>78</v>
      </c>
      <c r="C1025" t="s">
        <v>79</v>
      </c>
      <c r="D1025" t="s">
        <v>2001</v>
      </c>
      <c r="E1025" t="s">
        <v>2002</v>
      </c>
      <c r="F1025">
        <v>11.2</v>
      </c>
      <c r="G1025">
        <v>11.75</v>
      </c>
      <c r="H1025">
        <v>11.75</v>
      </c>
      <c r="I1025">
        <v>10.6</v>
      </c>
      <c r="J1025" s="1">
        <v>11.45</v>
      </c>
      <c r="K1025">
        <v>1401799.7</v>
      </c>
      <c r="L1025">
        <v>123058</v>
      </c>
      <c r="M1025" t="s">
        <v>78</v>
      </c>
      <c r="N1025" t="s">
        <v>17</v>
      </c>
      <c r="O1025">
        <v>356</v>
      </c>
      <c r="P1025">
        <v>13.2</v>
      </c>
      <c r="Q1025">
        <v>5.05</v>
      </c>
    </row>
    <row r="1026" spans="2:17" x14ac:dyDescent="0.25">
      <c r="B1026" t="s">
        <v>78</v>
      </c>
      <c r="C1026" t="s">
        <v>79</v>
      </c>
      <c r="D1026" t="s">
        <v>2003</v>
      </c>
      <c r="E1026" t="s">
        <v>2004</v>
      </c>
      <c r="F1026">
        <v>331.95</v>
      </c>
      <c r="G1026">
        <v>330.65</v>
      </c>
      <c r="H1026">
        <v>357.75</v>
      </c>
      <c r="I1026">
        <v>321</v>
      </c>
      <c r="J1026" s="1">
        <v>342.8</v>
      </c>
      <c r="K1026">
        <v>32003006</v>
      </c>
      <c r="L1026">
        <v>91811</v>
      </c>
      <c r="M1026" t="s">
        <v>78</v>
      </c>
      <c r="N1026" t="s">
        <v>17</v>
      </c>
      <c r="O1026">
        <v>3238</v>
      </c>
      <c r="P1026">
        <v>359</v>
      </c>
      <c r="Q1026">
        <v>72.2</v>
      </c>
    </row>
    <row r="1027" spans="2:17" x14ac:dyDescent="0.25">
      <c r="B1027" t="s">
        <v>78</v>
      </c>
      <c r="C1027" t="s">
        <v>79</v>
      </c>
      <c r="D1027" t="s">
        <v>2005</v>
      </c>
      <c r="E1027" t="s">
        <v>2006</v>
      </c>
      <c r="F1027">
        <v>145.5</v>
      </c>
      <c r="G1027">
        <v>145</v>
      </c>
      <c r="H1027">
        <v>151.85</v>
      </c>
      <c r="I1027">
        <v>144.5</v>
      </c>
      <c r="J1027" s="1">
        <v>148.94999999999999</v>
      </c>
      <c r="K1027">
        <v>303964637.85000002</v>
      </c>
      <c r="L1027">
        <v>2038795</v>
      </c>
      <c r="M1027" t="s">
        <v>78</v>
      </c>
      <c r="N1027" t="s">
        <v>17</v>
      </c>
      <c r="O1027">
        <v>20374</v>
      </c>
      <c r="P1027">
        <v>152.44999999999999</v>
      </c>
      <c r="Q1027">
        <v>56.2</v>
      </c>
    </row>
    <row r="1028" spans="2:17" x14ac:dyDescent="0.25">
      <c r="B1028" t="s">
        <v>78</v>
      </c>
      <c r="C1028" t="s">
        <v>79</v>
      </c>
      <c r="D1028" t="s">
        <v>2007</v>
      </c>
      <c r="E1028" t="s">
        <v>2008</v>
      </c>
      <c r="F1028">
        <v>333.35</v>
      </c>
      <c r="G1028">
        <v>333.75</v>
      </c>
      <c r="H1028">
        <v>349.5</v>
      </c>
      <c r="I1028">
        <v>330.1</v>
      </c>
      <c r="J1028" s="1">
        <v>336.15</v>
      </c>
      <c r="K1028">
        <v>1030274944.55</v>
      </c>
      <c r="L1028">
        <v>3002269</v>
      </c>
      <c r="M1028" t="s">
        <v>78</v>
      </c>
      <c r="N1028" t="s">
        <v>17</v>
      </c>
      <c r="O1028">
        <v>53472</v>
      </c>
      <c r="P1028">
        <v>349.5</v>
      </c>
      <c r="Q1028">
        <v>172.65</v>
      </c>
    </row>
    <row r="1029" spans="2:17" x14ac:dyDescent="0.25">
      <c r="B1029" t="s">
        <v>78</v>
      </c>
      <c r="C1029" t="s">
        <v>79</v>
      </c>
      <c r="D1029" t="s">
        <v>2009</v>
      </c>
      <c r="E1029" t="s">
        <v>2010</v>
      </c>
      <c r="F1029">
        <v>37.5</v>
      </c>
      <c r="G1029">
        <v>37.049999999999997</v>
      </c>
      <c r="H1029">
        <v>37.9</v>
      </c>
      <c r="I1029">
        <v>36.799999999999997</v>
      </c>
      <c r="J1029" s="1">
        <v>37.15</v>
      </c>
      <c r="K1029">
        <v>3257226.4</v>
      </c>
      <c r="L1029">
        <v>87559</v>
      </c>
      <c r="M1029" t="s">
        <v>78</v>
      </c>
      <c r="N1029" t="s">
        <v>546</v>
      </c>
      <c r="O1029">
        <v>991</v>
      </c>
      <c r="P1029">
        <v>43.35</v>
      </c>
      <c r="Q1029">
        <v>18.8</v>
      </c>
    </row>
    <row r="1030" spans="2:17" x14ac:dyDescent="0.25">
      <c r="B1030" t="s">
        <v>78</v>
      </c>
      <c r="C1030" t="s">
        <v>79</v>
      </c>
      <c r="D1030" t="s">
        <v>2011</v>
      </c>
      <c r="E1030" t="s">
        <v>2012</v>
      </c>
      <c r="F1030">
        <v>86.85</v>
      </c>
      <c r="G1030">
        <v>85.65</v>
      </c>
      <c r="H1030">
        <v>87.05</v>
      </c>
      <c r="I1030">
        <v>83</v>
      </c>
      <c r="J1030" s="1">
        <v>83.7</v>
      </c>
      <c r="K1030">
        <v>2103660.7999999998</v>
      </c>
      <c r="L1030">
        <v>24816</v>
      </c>
      <c r="M1030" t="s">
        <v>78</v>
      </c>
      <c r="N1030" t="s">
        <v>17</v>
      </c>
      <c r="O1030">
        <v>444</v>
      </c>
      <c r="P1030">
        <v>122.9</v>
      </c>
      <c r="Q1030">
        <v>62.25</v>
      </c>
    </row>
    <row r="1031" spans="2:17" x14ac:dyDescent="0.25">
      <c r="B1031" t="s">
        <v>78</v>
      </c>
      <c r="C1031" t="s">
        <v>79</v>
      </c>
      <c r="D1031" t="s">
        <v>2013</v>
      </c>
      <c r="E1031" t="s">
        <v>2014</v>
      </c>
      <c r="F1031">
        <v>29.9</v>
      </c>
      <c r="G1031">
        <v>29.5</v>
      </c>
      <c r="H1031">
        <v>30.3</v>
      </c>
      <c r="I1031">
        <v>29.3</v>
      </c>
      <c r="J1031" s="1">
        <v>29.85</v>
      </c>
      <c r="K1031">
        <v>33978189.25</v>
      </c>
      <c r="L1031">
        <v>1144526</v>
      </c>
      <c r="M1031" t="s">
        <v>78</v>
      </c>
      <c r="N1031" t="s">
        <v>17</v>
      </c>
      <c r="O1031">
        <v>3027</v>
      </c>
      <c r="P1031">
        <v>33.4</v>
      </c>
      <c r="Q1031">
        <v>15.6</v>
      </c>
    </row>
    <row r="1032" spans="2:17" x14ac:dyDescent="0.25">
      <c r="B1032" t="s">
        <v>78</v>
      </c>
      <c r="C1032" t="s">
        <v>79</v>
      </c>
      <c r="D1032" t="s">
        <v>2015</v>
      </c>
      <c r="E1032" t="s">
        <v>2016</v>
      </c>
      <c r="F1032">
        <v>326.25</v>
      </c>
      <c r="G1032">
        <v>324</v>
      </c>
      <c r="H1032">
        <v>332</v>
      </c>
      <c r="I1032">
        <v>323</v>
      </c>
      <c r="J1032" s="1">
        <v>325.35000000000002</v>
      </c>
      <c r="K1032">
        <v>24871758.100000001</v>
      </c>
      <c r="L1032">
        <v>76176</v>
      </c>
      <c r="M1032" t="s">
        <v>78</v>
      </c>
      <c r="N1032" t="s">
        <v>17</v>
      </c>
      <c r="O1032">
        <v>3698</v>
      </c>
      <c r="P1032">
        <v>357</v>
      </c>
      <c r="Q1032">
        <v>163</v>
      </c>
    </row>
    <row r="1033" spans="2:17" x14ac:dyDescent="0.25">
      <c r="B1033" t="s">
        <v>78</v>
      </c>
      <c r="C1033" t="s">
        <v>79</v>
      </c>
      <c r="D1033" t="s">
        <v>2017</v>
      </c>
      <c r="E1033" t="s">
        <v>2018</v>
      </c>
      <c r="F1033">
        <v>3238.5</v>
      </c>
      <c r="G1033">
        <v>3217</v>
      </c>
      <c r="H1033">
        <v>3262</v>
      </c>
      <c r="I1033">
        <v>3187</v>
      </c>
      <c r="J1033" s="1">
        <v>3200.4</v>
      </c>
      <c r="K1033">
        <v>32495760.449999999</v>
      </c>
      <c r="L1033">
        <v>10100</v>
      </c>
      <c r="M1033" t="s">
        <v>78</v>
      </c>
      <c r="N1033" t="s">
        <v>17</v>
      </c>
      <c r="O1033">
        <v>2075</v>
      </c>
      <c r="P1033">
        <v>3802</v>
      </c>
      <c r="Q1033">
        <v>1612.55</v>
      </c>
    </row>
    <row r="1034" spans="2:17" x14ac:dyDescent="0.25">
      <c r="B1034" t="s">
        <v>78</v>
      </c>
      <c r="C1034" t="s">
        <v>79</v>
      </c>
      <c r="D1034" t="s">
        <v>2019</v>
      </c>
      <c r="E1034" t="s">
        <v>2020</v>
      </c>
      <c r="F1034">
        <v>36.450000000000003</v>
      </c>
      <c r="G1034">
        <v>36</v>
      </c>
      <c r="H1034">
        <v>36.450000000000003</v>
      </c>
      <c r="I1034">
        <v>35.85</v>
      </c>
      <c r="J1034" s="1">
        <v>36</v>
      </c>
      <c r="K1034">
        <v>1885992.15</v>
      </c>
      <c r="L1034">
        <v>52148</v>
      </c>
      <c r="M1034" t="s">
        <v>78</v>
      </c>
      <c r="N1034" t="s">
        <v>17</v>
      </c>
      <c r="O1034">
        <v>477</v>
      </c>
      <c r="P1034">
        <v>52.25</v>
      </c>
      <c r="Q1034">
        <v>21.4</v>
      </c>
    </row>
    <row r="1035" spans="2:17" x14ac:dyDescent="0.25">
      <c r="B1035" t="s">
        <v>78</v>
      </c>
      <c r="C1035" t="s">
        <v>287</v>
      </c>
      <c r="D1035" t="s">
        <v>2021</v>
      </c>
      <c r="E1035" t="s">
        <v>2022</v>
      </c>
      <c r="F1035">
        <v>205</v>
      </c>
      <c r="G1035">
        <v>205</v>
      </c>
      <c r="H1035">
        <v>205</v>
      </c>
      <c r="I1035">
        <v>205</v>
      </c>
      <c r="J1035" s="1">
        <v>205</v>
      </c>
      <c r="K1035">
        <v>82000</v>
      </c>
      <c r="L1035">
        <v>400</v>
      </c>
      <c r="M1035" t="s">
        <v>78</v>
      </c>
      <c r="N1035" t="s">
        <v>17</v>
      </c>
      <c r="O1035">
        <v>1</v>
      </c>
      <c r="P1035">
        <v>238</v>
      </c>
      <c r="Q1035">
        <v>117</v>
      </c>
    </row>
    <row r="1036" spans="2:17" x14ac:dyDescent="0.25">
      <c r="B1036" t="s">
        <v>78</v>
      </c>
      <c r="C1036" t="s">
        <v>79</v>
      </c>
      <c r="D1036" t="s">
        <v>2023</v>
      </c>
      <c r="E1036" t="s">
        <v>2024</v>
      </c>
      <c r="F1036">
        <v>18.899999999999999</v>
      </c>
      <c r="G1036">
        <v>19.3</v>
      </c>
      <c r="H1036">
        <v>19.3</v>
      </c>
      <c r="I1036">
        <v>18</v>
      </c>
      <c r="J1036" s="1">
        <v>18.350000000000001</v>
      </c>
      <c r="K1036">
        <v>6754248.6500000004</v>
      </c>
      <c r="L1036">
        <v>370549</v>
      </c>
      <c r="M1036" t="s">
        <v>78</v>
      </c>
      <c r="N1036" t="s">
        <v>17</v>
      </c>
      <c r="O1036">
        <v>1204</v>
      </c>
      <c r="P1036">
        <v>20</v>
      </c>
      <c r="Q1036">
        <v>7.9</v>
      </c>
    </row>
    <row r="1037" spans="2:17" x14ac:dyDescent="0.25">
      <c r="B1037" t="s">
        <v>78</v>
      </c>
      <c r="C1037" t="s">
        <v>79</v>
      </c>
      <c r="D1037" t="s">
        <v>2025</v>
      </c>
      <c r="E1037" t="s">
        <v>2026</v>
      </c>
      <c r="F1037">
        <v>33140.9</v>
      </c>
      <c r="G1037">
        <v>32967.800000000003</v>
      </c>
      <c r="H1037">
        <v>33393.599999999999</v>
      </c>
      <c r="I1037">
        <v>32815.1</v>
      </c>
      <c r="J1037" s="1">
        <v>32894.85</v>
      </c>
      <c r="K1037">
        <v>490583409.75</v>
      </c>
      <c r="L1037">
        <v>14842</v>
      </c>
      <c r="M1037" t="s">
        <v>78</v>
      </c>
      <c r="N1037" t="s">
        <v>17</v>
      </c>
      <c r="O1037">
        <v>8112</v>
      </c>
      <c r="P1037">
        <v>33492</v>
      </c>
      <c r="Q1037">
        <v>17685</v>
      </c>
    </row>
    <row r="1038" spans="2:17" x14ac:dyDescent="0.25">
      <c r="B1038" t="s">
        <v>78</v>
      </c>
      <c r="C1038" t="s">
        <v>79</v>
      </c>
      <c r="D1038" t="s">
        <v>2027</v>
      </c>
      <c r="E1038" t="s">
        <v>2028</v>
      </c>
      <c r="F1038">
        <v>661.85</v>
      </c>
      <c r="G1038">
        <v>663.85</v>
      </c>
      <c r="H1038">
        <v>692.5</v>
      </c>
      <c r="I1038">
        <v>650.5</v>
      </c>
      <c r="J1038" s="1">
        <v>667.65</v>
      </c>
      <c r="K1038">
        <v>43744806.549999997</v>
      </c>
      <c r="L1038">
        <v>64968</v>
      </c>
      <c r="M1038" t="s">
        <v>78</v>
      </c>
      <c r="N1038" t="s">
        <v>17</v>
      </c>
      <c r="O1038">
        <v>4632</v>
      </c>
      <c r="P1038">
        <v>880</v>
      </c>
      <c r="Q1038">
        <v>270.2</v>
      </c>
    </row>
    <row r="1039" spans="2:17" x14ac:dyDescent="0.25">
      <c r="B1039" t="s">
        <v>78</v>
      </c>
      <c r="C1039" t="s">
        <v>79</v>
      </c>
      <c r="D1039" t="s">
        <v>2029</v>
      </c>
      <c r="E1039" t="s">
        <v>2030</v>
      </c>
      <c r="F1039">
        <v>111.15</v>
      </c>
      <c r="G1039">
        <v>110</v>
      </c>
      <c r="H1039">
        <v>113</v>
      </c>
      <c r="I1039">
        <v>109.5</v>
      </c>
      <c r="J1039" s="1">
        <v>110.1</v>
      </c>
      <c r="K1039">
        <v>2549077.2999999998</v>
      </c>
      <c r="L1039">
        <v>23001</v>
      </c>
      <c r="M1039" t="s">
        <v>78</v>
      </c>
      <c r="N1039" t="s">
        <v>17</v>
      </c>
      <c r="O1039">
        <v>777</v>
      </c>
      <c r="P1039">
        <v>170</v>
      </c>
      <c r="Q1039">
        <v>20.2</v>
      </c>
    </row>
    <row r="1040" spans="2:17" x14ac:dyDescent="0.25">
      <c r="B1040" t="s">
        <v>78</v>
      </c>
      <c r="C1040" t="s">
        <v>79</v>
      </c>
      <c r="D1040" t="s">
        <v>2031</v>
      </c>
      <c r="E1040" t="s">
        <v>2032</v>
      </c>
      <c r="F1040">
        <v>358.85</v>
      </c>
      <c r="G1040">
        <v>355</v>
      </c>
      <c r="H1040">
        <v>362.8</v>
      </c>
      <c r="I1040">
        <v>349</v>
      </c>
      <c r="J1040" s="1">
        <v>351.3</v>
      </c>
      <c r="K1040">
        <v>55736282.200000003</v>
      </c>
      <c r="L1040">
        <v>157285</v>
      </c>
      <c r="M1040" t="s">
        <v>78</v>
      </c>
      <c r="N1040" t="s">
        <v>17</v>
      </c>
      <c r="O1040">
        <v>6552</v>
      </c>
      <c r="P1040">
        <v>449</v>
      </c>
      <c r="Q1040">
        <v>170.75</v>
      </c>
    </row>
    <row r="1041" spans="2:17" x14ac:dyDescent="0.25">
      <c r="B1041" t="s">
        <v>78</v>
      </c>
      <c r="C1041" t="s">
        <v>79</v>
      </c>
      <c r="D1041" t="s">
        <v>2033</v>
      </c>
      <c r="E1041" t="s">
        <v>2034</v>
      </c>
      <c r="F1041">
        <v>78</v>
      </c>
      <c r="G1041">
        <v>75.849999999999994</v>
      </c>
      <c r="H1041">
        <v>82</v>
      </c>
      <c r="I1041">
        <v>75.849999999999994</v>
      </c>
      <c r="J1041" s="1">
        <v>79.25</v>
      </c>
      <c r="K1041">
        <v>4585493.4000000004</v>
      </c>
      <c r="L1041">
        <v>57813</v>
      </c>
      <c r="M1041" t="s">
        <v>78</v>
      </c>
      <c r="N1041" t="s">
        <v>17</v>
      </c>
      <c r="O1041">
        <v>1333</v>
      </c>
      <c r="P1041">
        <v>94.8</v>
      </c>
      <c r="Q1041">
        <v>37.15</v>
      </c>
    </row>
    <row r="1042" spans="2:17" x14ac:dyDescent="0.25">
      <c r="B1042" t="s">
        <v>78</v>
      </c>
      <c r="C1042" t="s">
        <v>79</v>
      </c>
      <c r="D1042" t="s">
        <v>2035</v>
      </c>
      <c r="E1042" t="s">
        <v>2036</v>
      </c>
      <c r="F1042">
        <v>253.8</v>
      </c>
      <c r="G1042">
        <v>252.75</v>
      </c>
      <c r="H1042">
        <v>259.5</v>
      </c>
      <c r="I1042">
        <v>247.1</v>
      </c>
      <c r="J1042" s="1">
        <v>251.7</v>
      </c>
      <c r="K1042">
        <v>35212154.5</v>
      </c>
      <c r="L1042">
        <v>138502</v>
      </c>
      <c r="M1042" t="s">
        <v>78</v>
      </c>
      <c r="N1042" t="s">
        <v>17</v>
      </c>
      <c r="O1042">
        <v>5773</v>
      </c>
      <c r="P1042">
        <v>272</v>
      </c>
      <c r="Q1042">
        <v>40.1</v>
      </c>
    </row>
    <row r="1043" spans="2:17" x14ac:dyDescent="0.25">
      <c r="B1043" t="s">
        <v>78</v>
      </c>
      <c r="C1043" t="s">
        <v>287</v>
      </c>
      <c r="D1043" t="s">
        <v>2037</v>
      </c>
      <c r="E1043" t="s">
        <v>2038</v>
      </c>
      <c r="F1043">
        <v>132.44999999999999</v>
      </c>
      <c r="G1043">
        <v>137.5</v>
      </c>
      <c r="H1043">
        <v>139.05000000000001</v>
      </c>
      <c r="I1043">
        <v>125.85</v>
      </c>
      <c r="J1043" s="1">
        <v>126.9</v>
      </c>
      <c r="K1043">
        <v>9158400</v>
      </c>
      <c r="L1043">
        <v>68000</v>
      </c>
      <c r="M1043" t="s">
        <v>78</v>
      </c>
      <c r="N1043" t="s">
        <v>17</v>
      </c>
      <c r="O1043">
        <v>33</v>
      </c>
      <c r="P1043">
        <v>139.05000000000001</v>
      </c>
      <c r="Q1043">
        <v>44.25</v>
      </c>
    </row>
    <row r="1044" spans="2:17" x14ac:dyDescent="0.25">
      <c r="B1044" t="s">
        <v>78</v>
      </c>
      <c r="C1044" t="s">
        <v>79</v>
      </c>
      <c r="D1044" t="s">
        <v>2039</v>
      </c>
      <c r="E1044" t="s">
        <v>2040</v>
      </c>
      <c r="F1044">
        <v>20.3</v>
      </c>
      <c r="G1044">
        <v>19.600000000000001</v>
      </c>
      <c r="H1044">
        <v>21.5</v>
      </c>
      <c r="I1044">
        <v>19.600000000000001</v>
      </c>
      <c r="J1044" s="1">
        <v>21.05</v>
      </c>
      <c r="K1044">
        <v>39062907.899999999</v>
      </c>
      <c r="L1044">
        <v>1877578</v>
      </c>
      <c r="M1044" t="s">
        <v>78</v>
      </c>
      <c r="N1044" t="s">
        <v>17</v>
      </c>
      <c r="O1044">
        <v>5867</v>
      </c>
      <c r="P1044">
        <v>24.4</v>
      </c>
      <c r="Q1044">
        <v>6.05</v>
      </c>
    </row>
    <row r="1045" spans="2:17" x14ac:dyDescent="0.25">
      <c r="B1045" t="s">
        <v>78</v>
      </c>
      <c r="C1045" t="s">
        <v>79</v>
      </c>
      <c r="D1045" t="s">
        <v>2041</v>
      </c>
      <c r="E1045" t="s">
        <v>2042</v>
      </c>
      <c r="F1045">
        <v>143.30000000000001</v>
      </c>
      <c r="G1045">
        <v>141.80000000000001</v>
      </c>
      <c r="H1045">
        <v>144.5</v>
      </c>
      <c r="I1045">
        <v>140.25</v>
      </c>
      <c r="J1045" s="1">
        <v>141.80000000000001</v>
      </c>
      <c r="K1045">
        <v>119044432.90000001</v>
      </c>
      <c r="L1045">
        <v>836591</v>
      </c>
      <c r="M1045" t="s">
        <v>78</v>
      </c>
      <c r="N1045" t="s">
        <v>17</v>
      </c>
      <c r="O1045">
        <v>10644</v>
      </c>
      <c r="P1045">
        <v>157.80000000000001</v>
      </c>
      <c r="Q1045">
        <v>84</v>
      </c>
    </row>
    <row r="1046" spans="2:17" x14ac:dyDescent="0.25">
      <c r="B1046" t="s">
        <v>78</v>
      </c>
      <c r="C1046" t="s">
        <v>79</v>
      </c>
      <c r="D1046" t="s">
        <v>2043</v>
      </c>
      <c r="E1046" t="s">
        <v>2044</v>
      </c>
      <c r="F1046">
        <v>15.4</v>
      </c>
      <c r="G1046">
        <v>15.7</v>
      </c>
      <c r="H1046">
        <v>16.149999999999999</v>
      </c>
      <c r="I1046">
        <v>15.7</v>
      </c>
      <c r="J1046" s="1">
        <v>16.149999999999999</v>
      </c>
      <c r="K1046">
        <v>11974967.65</v>
      </c>
      <c r="L1046">
        <v>746588</v>
      </c>
      <c r="M1046" t="s">
        <v>78</v>
      </c>
      <c r="N1046" t="s">
        <v>17</v>
      </c>
      <c r="O1046">
        <v>626</v>
      </c>
      <c r="P1046">
        <v>17.2</v>
      </c>
      <c r="Q1046">
        <v>2.15</v>
      </c>
    </row>
    <row r="1047" spans="2:17" x14ac:dyDescent="0.25">
      <c r="B1047" t="s">
        <v>78</v>
      </c>
      <c r="C1047" t="s">
        <v>79</v>
      </c>
      <c r="D1047" t="s">
        <v>2045</v>
      </c>
      <c r="E1047" t="s">
        <v>2046</v>
      </c>
      <c r="F1047">
        <v>18.899999999999999</v>
      </c>
      <c r="G1047">
        <v>18.7</v>
      </c>
      <c r="H1047">
        <v>18.95</v>
      </c>
      <c r="I1047">
        <v>18.3</v>
      </c>
      <c r="J1047" s="1">
        <v>18.399999999999999</v>
      </c>
      <c r="K1047">
        <v>27717430.050000001</v>
      </c>
      <c r="L1047">
        <v>1493926</v>
      </c>
      <c r="M1047" t="s">
        <v>78</v>
      </c>
      <c r="N1047" t="s">
        <v>17</v>
      </c>
      <c r="O1047">
        <v>3237</v>
      </c>
      <c r="P1047">
        <v>23.3</v>
      </c>
      <c r="Q1047">
        <v>9.15</v>
      </c>
    </row>
    <row r="1048" spans="2:17" x14ac:dyDescent="0.25">
      <c r="B1048" t="s">
        <v>78</v>
      </c>
      <c r="C1048" t="s">
        <v>79</v>
      </c>
      <c r="D1048" t="s">
        <v>2047</v>
      </c>
      <c r="E1048" t="s">
        <v>2048</v>
      </c>
      <c r="F1048">
        <v>25.8</v>
      </c>
      <c r="G1048">
        <v>25.25</v>
      </c>
      <c r="H1048">
        <v>25.95</v>
      </c>
      <c r="I1048">
        <v>25.1</v>
      </c>
      <c r="J1048" s="1">
        <v>25.5</v>
      </c>
      <c r="K1048">
        <v>2056839.05</v>
      </c>
      <c r="L1048">
        <v>80713</v>
      </c>
      <c r="M1048" t="s">
        <v>78</v>
      </c>
      <c r="N1048" t="s">
        <v>17</v>
      </c>
      <c r="O1048">
        <v>433</v>
      </c>
      <c r="P1048">
        <v>36.1</v>
      </c>
      <c r="Q1048">
        <v>14.5</v>
      </c>
    </row>
    <row r="1049" spans="2:17" x14ac:dyDescent="0.25">
      <c r="B1049" t="s">
        <v>78</v>
      </c>
      <c r="C1049" t="s">
        <v>287</v>
      </c>
      <c r="D1049" t="s">
        <v>2049</v>
      </c>
      <c r="E1049" t="s">
        <v>2050</v>
      </c>
      <c r="F1049">
        <v>191</v>
      </c>
      <c r="G1049">
        <v>184</v>
      </c>
      <c r="H1049">
        <v>184</v>
      </c>
      <c r="I1049">
        <v>184</v>
      </c>
      <c r="J1049" s="1">
        <v>184</v>
      </c>
      <c r="K1049">
        <v>147200</v>
      </c>
      <c r="L1049">
        <v>800</v>
      </c>
      <c r="M1049" t="s">
        <v>78</v>
      </c>
      <c r="N1049" t="s">
        <v>17</v>
      </c>
      <c r="O1049">
        <v>1</v>
      </c>
      <c r="P1049">
        <v>198</v>
      </c>
      <c r="Q1049">
        <v>165.05</v>
      </c>
    </row>
    <row r="1050" spans="2:17" x14ac:dyDescent="0.25">
      <c r="B1050" t="s">
        <v>78</v>
      </c>
      <c r="C1050" t="s">
        <v>79</v>
      </c>
      <c r="D1050" t="s">
        <v>2051</v>
      </c>
      <c r="E1050" t="s">
        <v>2052</v>
      </c>
      <c r="F1050">
        <v>15.1</v>
      </c>
      <c r="G1050">
        <v>15.05</v>
      </c>
      <c r="H1050">
        <v>15.25</v>
      </c>
      <c r="I1050">
        <v>14.4</v>
      </c>
      <c r="J1050" s="1">
        <v>14.7</v>
      </c>
      <c r="K1050">
        <v>271365.95</v>
      </c>
      <c r="L1050">
        <v>18317</v>
      </c>
      <c r="M1050" t="s">
        <v>78</v>
      </c>
      <c r="N1050" t="s">
        <v>17</v>
      </c>
      <c r="O1050">
        <v>124</v>
      </c>
      <c r="P1050">
        <v>22.05</v>
      </c>
      <c r="Q1050">
        <v>5.15</v>
      </c>
    </row>
    <row r="1051" spans="2:17" x14ac:dyDescent="0.25">
      <c r="B1051" t="s">
        <v>78</v>
      </c>
      <c r="C1051" t="s">
        <v>79</v>
      </c>
      <c r="D1051" t="s">
        <v>2053</v>
      </c>
      <c r="E1051" t="s">
        <v>2054</v>
      </c>
      <c r="F1051">
        <v>27.6</v>
      </c>
      <c r="G1051">
        <v>27.15</v>
      </c>
      <c r="H1051">
        <v>27.55</v>
      </c>
      <c r="I1051">
        <v>27</v>
      </c>
      <c r="J1051" s="1">
        <v>27.1</v>
      </c>
      <c r="K1051">
        <v>43395802.899999999</v>
      </c>
      <c r="L1051">
        <v>1594982</v>
      </c>
      <c r="M1051" t="s">
        <v>78</v>
      </c>
      <c r="N1051" t="s">
        <v>17</v>
      </c>
      <c r="O1051">
        <v>3551</v>
      </c>
      <c r="P1051">
        <v>32.950000000000003</v>
      </c>
      <c r="Q1051">
        <v>12.75</v>
      </c>
    </row>
    <row r="1052" spans="2:17" x14ac:dyDescent="0.25">
      <c r="B1052" t="s">
        <v>78</v>
      </c>
      <c r="C1052" t="s">
        <v>79</v>
      </c>
      <c r="D1052" t="s">
        <v>2055</v>
      </c>
      <c r="E1052" t="s">
        <v>2056</v>
      </c>
      <c r="F1052">
        <v>43.8</v>
      </c>
      <c r="G1052">
        <v>43</v>
      </c>
      <c r="H1052">
        <v>44.3</v>
      </c>
      <c r="I1052">
        <v>42.5</v>
      </c>
      <c r="J1052" s="1">
        <v>42.85</v>
      </c>
      <c r="K1052">
        <v>18870688.5</v>
      </c>
      <c r="L1052">
        <v>435951</v>
      </c>
      <c r="M1052" t="s">
        <v>78</v>
      </c>
      <c r="N1052" t="s">
        <v>17</v>
      </c>
      <c r="O1052">
        <v>4223</v>
      </c>
      <c r="P1052">
        <v>47.4</v>
      </c>
      <c r="Q1052">
        <v>12.5</v>
      </c>
    </row>
    <row r="1053" spans="2:17" x14ac:dyDescent="0.25">
      <c r="B1053" t="s">
        <v>78</v>
      </c>
      <c r="C1053" t="s">
        <v>79</v>
      </c>
      <c r="D1053" t="s">
        <v>2057</v>
      </c>
      <c r="E1053" t="s">
        <v>2058</v>
      </c>
      <c r="F1053">
        <v>1183</v>
      </c>
      <c r="G1053">
        <v>1200</v>
      </c>
      <c r="H1053">
        <v>1200</v>
      </c>
      <c r="I1053">
        <v>1175</v>
      </c>
      <c r="J1053" s="1">
        <v>1198.55</v>
      </c>
      <c r="K1053">
        <v>12121554.050000001</v>
      </c>
      <c r="L1053">
        <v>10137</v>
      </c>
      <c r="M1053" t="s">
        <v>78</v>
      </c>
      <c r="N1053" t="s">
        <v>17</v>
      </c>
      <c r="O1053">
        <v>1007</v>
      </c>
      <c r="P1053">
        <v>1226</v>
      </c>
      <c r="Q1053">
        <v>252.25</v>
      </c>
    </row>
    <row r="1054" spans="2:17" x14ac:dyDescent="0.25">
      <c r="B1054" t="s">
        <v>78</v>
      </c>
      <c r="C1054" t="s">
        <v>79</v>
      </c>
      <c r="D1054" t="s">
        <v>2059</v>
      </c>
      <c r="E1054" t="s">
        <v>2060</v>
      </c>
      <c r="F1054">
        <v>16.95</v>
      </c>
      <c r="G1054">
        <v>16.95</v>
      </c>
      <c r="H1054">
        <v>17.399999999999999</v>
      </c>
      <c r="I1054">
        <v>16.399999999999999</v>
      </c>
      <c r="J1054" s="1">
        <v>16.649999999999999</v>
      </c>
      <c r="K1054">
        <v>638270.80000000005</v>
      </c>
      <c r="L1054">
        <v>38123</v>
      </c>
      <c r="M1054" t="s">
        <v>78</v>
      </c>
      <c r="N1054" t="s">
        <v>17</v>
      </c>
      <c r="O1054">
        <v>252</v>
      </c>
      <c r="P1054">
        <v>21.6</v>
      </c>
      <c r="Q1054">
        <v>5.15</v>
      </c>
    </row>
    <row r="1055" spans="2:17" x14ac:dyDescent="0.25">
      <c r="B1055" t="s">
        <v>78</v>
      </c>
      <c r="C1055" t="s">
        <v>79</v>
      </c>
      <c r="D1055" t="s">
        <v>2061</v>
      </c>
      <c r="E1055" t="s">
        <v>2062</v>
      </c>
      <c r="F1055">
        <v>36.65</v>
      </c>
      <c r="G1055">
        <v>35.9</v>
      </c>
      <c r="H1055">
        <v>37</v>
      </c>
      <c r="I1055">
        <v>35.25</v>
      </c>
      <c r="J1055" s="1">
        <v>35.549999999999997</v>
      </c>
      <c r="K1055">
        <v>65948760.100000001</v>
      </c>
      <c r="L1055">
        <v>1823324</v>
      </c>
      <c r="M1055" t="s">
        <v>78</v>
      </c>
      <c r="N1055" t="s">
        <v>17</v>
      </c>
      <c r="O1055">
        <v>6627</v>
      </c>
      <c r="P1055">
        <v>38.450000000000003</v>
      </c>
      <c r="Q1055">
        <v>14.8</v>
      </c>
    </row>
    <row r="1056" spans="2:17" x14ac:dyDescent="0.25">
      <c r="B1056" t="s">
        <v>78</v>
      </c>
      <c r="C1056" t="s">
        <v>287</v>
      </c>
      <c r="D1056" t="s">
        <v>2063</v>
      </c>
      <c r="E1056" t="s">
        <v>2064</v>
      </c>
      <c r="F1056">
        <v>97.55</v>
      </c>
      <c r="G1056">
        <v>101.4</v>
      </c>
      <c r="H1056">
        <v>101.8</v>
      </c>
      <c r="I1056">
        <v>101.4</v>
      </c>
      <c r="J1056" s="1">
        <v>101.8</v>
      </c>
      <c r="K1056">
        <v>4876800</v>
      </c>
      <c r="L1056">
        <v>48000</v>
      </c>
      <c r="M1056" t="s">
        <v>78</v>
      </c>
      <c r="N1056" t="s">
        <v>17</v>
      </c>
      <c r="O1056">
        <v>2</v>
      </c>
      <c r="P1056">
        <v>115</v>
      </c>
      <c r="Q1056">
        <v>15.4</v>
      </c>
    </row>
    <row r="1057" spans="2:17" x14ac:dyDescent="0.25">
      <c r="B1057" t="s">
        <v>78</v>
      </c>
      <c r="C1057" t="s">
        <v>79</v>
      </c>
      <c r="D1057" t="s">
        <v>2065</v>
      </c>
      <c r="E1057" t="s">
        <v>2066</v>
      </c>
      <c r="F1057">
        <v>2841.7</v>
      </c>
      <c r="G1057">
        <v>2839.3</v>
      </c>
      <c r="H1057">
        <v>2845.75</v>
      </c>
      <c r="I1057">
        <v>2793</v>
      </c>
      <c r="J1057" s="1">
        <v>2821.05</v>
      </c>
      <c r="K1057">
        <v>297225099.5</v>
      </c>
      <c r="L1057">
        <v>105393</v>
      </c>
      <c r="M1057" t="s">
        <v>78</v>
      </c>
      <c r="N1057" t="s">
        <v>17</v>
      </c>
      <c r="O1057">
        <v>14605</v>
      </c>
      <c r="P1057">
        <v>3016.1</v>
      </c>
      <c r="Q1057">
        <v>708</v>
      </c>
    </row>
    <row r="1058" spans="2:17" x14ac:dyDescent="0.25">
      <c r="B1058" t="s">
        <v>78</v>
      </c>
      <c r="C1058" t="s">
        <v>79</v>
      </c>
      <c r="D1058" t="s">
        <v>2067</v>
      </c>
      <c r="E1058" t="s">
        <v>2068</v>
      </c>
      <c r="F1058">
        <v>5673.05</v>
      </c>
      <c r="G1058">
        <v>5677</v>
      </c>
      <c r="H1058">
        <v>5698.9</v>
      </c>
      <c r="I1058">
        <v>5626.05</v>
      </c>
      <c r="J1058" s="1">
        <v>5653.65</v>
      </c>
      <c r="K1058">
        <v>254361504.59999999</v>
      </c>
      <c r="L1058">
        <v>44880</v>
      </c>
      <c r="M1058" t="s">
        <v>78</v>
      </c>
      <c r="N1058" t="s">
        <v>17</v>
      </c>
      <c r="O1058">
        <v>3907</v>
      </c>
      <c r="P1058">
        <v>5900</v>
      </c>
      <c r="Q1058">
        <v>4115</v>
      </c>
    </row>
    <row r="1059" spans="2:17" x14ac:dyDescent="0.25">
      <c r="B1059" t="s">
        <v>78</v>
      </c>
      <c r="C1059" t="s">
        <v>79</v>
      </c>
      <c r="D1059" t="s">
        <v>2069</v>
      </c>
      <c r="E1059" t="s">
        <v>2070</v>
      </c>
      <c r="F1059">
        <v>22.35</v>
      </c>
      <c r="G1059">
        <v>22</v>
      </c>
      <c r="H1059">
        <v>22.2</v>
      </c>
      <c r="I1059">
        <v>20.95</v>
      </c>
      <c r="J1059" s="1">
        <v>21.3</v>
      </c>
      <c r="K1059">
        <v>97811886.150000006</v>
      </c>
      <c r="L1059">
        <v>4549253</v>
      </c>
      <c r="M1059" t="s">
        <v>78</v>
      </c>
      <c r="N1059" t="s">
        <v>17</v>
      </c>
      <c r="O1059">
        <v>8155</v>
      </c>
      <c r="P1059">
        <v>24.25</v>
      </c>
      <c r="Q1059">
        <v>14.25</v>
      </c>
    </row>
    <row r="1060" spans="2:17" x14ac:dyDescent="0.25">
      <c r="B1060" t="s">
        <v>78</v>
      </c>
      <c r="C1060" t="s">
        <v>79</v>
      </c>
      <c r="D1060" t="s">
        <v>2071</v>
      </c>
      <c r="E1060" t="s">
        <v>2072</v>
      </c>
      <c r="F1060">
        <v>391.9</v>
      </c>
      <c r="G1060">
        <v>393</v>
      </c>
      <c r="H1060">
        <v>398.6</v>
      </c>
      <c r="I1060">
        <v>382</v>
      </c>
      <c r="J1060" s="1">
        <v>384</v>
      </c>
      <c r="K1060">
        <v>11628236.800000001</v>
      </c>
      <c r="L1060">
        <v>29864</v>
      </c>
      <c r="M1060" t="s">
        <v>78</v>
      </c>
      <c r="N1060" t="s">
        <v>17</v>
      </c>
      <c r="O1060">
        <v>1256</v>
      </c>
      <c r="P1060">
        <v>490.2</v>
      </c>
      <c r="Q1060">
        <v>35.5</v>
      </c>
    </row>
    <row r="1061" spans="2:17" x14ac:dyDescent="0.25">
      <c r="B1061" t="s">
        <v>78</v>
      </c>
      <c r="C1061" t="s">
        <v>79</v>
      </c>
      <c r="D1061" t="s">
        <v>2073</v>
      </c>
      <c r="E1061" t="s">
        <v>2074</v>
      </c>
      <c r="F1061">
        <v>5622.1</v>
      </c>
      <c r="G1061">
        <v>5635</v>
      </c>
      <c r="H1061">
        <v>5678.55</v>
      </c>
      <c r="I1061">
        <v>5555</v>
      </c>
      <c r="J1061" s="1">
        <v>5562.45</v>
      </c>
      <c r="K1061">
        <v>44245204</v>
      </c>
      <c r="L1061">
        <v>7920</v>
      </c>
      <c r="M1061" t="s">
        <v>78</v>
      </c>
      <c r="N1061" t="s">
        <v>17</v>
      </c>
      <c r="O1061">
        <v>2138</v>
      </c>
      <c r="P1061">
        <v>7500</v>
      </c>
      <c r="Q1061">
        <v>4000.05</v>
      </c>
    </row>
    <row r="1062" spans="2:17" x14ac:dyDescent="0.25">
      <c r="B1062" t="s">
        <v>78</v>
      </c>
      <c r="C1062" t="s">
        <v>79</v>
      </c>
      <c r="D1062" t="s">
        <v>2075</v>
      </c>
      <c r="E1062" t="s">
        <v>2076</v>
      </c>
      <c r="F1062">
        <v>275.8</v>
      </c>
      <c r="G1062">
        <v>321.95</v>
      </c>
      <c r="H1062">
        <v>330.95</v>
      </c>
      <c r="I1062">
        <v>316.60000000000002</v>
      </c>
      <c r="J1062" s="1">
        <v>330.95</v>
      </c>
      <c r="K1062">
        <v>98162592.950000003</v>
      </c>
      <c r="L1062">
        <v>298815</v>
      </c>
      <c r="M1062" t="s">
        <v>78</v>
      </c>
      <c r="N1062" t="s">
        <v>17</v>
      </c>
      <c r="O1062">
        <v>5499</v>
      </c>
      <c r="P1062">
        <v>330.95</v>
      </c>
      <c r="Q1062">
        <v>100.5</v>
      </c>
    </row>
    <row r="1063" spans="2:17" x14ac:dyDescent="0.25">
      <c r="B1063" t="s">
        <v>78</v>
      </c>
      <c r="C1063" t="s">
        <v>1352</v>
      </c>
      <c r="D1063" t="s">
        <v>2077</v>
      </c>
      <c r="E1063" t="s">
        <v>2078</v>
      </c>
      <c r="F1063">
        <v>117.1</v>
      </c>
      <c r="G1063">
        <v>117.5</v>
      </c>
      <c r="H1063">
        <v>118.5</v>
      </c>
      <c r="I1063">
        <v>113</v>
      </c>
      <c r="J1063" s="1">
        <v>117.88</v>
      </c>
      <c r="K1063">
        <v>202043930</v>
      </c>
      <c r="L1063">
        <v>1716500</v>
      </c>
      <c r="M1063" t="s">
        <v>78</v>
      </c>
      <c r="N1063" t="s">
        <v>17</v>
      </c>
      <c r="O1063">
        <v>5662</v>
      </c>
      <c r="P1063">
        <v>118.5</v>
      </c>
      <c r="Q1063">
        <v>102.75</v>
      </c>
    </row>
    <row r="1064" spans="2:17" x14ac:dyDescent="0.25">
      <c r="B1064" t="s">
        <v>78</v>
      </c>
      <c r="C1064" t="s">
        <v>79</v>
      </c>
      <c r="D1064" t="s">
        <v>2079</v>
      </c>
      <c r="E1064" t="s">
        <v>2080</v>
      </c>
      <c r="F1064">
        <v>237.95</v>
      </c>
      <c r="G1064">
        <v>236</v>
      </c>
      <c r="H1064">
        <v>240</v>
      </c>
      <c r="I1064">
        <v>235.2</v>
      </c>
      <c r="J1064" s="1">
        <v>236.7</v>
      </c>
      <c r="K1064">
        <v>175055888.80000001</v>
      </c>
      <c r="L1064">
        <v>737948</v>
      </c>
      <c r="M1064" t="s">
        <v>78</v>
      </c>
      <c r="N1064" t="s">
        <v>17</v>
      </c>
      <c r="O1064">
        <v>14686</v>
      </c>
      <c r="P1064">
        <v>250.5</v>
      </c>
      <c r="Q1064">
        <v>94.5</v>
      </c>
    </row>
    <row r="1065" spans="2:17" x14ac:dyDescent="0.25">
      <c r="B1065" t="s">
        <v>78</v>
      </c>
      <c r="C1065" t="s">
        <v>79</v>
      </c>
      <c r="D1065" t="s">
        <v>2081</v>
      </c>
      <c r="E1065" t="s">
        <v>2082</v>
      </c>
      <c r="F1065">
        <v>875.85</v>
      </c>
      <c r="G1065">
        <v>874.6</v>
      </c>
      <c r="H1065">
        <v>884.9</v>
      </c>
      <c r="I1065">
        <v>867.35</v>
      </c>
      <c r="J1065" s="1">
        <v>874.2</v>
      </c>
      <c r="K1065">
        <v>213716853.09999999</v>
      </c>
      <c r="L1065">
        <v>244178</v>
      </c>
      <c r="M1065" t="s">
        <v>78</v>
      </c>
      <c r="N1065" t="s">
        <v>17</v>
      </c>
      <c r="O1065">
        <v>8183</v>
      </c>
      <c r="P1065">
        <v>894.95</v>
      </c>
      <c r="Q1065">
        <v>541.70000000000005</v>
      </c>
    </row>
    <row r="1066" spans="2:17" x14ac:dyDescent="0.25">
      <c r="B1066" t="s">
        <v>78</v>
      </c>
      <c r="C1066" t="s">
        <v>79</v>
      </c>
      <c r="D1066" t="s">
        <v>2083</v>
      </c>
      <c r="E1066" t="s">
        <v>2084</v>
      </c>
      <c r="F1066">
        <v>2973</v>
      </c>
      <c r="G1066">
        <v>2965</v>
      </c>
      <c r="H1066">
        <v>3200</v>
      </c>
      <c r="I1066">
        <v>2954</v>
      </c>
      <c r="J1066" s="1">
        <v>3161.95</v>
      </c>
      <c r="K1066">
        <v>3181190722</v>
      </c>
      <c r="L1066">
        <v>1028420</v>
      </c>
      <c r="M1066" t="s">
        <v>78</v>
      </c>
      <c r="N1066" t="s">
        <v>17</v>
      </c>
      <c r="O1066">
        <v>62239</v>
      </c>
      <c r="P1066">
        <v>3200</v>
      </c>
      <c r="Q1066">
        <v>1677</v>
      </c>
    </row>
    <row r="1067" spans="2:17" x14ac:dyDescent="0.25">
      <c r="B1067" t="s">
        <v>78</v>
      </c>
      <c r="C1067" t="s">
        <v>79</v>
      </c>
      <c r="D1067" t="s">
        <v>2085</v>
      </c>
      <c r="E1067" t="s">
        <v>2086</v>
      </c>
      <c r="F1067">
        <v>2001.7</v>
      </c>
      <c r="G1067">
        <v>1980</v>
      </c>
      <c r="H1067">
        <v>2013</v>
      </c>
      <c r="I1067">
        <v>1980</v>
      </c>
      <c r="J1067" s="1">
        <v>1994.95</v>
      </c>
      <c r="K1067">
        <v>9555466.3499999996</v>
      </c>
      <c r="L1067">
        <v>4782</v>
      </c>
      <c r="M1067" t="s">
        <v>78</v>
      </c>
      <c r="N1067" t="s">
        <v>17</v>
      </c>
      <c r="O1067">
        <v>678</v>
      </c>
      <c r="P1067">
        <v>2941</v>
      </c>
      <c r="Q1067">
        <v>1374</v>
      </c>
    </row>
    <row r="1068" spans="2:17" x14ac:dyDescent="0.25">
      <c r="B1068" t="s">
        <v>78</v>
      </c>
      <c r="C1068" t="s">
        <v>79</v>
      </c>
      <c r="D1068" t="s">
        <v>2087</v>
      </c>
      <c r="E1068" t="s">
        <v>2088</v>
      </c>
      <c r="F1068">
        <v>8.35</v>
      </c>
      <c r="G1068">
        <v>8.3000000000000007</v>
      </c>
      <c r="H1068">
        <v>8.6</v>
      </c>
      <c r="I1068">
        <v>8.3000000000000007</v>
      </c>
      <c r="J1068" s="1">
        <v>8.5</v>
      </c>
      <c r="K1068">
        <v>11049074.949999999</v>
      </c>
      <c r="L1068">
        <v>1307981</v>
      </c>
      <c r="M1068" t="s">
        <v>78</v>
      </c>
      <c r="N1068" t="s">
        <v>17</v>
      </c>
      <c r="O1068">
        <v>1596</v>
      </c>
      <c r="P1068">
        <v>19.2</v>
      </c>
      <c r="Q1068">
        <v>5.65</v>
      </c>
    </row>
    <row r="1069" spans="2:17" x14ac:dyDescent="0.25">
      <c r="B1069" t="s">
        <v>78</v>
      </c>
      <c r="C1069" t="s">
        <v>79</v>
      </c>
      <c r="D1069" t="s">
        <v>2089</v>
      </c>
      <c r="E1069" t="s">
        <v>2090</v>
      </c>
      <c r="F1069">
        <v>132.80000000000001</v>
      </c>
      <c r="G1069">
        <v>134.94999999999999</v>
      </c>
      <c r="H1069">
        <v>136.5</v>
      </c>
      <c r="I1069">
        <v>131.75</v>
      </c>
      <c r="J1069" s="1">
        <v>132.55000000000001</v>
      </c>
      <c r="K1069">
        <v>10868098.300000001</v>
      </c>
      <c r="L1069">
        <v>80588</v>
      </c>
      <c r="M1069" t="s">
        <v>78</v>
      </c>
      <c r="N1069" t="s">
        <v>17</v>
      </c>
      <c r="O1069">
        <v>1077</v>
      </c>
      <c r="P1069">
        <v>140.4</v>
      </c>
      <c r="Q1069">
        <v>89.1</v>
      </c>
    </row>
    <row r="1070" spans="2:17" x14ac:dyDescent="0.25">
      <c r="B1070" t="s">
        <v>78</v>
      </c>
      <c r="C1070" t="s">
        <v>79</v>
      </c>
      <c r="D1070" t="s">
        <v>2091</v>
      </c>
      <c r="E1070" t="s">
        <v>2092</v>
      </c>
      <c r="F1070">
        <v>58.9</v>
      </c>
      <c r="G1070">
        <v>58.25</v>
      </c>
      <c r="H1070">
        <v>63.45</v>
      </c>
      <c r="I1070">
        <v>57.55</v>
      </c>
      <c r="J1070" s="1">
        <v>61.1</v>
      </c>
      <c r="K1070">
        <v>81832017.700000003</v>
      </c>
      <c r="L1070">
        <v>1327481</v>
      </c>
      <c r="M1070" t="s">
        <v>78</v>
      </c>
      <c r="N1070" t="s">
        <v>17</v>
      </c>
      <c r="O1070">
        <v>7977</v>
      </c>
      <c r="P1070">
        <v>64.8</v>
      </c>
      <c r="Q1070">
        <v>18.600000000000001</v>
      </c>
    </row>
    <row r="1071" spans="2:17" x14ac:dyDescent="0.25">
      <c r="B1071" t="s">
        <v>78</v>
      </c>
      <c r="C1071" t="s">
        <v>79</v>
      </c>
      <c r="D1071" t="s">
        <v>2093</v>
      </c>
      <c r="E1071" t="s">
        <v>2094</v>
      </c>
      <c r="F1071">
        <v>148.75</v>
      </c>
      <c r="G1071">
        <v>153</v>
      </c>
      <c r="H1071">
        <v>159.5</v>
      </c>
      <c r="I1071">
        <v>149.65</v>
      </c>
      <c r="J1071" s="1">
        <v>152.85</v>
      </c>
      <c r="K1071">
        <v>66321856.399999999</v>
      </c>
      <c r="L1071">
        <v>430193</v>
      </c>
      <c r="M1071" t="s">
        <v>78</v>
      </c>
      <c r="N1071" t="s">
        <v>17</v>
      </c>
      <c r="O1071">
        <v>5025</v>
      </c>
      <c r="P1071">
        <v>159.5</v>
      </c>
      <c r="Q1071">
        <v>26.1</v>
      </c>
    </row>
    <row r="1072" spans="2:17" x14ac:dyDescent="0.25">
      <c r="B1072" t="s">
        <v>78</v>
      </c>
      <c r="C1072" t="s">
        <v>79</v>
      </c>
      <c r="D1072" t="s">
        <v>2095</v>
      </c>
      <c r="E1072" t="s">
        <v>2096</v>
      </c>
      <c r="F1072">
        <v>276.10000000000002</v>
      </c>
      <c r="G1072">
        <v>272</v>
      </c>
      <c r="H1072">
        <v>282</v>
      </c>
      <c r="I1072">
        <v>266</v>
      </c>
      <c r="J1072" s="1">
        <v>272.75</v>
      </c>
      <c r="K1072">
        <v>29895194.25</v>
      </c>
      <c r="L1072">
        <v>108543</v>
      </c>
      <c r="M1072" t="s">
        <v>78</v>
      </c>
      <c r="N1072" t="s">
        <v>17</v>
      </c>
      <c r="O1072">
        <v>4119</v>
      </c>
      <c r="P1072">
        <v>295.85000000000002</v>
      </c>
      <c r="Q1072">
        <v>155.30000000000001</v>
      </c>
    </row>
    <row r="1073" spans="2:17" x14ac:dyDescent="0.25">
      <c r="B1073" t="s">
        <v>78</v>
      </c>
      <c r="C1073" t="s">
        <v>79</v>
      </c>
      <c r="D1073" t="s">
        <v>2097</v>
      </c>
      <c r="E1073" t="s">
        <v>2098</v>
      </c>
      <c r="F1073">
        <v>75.150000000000006</v>
      </c>
      <c r="G1073">
        <v>74</v>
      </c>
      <c r="H1073">
        <v>74.099999999999994</v>
      </c>
      <c r="I1073">
        <v>72.849999999999994</v>
      </c>
      <c r="J1073" s="1">
        <v>73.2</v>
      </c>
      <c r="K1073">
        <v>24391726.25</v>
      </c>
      <c r="L1073">
        <v>332081</v>
      </c>
      <c r="M1073" t="s">
        <v>78</v>
      </c>
      <c r="N1073" t="s">
        <v>17</v>
      </c>
      <c r="O1073">
        <v>2746</v>
      </c>
      <c r="P1073">
        <v>94.65</v>
      </c>
      <c r="Q1073">
        <v>35.6</v>
      </c>
    </row>
    <row r="1074" spans="2:17" x14ac:dyDescent="0.25">
      <c r="B1074" t="s">
        <v>78</v>
      </c>
      <c r="C1074" t="s">
        <v>79</v>
      </c>
      <c r="D1074" t="s">
        <v>2099</v>
      </c>
      <c r="E1074" t="s">
        <v>2100</v>
      </c>
      <c r="F1074">
        <v>317.10000000000002</v>
      </c>
      <c r="G1074">
        <v>317.10000000000002</v>
      </c>
      <c r="H1074">
        <v>321.89999999999998</v>
      </c>
      <c r="I1074">
        <v>306</v>
      </c>
      <c r="J1074" s="1">
        <v>308.35000000000002</v>
      </c>
      <c r="K1074">
        <v>520389798.44999999</v>
      </c>
      <c r="L1074">
        <v>1650126</v>
      </c>
      <c r="M1074" t="s">
        <v>78</v>
      </c>
      <c r="N1074" t="s">
        <v>17</v>
      </c>
      <c r="O1074">
        <v>34866</v>
      </c>
      <c r="P1074">
        <v>321.89999999999998</v>
      </c>
      <c r="Q1074">
        <v>126.5</v>
      </c>
    </row>
    <row r="1075" spans="2:17" x14ac:dyDescent="0.25">
      <c r="B1075" t="s">
        <v>78</v>
      </c>
      <c r="C1075" t="s">
        <v>79</v>
      </c>
      <c r="D1075" t="s">
        <v>2101</v>
      </c>
      <c r="E1075" t="s">
        <v>2102</v>
      </c>
      <c r="F1075">
        <v>235.35</v>
      </c>
      <c r="G1075">
        <v>225.35</v>
      </c>
      <c r="H1075">
        <v>240</v>
      </c>
      <c r="I1075">
        <v>224.2</v>
      </c>
      <c r="J1075" s="1">
        <v>230</v>
      </c>
      <c r="K1075">
        <v>6193124.7000000002</v>
      </c>
      <c r="L1075">
        <v>26680</v>
      </c>
      <c r="M1075" t="s">
        <v>78</v>
      </c>
      <c r="N1075" t="s">
        <v>17</v>
      </c>
      <c r="O1075">
        <v>614</v>
      </c>
      <c r="P1075">
        <v>268.7</v>
      </c>
      <c r="Q1075">
        <v>137.94999999999999</v>
      </c>
    </row>
    <row r="1076" spans="2:17" x14ac:dyDescent="0.25">
      <c r="B1076" t="s">
        <v>78</v>
      </c>
      <c r="C1076" t="s">
        <v>79</v>
      </c>
      <c r="D1076" t="s">
        <v>2103</v>
      </c>
      <c r="E1076" t="s">
        <v>2104</v>
      </c>
      <c r="F1076">
        <v>312.39999999999998</v>
      </c>
      <c r="G1076">
        <v>313</v>
      </c>
      <c r="H1076">
        <v>374.85</v>
      </c>
      <c r="I1076">
        <v>313</v>
      </c>
      <c r="J1076" s="1">
        <v>371.15</v>
      </c>
      <c r="K1076">
        <v>239744939.25</v>
      </c>
      <c r="L1076">
        <v>669851</v>
      </c>
      <c r="M1076" t="s">
        <v>78</v>
      </c>
      <c r="N1076" t="s">
        <v>17</v>
      </c>
      <c r="O1076">
        <v>22384</v>
      </c>
      <c r="P1076">
        <v>374.85</v>
      </c>
      <c r="Q1076">
        <v>166.2</v>
      </c>
    </row>
    <row r="1077" spans="2:17" x14ac:dyDescent="0.25">
      <c r="B1077" t="s">
        <v>78</v>
      </c>
      <c r="C1077" t="s">
        <v>79</v>
      </c>
      <c r="D1077" t="s">
        <v>2105</v>
      </c>
      <c r="E1077" t="s">
        <v>2106</v>
      </c>
      <c r="F1077">
        <v>371.75</v>
      </c>
      <c r="G1077">
        <v>368.95</v>
      </c>
      <c r="H1077">
        <v>374.8</v>
      </c>
      <c r="I1077">
        <v>363</v>
      </c>
      <c r="J1077" s="1">
        <v>365.15</v>
      </c>
      <c r="K1077">
        <v>38293652.450000003</v>
      </c>
      <c r="L1077">
        <v>104324</v>
      </c>
      <c r="M1077" t="s">
        <v>78</v>
      </c>
      <c r="N1077" t="s">
        <v>17</v>
      </c>
      <c r="O1077">
        <v>3465</v>
      </c>
      <c r="P1077">
        <v>416.8</v>
      </c>
      <c r="Q1077">
        <v>118.05</v>
      </c>
    </row>
    <row r="1078" spans="2:17" x14ac:dyDescent="0.25">
      <c r="B1078" t="s">
        <v>78</v>
      </c>
      <c r="C1078" t="s">
        <v>79</v>
      </c>
      <c r="D1078" t="s">
        <v>2107</v>
      </c>
      <c r="E1078" t="s">
        <v>2108</v>
      </c>
      <c r="F1078">
        <v>1936.1</v>
      </c>
      <c r="G1078">
        <v>1938</v>
      </c>
      <c r="H1078">
        <v>1987.9</v>
      </c>
      <c r="I1078">
        <v>1937.05</v>
      </c>
      <c r="J1078" s="1">
        <v>1953.85</v>
      </c>
      <c r="K1078">
        <v>655012922.60000002</v>
      </c>
      <c r="L1078">
        <v>333569</v>
      </c>
      <c r="M1078" t="s">
        <v>78</v>
      </c>
      <c r="N1078" t="s">
        <v>17</v>
      </c>
      <c r="O1078">
        <v>21090</v>
      </c>
      <c r="P1078">
        <v>2033</v>
      </c>
      <c r="Q1078">
        <v>798</v>
      </c>
    </row>
    <row r="1079" spans="2:17" x14ac:dyDescent="0.25">
      <c r="B1079" t="s">
        <v>78</v>
      </c>
      <c r="C1079" t="s">
        <v>79</v>
      </c>
      <c r="D1079" t="s">
        <v>2109</v>
      </c>
      <c r="E1079" t="s">
        <v>2110</v>
      </c>
      <c r="F1079">
        <v>969.15</v>
      </c>
      <c r="G1079">
        <v>958.75</v>
      </c>
      <c r="H1079">
        <v>978</v>
      </c>
      <c r="I1079">
        <v>956.05</v>
      </c>
      <c r="J1079" s="1">
        <v>973.55</v>
      </c>
      <c r="K1079">
        <v>35279971.049999997</v>
      </c>
      <c r="L1079">
        <v>36366</v>
      </c>
      <c r="M1079" t="s">
        <v>78</v>
      </c>
      <c r="N1079" t="s">
        <v>17</v>
      </c>
      <c r="O1079">
        <v>5891</v>
      </c>
      <c r="P1079">
        <v>1165</v>
      </c>
      <c r="Q1079">
        <v>365</v>
      </c>
    </row>
    <row r="1080" spans="2:17" x14ac:dyDescent="0.25">
      <c r="B1080" t="s">
        <v>78</v>
      </c>
      <c r="C1080" t="s">
        <v>79</v>
      </c>
      <c r="D1080" t="s">
        <v>2111</v>
      </c>
      <c r="E1080" t="s">
        <v>2112</v>
      </c>
      <c r="F1080">
        <v>1524.35</v>
      </c>
      <c r="G1080">
        <v>1520</v>
      </c>
      <c r="H1080">
        <v>1565</v>
      </c>
      <c r="I1080">
        <v>1511.35</v>
      </c>
      <c r="J1080" s="1">
        <v>1536.3</v>
      </c>
      <c r="K1080">
        <v>226825103.25</v>
      </c>
      <c r="L1080">
        <v>147251</v>
      </c>
      <c r="M1080" t="s">
        <v>78</v>
      </c>
      <c r="N1080" t="s">
        <v>17</v>
      </c>
      <c r="O1080">
        <v>9738</v>
      </c>
      <c r="P1080">
        <v>1565</v>
      </c>
      <c r="Q1080">
        <v>561.04999999999995</v>
      </c>
    </row>
    <row r="1081" spans="2:17" x14ac:dyDescent="0.25">
      <c r="B1081" t="s">
        <v>78</v>
      </c>
      <c r="C1081" t="s">
        <v>79</v>
      </c>
      <c r="D1081" t="s">
        <v>2113</v>
      </c>
      <c r="E1081" t="s">
        <v>2114</v>
      </c>
      <c r="F1081">
        <v>304.3</v>
      </c>
      <c r="G1081">
        <v>297</v>
      </c>
      <c r="H1081">
        <v>330</v>
      </c>
      <c r="I1081">
        <v>297</v>
      </c>
      <c r="J1081" s="1">
        <v>322.55</v>
      </c>
      <c r="K1081">
        <v>35443733.950000003</v>
      </c>
      <c r="L1081">
        <v>111252</v>
      </c>
      <c r="M1081" t="s">
        <v>78</v>
      </c>
      <c r="N1081" t="s">
        <v>17</v>
      </c>
      <c r="O1081">
        <v>4003</v>
      </c>
      <c r="P1081">
        <v>380</v>
      </c>
      <c r="Q1081">
        <v>136.19999999999999</v>
      </c>
    </row>
    <row r="1082" spans="2:17" x14ac:dyDescent="0.25">
      <c r="B1082" t="s">
        <v>78</v>
      </c>
      <c r="C1082" t="s">
        <v>79</v>
      </c>
      <c r="D1082" t="s">
        <v>2115</v>
      </c>
      <c r="E1082" t="s">
        <v>2116</v>
      </c>
      <c r="F1082">
        <v>1916</v>
      </c>
      <c r="G1082">
        <v>1920</v>
      </c>
      <c r="H1082">
        <v>1981.9</v>
      </c>
      <c r="I1082">
        <v>1916.9</v>
      </c>
      <c r="J1082" s="1">
        <v>1924.95</v>
      </c>
      <c r="K1082">
        <v>67607592.25</v>
      </c>
      <c r="L1082">
        <v>34804</v>
      </c>
      <c r="M1082" t="s">
        <v>78</v>
      </c>
      <c r="N1082" t="s">
        <v>17</v>
      </c>
      <c r="O1082">
        <v>4545</v>
      </c>
      <c r="P1082">
        <v>2000</v>
      </c>
      <c r="Q1082">
        <v>856.35</v>
      </c>
    </row>
    <row r="1083" spans="2:17" x14ac:dyDescent="0.25">
      <c r="B1083" t="s">
        <v>78</v>
      </c>
      <c r="C1083" t="s">
        <v>79</v>
      </c>
      <c r="D1083" t="s">
        <v>2117</v>
      </c>
      <c r="E1083" t="s">
        <v>2118</v>
      </c>
      <c r="F1083">
        <v>818.6</v>
      </c>
      <c r="G1083">
        <v>811</v>
      </c>
      <c r="H1083">
        <v>818.95</v>
      </c>
      <c r="I1083">
        <v>805</v>
      </c>
      <c r="J1083" s="1">
        <v>808.3</v>
      </c>
      <c r="K1083">
        <v>34299254.850000001</v>
      </c>
      <c r="L1083">
        <v>42407</v>
      </c>
      <c r="M1083" t="s">
        <v>78</v>
      </c>
      <c r="N1083" t="s">
        <v>17</v>
      </c>
      <c r="O1083">
        <v>2964</v>
      </c>
      <c r="P1083">
        <v>922</v>
      </c>
      <c r="Q1083">
        <v>353.5</v>
      </c>
    </row>
    <row r="1084" spans="2:17" x14ac:dyDescent="0.25">
      <c r="B1084" t="s">
        <v>78</v>
      </c>
      <c r="C1084" t="s">
        <v>79</v>
      </c>
      <c r="D1084" t="s">
        <v>2119</v>
      </c>
      <c r="E1084" t="s">
        <v>2120</v>
      </c>
      <c r="F1084">
        <v>255.05</v>
      </c>
      <c r="G1084">
        <v>248</v>
      </c>
      <c r="H1084">
        <v>261.75</v>
      </c>
      <c r="I1084">
        <v>248</v>
      </c>
      <c r="J1084" s="1">
        <v>254.8</v>
      </c>
      <c r="K1084">
        <v>14283070.050000001</v>
      </c>
      <c r="L1084">
        <v>55877</v>
      </c>
      <c r="M1084" t="s">
        <v>78</v>
      </c>
      <c r="N1084" t="s">
        <v>17</v>
      </c>
      <c r="O1084">
        <v>2160</v>
      </c>
      <c r="P1084">
        <v>296.55</v>
      </c>
      <c r="Q1084">
        <v>155.1</v>
      </c>
    </row>
    <row r="1085" spans="2:17" x14ac:dyDescent="0.25">
      <c r="B1085" t="s">
        <v>78</v>
      </c>
      <c r="C1085" t="s">
        <v>79</v>
      </c>
      <c r="D1085" t="s">
        <v>2121</v>
      </c>
      <c r="E1085" t="s">
        <v>2122</v>
      </c>
      <c r="F1085">
        <v>172.7</v>
      </c>
      <c r="G1085">
        <v>173.35</v>
      </c>
      <c r="H1085">
        <v>179.55</v>
      </c>
      <c r="I1085">
        <v>172.25</v>
      </c>
      <c r="J1085" s="1">
        <v>173.75</v>
      </c>
      <c r="K1085">
        <v>61822768.350000001</v>
      </c>
      <c r="L1085">
        <v>353093</v>
      </c>
      <c r="M1085" t="s">
        <v>78</v>
      </c>
      <c r="N1085" t="s">
        <v>17</v>
      </c>
      <c r="O1085">
        <v>7907</v>
      </c>
      <c r="P1085">
        <v>194.7</v>
      </c>
      <c r="Q1085">
        <v>57.3</v>
      </c>
    </row>
    <row r="1086" spans="2:17" x14ac:dyDescent="0.25">
      <c r="B1086" t="s">
        <v>78</v>
      </c>
      <c r="C1086" t="s">
        <v>79</v>
      </c>
      <c r="D1086" t="s">
        <v>2123</v>
      </c>
      <c r="E1086" t="s">
        <v>2124</v>
      </c>
      <c r="F1086">
        <v>17.95</v>
      </c>
      <c r="G1086">
        <v>17.95</v>
      </c>
      <c r="H1086">
        <v>18.8</v>
      </c>
      <c r="I1086">
        <v>17.850000000000001</v>
      </c>
      <c r="J1086" s="1">
        <v>18.8</v>
      </c>
      <c r="K1086">
        <v>8861309.1999999993</v>
      </c>
      <c r="L1086">
        <v>475766</v>
      </c>
      <c r="M1086" t="s">
        <v>78</v>
      </c>
      <c r="N1086" t="s">
        <v>17</v>
      </c>
      <c r="O1086">
        <v>936</v>
      </c>
      <c r="P1086">
        <v>19.7</v>
      </c>
      <c r="Q1086">
        <v>5.35</v>
      </c>
    </row>
    <row r="1087" spans="2:17" x14ac:dyDescent="0.25">
      <c r="B1087" t="s">
        <v>78</v>
      </c>
      <c r="C1087" t="s">
        <v>79</v>
      </c>
      <c r="D1087" t="s">
        <v>2125</v>
      </c>
      <c r="E1087" t="s">
        <v>2126</v>
      </c>
      <c r="F1087">
        <v>77.7</v>
      </c>
      <c r="G1087">
        <v>77</v>
      </c>
      <c r="H1087">
        <v>79.7</v>
      </c>
      <c r="I1087">
        <v>75.099999999999994</v>
      </c>
      <c r="J1087" s="1">
        <v>76.5</v>
      </c>
      <c r="K1087">
        <v>98204886.25</v>
      </c>
      <c r="L1087">
        <v>1261135</v>
      </c>
      <c r="M1087" t="s">
        <v>78</v>
      </c>
      <c r="N1087" t="s">
        <v>546</v>
      </c>
      <c r="O1087">
        <v>7794</v>
      </c>
      <c r="P1087">
        <v>104.75</v>
      </c>
      <c r="Q1087">
        <v>31.25</v>
      </c>
    </row>
    <row r="1088" spans="2:17" x14ac:dyDescent="0.25">
      <c r="B1088" t="s">
        <v>78</v>
      </c>
      <c r="C1088" t="s">
        <v>79</v>
      </c>
      <c r="D1088" t="s">
        <v>2127</v>
      </c>
      <c r="E1088" t="s">
        <v>2128</v>
      </c>
      <c r="F1088">
        <v>45.25</v>
      </c>
      <c r="G1088">
        <v>45</v>
      </c>
      <c r="H1088">
        <v>47.5</v>
      </c>
      <c r="I1088">
        <v>44.25</v>
      </c>
      <c r="J1088" s="1">
        <v>47.5</v>
      </c>
      <c r="K1088">
        <v>835081.85</v>
      </c>
      <c r="L1088">
        <v>17827</v>
      </c>
      <c r="M1088" t="s">
        <v>78</v>
      </c>
      <c r="N1088" t="s">
        <v>17</v>
      </c>
      <c r="O1088">
        <v>190</v>
      </c>
      <c r="P1088">
        <v>62</v>
      </c>
      <c r="Q1088">
        <v>29.05</v>
      </c>
    </row>
    <row r="1089" spans="2:17" x14ac:dyDescent="0.25">
      <c r="B1089" t="s">
        <v>78</v>
      </c>
      <c r="C1089" t="s">
        <v>79</v>
      </c>
      <c r="D1089" t="s">
        <v>2129</v>
      </c>
      <c r="E1089" t="s">
        <v>2130</v>
      </c>
      <c r="F1089">
        <v>91.95</v>
      </c>
      <c r="G1089">
        <v>90</v>
      </c>
      <c r="H1089">
        <v>91.2</v>
      </c>
      <c r="I1089">
        <v>87</v>
      </c>
      <c r="J1089" s="1">
        <v>88.6</v>
      </c>
      <c r="K1089">
        <v>27963469.350000001</v>
      </c>
      <c r="L1089">
        <v>314371</v>
      </c>
      <c r="M1089" t="s">
        <v>78</v>
      </c>
      <c r="N1089" t="s">
        <v>17</v>
      </c>
      <c r="O1089">
        <v>5080</v>
      </c>
      <c r="P1089">
        <v>95.5</v>
      </c>
      <c r="Q1089">
        <v>28.55</v>
      </c>
    </row>
    <row r="1090" spans="2:17" x14ac:dyDescent="0.25">
      <c r="B1090" t="s">
        <v>78</v>
      </c>
      <c r="C1090" t="s">
        <v>79</v>
      </c>
      <c r="D1090" t="s">
        <v>2131</v>
      </c>
      <c r="E1090" t="s">
        <v>2132</v>
      </c>
      <c r="F1090">
        <v>278.10000000000002</v>
      </c>
      <c r="G1090">
        <v>290</v>
      </c>
      <c r="H1090">
        <v>292</v>
      </c>
      <c r="I1090">
        <v>270</v>
      </c>
      <c r="J1090" s="1">
        <v>292</v>
      </c>
      <c r="K1090">
        <v>19086031.050000001</v>
      </c>
      <c r="L1090">
        <v>65979</v>
      </c>
      <c r="M1090" t="s">
        <v>78</v>
      </c>
      <c r="N1090" t="s">
        <v>17</v>
      </c>
      <c r="O1090">
        <v>1011</v>
      </c>
      <c r="P1090">
        <v>292</v>
      </c>
      <c r="Q1090">
        <v>19.75</v>
      </c>
    </row>
    <row r="1091" spans="2:17" x14ac:dyDescent="0.25">
      <c r="B1091" t="s">
        <v>78</v>
      </c>
      <c r="C1091" t="s">
        <v>79</v>
      </c>
      <c r="D1091" t="s">
        <v>2133</v>
      </c>
      <c r="E1091" t="s">
        <v>2134</v>
      </c>
      <c r="F1091">
        <v>228.9</v>
      </c>
      <c r="G1091">
        <v>225</v>
      </c>
      <c r="H1091">
        <v>227.25</v>
      </c>
      <c r="I1091">
        <v>221.95</v>
      </c>
      <c r="J1091" s="1">
        <v>224.2</v>
      </c>
      <c r="K1091">
        <v>5906135.0999999996</v>
      </c>
      <c r="L1091">
        <v>26287</v>
      </c>
      <c r="M1091" t="s">
        <v>78</v>
      </c>
      <c r="N1091" t="s">
        <v>17</v>
      </c>
      <c r="O1091">
        <v>1243</v>
      </c>
      <c r="P1091">
        <v>244.9</v>
      </c>
      <c r="Q1091">
        <v>98</v>
      </c>
    </row>
    <row r="1092" spans="2:17" x14ac:dyDescent="0.25">
      <c r="B1092" t="s">
        <v>78</v>
      </c>
      <c r="C1092" t="s">
        <v>79</v>
      </c>
      <c r="D1092" t="s">
        <v>2135</v>
      </c>
      <c r="E1092" t="s">
        <v>2136</v>
      </c>
      <c r="F1092">
        <v>212.45</v>
      </c>
      <c r="G1092">
        <v>212.45</v>
      </c>
      <c r="H1092">
        <v>217.8</v>
      </c>
      <c r="I1092">
        <v>207</v>
      </c>
      <c r="J1092" s="1">
        <v>213.4</v>
      </c>
      <c r="K1092">
        <v>7241390.4000000004</v>
      </c>
      <c r="L1092">
        <v>34059</v>
      </c>
      <c r="M1092" t="s">
        <v>78</v>
      </c>
      <c r="N1092" t="s">
        <v>17</v>
      </c>
      <c r="O1092">
        <v>927</v>
      </c>
      <c r="P1092">
        <v>227.45</v>
      </c>
      <c r="Q1092">
        <v>107.6</v>
      </c>
    </row>
    <row r="1093" spans="2:17" x14ac:dyDescent="0.25">
      <c r="B1093" t="s">
        <v>78</v>
      </c>
      <c r="C1093" t="s">
        <v>79</v>
      </c>
      <c r="D1093" t="s">
        <v>2137</v>
      </c>
      <c r="E1093" t="s">
        <v>2138</v>
      </c>
      <c r="F1093">
        <v>71.599999999999994</v>
      </c>
      <c r="G1093">
        <v>71.5</v>
      </c>
      <c r="H1093">
        <v>74.900000000000006</v>
      </c>
      <c r="I1093">
        <v>70</v>
      </c>
      <c r="J1093" s="1">
        <v>74.05</v>
      </c>
      <c r="K1093">
        <v>2597585.2000000002</v>
      </c>
      <c r="L1093">
        <v>35371</v>
      </c>
      <c r="M1093" t="s">
        <v>78</v>
      </c>
      <c r="N1093" t="s">
        <v>17</v>
      </c>
      <c r="O1093">
        <v>570</v>
      </c>
      <c r="P1093">
        <v>82.2</v>
      </c>
      <c r="Q1093">
        <v>19.45</v>
      </c>
    </row>
    <row r="1094" spans="2:17" x14ac:dyDescent="0.25">
      <c r="B1094" t="s">
        <v>78</v>
      </c>
      <c r="C1094" t="s">
        <v>79</v>
      </c>
      <c r="D1094" t="s">
        <v>2139</v>
      </c>
      <c r="E1094" t="s">
        <v>2140</v>
      </c>
      <c r="F1094">
        <v>33.75</v>
      </c>
      <c r="G1094">
        <v>33.5</v>
      </c>
      <c r="H1094">
        <v>33.5</v>
      </c>
      <c r="I1094">
        <v>32.1</v>
      </c>
      <c r="J1094" s="1">
        <v>32.25</v>
      </c>
      <c r="K1094">
        <v>3138685.8</v>
      </c>
      <c r="L1094">
        <v>95717</v>
      </c>
      <c r="M1094" t="s">
        <v>78</v>
      </c>
      <c r="N1094" t="s">
        <v>17</v>
      </c>
      <c r="O1094">
        <v>1065</v>
      </c>
      <c r="P1094">
        <v>36.85</v>
      </c>
      <c r="Q1094">
        <v>15.55</v>
      </c>
    </row>
    <row r="1095" spans="2:17" x14ac:dyDescent="0.25">
      <c r="B1095" t="s">
        <v>78</v>
      </c>
      <c r="C1095" t="s">
        <v>79</v>
      </c>
      <c r="D1095" t="s">
        <v>2141</v>
      </c>
      <c r="E1095" t="s">
        <v>2142</v>
      </c>
      <c r="F1095">
        <v>329.65</v>
      </c>
      <c r="G1095">
        <v>324.39999999999998</v>
      </c>
      <c r="H1095">
        <v>348.45</v>
      </c>
      <c r="I1095">
        <v>322</v>
      </c>
      <c r="J1095" s="1">
        <v>336.5</v>
      </c>
      <c r="K1095">
        <v>1316745238.4000001</v>
      </c>
      <c r="L1095">
        <v>3879647</v>
      </c>
      <c r="M1095" t="s">
        <v>78</v>
      </c>
      <c r="N1095" t="s">
        <v>17</v>
      </c>
      <c r="O1095">
        <v>58318</v>
      </c>
      <c r="P1095">
        <v>348.45</v>
      </c>
      <c r="Q1095">
        <v>170.05</v>
      </c>
    </row>
    <row r="1096" spans="2:17" x14ac:dyDescent="0.25">
      <c r="B1096" t="s">
        <v>78</v>
      </c>
      <c r="C1096" t="s">
        <v>79</v>
      </c>
      <c r="D1096" t="s">
        <v>2143</v>
      </c>
      <c r="E1096" t="s">
        <v>2144</v>
      </c>
      <c r="F1096">
        <v>101.2</v>
      </c>
      <c r="G1096">
        <v>100.3</v>
      </c>
      <c r="H1096">
        <v>102.2</v>
      </c>
      <c r="I1096">
        <v>99</v>
      </c>
      <c r="J1096" s="1">
        <v>99.3</v>
      </c>
      <c r="K1096">
        <v>87162492.75</v>
      </c>
      <c r="L1096">
        <v>869590</v>
      </c>
      <c r="M1096" t="s">
        <v>78</v>
      </c>
      <c r="N1096" t="s">
        <v>17</v>
      </c>
      <c r="O1096">
        <v>7604</v>
      </c>
      <c r="P1096">
        <v>106.7</v>
      </c>
      <c r="Q1096">
        <v>36.200000000000003</v>
      </c>
    </row>
    <row r="1097" spans="2:17" x14ac:dyDescent="0.25">
      <c r="B1097" t="s">
        <v>78</v>
      </c>
      <c r="C1097" t="s">
        <v>79</v>
      </c>
      <c r="D1097" t="s">
        <v>2145</v>
      </c>
      <c r="E1097" t="s">
        <v>2146</v>
      </c>
      <c r="F1097">
        <v>89.95</v>
      </c>
      <c r="G1097">
        <v>93.9</v>
      </c>
      <c r="H1097">
        <v>94.4</v>
      </c>
      <c r="I1097">
        <v>91</v>
      </c>
      <c r="J1097" s="1">
        <v>94.4</v>
      </c>
      <c r="K1097">
        <v>7129590.9000000004</v>
      </c>
      <c r="L1097">
        <v>75744</v>
      </c>
      <c r="M1097" t="s">
        <v>78</v>
      </c>
      <c r="N1097" t="s">
        <v>17</v>
      </c>
      <c r="O1097">
        <v>824</v>
      </c>
      <c r="P1097">
        <v>94.4</v>
      </c>
      <c r="Q1097">
        <v>38.5</v>
      </c>
    </row>
    <row r="1098" spans="2:17" x14ac:dyDescent="0.25">
      <c r="B1098" t="s">
        <v>78</v>
      </c>
      <c r="C1098" t="s">
        <v>79</v>
      </c>
      <c r="D1098" t="s">
        <v>2147</v>
      </c>
      <c r="E1098" t="s">
        <v>2148</v>
      </c>
      <c r="F1098">
        <v>711.35</v>
      </c>
      <c r="G1098">
        <v>706.2</v>
      </c>
      <c r="H1098">
        <v>711</v>
      </c>
      <c r="I1098">
        <v>700</v>
      </c>
      <c r="J1098" s="1">
        <v>704.35</v>
      </c>
      <c r="K1098">
        <v>252126141.09999999</v>
      </c>
      <c r="L1098">
        <v>358002</v>
      </c>
      <c r="M1098" t="s">
        <v>78</v>
      </c>
      <c r="N1098" t="s">
        <v>17</v>
      </c>
      <c r="O1098">
        <v>19455</v>
      </c>
      <c r="P1098">
        <v>794.4</v>
      </c>
      <c r="Q1098">
        <v>105</v>
      </c>
    </row>
    <row r="1099" spans="2:17" x14ac:dyDescent="0.25">
      <c r="B1099" t="s">
        <v>78</v>
      </c>
      <c r="C1099" t="s">
        <v>79</v>
      </c>
      <c r="D1099" t="s">
        <v>2149</v>
      </c>
      <c r="E1099" t="s">
        <v>2150</v>
      </c>
      <c r="F1099">
        <v>1368.6</v>
      </c>
      <c r="G1099">
        <v>1385</v>
      </c>
      <c r="H1099">
        <v>1391</v>
      </c>
      <c r="I1099">
        <v>1327</v>
      </c>
      <c r="J1099" s="1">
        <v>1337.6</v>
      </c>
      <c r="K1099">
        <v>52215037</v>
      </c>
      <c r="L1099">
        <v>38695</v>
      </c>
      <c r="M1099" t="s">
        <v>78</v>
      </c>
      <c r="N1099" t="s">
        <v>17</v>
      </c>
      <c r="O1099">
        <v>7538</v>
      </c>
      <c r="P1099">
        <v>1430</v>
      </c>
      <c r="Q1099">
        <v>501.05</v>
      </c>
    </row>
    <row r="1100" spans="2:17" x14ac:dyDescent="0.25">
      <c r="B1100" t="s">
        <v>78</v>
      </c>
      <c r="C1100" t="s">
        <v>287</v>
      </c>
      <c r="D1100" t="s">
        <v>2151</v>
      </c>
      <c r="E1100" t="s">
        <v>2152</v>
      </c>
      <c r="F1100">
        <v>96.05</v>
      </c>
      <c r="G1100">
        <v>100.8</v>
      </c>
      <c r="H1100">
        <v>100.85</v>
      </c>
      <c r="I1100">
        <v>100.8</v>
      </c>
      <c r="J1100" s="1">
        <v>100.8</v>
      </c>
      <c r="K1100">
        <v>604950</v>
      </c>
      <c r="L1100">
        <v>6000</v>
      </c>
      <c r="M1100" t="s">
        <v>78</v>
      </c>
      <c r="N1100" t="s">
        <v>17</v>
      </c>
      <c r="O1100">
        <v>2</v>
      </c>
      <c r="P1100">
        <v>105.5</v>
      </c>
      <c r="Q1100">
        <v>31.1</v>
      </c>
    </row>
    <row r="1101" spans="2:17" x14ac:dyDescent="0.25">
      <c r="B1101" t="s">
        <v>78</v>
      </c>
      <c r="C1101" t="s">
        <v>79</v>
      </c>
      <c r="D1101" t="s">
        <v>2153</v>
      </c>
      <c r="E1101" t="s">
        <v>2154</v>
      </c>
      <c r="F1101">
        <v>139.30000000000001</v>
      </c>
      <c r="G1101">
        <v>138.9</v>
      </c>
      <c r="H1101">
        <v>143</v>
      </c>
      <c r="I1101">
        <v>136.9</v>
      </c>
      <c r="J1101" s="1">
        <v>139.85</v>
      </c>
      <c r="K1101">
        <v>73033002.849999994</v>
      </c>
      <c r="L1101">
        <v>520933</v>
      </c>
      <c r="M1101" t="s">
        <v>78</v>
      </c>
      <c r="N1101" t="s">
        <v>17</v>
      </c>
      <c r="O1101">
        <v>7468</v>
      </c>
      <c r="P1101">
        <v>149.25</v>
      </c>
      <c r="Q1101">
        <v>43.95</v>
      </c>
    </row>
    <row r="1102" spans="2:17" x14ac:dyDescent="0.25">
      <c r="B1102" t="s">
        <v>78</v>
      </c>
      <c r="C1102" t="s">
        <v>79</v>
      </c>
      <c r="D1102" t="s">
        <v>2155</v>
      </c>
      <c r="E1102" t="s">
        <v>2156</v>
      </c>
      <c r="F1102">
        <v>19.95</v>
      </c>
      <c r="G1102">
        <v>19.95</v>
      </c>
      <c r="H1102">
        <v>20</v>
      </c>
      <c r="I1102">
        <v>19.600000000000001</v>
      </c>
      <c r="J1102" s="1">
        <v>19.7</v>
      </c>
      <c r="K1102">
        <v>10967875.1</v>
      </c>
      <c r="L1102">
        <v>553193</v>
      </c>
      <c r="M1102" t="s">
        <v>78</v>
      </c>
      <c r="N1102" t="s">
        <v>17</v>
      </c>
      <c r="O1102">
        <v>1890</v>
      </c>
      <c r="P1102">
        <v>23.75</v>
      </c>
      <c r="Q1102">
        <v>10.3</v>
      </c>
    </row>
    <row r="1103" spans="2:17" x14ac:dyDescent="0.25">
      <c r="B1103" t="s">
        <v>78</v>
      </c>
      <c r="C1103" t="s">
        <v>79</v>
      </c>
      <c r="D1103" t="s">
        <v>2157</v>
      </c>
      <c r="E1103" t="s">
        <v>2158</v>
      </c>
      <c r="F1103">
        <v>470.95</v>
      </c>
      <c r="G1103">
        <v>470</v>
      </c>
      <c r="H1103">
        <v>480</v>
      </c>
      <c r="I1103">
        <v>462.4</v>
      </c>
      <c r="J1103" s="1">
        <v>467.3</v>
      </c>
      <c r="K1103">
        <v>151548411.75</v>
      </c>
      <c r="L1103">
        <v>321898</v>
      </c>
      <c r="M1103" t="s">
        <v>78</v>
      </c>
      <c r="N1103" t="s">
        <v>17</v>
      </c>
      <c r="O1103">
        <v>11559</v>
      </c>
      <c r="P1103">
        <v>531.29999999999995</v>
      </c>
      <c r="Q1103">
        <v>378.05</v>
      </c>
    </row>
    <row r="1104" spans="2:17" x14ac:dyDescent="0.25">
      <c r="B1104" t="s">
        <v>78</v>
      </c>
      <c r="C1104" t="s">
        <v>79</v>
      </c>
      <c r="D1104" t="s">
        <v>2159</v>
      </c>
      <c r="E1104" t="s">
        <v>2160</v>
      </c>
      <c r="F1104">
        <v>103.6</v>
      </c>
      <c r="G1104">
        <v>102.1</v>
      </c>
      <c r="H1104">
        <v>103.6</v>
      </c>
      <c r="I1104">
        <v>100.6</v>
      </c>
      <c r="J1104" s="1">
        <v>101.8</v>
      </c>
      <c r="K1104">
        <v>82686723.349999994</v>
      </c>
      <c r="L1104">
        <v>806282</v>
      </c>
      <c r="M1104" t="s">
        <v>78</v>
      </c>
      <c r="N1104" t="s">
        <v>17</v>
      </c>
      <c r="O1104">
        <v>6583</v>
      </c>
      <c r="P1104">
        <v>110.8</v>
      </c>
      <c r="Q1104">
        <v>44.65</v>
      </c>
    </row>
    <row r="1105" spans="2:17" x14ac:dyDescent="0.25">
      <c r="B1105" t="s">
        <v>78</v>
      </c>
      <c r="C1105" t="s">
        <v>79</v>
      </c>
      <c r="D1105" t="s">
        <v>2161</v>
      </c>
      <c r="E1105" t="s">
        <v>2162</v>
      </c>
      <c r="F1105">
        <v>52.5</v>
      </c>
      <c r="G1105">
        <v>52.5</v>
      </c>
      <c r="H1105">
        <v>58</v>
      </c>
      <c r="I1105">
        <v>51.1</v>
      </c>
      <c r="J1105" s="1">
        <v>55.2</v>
      </c>
      <c r="K1105">
        <v>65059012</v>
      </c>
      <c r="L1105">
        <v>1167480</v>
      </c>
      <c r="M1105" t="s">
        <v>78</v>
      </c>
      <c r="N1105" t="s">
        <v>17</v>
      </c>
      <c r="O1105">
        <v>8572</v>
      </c>
      <c r="P1105">
        <v>58</v>
      </c>
      <c r="Q1105">
        <v>35.549999999999997</v>
      </c>
    </row>
    <row r="1106" spans="2:17" x14ac:dyDescent="0.25">
      <c r="B1106" t="s">
        <v>78</v>
      </c>
      <c r="C1106" t="s">
        <v>79</v>
      </c>
      <c r="D1106" t="s">
        <v>2163</v>
      </c>
      <c r="E1106" t="s">
        <v>2164</v>
      </c>
      <c r="F1106">
        <v>1425.4</v>
      </c>
      <c r="G1106">
        <v>1435</v>
      </c>
      <c r="H1106">
        <v>1448</v>
      </c>
      <c r="I1106">
        <v>1403.35</v>
      </c>
      <c r="J1106" s="1">
        <v>1428.3</v>
      </c>
      <c r="K1106">
        <v>39955947.299999997</v>
      </c>
      <c r="L1106">
        <v>27864</v>
      </c>
      <c r="M1106" t="s">
        <v>78</v>
      </c>
      <c r="N1106" t="s">
        <v>17</v>
      </c>
      <c r="O1106">
        <v>2859</v>
      </c>
      <c r="P1106">
        <v>1477.8</v>
      </c>
      <c r="Q1106">
        <v>420</v>
      </c>
    </row>
    <row r="1107" spans="2:17" x14ac:dyDescent="0.25">
      <c r="B1107" t="s">
        <v>78</v>
      </c>
      <c r="C1107" t="s">
        <v>79</v>
      </c>
      <c r="D1107" t="s">
        <v>2165</v>
      </c>
      <c r="E1107" t="s">
        <v>2166</v>
      </c>
      <c r="F1107">
        <v>112.6</v>
      </c>
      <c r="G1107">
        <v>109.5</v>
      </c>
      <c r="H1107">
        <v>114.2</v>
      </c>
      <c r="I1107">
        <v>107.8</v>
      </c>
      <c r="J1107" s="1">
        <v>110.1</v>
      </c>
      <c r="K1107">
        <v>133516423.55</v>
      </c>
      <c r="L1107">
        <v>1197536</v>
      </c>
      <c r="M1107" t="s">
        <v>78</v>
      </c>
      <c r="N1107" t="s">
        <v>17</v>
      </c>
      <c r="O1107">
        <v>12731</v>
      </c>
      <c r="P1107">
        <v>116.8</v>
      </c>
      <c r="Q1107">
        <v>39.700000000000003</v>
      </c>
    </row>
    <row r="1108" spans="2:17" x14ac:dyDescent="0.25">
      <c r="B1108" t="s">
        <v>78</v>
      </c>
      <c r="C1108" t="s">
        <v>79</v>
      </c>
      <c r="D1108" t="s">
        <v>2167</v>
      </c>
      <c r="E1108" t="s">
        <v>2168</v>
      </c>
      <c r="F1108">
        <v>1368.8</v>
      </c>
      <c r="G1108">
        <v>1364</v>
      </c>
      <c r="H1108">
        <v>1367.1</v>
      </c>
      <c r="I1108">
        <v>1337.55</v>
      </c>
      <c r="J1108" s="1">
        <v>1347.9</v>
      </c>
      <c r="K1108">
        <v>325870906.19999999</v>
      </c>
      <c r="L1108">
        <v>240825</v>
      </c>
      <c r="M1108" t="s">
        <v>78</v>
      </c>
      <c r="N1108" t="s">
        <v>17</v>
      </c>
      <c r="O1108">
        <v>12709</v>
      </c>
      <c r="P1108">
        <v>1591.9</v>
      </c>
      <c r="Q1108">
        <v>988.35</v>
      </c>
    </row>
    <row r="1109" spans="2:17" x14ac:dyDescent="0.25">
      <c r="B1109" t="s">
        <v>78</v>
      </c>
      <c r="C1109" t="s">
        <v>79</v>
      </c>
      <c r="D1109" t="s">
        <v>2169</v>
      </c>
      <c r="E1109" t="s">
        <v>2170</v>
      </c>
      <c r="F1109">
        <v>774.95</v>
      </c>
      <c r="G1109">
        <v>772</v>
      </c>
      <c r="H1109">
        <v>794.2</v>
      </c>
      <c r="I1109">
        <v>756.9</v>
      </c>
      <c r="J1109" s="1">
        <v>790.1</v>
      </c>
      <c r="K1109">
        <v>170921016.75</v>
      </c>
      <c r="L1109">
        <v>217647</v>
      </c>
      <c r="M1109" t="s">
        <v>78</v>
      </c>
      <c r="N1109" t="s">
        <v>17</v>
      </c>
      <c r="O1109">
        <v>15252</v>
      </c>
      <c r="P1109">
        <v>887.9</v>
      </c>
      <c r="Q1109">
        <v>326.95</v>
      </c>
    </row>
    <row r="1110" spans="2:17" x14ac:dyDescent="0.25">
      <c r="B1110" t="s">
        <v>78</v>
      </c>
      <c r="C1110" t="s">
        <v>79</v>
      </c>
      <c r="D1110" t="s">
        <v>2171</v>
      </c>
      <c r="E1110" t="s">
        <v>2172</v>
      </c>
      <c r="F1110">
        <v>308.55</v>
      </c>
      <c r="G1110">
        <v>306</v>
      </c>
      <c r="H1110">
        <v>312.10000000000002</v>
      </c>
      <c r="I1110">
        <v>297.05</v>
      </c>
      <c r="J1110" s="1">
        <v>300.10000000000002</v>
      </c>
      <c r="K1110">
        <v>126710920.55</v>
      </c>
      <c r="L1110">
        <v>414337</v>
      </c>
      <c r="M1110" t="s">
        <v>78</v>
      </c>
      <c r="N1110" t="s">
        <v>17</v>
      </c>
      <c r="O1110">
        <v>10534</v>
      </c>
      <c r="P1110">
        <v>317</v>
      </c>
      <c r="Q1110">
        <v>109.95</v>
      </c>
    </row>
    <row r="1111" spans="2:17" x14ac:dyDescent="0.25">
      <c r="B1111" t="s">
        <v>78</v>
      </c>
      <c r="C1111" t="s">
        <v>79</v>
      </c>
      <c r="D1111" t="s">
        <v>2173</v>
      </c>
      <c r="E1111" t="s">
        <v>2174</v>
      </c>
      <c r="F1111">
        <v>790.75</v>
      </c>
      <c r="G1111">
        <v>790</v>
      </c>
      <c r="H1111">
        <v>846.85</v>
      </c>
      <c r="I1111">
        <v>781.7</v>
      </c>
      <c r="J1111" s="1">
        <v>828</v>
      </c>
      <c r="K1111">
        <v>1650929455.45</v>
      </c>
      <c r="L1111">
        <v>1994126</v>
      </c>
      <c r="M1111" t="s">
        <v>78</v>
      </c>
      <c r="N1111" t="s">
        <v>17</v>
      </c>
      <c r="O1111">
        <v>63170</v>
      </c>
      <c r="P1111">
        <v>846.85</v>
      </c>
      <c r="Q1111">
        <v>360.5</v>
      </c>
    </row>
    <row r="1112" spans="2:17" x14ac:dyDescent="0.25">
      <c r="B1112" t="s">
        <v>78</v>
      </c>
      <c r="C1112" t="s">
        <v>79</v>
      </c>
      <c r="D1112" t="s">
        <v>2175</v>
      </c>
      <c r="E1112" t="s">
        <v>2176</v>
      </c>
      <c r="F1112">
        <v>25.55</v>
      </c>
      <c r="G1112">
        <v>25.55</v>
      </c>
      <c r="H1112">
        <v>25.75</v>
      </c>
      <c r="I1112">
        <v>25.25</v>
      </c>
      <c r="J1112" s="1">
        <v>25.5</v>
      </c>
      <c r="K1112">
        <v>14148809.050000001</v>
      </c>
      <c r="L1112">
        <v>555557</v>
      </c>
      <c r="M1112" t="s">
        <v>78</v>
      </c>
      <c r="N1112" t="s">
        <v>17</v>
      </c>
      <c r="O1112">
        <v>1313</v>
      </c>
      <c r="P1112">
        <v>29.6</v>
      </c>
      <c r="Q1112">
        <v>14.6</v>
      </c>
    </row>
    <row r="1113" spans="2:17" x14ac:dyDescent="0.25">
      <c r="B1113" t="s">
        <v>78</v>
      </c>
      <c r="C1113" t="s">
        <v>79</v>
      </c>
      <c r="D1113" t="s">
        <v>2177</v>
      </c>
      <c r="E1113" t="s">
        <v>2178</v>
      </c>
      <c r="F1113">
        <v>146.35</v>
      </c>
      <c r="G1113">
        <v>144</v>
      </c>
      <c r="H1113">
        <v>146.25</v>
      </c>
      <c r="I1113">
        <v>143.5</v>
      </c>
      <c r="J1113" s="1">
        <v>144.1</v>
      </c>
      <c r="K1113">
        <v>142604674.5</v>
      </c>
      <c r="L1113">
        <v>987572</v>
      </c>
      <c r="M1113" t="s">
        <v>78</v>
      </c>
      <c r="N1113" t="s">
        <v>17</v>
      </c>
      <c r="O1113">
        <v>12480</v>
      </c>
      <c r="P1113">
        <v>189.7</v>
      </c>
      <c r="Q1113">
        <v>101</v>
      </c>
    </row>
    <row r="1114" spans="2:17" x14ac:dyDescent="0.25">
      <c r="B1114" t="s">
        <v>78</v>
      </c>
      <c r="C1114" t="s">
        <v>79</v>
      </c>
      <c r="D1114" t="s">
        <v>2179</v>
      </c>
      <c r="E1114" t="s">
        <v>2180</v>
      </c>
      <c r="F1114">
        <v>232.8</v>
      </c>
      <c r="G1114">
        <v>228</v>
      </c>
      <c r="H1114">
        <v>243.6</v>
      </c>
      <c r="I1114">
        <v>228</v>
      </c>
      <c r="J1114" s="1">
        <v>239.75</v>
      </c>
      <c r="K1114">
        <v>1396607884.6500001</v>
      </c>
      <c r="L1114">
        <v>5867418</v>
      </c>
      <c r="M1114" t="s">
        <v>78</v>
      </c>
      <c r="N1114" t="s">
        <v>17</v>
      </c>
      <c r="O1114">
        <v>55740</v>
      </c>
      <c r="P1114">
        <v>243.6</v>
      </c>
      <c r="Q1114">
        <v>89.4</v>
      </c>
    </row>
    <row r="1115" spans="2:17" x14ac:dyDescent="0.25">
      <c r="B1115" t="s">
        <v>78</v>
      </c>
      <c r="C1115" t="s">
        <v>79</v>
      </c>
      <c r="D1115" t="s">
        <v>2181</v>
      </c>
      <c r="E1115" t="s">
        <v>2182</v>
      </c>
      <c r="F1115">
        <v>575.85</v>
      </c>
      <c r="G1115">
        <v>575.85</v>
      </c>
      <c r="H1115">
        <v>579.95000000000005</v>
      </c>
      <c r="I1115">
        <v>575.1</v>
      </c>
      <c r="J1115" s="1">
        <v>575.75</v>
      </c>
      <c r="K1115">
        <v>147052636.59999999</v>
      </c>
      <c r="L1115">
        <v>254341</v>
      </c>
      <c r="M1115" t="s">
        <v>78</v>
      </c>
      <c r="N1115" t="s">
        <v>17</v>
      </c>
      <c r="O1115">
        <v>5987</v>
      </c>
      <c r="P1115">
        <v>638</v>
      </c>
      <c r="Q1115">
        <v>441</v>
      </c>
    </row>
    <row r="1116" spans="2:17" x14ac:dyDescent="0.25">
      <c r="B1116" t="s">
        <v>78</v>
      </c>
      <c r="C1116" t="s">
        <v>79</v>
      </c>
      <c r="D1116" t="s">
        <v>2183</v>
      </c>
      <c r="E1116" t="s">
        <v>2184</v>
      </c>
      <c r="F1116">
        <v>52.05</v>
      </c>
      <c r="G1116">
        <v>51.6</v>
      </c>
      <c r="H1116">
        <v>52.5</v>
      </c>
      <c r="I1116">
        <v>49.55</v>
      </c>
      <c r="J1116" s="1">
        <v>51.1</v>
      </c>
      <c r="K1116">
        <v>1367293.85</v>
      </c>
      <c r="L1116">
        <v>26782</v>
      </c>
      <c r="M1116" t="s">
        <v>78</v>
      </c>
      <c r="N1116" t="s">
        <v>17</v>
      </c>
      <c r="O1116">
        <v>508</v>
      </c>
      <c r="P1116">
        <v>66.7</v>
      </c>
      <c r="Q1116">
        <v>29.65</v>
      </c>
    </row>
    <row r="1117" spans="2:17" x14ac:dyDescent="0.25">
      <c r="B1117" t="s">
        <v>78</v>
      </c>
      <c r="C1117" t="s">
        <v>79</v>
      </c>
      <c r="D1117" t="s">
        <v>2185</v>
      </c>
      <c r="E1117" t="s">
        <v>2186</v>
      </c>
      <c r="F1117">
        <v>338.75</v>
      </c>
      <c r="G1117">
        <v>338</v>
      </c>
      <c r="H1117">
        <v>338</v>
      </c>
      <c r="I1117">
        <v>331.6</v>
      </c>
      <c r="J1117" s="1">
        <v>333.55</v>
      </c>
      <c r="K1117">
        <v>163110629.15000001</v>
      </c>
      <c r="L1117">
        <v>488428</v>
      </c>
      <c r="M1117" t="s">
        <v>78</v>
      </c>
      <c r="N1117" t="s">
        <v>17</v>
      </c>
      <c r="O1117">
        <v>7580</v>
      </c>
      <c r="P1117">
        <v>362.6</v>
      </c>
      <c r="Q1117">
        <v>232.35</v>
      </c>
    </row>
    <row r="1118" spans="2:17" x14ac:dyDescent="0.25">
      <c r="B1118" t="s">
        <v>78</v>
      </c>
      <c r="C1118" t="s">
        <v>79</v>
      </c>
      <c r="D1118" t="s">
        <v>2187</v>
      </c>
      <c r="E1118" t="s">
        <v>2188</v>
      </c>
      <c r="F1118">
        <v>20.65</v>
      </c>
      <c r="G1118">
        <v>20.5</v>
      </c>
      <c r="H1118">
        <v>21.2</v>
      </c>
      <c r="I1118">
        <v>19.649999999999999</v>
      </c>
      <c r="J1118" s="1">
        <v>20.25</v>
      </c>
      <c r="K1118">
        <v>6772168.9000000004</v>
      </c>
      <c r="L1118">
        <v>330767</v>
      </c>
      <c r="M1118" t="s">
        <v>78</v>
      </c>
      <c r="N1118" t="s">
        <v>17</v>
      </c>
      <c r="O1118">
        <v>1272</v>
      </c>
      <c r="P1118">
        <v>24.95</v>
      </c>
      <c r="Q1118">
        <v>12.15</v>
      </c>
    </row>
    <row r="1119" spans="2:17" x14ac:dyDescent="0.25">
      <c r="B1119" t="s">
        <v>78</v>
      </c>
      <c r="C1119" t="s">
        <v>79</v>
      </c>
      <c r="D1119" t="s">
        <v>2189</v>
      </c>
      <c r="E1119" t="s">
        <v>2190</v>
      </c>
      <c r="F1119">
        <v>144</v>
      </c>
      <c r="G1119">
        <v>140.5</v>
      </c>
      <c r="H1119">
        <v>146</v>
      </c>
      <c r="I1119">
        <v>136.80000000000001</v>
      </c>
      <c r="J1119" s="1">
        <v>137.69999999999999</v>
      </c>
      <c r="K1119">
        <v>59057082.100000001</v>
      </c>
      <c r="L1119">
        <v>428028</v>
      </c>
      <c r="M1119" t="s">
        <v>78</v>
      </c>
      <c r="N1119" t="s">
        <v>17</v>
      </c>
      <c r="O1119">
        <v>2012</v>
      </c>
      <c r="P1119">
        <v>159.19999999999999</v>
      </c>
      <c r="Q1119">
        <v>25.4</v>
      </c>
    </row>
    <row r="1120" spans="2:17" x14ac:dyDescent="0.25">
      <c r="B1120" t="s">
        <v>78</v>
      </c>
      <c r="C1120" t="s">
        <v>79</v>
      </c>
      <c r="D1120" t="s">
        <v>2191</v>
      </c>
      <c r="E1120" t="s">
        <v>2192</v>
      </c>
      <c r="F1120">
        <v>1126</v>
      </c>
      <c r="G1120">
        <v>1122.95</v>
      </c>
      <c r="H1120">
        <v>1122.95</v>
      </c>
      <c r="I1120">
        <v>1105</v>
      </c>
      <c r="J1120" s="1">
        <v>1110.6500000000001</v>
      </c>
      <c r="K1120">
        <v>239075190</v>
      </c>
      <c r="L1120">
        <v>214598</v>
      </c>
      <c r="M1120" t="s">
        <v>78</v>
      </c>
      <c r="N1120" t="s">
        <v>17</v>
      </c>
      <c r="O1120">
        <v>7435</v>
      </c>
      <c r="P1120">
        <v>1128.9000000000001</v>
      </c>
      <c r="Q1120">
        <v>646.5</v>
      </c>
    </row>
    <row r="1121" spans="2:17" x14ac:dyDescent="0.25">
      <c r="B1121" t="s">
        <v>78</v>
      </c>
      <c r="C1121" t="s">
        <v>79</v>
      </c>
      <c r="D1121" t="s">
        <v>2193</v>
      </c>
      <c r="E1121" t="s">
        <v>2194</v>
      </c>
      <c r="F1121">
        <v>289.35000000000002</v>
      </c>
      <c r="G1121">
        <v>286</v>
      </c>
      <c r="H1121">
        <v>296</v>
      </c>
      <c r="I1121">
        <v>283</v>
      </c>
      <c r="J1121" s="1">
        <v>289.89999999999998</v>
      </c>
      <c r="K1121">
        <v>43280791.649999999</v>
      </c>
      <c r="L1121">
        <v>147838</v>
      </c>
      <c r="M1121" t="s">
        <v>78</v>
      </c>
      <c r="N1121" t="s">
        <v>17</v>
      </c>
      <c r="O1121">
        <v>4511</v>
      </c>
      <c r="P1121">
        <v>305</v>
      </c>
      <c r="Q1121">
        <v>166.6</v>
      </c>
    </row>
    <row r="1122" spans="2:17" x14ac:dyDescent="0.25">
      <c r="B1122" t="s">
        <v>78</v>
      </c>
      <c r="C1122" t="s">
        <v>79</v>
      </c>
      <c r="D1122" t="s">
        <v>2195</v>
      </c>
      <c r="E1122" t="s">
        <v>2196</v>
      </c>
      <c r="F1122">
        <v>667.25</v>
      </c>
      <c r="G1122">
        <v>666.9</v>
      </c>
      <c r="H1122">
        <v>682.5</v>
      </c>
      <c r="I1122">
        <v>655</v>
      </c>
      <c r="J1122" s="1">
        <v>663.65</v>
      </c>
      <c r="K1122">
        <v>130286033.59999999</v>
      </c>
      <c r="L1122">
        <v>194767</v>
      </c>
      <c r="M1122" t="s">
        <v>78</v>
      </c>
      <c r="N1122" t="s">
        <v>17</v>
      </c>
      <c r="O1122">
        <v>11036</v>
      </c>
      <c r="P1122">
        <v>785</v>
      </c>
      <c r="Q1122">
        <v>108.2</v>
      </c>
    </row>
    <row r="1123" spans="2:17" x14ac:dyDescent="0.25">
      <c r="B1123" t="s">
        <v>78</v>
      </c>
      <c r="C1123" t="s">
        <v>79</v>
      </c>
      <c r="D1123" t="s">
        <v>2197</v>
      </c>
      <c r="E1123" t="s">
        <v>2198</v>
      </c>
      <c r="F1123">
        <v>32.4</v>
      </c>
      <c r="G1123">
        <v>30.85</v>
      </c>
      <c r="H1123">
        <v>34</v>
      </c>
      <c r="I1123">
        <v>30.8</v>
      </c>
      <c r="J1123" s="1">
        <v>33.950000000000003</v>
      </c>
      <c r="K1123">
        <v>141097474.69999999</v>
      </c>
      <c r="L1123">
        <v>4279897</v>
      </c>
      <c r="M1123" t="s">
        <v>78</v>
      </c>
      <c r="N1123" t="s">
        <v>17</v>
      </c>
      <c r="O1123">
        <v>9792</v>
      </c>
      <c r="P1123">
        <v>38.299999999999997</v>
      </c>
      <c r="Q1123">
        <v>5.8</v>
      </c>
    </row>
    <row r="1124" spans="2:17" x14ac:dyDescent="0.25">
      <c r="B1124" t="s">
        <v>78</v>
      </c>
      <c r="C1124" t="s">
        <v>79</v>
      </c>
      <c r="D1124" t="s">
        <v>2199</v>
      </c>
      <c r="E1124" t="s">
        <v>2200</v>
      </c>
      <c r="F1124">
        <v>338.85</v>
      </c>
      <c r="G1124">
        <v>342.85</v>
      </c>
      <c r="H1124">
        <v>356.8</v>
      </c>
      <c r="I1124">
        <v>335</v>
      </c>
      <c r="J1124" s="1">
        <v>342.6</v>
      </c>
      <c r="K1124">
        <v>20309884.949999999</v>
      </c>
      <c r="L1124">
        <v>58152</v>
      </c>
      <c r="M1124" t="s">
        <v>78</v>
      </c>
      <c r="N1124" t="s">
        <v>17</v>
      </c>
      <c r="O1124">
        <v>2367</v>
      </c>
      <c r="P1124">
        <v>386.4</v>
      </c>
      <c r="Q1124">
        <v>178.25</v>
      </c>
    </row>
    <row r="1125" spans="2:17" x14ac:dyDescent="0.25">
      <c r="B1125" t="s">
        <v>78</v>
      </c>
      <c r="C1125" t="s">
        <v>79</v>
      </c>
      <c r="D1125" t="s">
        <v>2201</v>
      </c>
      <c r="E1125" t="s">
        <v>2202</v>
      </c>
      <c r="F1125">
        <v>692.95</v>
      </c>
      <c r="G1125">
        <v>690</v>
      </c>
      <c r="H1125">
        <v>711</v>
      </c>
      <c r="I1125">
        <v>676.85</v>
      </c>
      <c r="J1125" s="1">
        <v>700.45</v>
      </c>
      <c r="K1125">
        <v>104705298.45</v>
      </c>
      <c r="L1125">
        <v>150601</v>
      </c>
      <c r="M1125" t="s">
        <v>78</v>
      </c>
      <c r="N1125" t="s">
        <v>17</v>
      </c>
      <c r="O1125">
        <v>9575</v>
      </c>
      <c r="P1125">
        <v>742.95</v>
      </c>
      <c r="Q1125">
        <v>391.05</v>
      </c>
    </row>
    <row r="1126" spans="2:17" x14ac:dyDescent="0.25">
      <c r="B1126" t="s">
        <v>78</v>
      </c>
      <c r="C1126" t="s">
        <v>79</v>
      </c>
      <c r="D1126" t="s">
        <v>2203</v>
      </c>
      <c r="E1126" t="s">
        <v>2204</v>
      </c>
      <c r="F1126">
        <v>2064.9</v>
      </c>
      <c r="G1126">
        <v>2073.85</v>
      </c>
      <c r="H1126">
        <v>2080</v>
      </c>
      <c r="I1126">
        <v>2050</v>
      </c>
      <c r="J1126" s="1">
        <v>2064.25</v>
      </c>
      <c r="K1126">
        <v>67564477.700000003</v>
      </c>
      <c r="L1126">
        <v>32665</v>
      </c>
      <c r="M1126" t="s">
        <v>78</v>
      </c>
      <c r="N1126" t="s">
        <v>17</v>
      </c>
      <c r="O1126">
        <v>3498</v>
      </c>
      <c r="P1126">
        <v>2147</v>
      </c>
      <c r="Q1126">
        <v>1025.05</v>
      </c>
    </row>
    <row r="1127" spans="2:17" x14ac:dyDescent="0.25">
      <c r="B1127" t="s">
        <v>78</v>
      </c>
      <c r="C1127" t="s">
        <v>79</v>
      </c>
      <c r="D1127" t="s">
        <v>2205</v>
      </c>
      <c r="E1127" t="s">
        <v>2206</v>
      </c>
      <c r="F1127">
        <v>453.3</v>
      </c>
      <c r="G1127">
        <v>465</v>
      </c>
      <c r="H1127">
        <v>473.6</v>
      </c>
      <c r="I1127">
        <v>456</v>
      </c>
      <c r="J1127" s="1">
        <v>469.1</v>
      </c>
      <c r="K1127">
        <v>1264394573.5</v>
      </c>
      <c r="L1127">
        <v>2706597</v>
      </c>
      <c r="M1127" t="s">
        <v>78</v>
      </c>
      <c r="N1127" t="s">
        <v>17</v>
      </c>
      <c r="O1127">
        <v>47327</v>
      </c>
      <c r="P1127">
        <v>473.6</v>
      </c>
      <c r="Q1127">
        <v>233.35</v>
      </c>
    </row>
    <row r="1128" spans="2:17" x14ac:dyDescent="0.25">
      <c r="B1128" t="s">
        <v>78</v>
      </c>
      <c r="C1128" t="s">
        <v>79</v>
      </c>
      <c r="D1128" t="s">
        <v>2207</v>
      </c>
      <c r="E1128" t="s">
        <v>2208</v>
      </c>
      <c r="F1128">
        <v>1069.5</v>
      </c>
      <c r="G1128">
        <v>1050</v>
      </c>
      <c r="H1128">
        <v>1084</v>
      </c>
      <c r="I1128">
        <v>1030</v>
      </c>
      <c r="J1128" s="1">
        <v>1043.3</v>
      </c>
      <c r="K1128">
        <v>21328190.100000001</v>
      </c>
      <c r="L1128">
        <v>20265</v>
      </c>
      <c r="M1128" t="s">
        <v>78</v>
      </c>
      <c r="N1128" t="s">
        <v>17</v>
      </c>
      <c r="O1128">
        <v>2440</v>
      </c>
      <c r="P1128">
        <v>1209</v>
      </c>
      <c r="Q1128">
        <v>87.35</v>
      </c>
    </row>
    <row r="1129" spans="2:17" x14ac:dyDescent="0.25">
      <c r="B1129" t="s">
        <v>78</v>
      </c>
      <c r="C1129" t="s">
        <v>79</v>
      </c>
      <c r="D1129" t="s">
        <v>2209</v>
      </c>
      <c r="E1129" t="s">
        <v>2210</v>
      </c>
      <c r="F1129">
        <v>214.85</v>
      </c>
      <c r="G1129">
        <v>211</v>
      </c>
      <c r="H1129">
        <v>213.5</v>
      </c>
      <c r="I1129">
        <v>208.2</v>
      </c>
      <c r="J1129" s="1">
        <v>209.3</v>
      </c>
      <c r="K1129">
        <v>1793126042.8499999</v>
      </c>
      <c r="L1129">
        <v>8496232</v>
      </c>
      <c r="M1129" t="s">
        <v>78</v>
      </c>
      <c r="N1129" t="s">
        <v>17</v>
      </c>
      <c r="O1129">
        <v>57045</v>
      </c>
      <c r="P1129">
        <v>274.3</v>
      </c>
      <c r="Q1129">
        <v>156.1</v>
      </c>
    </row>
    <row r="1130" spans="2:17" x14ac:dyDescent="0.25">
      <c r="B1130" t="s">
        <v>78</v>
      </c>
      <c r="C1130" t="s">
        <v>79</v>
      </c>
      <c r="D1130" t="s">
        <v>2211</v>
      </c>
      <c r="E1130" t="s">
        <v>2212</v>
      </c>
      <c r="F1130">
        <v>83.8</v>
      </c>
      <c r="G1130">
        <v>83.15</v>
      </c>
      <c r="H1130">
        <v>83.9</v>
      </c>
      <c r="I1130">
        <v>82.45</v>
      </c>
      <c r="J1130" s="1">
        <v>82.85</v>
      </c>
      <c r="K1130">
        <v>173769639.30000001</v>
      </c>
      <c r="L1130">
        <v>2090559</v>
      </c>
      <c r="M1130" t="s">
        <v>78</v>
      </c>
      <c r="N1130" t="s">
        <v>17</v>
      </c>
      <c r="O1130">
        <v>10685</v>
      </c>
      <c r="P1130">
        <v>100.15</v>
      </c>
      <c r="Q1130">
        <v>41.65</v>
      </c>
    </row>
    <row r="1131" spans="2:17" x14ac:dyDescent="0.25">
      <c r="B1131" t="s">
        <v>78</v>
      </c>
      <c r="C1131" t="s">
        <v>79</v>
      </c>
      <c r="D1131" t="s">
        <v>2213</v>
      </c>
      <c r="E1131" t="s">
        <v>2214</v>
      </c>
      <c r="F1131">
        <v>3.95</v>
      </c>
      <c r="G1131">
        <v>4</v>
      </c>
      <c r="H1131">
        <v>4.0999999999999996</v>
      </c>
      <c r="I1131">
        <v>3.95</v>
      </c>
      <c r="J1131" s="1">
        <v>4.0999999999999996</v>
      </c>
      <c r="K1131">
        <v>117075822.65000001</v>
      </c>
      <c r="L1131">
        <v>28801056</v>
      </c>
      <c r="M1131" t="s">
        <v>78</v>
      </c>
      <c r="N1131" t="s">
        <v>17</v>
      </c>
      <c r="O1131">
        <v>17335</v>
      </c>
      <c r="P1131">
        <v>5.05</v>
      </c>
      <c r="Q1131">
        <v>1.5</v>
      </c>
    </row>
    <row r="1132" spans="2:17" x14ac:dyDescent="0.25">
      <c r="B1132" t="s">
        <v>78</v>
      </c>
      <c r="C1132" t="s">
        <v>79</v>
      </c>
      <c r="D1132" t="s">
        <v>2215</v>
      </c>
      <c r="E1132" t="s">
        <v>2216</v>
      </c>
      <c r="F1132">
        <v>151.65</v>
      </c>
      <c r="G1132">
        <v>150.75</v>
      </c>
      <c r="H1132">
        <v>154.5</v>
      </c>
      <c r="I1132">
        <v>150.4</v>
      </c>
      <c r="J1132" s="1">
        <v>151.4</v>
      </c>
      <c r="K1132">
        <v>578996609</v>
      </c>
      <c r="L1132">
        <v>3795975</v>
      </c>
      <c r="M1132" t="s">
        <v>78</v>
      </c>
      <c r="N1132" t="s">
        <v>17</v>
      </c>
      <c r="O1132">
        <v>26959</v>
      </c>
      <c r="P1132">
        <v>167.8</v>
      </c>
      <c r="Q1132">
        <v>91.8</v>
      </c>
    </row>
    <row r="1133" spans="2:17" x14ac:dyDescent="0.25">
      <c r="B1133" t="s">
        <v>78</v>
      </c>
      <c r="C1133" t="s">
        <v>79</v>
      </c>
      <c r="D1133" t="s">
        <v>2217</v>
      </c>
      <c r="E1133" t="s">
        <v>2218</v>
      </c>
      <c r="F1133">
        <v>326.10000000000002</v>
      </c>
      <c r="G1133">
        <v>326.10000000000002</v>
      </c>
      <c r="H1133">
        <v>328.6</v>
      </c>
      <c r="I1133">
        <v>319.05</v>
      </c>
      <c r="J1133" s="1">
        <v>320.14999999999998</v>
      </c>
      <c r="K1133">
        <v>300800290.35000002</v>
      </c>
      <c r="L1133">
        <v>930176</v>
      </c>
      <c r="M1133" t="s">
        <v>78</v>
      </c>
      <c r="N1133" t="s">
        <v>17</v>
      </c>
      <c r="O1133">
        <v>31093</v>
      </c>
      <c r="P1133">
        <v>358</v>
      </c>
      <c r="Q1133">
        <v>85.55</v>
      </c>
    </row>
    <row r="1134" spans="2:17" x14ac:dyDescent="0.25">
      <c r="B1134" t="s">
        <v>78</v>
      </c>
      <c r="C1134" t="s">
        <v>79</v>
      </c>
      <c r="D1134" t="s">
        <v>2219</v>
      </c>
      <c r="E1134" t="s">
        <v>2220</v>
      </c>
      <c r="F1134">
        <v>137.6</v>
      </c>
      <c r="G1134">
        <v>137</v>
      </c>
      <c r="H1134">
        <v>139.9</v>
      </c>
      <c r="I1134">
        <v>136.44999999999999</v>
      </c>
      <c r="J1134" s="1">
        <v>136.9</v>
      </c>
      <c r="K1134">
        <v>13343542.5</v>
      </c>
      <c r="L1134">
        <v>96746</v>
      </c>
      <c r="M1134" t="s">
        <v>78</v>
      </c>
      <c r="N1134" t="s">
        <v>17</v>
      </c>
      <c r="O1134">
        <v>3217</v>
      </c>
      <c r="P1134">
        <v>169</v>
      </c>
      <c r="Q1134">
        <v>42.5</v>
      </c>
    </row>
    <row r="1135" spans="2:17" x14ac:dyDescent="0.25">
      <c r="B1135" t="s">
        <v>78</v>
      </c>
      <c r="C1135" t="s">
        <v>79</v>
      </c>
      <c r="D1135" t="s">
        <v>2221</v>
      </c>
      <c r="E1135" t="s">
        <v>2222</v>
      </c>
      <c r="F1135">
        <v>1159.55</v>
      </c>
      <c r="G1135">
        <v>1158</v>
      </c>
      <c r="H1135">
        <v>1171.75</v>
      </c>
      <c r="I1135">
        <v>1151</v>
      </c>
      <c r="J1135" s="1">
        <v>1158.7</v>
      </c>
      <c r="K1135">
        <v>127081964.25</v>
      </c>
      <c r="L1135">
        <v>109494</v>
      </c>
      <c r="M1135" t="s">
        <v>78</v>
      </c>
      <c r="N1135" t="s">
        <v>17</v>
      </c>
      <c r="O1135">
        <v>11141</v>
      </c>
      <c r="P1135">
        <v>1242.9000000000001</v>
      </c>
      <c r="Q1135">
        <v>578</v>
      </c>
    </row>
    <row r="1136" spans="2:17" x14ac:dyDescent="0.25">
      <c r="B1136" t="s">
        <v>78</v>
      </c>
      <c r="C1136" t="s">
        <v>79</v>
      </c>
      <c r="D1136" t="s">
        <v>2223</v>
      </c>
      <c r="E1136" t="s">
        <v>2224</v>
      </c>
      <c r="F1136">
        <v>19.899999999999999</v>
      </c>
      <c r="G1136">
        <v>19.850000000000001</v>
      </c>
      <c r="H1136">
        <v>20.5</v>
      </c>
      <c r="I1136">
        <v>19.100000000000001</v>
      </c>
      <c r="J1136" s="1">
        <v>20.100000000000001</v>
      </c>
      <c r="K1136">
        <v>61807852.399999999</v>
      </c>
      <c r="L1136">
        <v>3074840</v>
      </c>
      <c r="M1136" t="s">
        <v>78</v>
      </c>
      <c r="N1136" t="s">
        <v>17</v>
      </c>
      <c r="O1136">
        <v>8551</v>
      </c>
      <c r="P1136">
        <v>30.65</v>
      </c>
      <c r="Q1136">
        <v>7.1</v>
      </c>
    </row>
    <row r="1137" spans="2:17" x14ac:dyDescent="0.25">
      <c r="B1137" t="s">
        <v>78</v>
      </c>
      <c r="C1137" t="s">
        <v>287</v>
      </c>
      <c r="D1137" t="s">
        <v>2225</v>
      </c>
      <c r="E1137" t="s">
        <v>2226</v>
      </c>
      <c r="F1137">
        <v>24</v>
      </c>
      <c r="G1137">
        <v>24.75</v>
      </c>
      <c r="H1137">
        <v>24.75</v>
      </c>
      <c r="I1137">
        <v>24.75</v>
      </c>
      <c r="J1137" s="1">
        <v>24.75</v>
      </c>
      <c r="K1137">
        <v>59400</v>
      </c>
      <c r="L1137">
        <v>2400</v>
      </c>
      <c r="M1137" t="s">
        <v>78</v>
      </c>
      <c r="N1137" t="s">
        <v>17</v>
      </c>
      <c r="O1137">
        <v>1</v>
      </c>
      <c r="P1137">
        <v>31</v>
      </c>
      <c r="Q1137">
        <v>22.7</v>
      </c>
    </row>
    <row r="1138" spans="2:17" x14ac:dyDescent="0.25">
      <c r="B1138" t="s">
        <v>78</v>
      </c>
      <c r="C1138" t="s">
        <v>862</v>
      </c>
      <c r="D1138" t="s">
        <v>2227</v>
      </c>
      <c r="E1138" t="s">
        <v>2228</v>
      </c>
      <c r="F1138">
        <v>1480.45</v>
      </c>
      <c r="G1138">
        <v>1473</v>
      </c>
      <c r="H1138">
        <v>1490.35</v>
      </c>
      <c r="I1138">
        <v>1461</v>
      </c>
      <c r="J1138" s="1">
        <v>1466.8</v>
      </c>
      <c r="K1138">
        <v>266695819.65000001</v>
      </c>
      <c r="L1138">
        <v>180914</v>
      </c>
      <c r="M1138" t="s">
        <v>78</v>
      </c>
      <c r="N1138" t="s">
        <v>17</v>
      </c>
      <c r="O1138">
        <v>9593</v>
      </c>
      <c r="P1138">
        <v>1639</v>
      </c>
      <c r="Q1138">
        <v>1440</v>
      </c>
    </row>
    <row r="1139" spans="2:17" x14ac:dyDescent="0.25">
      <c r="B1139" t="s">
        <v>78</v>
      </c>
      <c r="C1139" t="s">
        <v>79</v>
      </c>
      <c r="D1139" t="s">
        <v>2229</v>
      </c>
      <c r="E1139" t="s">
        <v>2230</v>
      </c>
      <c r="F1139">
        <v>147.44999999999999</v>
      </c>
      <c r="G1139">
        <v>145</v>
      </c>
      <c r="H1139">
        <v>152</v>
      </c>
      <c r="I1139">
        <v>143.75</v>
      </c>
      <c r="J1139" s="1">
        <v>149.75</v>
      </c>
      <c r="K1139">
        <v>489460082.10000002</v>
      </c>
      <c r="L1139">
        <v>3282844</v>
      </c>
      <c r="M1139" t="s">
        <v>78</v>
      </c>
      <c r="N1139" t="s">
        <v>17</v>
      </c>
      <c r="O1139">
        <v>17484</v>
      </c>
      <c r="P1139">
        <v>156</v>
      </c>
      <c r="Q1139">
        <v>33.549999999999997</v>
      </c>
    </row>
    <row r="1140" spans="2:17" x14ac:dyDescent="0.25">
      <c r="B1140" t="s">
        <v>78</v>
      </c>
      <c r="C1140" t="s">
        <v>79</v>
      </c>
      <c r="D1140" t="s">
        <v>2231</v>
      </c>
      <c r="E1140" t="s">
        <v>2232</v>
      </c>
      <c r="F1140">
        <v>252.75</v>
      </c>
      <c r="G1140">
        <v>252.5</v>
      </c>
      <c r="H1140">
        <v>261.89999999999998</v>
      </c>
      <c r="I1140">
        <v>248.05</v>
      </c>
      <c r="J1140" s="1">
        <v>256.39999999999998</v>
      </c>
      <c r="K1140">
        <v>1794693.3</v>
      </c>
      <c r="L1140">
        <v>7062</v>
      </c>
      <c r="M1140" t="s">
        <v>78</v>
      </c>
      <c r="N1140" t="s">
        <v>17</v>
      </c>
      <c r="O1140">
        <v>370</v>
      </c>
      <c r="P1140">
        <v>314.7</v>
      </c>
      <c r="Q1140">
        <v>62.7</v>
      </c>
    </row>
    <row r="1141" spans="2:17" x14ac:dyDescent="0.25">
      <c r="B1141" t="s">
        <v>78</v>
      </c>
      <c r="C1141" t="s">
        <v>79</v>
      </c>
      <c r="D1141" t="s">
        <v>2233</v>
      </c>
      <c r="E1141" t="s">
        <v>2234</v>
      </c>
      <c r="F1141">
        <v>379.05</v>
      </c>
      <c r="G1141">
        <v>380</v>
      </c>
      <c r="H1141">
        <v>380</v>
      </c>
      <c r="I1141">
        <v>370.1</v>
      </c>
      <c r="J1141" s="1">
        <v>372.65</v>
      </c>
      <c r="K1141">
        <v>19490598.800000001</v>
      </c>
      <c r="L1141">
        <v>52189</v>
      </c>
      <c r="M1141" t="s">
        <v>78</v>
      </c>
      <c r="N1141" t="s">
        <v>17</v>
      </c>
      <c r="O1141">
        <v>2618</v>
      </c>
      <c r="P1141">
        <v>430</v>
      </c>
      <c r="Q1141">
        <v>121.3</v>
      </c>
    </row>
    <row r="1142" spans="2:17" x14ac:dyDescent="0.25">
      <c r="B1142" t="s">
        <v>78</v>
      </c>
      <c r="C1142" t="s">
        <v>79</v>
      </c>
      <c r="D1142" t="s">
        <v>2235</v>
      </c>
      <c r="E1142" t="s">
        <v>2236</v>
      </c>
      <c r="F1142">
        <v>238.8</v>
      </c>
      <c r="G1142">
        <v>238</v>
      </c>
      <c r="H1142">
        <v>242.95</v>
      </c>
      <c r="I1142">
        <v>233.5</v>
      </c>
      <c r="J1142" s="1">
        <v>238.9</v>
      </c>
      <c r="K1142">
        <v>11272654.6</v>
      </c>
      <c r="L1142">
        <v>46935</v>
      </c>
      <c r="M1142" t="s">
        <v>78</v>
      </c>
      <c r="N1142" t="s">
        <v>17</v>
      </c>
      <c r="O1142">
        <v>1212</v>
      </c>
      <c r="P1142">
        <v>280</v>
      </c>
      <c r="Q1142">
        <v>97.05</v>
      </c>
    </row>
    <row r="1143" spans="2:17" x14ac:dyDescent="0.25">
      <c r="B1143" t="s">
        <v>78</v>
      </c>
      <c r="C1143" t="s">
        <v>79</v>
      </c>
      <c r="D1143" t="s">
        <v>2237</v>
      </c>
      <c r="E1143" t="s">
        <v>2238</v>
      </c>
      <c r="F1143">
        <v>359.9</v>
      </c>
      <c r="G1143">
        <v>359.8</v>
      </c>
      <c r="H1143">
        <v>369.05</v>
      </c>
      <c r="I1143">
        <v>355.65</v>
      </c>
      <c r="J1143" s="1">
        <v>362.7</v>
      </c>
      <c r="K1143">
        <v>5539223.1500000004</v>
      </c>
      <c r="L1143">
        <v>15289</v>
      </c>
      <c r="M1143" t="s">
        <v>78</v>
      </c>
      <c r="N1143" t="s">
        <v>17</v>
      </c>
      <c r="O1143">
        <v>1443</v>
      </c>
      <c r="P1143">
        <v>456.8</v>
      </c>
      <c r="Q1143">
        <v>326.14999999999998</v>
      </c>
    </row>
    <row r="1144" spans="2:17" x14ac:dyDescent="0.25">
      <c r="B1144" t="s">
        <v>78</v>
      </c>
      <c r="C1144" t="s">
        <v>79</v>
      </c>
      <c r="D1144" t="s">
        <v>2239</v>
      </c>
      <c r="E1144" t="s">
        <v>2240</v>
      </c>
      <c r="F1144">
        <v>138</v>
      </c>
      <c r="G1144">
        <v>137</v>
      </c>
      <c r="H1144">
        <v>140.5</v>
      </c>
      <c r="I1144">
        <v>136.05000000000001</v>
      </c>
      <c r="J1144" s="1">
        <v>139.05000000000001</v>
      </c>
      <c r="K1144">
        <v>3023569.9</v>
      </c>
      <c r="L1144">
        <v>21751</v>
      </c>
      <c r="M1144" t="s">
        <v>78</v>
      </c>
      <c r="N1144" t="s">
        <v>17</v>
      </c>
      <c r="O1144">
        <v>1063</v>
      </c>
      <c r="P1144">
        <v>202</v>
      </c>
      <c r="Q1144">
        <v>84.35</v>
      </c>
    </row>
    <row r="1145" spans="2:17" x14ac:dyDescent="0.25">
      <c r="B1145" t="s">
        <v>78</v>
      </c>
      <c r="C1145" t="s">
        <v>79</v>
      </c>
      <c r="D1145" t="s">
        <v>2241</v>
      </c>
      <c r="E1145" t="s">
        <v>2242</v>
      </c>
      <c r="F1145">
        <v>699.65</v>
      </c>
      <c r="G1145">
        <v>699.65</v>
      </c>
      <c r="H1145">
        <v>706.6</v>
      </c>
      <c r="I1145">
        <v>689.15</v>
      </c>
      <c r="J1145" s="1">
        <v>690</v>
      </c>
      <c r="K1145">
        <v>2313606.2999999998</v>
      </c>
      <c r="L1145">
        <v>3334</v>
      </c>
      <c r="M1145" t="s">
        <v>78</v>
      </c>
      <c r="N1145" t="s">
        <v>17</v>
      </c>
      <c r="O1145">
        <v>256</v>
      </c>
      <c r="P1145">
        <v>841.95</v>
      </c>
      <c r="Q1145">
        <v>377.4</v>
      </c>
    </row>
    <row r="1146" spans="2:17" x14ac:dyDescent="0.25">
      <c r="B1146" t="s">
        <v>78</v>
      </c>
      <c r="C1146" t="s">
        <v>79</v>
      </c>
      <c r="D1146" t="s">
        <v>2243</v>
      </c>
      <c r="E1146" t="s">
        <v>2244</v>
      </c>
      <c r="F1146">
        <v>547.29999999999995</v>
      </c>
      <c r="G1146">
        <v>552</v>
      </c>
      <c r="H1146">
        <v>556</v>
      </c>
      <c r="I1146">
        <v>542</v>
      </c>
      <c r="J1146" s="1">
        <v>547.04999999999995</v>
      </c>
      <c r="K1146">
        <v>18853049.050000001</v>
      </c>
      <c r="L1146">
        <v>34351</v>
      </c>
      <c r="M1146" t="s">
        <v>78</v>
      </c>
      <c r="N1146" t="s">
        <v>17</v>
      </c>
      <c r="O1146">
        <v>1244</v>
      </c>
      <c r="P1146">
        <v>593</v>
      </c>
      <c r="Q1146">
        <v>210.05</v>
      </c>
    </row>
    <row r="1147" spans="2:17" x14ac:dyDescent="0.25">
      <c r="B1147" t="s">
        <v>78</v>
      </c>
      <c r="C1147" t="s">
        <v>79</v>
      </c>
      <c r="D1147" t="s">
        <v>2245</v>
      </c>
      <c r="E1147" t="s">
        <v>2246</v>
      </c>
      <c r="F1147">
        <v>51.2</v>
      </c>
      <c r="G1147">
        <v>50.9</v>
      </c>
      <c r="H1147">
        <v>54</v>
      </c>
      <c r="I1147">
        <v>50.3</v>
      </c>
      <c r="J1147" s="1">
        <v>52.3</v>
      </c>
      <c r="K1147">
        <v>128680166.90000001</v>
      </c>
      <c r="L1147">
        <v>2433056</v>
      </c>
      <c r="M1147" t="s">
        <v>78</v>
      </c>
      <c r="N1147" t="s">
        <v>17</v>
      </c>
      <c r="O1147">
        <v>11571</v>
      </c>
      <c r="P1147">
        <v>54</v>
      </c>
      <c r="Q1147">
        <v>26.3</v>
      </c>
    </row>
    <row r="1148" spans="2:17" x14ac:dyDescent="0.25">
      <c r="B1148" t="s">
        <v>78</v>
      </c>
      <c r="C1148" t="s">
        <v>79</v>
      </c>
      <c r="D1148" t="s">
        <v>2247</v>
      </c>
      <c r="E1148" t="s">
        <v>2248</v>
      </c>
      <c r="F1148">
        <v>771.55</v>
      </c>
      <c r="G1148">
        <v>766</v>
      </c>
      <c r="H1148">
        <v>798</v>
      </c>
      <c r="I1148">
        <v>765.05</v>
      </c>
      <c r="J1148" s="1">
        <v>781.2</v>
      </c>
      <c r="K1148">
        <v>309175024.55000001</v>
      </c>
      <c r="L1148">
        <v>394636</v>
      </c>
      <c r="M1148" t="s">
        <v>78</v>
      </c>
      <c r="N1148" t="s">
        <v>17</v>
      </c>
      <c r="O1148">
        <v>13074</v>
      </c>
      <c r="P1148">
        <v>866</v>
      </c>
      <c r="Q1148">
        <v>347</v>
      </c>
    </row>
    <row r="1149" spans="2:17" x14ac:dyDescent="0.25">
      <c r="B1149" t="s">
        <v>78</v>
      </c>
      <c r="C1149" t="s">
        <v>79</v>
      </c>
      <c r="D1149" t="s">
        <v>2249</v>
      </c>
      <c r="E1149" t="s">
        <v>2250</v>
      </c>
      <c r="F1149">
        <v>284.7</v>
      </c>
      <c r="G1149">
        <v>281</v>
      </c>
      <c r="H1149">
        <v>286.39999999999998</v>
      </c>
      <c r="I1149">
        <v>277.39999999999998</v>
      </c>
      <c r="J1149" s="1">
        <v>278.89999999999998</v>
      </c>
      <c r="K1149">
        <v>105124190.59999999</v>
      </c>
      <c r="L1149">
        <v>373689</v>
      </c>
      <c r="M1149" t="s">
        <v>78</v>
      </c>
      <c r="N1149" t="s">
        <v>17</v>
      </c>
      <c r="O1149">
        <v>8169</v>
      </c>
      <c r="P1149">
        <v>303</v>
      </c>
      <c r="Q1149">
        <v>232.2</v>
      </c>
    </row>
    <row r="1150" spans="2:17" x14ac:dyDescent="0.25">
      <c r="B1150" t="s">
        <v>78</v>
      </c>
      <c r="C1150" t="s">
        <v>79</v>
      </c>
      <c r="D1150" t="s">
        <v>2251</v>
      </c>
      <c r="E1150" t="s">
        <v>2252</v>
      </c>
      <c r="F1150">
        <v>12.95</v>
      </c>
      <c r="G1150">
        <v>13</v>
      </c>
      <c r="H1150">
        <v>14.2</v>
      </c>
      <c r="I1150">
        <v>12.5</v>
      </c>
      <c r="J1150" s="1">
        <v>14.2</v>
      </c>
      <c r="K1150">
        <v>4638384.3499999996</v>
      </c>
      <c r="L1150">
        <v>333912</v>
      </c>
      <c r="M1150" t="s">
        <v>78</v>
      </c>
      <c r="N1150" t="s">
        <v>17</v>
      </c>
      <c r="O1150">
        <v>956</v>
      </c>
      <c r="P1150">
        <v>15.2</v>
      </c>
      <c r="Q1150">
        <v>5.7</v>
      </c>
    </row>
    <row r="1151" spans="2:17" x14ac:dyDescent="0.25">
      <c r="B1151" t="s">
        <v>78</v>
      </c>
      <c r="C1151" t="s">
        <v>79</v>
      </c>
      <c r="D1151" t="s">
        <v>2253</v>
      </c>
      <c r="E1151" t="s">
        <v>2254</v>
      </c>
      <c r="F1151">
        <v>103.8</v>
      </c>
      <c r="G1151">
        <v>103.8</v>
      </c>
      <c r="H1151">
        <v>104</v>
      </c>
      <c r="I1151">
        <v>99.05</v>
      </c>
      <c r="J1151" s="1">
        <v>100.6</v>
      </c>
      <c r="K1151">
        <v>8933162.3499999996</v>
      </c>
      <c r="L1151">
        <v>87975</v>
      </c>
      <c r="M1151" t="s">
        <v>78</v>
      </c>
      <c r="N1151" t="s">
        <v>17</v>
      </c>
      <c r="O1151">
        <v>2089</v>
      </c>
      <c r="P1151">
        <v>117</v>
      </c>
      <c r="Q1151">
        <v>36.549999999999997</v>
      </c>
    </row>
    <row r="1152" spans="2:17" x14ac:dyDescent="0.25">
      <c r="B1152" t="s">
        <v>78</v>
      </c>
      <c r="C1152" t="s">
        <v>79</v>
      </c>
      <c r="D1152" t="s">
        <v>2255</v>
      </c>
      <c r="E1152" t="s">
        <v>2256</v>
      </c>
      <c r="F1152">
        <v>746.65</v>
      </c>
      <c r="G1152">
        <v>752</v>
      </c>
      <c r="H1152">
        <v>765.5</v>
      </c>
      <c r="I1152">
        <v>744.3</v>
      </c>
      <c r="J1152" s="1">
        <v>761.2</v>
      </c>
      <c r="K1152">
        <v>128166759.09999999</v>
      </c>
      <c r="L1152">
        <v>168944</v>
      </c>
      <c r="M1152" t="s">
        <v>78</v>
      </c>
      <c r="N1152" t="s">
        <v>17</v>
      </c>
      <c r="O1152">
        <v>8767</v>
      </c>
      <c r="P1152">
        <v>765.5</v>
      </c>
      <c r="Q1152">
        <v>140.5</v>
      </c>
    </row>
    <row r="1153" spans="2:17" x14ac:dyDescent="0.25">
      <c r="B1153" t="s">
        <v>78</v>
      </c>
      <c r="C1153" t="s">
        <v>287</v>
      </c>
      <c r="D1153" t="s">
        <v>2257</v>
      </c>
      <c r="E1153" t="s">
        <v>2258</v>
      </c>
      <c r="F1153">
        <v>22.3</v>
      </c>
      <c r="G1153">
        <v>22.85</v>
      </c>
      <c r="H1153">
        <v>22.85</v>
      </c>
      <c r="I1153">
        <v>22.85</v>
      </c>
      <c r="J1153" s="1">
        <v>22.85</v>
      </c>
      <c r="K1153">
        <v>45700</v>
      </c>
      <c r="L1153">
        <v>2000</v>
      </c>
      <c r="M1153" t="s">
        <v>78</v>
      </c>
      <c r="N1153" t="s">
        <v>17</v>
      </c>
      <c r="O1153">
        <v>1</v>
      </c>
      <c r="P1153">
        <v>60</v>
      </c>
      <c r="Q1153">
        <v>15.5</v>
      </c>
    </row>
    <row r="1154" spans="2:17" x14ac:dyDescent="0.25">
      <c r="B1154" t="s">
        <v>78</v>
      </c>
      <c r="C1154" t="s">
        <v>79</v>
      </c>
      <c r="D1154" t="s">
        <v>2259</v>
      </c>
      <c r="E1154" t="s">
        <v>2260</v>
      </c>
      <c r="F1154">
        <v>413.1</v>
      </c>
      <c r="G1154">
        <v>408</v>
      </c>
      <c r="H1154">
        <v>428</v>
      </c>
      <c r="I1154">
        <v>407</v>
      </c>
      <c r="J1154" s="1">
        <v>416.5</v>
      </c>
      <c r="K1154">
        <v>43689180.200000003</v>
      </c>
      <c r="L1154">
        <v>104178</v>
      </c>
      <c r="M1154" t="s">
        <v>78</v>
      </c>
      <c r="N1154" t="s">
        <v>17</v>
      </c>
      <c r="O1154">
        <v>5729</v>
      </c>
      <c r="P1154">
        <v>494.65</v>
      </c>
      <c r="Q1154">
        <v>192.1</v>
      </c>
    </row>
    <row r="1155" spans="2:17" x14ac:dyDescent="0.25">
      <c r="B1155" t="s">
        <v>78</v>
      </c>
      <c r="C1155" t="s">
        <v>79</v>
      </c>
      <c r="D1155" t="s">
        <v>2261</v>
      </c>
      <c r="E1155" t="s">
        <v>2262</v>
      </c>
      <c r="F1155">
        <v>87.4</v>
      </c>
      <c r="G1155">
        <v>88.35</v>
      </c>
      <c r="H1155">
        <v>89.15</v>
      </c>
      <c r="I1155">
        <v>86.2</v>
      </c>
      <c r="J1155" s="1">
        <v>87.65</v>
      </c>
      <c r="K1155">
        <v>7089448.2000000002</v>
      </c>
      <c r="L1155">
        <v>80934</v>
      </c>
      <c r="M1155" t="s">
        <v>78</v>
      </c>
      <c r="N1155" t="s">
        <v>17</v>
      </c>
      <c r="O1155">
        <v>1358</v>
      </c>
      <c r="P1155">
        <v>93.2</v>
      </c>
      <c r="Q1155">
        <v>52.75</v>
      </c>
    </row>
    <row r="1156" spans="2:17" x14ac:dyDescent="0.25">
      <c r="B1156" t="s">
        <v>78</v>
      </c>
      <c r="C1156" t="s">
        <v>79</v>
      </c>
      <c r="D1156" t="s">
        <v>2263</v>
      </c>
      <c r="E1156" t="s">
        <v>2264</v>
      </c>
      <c r="F1156">
        <v>3.35</v>
      </c>
      <c r="G1156">
        <v>3.5</v>
      </c>
      <c r="H1156">
        <v>3.5</v>
      </c>
      <c r="I1156">
        <v>3.2</v>
      </c>
      <c r="J1156" s="1">
        <v>3.2</v>
      </c>
      <c r="K1156">
        <v>156391508.94999999</v>
      </c>
      <c r="L1156">
        <v>47201107</v>
      </c>
      <c r="M1156" t="s">
        <v>78</v>
      </c>
      <c r="N1156" t="s">
        <v>17</v>
      </c>
      <c r="O1156">
        <v>2976</v>
      </c>
      <c r="P1156">
        <v>3.7</v>
      </c>
      <c r="Q1156">
        <v>2.1</v>
      </c>
    </row>
    <row r="1157" spans="2:17" x14ac:dyDescent="0.25">
      <c r="B1157" t="s">
        <v>78</v>
      </c>
      <c r="C1157" t="s">
        <v>79</v>
      </c>
      <c r="D1157" t="s">
        <v>2265</v>
      </c>
      <c r="E1157" t="s">
        <v>2266</v>
      </c>
      <c r="F1157">
        <v>8.1999999999999993</v>
      </c>
      <c r="G1157">
        <v>7.95</v>
      </c>
      <c r="H1157">
        <v>8.4499999999999993</v>
      </c>
      <c r="I1157">
        <v>7.95</v>
      </c>
      <c r="J1157" s="1">
        <v>8.25</v>
      </c>
      <c r="K1157">
        <v>7040687.25</v>
      </c>
      <c r="L1157">
        <v>854024</v>
      </c>
      <c r="M1157" t="s">
        <v>78</v>
      </c>
      <c r="N1157" t="s">
        <v>17</v>
      </c>
      <c r="O1157">
        <v>1406</v>
      </c>
      <c r="P1157">
        <v>10.050000000000001</v>
      </c>
      <c r="Q1157">
        <v>3.15</v>
      </c>
    </row>
    <row r="1158" spans="2:17" x14ac:dyDescent="0.25">
      <c r="B1158" t="s">
        <v>78</v>
      </c>
      <c r="C1158" t="s">
        <v>79</v>
      </c>
      <c r="D1158" t="s">
        <v>2267</v>
      </c>
      <c r="E1158" t="s">
        <v>2268</v>
      </c>
      <c r="F1158">
        <v>80.25</v>
      </c>
      <c r="G1158">
        <v>81</v>
      </c>
      <c r="H1158">
        <v>81.05</v>
      </c>
      <c r="I1158">
        <v>78.099999999999994</v>
      </c>
      <c r="J1158" s="1">
        <v>79.150000000000006</v>
      </c>
      <c r="K1158">
        <v>1094323.05</v>
      </c>
      <c r="L1158">
        <v>13845</v>
      </c>
      <c r="M1158" t="s">
        <v>78</v>
      </c>
      <c r="N1158" t="s">
        <v>17</v>
      </c>
      <c r="O1158">
        <v>372</v>
      </c>
      <c r="P1158">
        <v>117.8</v>
      </c>
      <c r="Q1158">
        <v>7.6</v>
      </c>
    </row>
    <row r="1159" spans="2:17" x14ac:dyDescent="0.25">
      <c r="B1159" t="s">
        <v>78</v>
      </c>
      <c r="C1159" t="s">
        <v>79</v>
      </c>
      <c r="D1159" t="s">
        <v>2269</v>
      </c>
      <c r="E1159" t="s">
        <v>2270</v>
      </c>
      <c r="F1159">
        <v>1167.45</v>
      </c>
      <c r="G1159">
        <v>1185</v>
      </c>
      <c r="H1159">
        <v>1270</v>
      </c>
      <c r="I1159">
        <v>1177.05</v>
      </c>
      <c r="J1159" s="1">
        <v>1253.8499999999999</v>
      </c>
      <c r="K1159">
        <v>2064356702.6500001</v>
      </c>
      <c r="L1159">
        <v>1659751</v>
      </c>
      <c r="M1159" t="s">
        <v>78</v>
      </c>
      <c r="N1159" t="s">
        <v>17</v>
      </c>
      <c r="O1159">
        <v>72099</v>
      </c>
      <c r="P1159">
        <v>1348.55</v>
      </c>
      <c r="Q1159">
        <v>664</v>
      </c>
    </row>
    <row r="1160" spans="2:17" x14ac:dyDescent="0.25">
      <c r="B1160" t="s">
        <v>78</v>
      </c>
      <c r="C1160" t="s">
        <v>79</v>
      </c>
      <c r="D1160" t="s">
        <v>2271</v>
      </c>
      <c r="E1160" t="s">
        <v>2272</v>
      </c>
      <c r="F1160">
        <v>172.2</v>
      </c>
      <c r="G1160">
        <v>170.9</v>
      </c>
      <c r="H1160">
        <v>192.4</v>
      </c>
      <c r="I1160">
        <v>169</v>
      </c>
      <c r="J1160" s="1">
        <v>190.1</v>
      </c>
      <c r="K1160">
        <v>253565648.30000001</v>
      </c>
      <c r="L1160">
        <v>1371898</v>
      </c>
      <c r="M1160" t="s">
        <v>78</v>
      </c>
      <c r="N1160" t="s">
        <v>17</v>
      </c>
      <c r="O1160">
        <v>25431</v>
      </c>
      <c r="P1160">
        <v>192.4</v>
      </c>
      <c r="Q1160">
        <v>71.150000000000006</v>
      </c>
    </row>
    <row r="1161" spans="2:17" x14ac:dyDescent="0.25">
      <c r="B1161" t="s">
        <v>78</v>
      </c>
      <c r="C1161" t="s">
        <v>79</v>
      </c>
      <c r="D1161" t="s">
        <v>2273</v>
      </c>
      <c r="E1161" t="s">
        <v>2274</v>
      </c>
      <c r="F1161">
        <v>2152.4499999999998</v>
      </c>
      <c r="G1161">
        <v>2104.9</v>
      </c>
      <c r="H1161">
        <v>2165</v>
      </c>
      <c r="I1161">
        <v>2095</v>
      </c>
      <c r="J1161" s="1">
        <v>2123.6999999999998</v>
      </c>
      <c r="K1161">
        <v>955224039.20000005</v>
      </c>
      <c r="L1161">
        <v>448901</v>
      </c>
      <c r="M1161" t="s">
        <v>78</v>
      </c>
      <c r="N1161" t="s">
        <v>17</v>
      </c>
      <c r="O1161">
        <v>29064</v>
      </c>
      <c r="P1161">
        <v>2307</v>
      </c>
      <c r="Q1161">
        <v>625</v>
      </c>
    </row>
    <row r="1162" spans="2:17" x14ac:dyDescent="0.25">
      <c r="B1162" t="s">
        <v>78</v>
      </c>
      <c r="C1162" t="s">
        <v>79</v>
      </c>
      <c r="D1162" t="s">
        <v>2275</v>
      </c>
      <c r="E1162" t="s">
        <v>2276</v>
      </c>
      <c r="F1162">
        <v>462</v>
      </c>
      <c r="G1162">
        <v>462</v>
      </c>
      <c r="H1162">
        <v>467.4</v>
      </c>
      <c r="I1162">
        <v>457</v>
      </c>
      <c r="J1162" s="1">
        <v>458.2</v>
      </c>
      <c r="K1162">
        <v>10448125.800000001</v>
      </c>
      <c r="L1162">
        <v>22612</v>
      </c>
      <c r="M1162" t="s">
        <v>78</v>
      </c>
      <c r="N1162" t="s">
        <v>17</v>
      </c>
      <c r="O1162">
        <v>1597</v>
      </c>
      <c r="P1162">
        <v>509.4</v>
      </c>
      <c r="Q1162">
        <v>294</v>
      </c>
    </row>
    <row r="1163" spans="2:17" x14ac:dyDescent="0.25">
      <c r="B1163" t="s">
        <v>78</v>
      </c>
      <c r="C1163" t="s">
        <v>79</v>
      </c>
      <c r="D1163" t="s">
        <v>2277</v>
      </c>
      <c r="E1163" t="s">
        <v>2278</v>
      </c>
      <c r="F1163">
        <v>86.95</v>
      </c>
      <c r="G1163">
        <v>88.4</v>
      </c>
      <c r="H1163">
        <v>99</v>
      </c>
      <c r="I1163">
        <v>87.4</v>
      </c>
      <c r="J1163" s="1">
        <v>96.45</v>
      </c>
      <c r="K1163">
        <v>401403092.64999998</v>
      </c>
      <c r="L1163">
        <v>4232647</v>
      </c>
      <c r="M1163" t="s">
        <v>78</v>
      </c>
      <c r="N1163" t="s">
        <v>17</v>
      </c>
      <c r="O1163">
        <v>39612</v>
      </c>
      <c r="P1163">
        <v>99</v>
      </c>
      <c r="Q1163">
        <v>39.950000000000003</v>
      </c>
    </row>
    <row r="1164" spans="2:17" x14ac:dyDescent="0.25">
      <c r="B1164" t="s">
        <v>78</v>
      </c>
      <c r="C1164" t="s">
        <v>287</v>
      </c>
      <c r="D1164" t="s">
        <v>2279</v>
      </c>
      <c r="E1164" t="s">
        <v>2280</v>
      </c>
      <c r="F1164">
        <v>159.44999999999999</v>
      </c>
      <c r="G1164">
        <v>156</v>
      </c>
      <c r="H1164">
        <v>160</v>
      </c>
      <c r="I1164">
        <v>152</v>
      </c>
      <c r="J1164" s="1">
        <v>155.9</v>
      </c>
      <c r="K1164">
        <v>4047400</v>
      </c>
      <c r="L1164">
        <v>26000</v>
      </c>
      <c r="M1164" t="s">
        <v>78</v>
      </c>
      <c r="N1164" t="s">
        <v>17</v>
      </c>
      <c r="O1164">
        <v>23</v>
      </c>
      <c r="P1164">
        <v>171.15</v>
      </c>
      <c r="Q1164">
        <v>69</v>
      </c>
    </row>
    <row r="1165" spans="2:17" x14ac:dyDescent="0.25">
      <c r="B1165" t="s">
        <v>78</v>
      </c>
      <c r="C1165" t="s">
        <v>79</v>
      </c>
      <c r="D1165" t="s">
        <v>2281</v>
      </c>
      <c r="E1165" t="s">
        <v>2282</v>
      </c>
      <c r="F1165">
        <v>638.20000000000005</v>
      </c>
      <c r="G1165">
        <v>634</v>
      </c>
      <c r="H1165">
        <v>765.8</v>
      </c>
      <c r="I1165">
        <v>621.1</v>
      </c>
      <c r="J1165" s="1">
        <v>761.05</v>
      </c>
      <c r="K1165">
        <v>838054748.79999995</v>
      </c>
      <c r="L1165">
        <v>1161436</v>
      </c>
      <c r="M1165" t="s">
        <v>78</v>
      </c>
      <c r="N1165" t="s">
        <v>17</v>
      </c>
      <c r="O1165">
        <v>46852</v>
      </c>
      <c r="P1165">
        <v>765.8</v>
      </c>
      <c r="Q1165">
        <v>165.95</v>
      </c>
    </row>
    <row r="1166" spans="2:17" x14ac:dyDescent="0.25">
      <c r="B1166" t="s">
        <v>78</v>
      </c>
      <c r="C1166" t="s">
        <v>79</v>
      </c>
      <c r="D1166" t="s">
        <v>2283</v>
      </c>
      <c r="E1166" t="s">
        <v>2284</v>
      </c>
      <c r="F1166">
        <v>341.2</v>
      </c>
      <c r="G1166">
        <v>341.65</v>
      </c>
      <c r="H1166">
        <v>375.3</v>
      </c>
      <c r="I1166">
        <v>341.15</v>
      </c>
      <c r="J1166" s="1">
        <v>363.25</v>
      </c>
      <c r="K1166">
        <v>115590154.15000001</v>
      </c>
      <c r="L1166">
        <v>315789</v>
      </c>
      <c r="M1166" t="s">
        <v>78</v>
      </c>
      <c r="N1166" t="s">
        <v>17</v>
      </c>
      <c r="O1166">
        <v>7974</v>
      </c>
      <c r="P1166">
        <v>375.3</v>
      </c>
      <c r="Q1166">
        <v>69</v>
      </c>
    </row>
    <row r="1167" spans="2:17" x14ac:dyDescent="0.25">
      <c r="B1167" t="s">
        <v>78</v>
      </c>
      <c r="C1167" t="s">
        <v>79</v>
      </c>
      <c r="D1167" t="s">
        <v>2285</v>
      </c>
      <c r="E1167" t="s">
        <v>2286</v>
      </c>
      <c r="F1167">
        <v>174.85</v>
      </c>
      <c r="G1167">
        <v>174</v>
      </c>
      <c r="H1167">
        <v>179.4</v>
      </c>
      <c r="I1167">
        <v>172.75</v>
      </c>
      <c r="J1167" s="1">
        <v>178.5</v>
      </c>
      <c r="K1167">
        <v>54401215.25</v>
      </c>
      <c r="L1167">
        <v>306942</v>
      </c>
      <c r="M1167" t="s">
        <v>78</v>
      </c>
      <c r="N1167" t="s">
        <v>17</v>
      </c>
      <c r="O1167">
        <v>6760</v>
      </c>
      <c r="P1167">
        <v>179.4</v>
      </c>
      <c r="Q1167">
        <v>92.2</v>
      </c>
    </row>
    <row r="1168" spans="2:17" x14ac:dyDescent="0.25">
      <c r="B1168" t="s">
        <v>78</v>
      </c>
      <c r="C1168" t="s">
        <v>79</v>
      </c>
      <c r="D1168" t="s">
        <v>2287</v>
      </c>
      <c r="E1168" t="s">
        <v>2288</v>
      </c>
      <c r="F1168">
        <v>275.8</v>
      </c>
      <c r="G1168">
        <v>273.89999999999998</v>
      </c>
      <c r="H1168">
        <v>290</v>
      </c>
      <c r="I1168">
        <v>271.25</v>
      </c>
      <c r="J1168" s="1">
        <v>281.39999999999998</v>
      </c>
      <c r="K1168">
        <v>12579114.9</v>
      </c>
      <c r="L1168">
        <v>44515</v>
      </c>
      <c r="M1168" t="s">
        <v>78</v>
      </c>
      <c r="N1168" t="s">
        <v>17</v>
      </c>
      <c r="O1168">
        <v>3156</v>
      </c>
      <c r="P1168">
        <v>299.60000000000002</v>
      </c>
      <c r="Q1168">
        <v>134.4</v>
      </c>
    </row>
    <row r="1169" spans="2:17" x14ac:dyDescent="0.25">
      <c r="B1169" t="s">
        <v>78</v>
      </c>
      <c r="C1169" t="s">
        <v>79</v>
      </c>
      <c r="D1169" t="s">
        <v>2289</v>
      </c>
      <c r="E1169" t="s">
        <v>2290</v>
      </c>
      <c r="F1169">
        <v>1123.55</v>
      </c>
      <c r="G1169">
        <v>1119</v>
      </c>
      <c r="H1169">
        <v>1138</v>
      </c>
      <c r="I1169">
        <v>1101</v>
      </c>
      <c r="J1169" s="1">
        <v>1117</v>
      </c>
      <c r="K1169">
        <v>42577695.049999997</v>
      </c>
      <c r="L1169">
        <v>37879</v>
      </c>
      <c r="M1169" t="s">
        <v>78</v>
      </c>
      <c r="N1169" t="s">
        <v>17</v>
      </c>
      <c r="O1169">
        <v>2750</v>
      </c>
      <c r="P1169">
        <v>1376.7</v>
      </c>
      <c r="Q1169">
        <v>575</v>
      </c>
    </row>
    <row r="1170" spans="2:17" x14ac:dyDescent="0.25">
      <c r="B1170" t="s">
        <v>78</v>
      </c>
      <c r="C1170" t="s">
        <v>79</v>
      </c>
      <c r="D1170" t="s">
        <v>2291</v>
      </c>
      <c r="E1170" t="s">
        <v>2292</v>
      </c>
      <c r="F1170">
        <v>97.95</v>
      </c>
      <c r="G1170">
        <v>97.3</v>
      </c>
      <c r="H1170">
        <v>98</v>
      </c>
      <c r="I1170">
        <v>94</v>
      </c>
      <c r="J1170" s="1">
        <v>96.15</v>
      </c>
      <c r="K1170">
        <v>10523549.6</v>
      </c>
      <c r="L1170">
        <v>109416</v>
      </c>
      <c r="M1170" t="s">
        <v>78</v>
      </c>
      <c r="N1170" t="s">
        <v>17</v>
      </c>
      <c r="O1170">
        <v>2466</v>
      </c>
      <c r="P1170">
        <v>105.75</v>
      </c>
      <c r="Q1170">
        <v>43.2</v>
      </c>
    </row>
    <row r="1171" spans="2:17" x14ac:dyDescent="0.25">
      <c r="B1171" t="s">
        <v>78</v>
      </c>
      <c r="C1171" t="s">
        <v>79</v>
      </c>
      <c r="D1171" t="s">
        <v>2293</v>
      </c>
      <c r="E1171" t="s">
        <v>2294</v>
      </c>
      <c r="F1171">
        <v>480.25</v>
      </c>
      <c r="G1171">
        <v>481</v>
      </c>
      <c r="H1171">
        <v>482</v>
      </c>
      <c r="I1171">
        <v>475.55</v>
      </c>
      <c r="J1171" s="1">
        <v>478.85</v>
      </c>
      <c r="K1171">
        <v>102817028.90000001</v>
      </c>
      <c r="L1171">
        <v>214377</v>
      </c>
      <c r="M1171" t="s">
        <v>78</v>
      </c>
      <c r="N1171" t="s">
        <v>17</v>
      </c>
      <c r="O1171">
        <v>4867</v>
      </c>
      <c r="P1171">
        <v>519.95000000000005</v>
      </c>
      <c r="Q1171">
        <v>150.19999999999999</v>
      </c>
    </row>
    <row r="1172" spans="2:17" x14ac:dyDescent="0.25">
      <c r="B1172" t="s">
        <v>78</v>
      </c>
      <c r="C1172" t="s">
        <v>79</v>
      </c>
      <c r="D1172" t="s">
        <v>2295</v>
      </c>
      <c r="E1172" t="s">
        <v>2296</v>
      </c>
      <c r="F1172">
        <v>22.7</v>
      </c>
      <c r="G1172">
        <v>23.4</v>
      </c>
      <c r="H1172">
        <v>23.8</v>
      </c>
      <c r="I1172">
        <v>22.5</v>
      </c>
      <c r="J1172" s="1">
        <v>23.1</v>
      </c>
      <c r="K1172">
        <v>2515235.9500000002</v>
      </c>
      <c r="L1172">
        <v>108018</v>
      </c>
      <c r="M1172" t="s">
        <v>78</v>
      </c>
      <c r="N1172" t="s">
        <v>17</v>
      </c>
      <c r="O1172">
        <v>635</v>
      </c>
      <c r="P1172">
        <v>35.950000000000003</v>
      </c>
      <c r="Q1172">
        <v>15.05</v>
      </c>
    </row>
    <row r="1173" spans="2:17" x14ac:dyDescent="0.25">
      <c r="B1173" t="s">
        <v>78</v>
      </c>
      <c r="C1173" t="s">
        <v>79</v>
      </c>
      <c r="D1173" t="s">
        <v>2297</v>
      </c>
      <c r="E1173" t="s">
        <v>2298</v>
      </c>
      <c r="F1173">
        <v>31.55</v>
      </c>
      <c r="G1173">
        <v>31.4</v>
      </c>
      <c r="H1173">
        <v>31.6</v>
      </c>
      <c r="I1173">
        <v>31</v>
      </c>
      <c r="J1173" s="1">
        <v>31.1</v>
      </c>
      <c r="K1173">
        <v>90035994.349999994</v>
      </c>
      <c r="L1173">
        <v>2882201</v>
      </c>
      <c r="M1173" t="s">
        <v>78</v>
      </c>
      <c r="N1173" t="s">
        <v>17</v>
      </c>
      <c r="O1173">
        <v>12057</v>
      </c>
      <c r="P1173">
        <v>35.549999999999997</v>
      </c>
      <c r="Q1173">
        <v>18.05</v>
      </c>
    </row>
    <row r="1174" spans="2:17" x14ac:dyDescent="0.25">
      <c r="B1174" t="s">
        <v>78</v>
      </c>
      <c r="C1174" t="s">
        <v>79</v>
      </c>
      <c r="D1174" t="s">
        <v>2299</v>
      </c>
      <c r="E1174" t="s">
        <v>2300</v>
      </c>
      <c r="F1174">
        <v>79.3</v>
      </c>
      <c r="G1174">
        <v>78.099999999999994</v>
      </c>
      <c r="H1174">
        <v>79</v>
      </c>
      <c r="I1174">
        <v>76.55</v>
      </c>
      <c r="J1174" s="1">
        <v>77.05</v>
      </c>
      <c r="K1174">
        <v>76860088.400000006</v>
      </c>
      <c r="L1174">
        <v>989809</v>
      </c>
      <c r="M1174" t="s">
        <v>78</v>
      </c>
      <c r="N1174" t="s">
        <v>17</v>
      </c>
      <c r="O1174">
        <v>7413</v>
      </c>
      <c r="P1174">
        <v>96.5</v>
      </c>
      <c r="Q1174">
        <v>40.299999999999997</v>
      </c>
    </row>
    <row r="1175" spans="2:17" x14ac:dyDescent="0.25">
      <c r="B1175" t="s">
        <v>78</v>
      </c>
      <c r="C1175" t="s">
        <v>79</v>
      </c>
      <c r="D1175" t="s">
        <v>2301</v>
      </c>
      <c r="E1175" t="s">
        <v>2302</v>
      </c>
      <c r="F1175">
        <v>34.700000000000003</v>
      </c>
      <c r="G1175">
        <v>34.450000000000003</v>
      </c>
      <c r="H1175">
        <v>35.5</v>
      </c>
      <c r="I1175">
        <v>33.299999999999997</v>
      </c>
      <c r="J1175" s="1">
        <v>34.299999999999997</v>
      </c>
      <c r="K1175">
        <v>59744508.649999999</v>
      </c>
      <c r="L1175">
        <v>1734176</v>
      </c>
      <c r="M1175" t="s">
        <v>78</v>
      </c>
      <c r="N1175" t="s">
        <v>17</v>
      </c>
      <c r="O1175">
        <v>4720</v>
      </c>
      <c r="P1175">
        <v>41.6</v>
      </c>
      <c r="Q1175">
        <v>14.8</v>
      </c>
    </row>
    <row r="1176" spans="2:17" x14ac:dyDescent="0.25">
      <c r="B1176" t="s">
        <v>78</v>
      </c>
      <c r="C1176" t="s">
        <v>79</v>
      </c>
      <c r="D1176" t="s">
        <v>2303</v>
      </c>
      <c r="E1176" t="s">
        <v>2304</v>
      </c>
      <c r="F1176">
        <v>763.4</v>
      </c>
      <c r="G1176">
        <v>766.9</v>
      </c>
      <c r="H1176">
        <v>766.9</v>
      </c>
      <c r="I1176">
        <v>741.35</v>
      </c>
      <c r="J1176" s="1">
        <v>751.45</v>
      </c>
      <c r="K1176">
        <v>12409708.6</v>
      </c>
      <c r="L1176">
        <v>16517</v>
      </c>
      <c r="M1176" t="s">
        <v>78</v>
      </c>
      <c r="N1176" t="s">
        <v>17</v>
      </c>
      <c r="O1176">
        <v>2888</v>
      </c>
      <c r="P1176">
        <v>842.45</v>
      </c>
      <c r="Q1176">
        <v>323.89999999999998</v>
      </c>
    </row>
    <row r="1177" spans="2:17" x14ac:dyDescent="0.25">
      <c r="B1177" t="s">
        <v>78</v>
      </c>
      <c r="C1177" t="s">
        <v>79</v>
      </c>
      <c r="D1177" t="s">
        <v>2305</v>
      </c>
      <c r="E1177" t="s">
        <v>2306</v>
      </c>
      <c r="F1177">
        <v>1115.1500000000001</v>
      </c>
      <c r="G1177">
        <v>1113</v>
      </c>
      <c r="H1177">
        <v>1138.45</v>
      </c>
      <c r="I1177">
        <v>1100.75</v>
      </c>
      <c r="J1177" s="1">
        <v>1127.45</v>
      </c>
      <c r="K1177">
        <v>40743455.600000001</v>
      </c>
      <c r="L1177">
        <v>36161</v>
      </c>
      <c r="M1177" t="s">
        <v>78</v>
      </c>
      <c r="N1177" t="s">
        <v>17</v>
      </c>
      <c r="O1177">
        <v>4198</v>
      </c>
      <c r="P1177">
        <v>1195</v>
      </c>
      <c r="Q1177">
        <v>400.25</v>
      </c>
    </row>
    <row r="1178" spans="2:17" x14ac:dyDescent="0.25">
      <c r="B1178" t="s">
        <v>78</v>
      </c>
      <c r="C1178" t="s">
        <v>79</v>
      </c>
      <c r="D1178" t="s">
        <v>2307</v>
      </c>
      <c r="E1178" t="s">
        <v>2308</v>
      </c>
      <c r="F1178">
        <v>127.2</v>
      </c>
      <c r="G1178">
        <v>125.9</v>
      </c>
      <c r="H1178">
        <v>129.30000000000001</v>
      </c>
      <c r="I1178">
        <v>124.65</v>
      </c>
      <c r="J1178" s="1">
        <v>126.65</v>
      </c>
      <c r="K1178">
        <v>7019676407.6999998</v>
      </c>
      <c r="L1178">
        <v>55149617</v>
      </c>
      <c r="M1178" t="s">
        <v>78</v>
      </c>
      <c r="N1178" t="s">
        <v>17</v>
      </c>
      <c r="O1178">
        <v>134846</v>
      </c>
      <c r="P1178">
        <v>151.30000000000001</v>
      </c>
      <c r="Q1178">
        <v>32.65</v>
      </c>
    </row>
    <row r="1179" spans="2:17" x14ac:dyDescent="0.25">
      <c r="B1179" t="s">
        <v>78</v>
      </c>
      <c r="C1179" t="s">
        <v>79</v>
      </c>
      <c r="D1179" t="s">
        <v>2309</v>
      </c>
      <c r="E1179" t="s">
        <v>2310</v>
      </c>
      <c r="F1179">
        <v>175.9</v>
      </c>
      <c r="G1179">
        <v>175.9</v>
      </c>
      <c r="H1179">
        <v>178.75</v>
      </c>
      <c r="I1179">
        <v>172.8</v>
      </c>
      <c r="J1179" s="1">
        <v>173.65</v>
      </c>
      <c r="K1179">
        <v>9755009.75</v>
      </c>
      <c r="L1179">
        <v>55338</v>
      </c>
      <c r="M1179" t="s">
        <v>78</v>
      </c>
      <c r="N1179" t="s">
        <v>17</v>
      </c>
      <c r="O1179">
        <v>1598</v>
      </c>
      <c r="P1179">
        <v>191</v>
      </c>
      <c r="Q1179">
        <v>51.7</v>
      </c>
    </row>
    <row r="1180" spans="2:17" x14ac:dyDescent="0.25">
      <c r="B1180" t="s">
        <v>78</v>
      </c>
      <c r="C1180" t="s">
        <v>79</v>
      </c>
      <c r="D1180" t="s">
        <v>2311</v>
      </c>
      <c r="E1180" t="s">
        <v>2312</v>
      </c>
      <c r="F1180">
        <v>685.8</v>
      </c>
      <c r="G1180">
        <v>684.55</v>
      </c>
      <c r="H1180">
        <v>699.9</v>
      </c>
      <c r="I1180">
        <v>669</v>
      </c>
      <c r="J1180" s="1">
        <v>684.55</v>
      </c>
      <c r="K1180">
        <v>42540835.350000001</v>
      </c>
      <c r="L1180">
        <v>62111</v>
      </c>
      <c r="M1180" t="s">
        <v>78</v>
      </c>
      <c r="N1180" t="s">
        <v>17</v>
      </c>
      <c r="O1180">
        <v>6486</v>
      </c>
      <c r="P1180">
        <v>734.45</v>
      </c>
      <c r="Q1180">
        <v>210</v>
      </c>
    </row>
    <row r="1181" spans="2:17" x14ac:dyDescent="0.25">
      <c r="B1181" t="s">
        <v>78</v>
      </c>
      <c r="C1181" t="s">
        <v>79</v>
      </c>
      <c r="D1181" t="s">
        <v>2313</v>
      </c>
      <c r="E1181" t="s">
        <v>2314</v>
      </c>
      <c r="F1181">
        <v>14</v>
      </c>
      <c r="G1181">
        <v>14</v>
      </c>
      <c r="H1181">
        <v>14.35</v>
      </c>
      <c r="I1181">
        <v>13.3</v>
      </c>
      <c r="J1181" s="1">
        <v>13.65</v>
      </c>
      <c r="K1181">
        <v>20559874.949999999</v>
      </c>
      <c r="L1181">
        <v>1489600</v>
      </c>
      <c r="M1181" t="s">
        <v>78</v>
      </c>
      <c r="N1181" t="s">
        <v>17</v>
      </c>
      <c r="O1181">
        <v>2248</v>
      </c>
      <c r="P1181">
        <v>14.7</v>
      </c>
      <c r="Q1181">
        <v>4.05</v>
      </c>
    </row>
    <row r="1182" spans="2:17" x14ac:dyDescent="0.25">
      <c r="B1182" t="s">
        <v>78</v>
      </c>
      <c r="C1182" t="s">
        <v>79</v>
      </c>
      <c r="D1182" t="s">
        <v>2315</v>
      </c>
      <c r="E1182" t="s">
        <v>2316</v>
      </c>
      <c r="F1182">
        <v>340.1</v>
      </c>
      <c r="G1182">
        <v>340.1</v>
      </c>
      <c r="H1182">
        <v>344</v>
      </c>
      <c r="I1182">
        <v>335.55</v>
      </c>
      <c r="J1182" s="1">
        <v>337.05</v>
      </c>
      <c r="K1182">
        <v>11082876.6</v>
      </c>
      <c r="L1182">
        <v>32808</v>
      </c>
      <c r="M1182" t="s">
        <v>78</v>
      </c>
      <c r="N1182" t="s">
        <v>17</v>
      </c>
      <c r="O1182">
        <v>1729</v>
      </c>
      <c r="P1182">
        <v>722</v>
      </c>
      <c r="Q1182">
        <v>151.55000000000001</v>
      </c>
    </row>
    <row r="1183" spans="2:17" x14ac:dyDescent="0.25">
      <c r="B1183" t="s">
        <v>78</v>
      </c>
      <c r="C1183" t="s">
        <v>79</v>
      </c>
      <c r="D1183" t="s">
        <v>2317</v>
      </c>
      <c r="E1183" t="s">
        <v>2318</v>
      </c>
      <c r="F1183">
        <v>183.9</v>
      </c>
      <c r="G1183">
        <v>177.1</v>
      </c>
      <c r="H1183">
        <v>203.75</v>
      </c>
      <c r="I1183">
        <v>177.1</v>
      </c>
      <c r="J1183" s="1">
        <v>197.9</v>
      </c>
      <c r="K1183">
        <v>49077370.950000003</v>
      </c>
      <c r="L1183">
        <v>248890</v>
      </c>
      <c r="M1183" t="s">
        <v>78</v>
      </c>
      <c r="N1183" t="s">
        <v>17</v>
      </c>
      <c r="O1183">
        <v>10775</v>
      </c>
      <c r="P1183">
        <v>203.75</v>
      </c>
      <c r="Q1183">
        <v>48</v>
      </c>
    </row>
    <row r="1184" spans="2:17" x14ac:dyDescent="0.25">
      <c r="B1184" t="s">
        <v>78</v>
      </c>
      <c r="C1184" t="s">
        <v>79</v>
      </c>
      <c r="D1184" t="s">
        <v>2319</v>
      </c>
      <c r="E1184" t="s">
        <v>2320</v>
      </c>
      <c r="F1184">
        <v>177.15</v>
      </c>
      <c r="G1184">
        <v>175.8</v>
      </c>
      <c r="H1184">
        <v>184.75</v>
      </c>
      <c r="I1184">
        <v>173</v>
      </c>
      <c r="J1184" s="1">
        <v>180</v>
      </c>
      <c r="K1184">
        <v>61817597.899999999</v>
      </c>
      <c r="L1184">
        <v>344623</v>
      </c>
      <c r="M1184" t="s">
        <v>78</v>
      </c>
      <c r="N1184" t="s">
        <v>17</v>
      </c>
      <c r="O1184">
        <v>10198</v>
      </c>
      <c r="P1184">
        <v>187.15</v>
      </c>
      <c r="Q1184">
        <v>81.3</v>
      </c>
    </row>
    <row r="1185" spans="2:17" x14ac:dyDescent="0.25">
      <c r="B1185" t="s">
        <v>78</v>
      </c>
      <c r="C1185" t="s">
        <v>79</v>
      </c>
      <c r="D1185" t="s">
        <v>2321</v>
      </c>
      <c r="E1185" t="s">
        <v>2322</v>
      </c>
      <c r="F1185">
        <v>920.85</v>
      </c>
      <c r="G1185">
        <v>932</v>
      </c>
      <c r="H1185">
        <v>1074</v>
      </c>
      <c r="I1185">
        <v>932</v>
      </c>
      <c r="J1185" s="1">
        <v>966.55</v>
      </c>
      <c r="K1185">
        <v>84669614.049999997</v>
      </c>
      <c r="L1185">
        <v>83547</v>
      </c>
      <c r="M1185" t="s">
        <v>78</v>
      </c>
      <c r="N1185" t="s">
        <v>17</v>
      </c>
      <c r="O1185">
        <v>11793</v>
      </c>
      <c r="P1185">
        <v>1084.7</v>
      </c>
      <c r="Q1185">
        <v>457.65</v>
      </c>
    </row>
    <row r="1186" spans="2:17" x14ac:dyDescent="0.25">
      <c r="B1186" t="s">
        <v>78</v>
      </c>
      <c r="C1186" t="s">
        <v>79</v>
      </c>
      <c r="D1186" t="s">
        <v>2323</v>
      </c>
      <c r="E1186" t="s">
        <v>2324</v>
      </c>
      <c r="F1186">
        <v>293.64999999999998</v>
      </c>
      <c r="G1186">
        <v>297.95</v>
      </c>
      <c r="H1186">
        <v>317.05</v>
      </c>
      <c r="I1186">
        <v>295.05</v>
      </c>
      <c r="J1186" s="1">
        <v>304.7</v>
      </c>
      <c r="K1186">
        <v>111026415</v>
      </c>
      <c r="L1186">
        <v>359404</v>
      </c>
      <c r="M1186" t="s">
        <v>78</v>
      </c>
      <c r="N1186" t="s">
        <v>17</v>
      </c>
      <c r="O1186">
        <v>17543</v>
      </c>
      <c r="P1186">
        <v>317.05</v>
      </c>
      <c r="Q1186">
        <v>174.5</v>
      </c>
    </row>
    <row r="1187" spans="2:17" x14ac:dyDescent="0.25">
      <c r="B1187" t="s">
        <v>78</v>
      </c>
      <c r="C1187" t="s">
        <v>79</v>
      </c>
      <c r="D1187" t="s">
        <v>2325</v>
      </c>
      <c r="E1187" t="s">
        <v>2326</v>
      </c>
      <c r="F1187">
        <v>133.44999999999999</v>
      </c>
      <c r="G1187">
        <v>137.80000000000001</v>
      </c>
      <c r="H1187">
        <v>140.1</v>
      </c>
      <c r="I1187">
        <v>134.44999999999999</v>
      </c>
      <c r="J1187" s="1">
        <v>140.1</v>
      </c>
      <c r="K1187">
        <v>11021776.65</v>
      </c>
      <c r="L1187">
        <v>79083</v>
      </c>
      <c r="M1187" t="s">
        <v>78</v>
      </c>
      <c r="N1187" t="s">
        <v>17</v>
      </c>
      <c r="O1187">
        <v>982</v>
      </c>
      <c r="P1187">
        <v>153.94999999999999</v>
      </c>
      <c r="Q1187">
        <v>44.65</v>
      </c>
    </row>
    <row r="1188" spans="2:17" x14ac:dyDescent="0.25">
      <c r="B1188" t="s">
        <v>78</v>
      </c>
      <c r="C1188" t="s">
        <v>79</v>
      </c>
      <c r="D1188" t="s">
        <v>2327</v>
      </c>
      <c r="E1188" t="s">
        <v>2328</v>
      </c>
      <c r="F1188">
        <v>60.05</v>
      </c>
      <c r="G1188">
        <v>58.9</v>
      </c>
      <c r="H1188">
        <v>62.25</v>
      </c>
      <c r="I1188">
        <v>58.65</v>
      </c>
      <c r="J1188" s="1">
        <v>60.25</v>
      </c>
      <c r="K1188">
        <v>120729335.7</v>
      </c>
      <c r="L1188">
        <v>1992640</v>
      </c>
      <c r="M1188" t="s">
        <v>78</v>
      </c>
      <c r="N1188" t="s">
        <v>17</v>
      </c>
      <c r="O1188">
        <v>7871</v>
      </c>
      <c r="P1188">
        <v>62.85</v>
      </c>
      <c r="Q1188">
        <v>22.75</v>
      </c>
    </row>
    <row r="1189" spans="2:17" x14ac:dyDescent="0.25">
      <c r="B1189" t="s">
        <v>78</v>
      </c>
      <c r="C1189" t="s">
        <v>79</v>
      </c>
      <c r="D1189" t="s">
        <v>2329</v>
      </c>
      <c r="E1189" t="s">
        <v>2330</v>
      </c>
      <c r="F1189">
        <v>205.2</v>
      </c>
      <c r="G1189">
        <v>204.3</v>
      </c>
      <c r="H1189">
        <v>209</v>
      </c>
      <c r="I1189">
        <v>189</v>
      </c>
      <c r="J1189" s="1">
        <v>193.9</v>
      </c>
      <c r="K1189">
        <v>66532993.350000001</v>
      </c>
      <c r="L1189">
        <v>335653</v>
      </c>
      <c r="M1189" t="s">
        <v>78</v>
      </c>
      <c r="N1189" t="s">
        <v>17</v>
      </c>
      <c r="O1189">
        <v>8723</v>
      </c>
      <c r="P1189">
        <v>230</v>
      </c>
      <c r="Q1189">
        <v>61.3</v>
      </c>
    </row>
    <row r="1190" spans="2:17" x14ac:dyDescent="0.25">
      <c r="B1190" t="s">
        <v>78</v>
      </c>
      <c r="C1190" t="s">
        <v>79</v>
      </c>
      <c r="D1190" t="s">
        <v>2331</v>
      </c>
      <c r="E1190" t="s">
        <v>2332</v>
      </c>
      <c r="F1190">
        <v>29.95</v>
      </c>
      <c r="G1190">
        <v>31.4</v>
      </c>
      <c r="H1190">
        <v>31.4</v>
      </c>
      <c r="I1190">
        <v>31.4</v>
      </c>
      <c r="J1190" s="1">
        <v>31.4</v>
      </c>
      <c r="K1190">
        <v>7120515.2000000002</v>
      </c>
      <c r="L1190">
        <v>226768</v>
      </c>
      <c r="M1190" t="s">
        <v>78</v>
      </c>
      <c r="N1190" t="s">
        <v>17</v>
      </c>
      <c r="O1190">
        <v>640</v>
      </c>
      <c r="P1190">
        <v>92</v>
      </c>
      <c r="Q1190">
        <v>18</v>
      </c>
    </row>
    <row r="1191" spans="2:17" x14ac:dyDescent="0.25">
      <c r="B1191" t="s">
        <v>78</v>
      </c>
      <c r="C1191" t="s">
        <v>79</v>
      </c>
      <c r="D1191" t="s">
        <v>2333</v>
      </c>
      <c r="E1191" t="s">
        <v>2334</v>
      </c>
      <c r="F1191">
        <v>7961.3</v>
      </c>
      <c r="G1191">
        <v>7989</v>
      </c>
      <c r="H1191">
        <v>8119.95</v>
      </c>
      <c r="I1191">
        <v>7942</v>
      </c>
      <c r="J1191" s="1">
        <v>7965.15</v>
      </c>
      <c r="K1191">
        <v>136728840.09999999</v>
      </c>
      <c r="L1191">
        <v>17045</v>
      </c>
      <c r="M1191" t="s">
        <v>78</v>
      </c>
      <c r="N1191" t="s">
        <v>17</v>
      </c>
      <c r="O1191">
        <v>4393</v>
      </c>
      <c r="P1191">
        <v>8989</v>
      </c>
      <c r="Q1191">
        <v>7424</v>
      </c>
    </row>
    <row r="1192" spans="2:17" x14ac:dyDescent="0.25">
      <c r="B1192" t="s">
        <v>78</v>
      </c>
      <c r="C1192" t="s">
        <v>79</v>
      </c>
      <c r="D1192" t="s">
        <v>2335</v>
      </c>
      <c r="E1192" t="s">
        <v>2336</v>
      </c>
      <c r="F1192">
        <v>41.65</v>
      </c>
      <c r="G1192">
        <v>40.85</v>
      </c>
      <c r="H1192">
        <v>44.3</v>
      </c>
      <c r="I1192">
        <v>40.85</v>
      </c>
      <c r="J1192" s="1">
        <v>42.9</v>
      </c>
      <c r="K1192">
        <v>18167375.899999999</v>
      </c>
      <c r="L1192">
        <v>422605</v>
      </c>
      <c r="M1192" t="s">
        <v>78</v>
      </c>
      <c r="N1192" t="s">
        <v>17</v>
      </c>
      <c r="O1192">
        <v>3718</v>
      </c>
      <c r="P1192">
        <v>45.3</v>
      </c>
      <c r="Q1192">
        <v>15.55</v>
      </c>
    </row>
    <row r="1193" spans="2:17" x14ac:dyDescent="0.25">
      <c r="B1193" t="s">
        <v>78</v>
      </c>
      <c r="C1193" t="s">
        <v>79</v>
      </c>
      <c r="D1193" t="s">
        <v>2337</v>
      </c>
      <c r="E1193" t="s">
        <v>2338</v>
      </c>
      <c r="F1193">
        <v>1301.9000000000001</v>
      </c>
      <c r="G1193">
        <v>1293.9000000000001</v>
      </c>
      <c r="H1193">
        <v>1428</v>
      </c>
      <c r="I1193">
        <v>1290</v>
      </c>
      <c r="J1193" s="1">
        <v>1399.8</v>
      </c>
      <c r="K1193">
        <v>311226991.35000002</v>
      </c>
      <c r="L1193">
        <v>226109</v>
      </c>
      <c r="M1193" t="s">
        <v>78</v>
      </c>
      <c r="N1193" t="s">
        <v>17</v>
      </c>
      <c r="O1193">
        <v>19215</v>
      </c>
      <c r="P1193">
        <v>1428</v>
      </c>
      <c r="Q1193">
        <v>471</v>
      </c>
    </row>
    <row r="1194" spans="2:17" x14ac:dyDescent="0.25">
      <c r="B1194" t="s">
        <v>78</v>
      </c>
      <c r="C1194" t="s">
        <v>79</v>
      </c>
      <c r="D1194" t="s">
        <v>2339</v>
      </c>
      <c r="E1194" t="s">
        <v>2340</v>
      </c>
      <c r="F1194">
        <v>106.95</v>
      </c>
      <c r="G1194">
        <v>105</v>
      </c>
      <c r="H1194">
        <v>110.2</v>
      </c>
      <c r="I1194">
        <v>105</v>
      </c>
      <c r="J1194" s="1">
        <v>108.3</v>
      </c>
      <c r="K1194">
        <v>78992842.150000006</v>
      </c>
      <c r="L1194">
        <v>736156</v>
      </c>
      <c r="M1194" t="s">
        <v>78</v>
      </c>
      <c r="N1194" t="s">
        <v>17</v>
      </c>
      <c r="O1194">
        <v>7710</v>
      </c>
      <c r="P1194">
        <v>143</v>
      </c>
      <c r="Q1194">
        <v>73</v>
      </c>
    </row>
    <row r="1195" spans="2:17" x14ac:dyDescent="0.25">
      <c r="B1195" t="s">
        <v>78</v>
      </c>
      <c r="C1195" t="s">
        <v>79</v>
      </c>
      <c r="D1195" t="s">
        <v>2341</v>
      </c>
      <c r="E1195" t="s">
        <v>2342</v>
      </c>
      <c r="F1195">
        <v>93.75</v>
      </c>
      <c r="G1195">
        <v>93.75</v>
      </c>
      <c r="H1195">
        <v>96</v>
      </c>
      <c r="I1195">
        <v>92.65</v>
      </c>
      <c r="J1195" s="1">
        <v>93.9</v>
      </c>
      <c r="K1195">
        <v>38261765.299999997</v>
      </c>
      <c r="L1195">
        <v>403867</v>
      </c>
      <c r="M1195" t="s">
        <v>78</v>
      </c>
      <c r="N1195" t="s">
        <v>17</v>
      </c>
      <c r="O1195">
        <v>3873</v>
      </c>
      <c r="P1195">
        <v>112.9</v>
      </c>
      <c r="Q1195">
        <v>51.25</v>
      </c>
    </row>
    <row r="1196" spans="2:17" x14ac:dyDescent="0.25">
      <c r="B1196" t="s">
        <v>78</v>
      </c>
      <c r="C1196" t="s">
        <v>79</v>
      </c>
      <c r="D1196" t="s">
        <v>2343</v>
      </c>
      <c r="E1196" t="s">
        <v>2344</v>
      </c>
      <c r="F1196">
        <v>127.55</v>
      </c>
      <c r="G1196">
        <v>127.9</v>
      </c>
      <c r="H1196">
        <v>132.94999999999999</v>
      </c>
      <c r="I1196">
        <v>124.7</v>
      </c>
      <c r="J1196" s="1">
        <v>131.65</v>
      </c>
      <c r="K1196">
        <v>8767985.9499999993</v>
      </c>
      <c r="L1196">
        <v>67102</v>
      </c>
      <c r="M1196" t="s">
        <v>78</v>
      </c>
      <c r="N1196" t="s">
        <v>17</v>
      </c>
      <c r="O1196">
        <v>1599</v>
      </c>
      <c r="P1196">
        <v>140.80000000000001</v>
      </c>
      <c r="Q1196">
        <v>115.1</v>
      </c>
    </row>
    <row r="1197" spans="2:17" x14ac:dyDescent="0.25">
      <c r="B1197" t="s">
        <v>78</v>
      </c>
      <c r="C1197" t="s">
        <v>79</v>
      </c>
      <c r="D1197" t="s">
        <v>2345</v>
      </c>
      <c r="E1197" t="s">
        <v>2346</v>
      </c>
      <c r="F1197">
        <v>2.25</v>
      </c>
      <c r="G1197">
        <v>2.15</v>
      </c>
      <c r="H1197">
        <v>2.35</v>
      </c>
      <c r="I1197">
        <v>2.15</v>
      </c>
      <c r="J1197" s="1">
        <v>2.35</v>
      </c>
      <c r="K1197">
        <v>700391.95</v>
      </c>
      <c r="L1197">
        <v>308900</v>
      </c>
      <c r="M1197" t="s">
        <v>78</v>
      </c>
      <c r="N1197" t="s">
        <v>17</v>
      </c>
      <c r="O1197">
        <v>429</v>
      </c>
      <c r="P1197">
        <v>2.95</v>
      </c>
      <c r="Q1197">
        <v>1.2</v>
      </c>
    </row>
    <row r="1198" spans="2:17" x14ac:dyDescent="0.25">
      <c r="B1198" t="s">
        <v>78</v>
      </c>
      <c r="C1198" t="s">
        <v>79</v>
      </c>
      <c r="D1198" t="s">
        <v>2347</v>
      </c>
      <c r="E1198" t="s">
        <v>2348</v>
      </c>
      <c r="F1198">
        <v>5402.45</v>
      </c>
      <c r="G1198">
        <v>5360.25</v>
      </c>
      <c r="H1198">
        <v>5505</v>
      </c>
      <c r="I1198">
        <v>5320.35</v>
      </c>
      <c r="J1198" s="1">
        <v>5456.85</v>
      </c>
      <c r="K1198">
        <v>24790043</v>
      </c>
      <c r="L1198">
        <v>4588</v>
      </c>
      <c r="M1198" t="s">
        <v>78</v>
      </c>
      <c r="N1198" t="s">
        <v>17</v>
      </c>
      <c r="O1198">
        <v>1636</v>
      </c>
      <c r="P1198">
        <v>5747.95</v>
      </c>
      <c r="Q1198">
        <v>3425.5</v>
      </c>
    </row>
    <row r="1199" spans="2:17" x14ac:dyDescent="0.25">
      <c r="B1199" t="s">
        <v>78</v>
      </c>
      <c r="C1199" t="s">
        <v>79</v>
      </c>
      <c r="D1199" t="s">
        <v>2349</v>
      </c>
      <c r="E1199" t="s">
        <v>2350</v>
      </c>
      <c r="F1199">
        <v>140.25</v>
      </c>
      <c r="G1199">
        <v>138.4</v>
      </c>
      <c r="H1199">
        <v>147.1</v>
      </c>
      <c r="I1199">
        <v>136.80000000000001</v>
      </c>
      <c r="J1199" s="1">
        <v>142.19999999999999</v>
      </c>
      <c r="K1199">
        <v>61974028.600000001</v>
      </c>
      <c r="L1199">
        <v>432641</v>
      </c>
      <c r="M1199" t="s">
        <v>78</v>
      </c>
      <c r="N1199" t="s">
        <v>17</v>
      </c>
      <c r="O1199">
        <v>8995</v>
      </c>
      <c r="P1199">
        <v>147.1</v>
      </c>
      <c r="Q1199">
        <v>57.6</v>
      </c>
    </row>
    <row r="1200" spans="2:17" x14ac:dyDescent="0.25">
      <c r="B1200" t="s">
        <v>78</v>
      </c>
      <c r="C1200" t="s">
        <v>79</v>
      </c>
      <c r="D1200" t="s">
        <v>2351</v>
      </c>
      <c r="E1200" t="s">
        <v>2352</v>
      </c>
      <c r="F1200">
        <v>129.25</v>
      </c>
      <c r="G1200">
        <v>128</v>
      </c>
      <c r="H1200">
        <v>131.05000000000001</v>
      </c>
      <c r="I1200">
        <v>127.2</v>
      </c>
      <c r="J1200" s="1">
        <v>128.25</v>
      </c>
      <c r="K1200">
        <v>97030893.900000006</v>
      </c>
      <c r="L1200">
        <v>752012</v>
      </c>
      <c r="M1200" t="s">
        <v>78</v>
      </c>
      <c r="N1200" t="s">
        <v>17</v>
      </c>
      <c r="O1200">
        <v>8664</v>
      </c>
      <c r="P1200">
        <v>141</v>
      </c>
      <c r="Q1200">
        <v>67.599999999999994</v>
      </c>
    </row>
    <row r="1201" spans="2:17" x14ac:dyDescent="0.25">
      <c r="B1201" t="s">
        <v>78</v>
      </c>
      <c r="C1201" t="s">
        <v>79</v>
      </c>
      <c r="D1201" t="s">
        <v>2353</v>
      </c>
      <c r="E1201" t="s">
        <v>2354</v>
      </c>
      <c r="F1201">
        <v>111.95</v>
      </c>
      <c r="G1201">
        <v>110.9</v>
      </c>
      <c r="H1201">
        <v>118</v>
      </c>
      <c r="I1201">
        <v>110.3</v>
      </c>
      <c r="J1201" s="1">
        <v>115.8</v>
      </c>
      <c r="K1201">
        <v>914834697.5</v>
      </c>
      <c r="L1201">
        <v>7925089</v>
      </c>
      <c r="M1201" t="s">
        <v>78</v>
      </c>
      <c r="N1201" t="s">
        <v>17</v>
      </c>
      <c r="O1201">
        <v>38372</v>
      </c>
      <c r="P1201">
        <v>134.65</v>
      </c>
      <c r="Q1201">
        <v>49.8</v>
      </c>
    </row>
    <row r="1202" spans="2:17" x14ac:dyDescent="0.25">
      <c r="B1202" t="s">
        <v>78</v>
      </c>
      <c r="C1202" t="s">
        <v>79</v>
      </c>
      <c r="D1202" t="s">
        <v>2355</v>
      </c>
      <c r="E1202" t="s">
        <v>2356</v>
      </c>
      <c r="F1202">
        <v>472.35</v>
      </c>
      <c r="G1202">
        <v>477.5</v>
      </c>
      <c r="H1202">
        <v>477.5</v>
      </c>
      <c r="I1202">
        <v>468.75</v>
      </c>
      <c r="J1202" s="1">
        <v>472.75</v>
      </c>
      <c r="K1202">
        <v>4683174.3499999996</v>
      </c>
      <c r="L1202">
        <v>9916</v>
      </c>
      <c r="M1202" t="s">
        <v>78</v>
      </c>
      <c r="N1202" t="s">
        <v>17</v>
      </c>
      <c r="O1202">
        <v>565</v>
      </c>
      <c r="P1202">
        <v>537.5</v>
      </c>
      <c r="Q1202">
        <v>342.9</v>
      </c>
    </row>
    <row r="1203" spans="2:17" x14ac:dyDescent="0.25">
      <c r="B1203" t="s">
        <v>78</v>
      </c>
      <c r="C1203" t="s">
        <v>287</v>
      </c>
      <c r="D1203" t="s">
        <v>2357</v>
      </c>
      <c r="E1203" t="s">
        <v>2358</v>
      </c>
      <c r="F1203">
        <v>25.8</v>
      </c>
      <c r="G1203">
        <v>26</v>
      </c>
      <c r="H1203">
        <v>27.05</v>
      </c>
      <c r="I1203">
        <v>26</v>
      </c>
      <c r="J1203" s="1">
        <v>26.75</v>
      </c>
      <c r="K1203">
        <v>95310</v>
      </c>
      <c r="L1203">
        <v>3600</v>
      </c>
      <c r="M1203" t="s">
        <v>78</v>
      </c>
      <c r="N1203" t="s">
        <v>17</v>
      </c>
      <c r="O1203">
        <v>6</v>
      </c>
      <c r="P1203">
        <v>27.05</v>
      </c>
      <c r="Q1203">
        <v>12</v>
      </c>
    </row>
    <row r="1204" spans="2:17" x14ac:dyDescent="0.25">
      <c r="B1204" t="s">
        <v>78</v>
      </c>
      <c r="C1204" t="s">
        <v>79</v>
      </c>
      <c r="D1204" t="s">
        <v>2359</v>
      </c>
      <c r="E1204" t="s">
        <v>2360</v>
      </c>
      <c r="F1204">
        <v>86.35</v>
      </c>
      <c r="G1204">
        <v>86.5</v>
      </c>
      <c r="H1204">
        <v>88.95</v>
      </c>
      <c r="I1204">
        <v>86.05</v>
      </c>
      <c r="J1204" s="1">
        <v>88.35</v>
      </c>
      <c r="K1204">
        <v>2841079.45</v>
      </c>
      <c r="L1204">
        <v>32454</v>
      </c>
      <c r="M1204" t="s">
        <v>78</v>
      </c>
      <c r="N1204" t="s">
        <v>17</v>
      </c>
      <c r="O1204">
        <v>633</v>
      </c>
      <c r="P1204">
        <v>102.8</v>
      </c>
      <c r="Q1204">
        <v>76.05</v>
      </c>
    </row>
    <row r="1205" spans="2:17" x14ac:dyDescent="0.25">
      <c r="B1205" t="s">
        <v>78</v>
      </c>
      <c r="C1205" t="s">
        <v>79</v>
      </c>
      <c r="D1205" t="s">
        <v>2361</v>
      </c>
      <c r="E1205" t="s">
        <v>2362</v>
      </c>
      <c r="F1205">
        <v>153.65</v>
      </c>
      <c r="G1205">
        <v>152</v>
      </c>
      <c r="H1205">
        <v>155.80000000000001</v>
      </c>
      <c r="I1205">
        <v>148.35</v>
      </c>
      <c r="J1205" s="1">
        <v>149.05000000000001</v>
      </c>
      <c r="K1205">
        <v>11328524</v>
      </c>
      <c r="L1205">
        <v>75045</v>
      </c>
      <c r="M1205" t="s">
        <v>78</v>
      </c>
      <c r="N1205" t="s">
        <v>17</v>
      </c>
      <c r="O1205">
        <v>3017</v>
      </c>
      <c r="P1205">
        <v>179.7</v>
      </c>
      <c r="Q1205">
        <v>99</v>
      </c>
    </row>
    <row r="1206" spans="2:17" x14ac:dyDescent="0.25">
      <c r="B1206" t="s">
        <v>78</v>
      </c>
      <c r="C1206" t="s">
        <v>79</v>
      </c>
      <c r="D1206" t="s">
        <v>2363</v>
      </c>
      <c r="E1206" t="s">
        <v>2364</v>
      </c>
      <c r="F1206">
        <v>303.45</v>
      </c>
      <c r="G1206">
        <v>295.25</v>
      </c>
      <c r="H1206">
        <v>319.14999999999998</v>
      </c>
      <c r="I1206">
        <v>295.25</v>
      </c>
      <c r="J1206" s="1">
        <v>312.7</v>
      </c>
      <c r="K1206">
        <v>1455750834.8499999</v>
      </c>
      <c r="L1206">
        <v>4667472</v>
      </c>
      <c r="M1206" t="s">
        <v>78</v>
      </c>
      <c r="N1206" t="s">
        <v>17</v>
      </c>
      <c r="O1206">
        <v>66909</v>
      </c>
      <c r="P1206">
        <v>336.5</v>
      </c>
      <c r="Q1206">
        <v>103.4</v>
      </c>
    </row>
    <row r="1207" spans="2:17" x14ac:dyDescent="0.25">
      <c r="B1207" t="s">
        <v>78</v>
      </c>
      <c r="C1207" t="s">
        <v>287</v>
      </c>
      <c r="D1207" t="s">
        <v>2365</v>
      </c>
      <c r="E1207" t="s">
        <v>2366</v>
      </c>
      <c r="F1207">
        <v>17.25</v>
      </c>
      <c r="G1207">
        <v>16.399999999999999</v>
      </c>
      <c r="H1207">
        <v>17</v>
      </c>
      <c r="I1207">
        <v>16.399999999999999</v>
      </c>
      <c r="J1207" s="1">
        <v>17</v>
      </c>
      <c r="K1207">
        <v>1017600</v>
      </c>
      <c r="L1207">
        <v>60000</v>
      </c>
      <c r="M1207" t="s">
        <v>78</v>
      </c>
      <c r="N1207" t="s">
        <v>17</v>
      </c>
      <c r="O1207">
        <v>4</v>
      </c>
      <c r="P1207">
        <v>23.8</v>
      </c>
      <c r="Q1207">
        <v>15.5</v>
      </c>
    </row>
    <row r="1208" spans="2:17" x14ac:dyDescent="0.25">
      <c r="B1208" t="s">
        <v>78</v>
      </c>
      <c r="C1208" t="s">
        <v>79</v>
      </c>
      <c r="D1208" t="s">
        <v>2367</v>
      </c>
      <c r="E1208" t="s">
        <v>2368</v>
      </c>
      <c r="F1208">
        <v>216.5</v>
      </c>
      <c r="G1208">
        <v>213</v>
      </c>
      <c r="H1208">
        <v>216.95</v>
      </c>
      <c r="I1208">
        <v>210.1</v>
      </c>
      <c r="J1208" s="1">
        <v>211.55</v>
      </c>
      <c r="K1208">
        <v>39755025.5</v>
      </c>
      <c r="L1208">
        <v>186566</v>
      </c>
      <c r="M1208" t="s">
        <v>78</v>
      </c>
      <c r="N1208" t="s">
        <v>17</v>
      </c>
      <c r="O1208">
        <v>11742</v>
      </c>
      <c r="P1208">
        <v>228.8</v>
      </c>
      <c r="Q1208">
        <v>125.35</v>
      </c>
    </row>
    <row r="1209" spans="2:17" x14ac:dyDescent="0.25">
      <c r="B1209" t="s">
        <v>78</v>
      </c>
      <c r="C1209" t="s">
        <v>79</v>
      </c>
      <c r="D1209" t="s">
        <v>2369</v>
      </c>
      <c r="E1209" t="s">
        <v>2370</v>
      </c>
      <c r="F1209">
        <v>21.6</v>
      </c>
      <c r="G1209">
        <v>21.85</v>
      </c>
      <c r="H1209">
        <v>22.5</v>
      </c>
      <c r="I1209">
        <v>21.25</v>
      </c>
      <c r="J1209" s="1">
        <v>22.05</v>
      </c>
      <c r="K1209">
        <v>8064379.7000000002</v>
      </c>
      <c r="L1209">
        <v>365893</v>
      </c>
      <c r="M1209" t="s">
        <v>78</v>
      </c>
      <c r="N1209" t="s">
        <v>17</v>
      </c>
      <c r="O1209">
        <v>975</v>
      </c>
      <c r="P1209">
        <v>25.2</v>
      </c>
      <c r="Q1209">
        <v>8.1999999999999993</v>
      </c>
    </row>
    <row r="1210" spans="2:17" x14ac:dyDescent="0.25">
      <c r="B1210" t="s">
        <v>78</v>
      </c>
      <c r="C1210" t="s">
        <v>79</v>
      </c>
      <c r="D1210" t="s">
        <v>2371</v>
      </c>
      <c r="E1210" t="s">
        <v>2372</v>
      </c>
      <c r="F1210">
        <v>69.650000000000006</v>
      </c>
      <c r="G1210">
        <v>69.45</v>
      </c>
      <c r="H1210">
        <v>76.599999999999994</v>
      </c>
      <c r="I1210">
        <v>68</v>
      </c>
      <c r="J1210" s="1">
        <v>76.45</v>
      </c>
      <c r="K1210">
        <v>35805930.649999999</v>
      </c>
      <c r="L1210">
        <v>476732</v>
      </c>
      <c r="M1210" t="s">
        <v>78</v>
      </c>
      <c r="N1210" t="s">
        <v>17</v>
      </c>
      <c r="O1210">
        <v>3788</v>
      </c>
      <c r="P1210">
        <v>90.8</v>
      </c>
      <c r="Q1210">
        <v>47.5</v>
      </c>
    </row>
    <row r="1211" spans="2:17" x14ac:dyDescent="0.25">
      <c r="B1211" t="s">
        <v>78</v>
      </c>
      <c r="C1211" t="s">
        <v>79</v>
      </c>
      <c r="D1211" t="s">
        <v>2373</v>
      </c>
      <c r="E1211" t="s">
        <v>2374</v>
      </c>
      <c r="F1211">
        <v>2366.5500000000002</v>
      </c>
      <c r="G1211">
        <v>2366.5500000000002</v>
      </c>
      <c r="H1211">
        <v>2391.5500000000002</v>
      </c>
      <c r="I1211">
        <v>2345</v>
      </c>
      <c r="J1211" s="1">
        <v>2370.85</v>
      </c>
      <c r="K1211">
        <v>16521561.75</v>
      </c>
      <c r="L1211">
        <v>6970</v>
      </c>
      <c r="M1211" t="s">
        <v>78</v>
      </c>
      <c r="N1211" t="s">
        <v>17</v>
      </c>
      <c r="O1211">
        <v>1933</v>
      </c>
      <c r="P1211">
        <v>2498.1</v>
      </c>
      <c r="Q1211">
        <v>1222.1500000000001</v>
      </c>
    </row>
    <row r="1212" spans="2:17" x14ac:dyDescent="0.25">
      <c r="B1212" t="s">
        <v>78</v>
      </c>
      <c r="C1212" t="s">
        <v>79</v>
      </c>
      <c r="D1212" t="s">
        <v>2375</v>
      </c>
      <c r="E1212" t="s">
        <v>2376</v>
      </c>
      <c r="F1212">
        <v>14.95</v>
      </c>
      <c r="G1212">
        <v>15.2</v>
      </c>
      <c r="H1212">
        <v>15.2</v>
      </c>
      <c r="I1212">
        <v>14.7</v>
      </c>
      <c r="J1212" s="1">
        <v>14.75</v>
      </c>
      <c r="K1212">
        <v>1379134.15</v>
      </c>
      <c r="L1212">
        <v>92468</v>
      </c>
      <c r="M1212" t="s">
        <v>78</v>
      </c>
      <c r="N1212" t="s">
        <v>17</v>
      </c>
      <c r="O1212">
        <v>359</v>
      </c>
      <c r="P1212">
        <v>16.3</v>
      </c>
      <c r="Q1212">
        <v>6.05</v>
      </c>
    </row>
    <row r="1213" spans="2:17" x14ac:dyDescent="0.25">
      <c r="B1213" t="s">
        <v>78</v>
      </c>
      <c r="C1213" t="s">
        <v>79</v>
      </c>
      <c r="D1213" t="s">
        <v>2377</v>
      </c>
      <c r="E1213" t="s">
        <v>2378</v>
      </c>
      <c r="F1213">
        <v>850</v>
      </c>
      <c r="G1213">
        <v>843</v>
      </c>
      <c r="H1213">
        <v>876</v>
      </c>
      <c r="I1213">
        <v>840</v>
      </c>
      <c r="J1213" s="1">
        <v>859.8</v>
      </c>
      <c r="K1213">
        <v>235428971</v>
      </c>
      <c r="L1213">
        <v>273674</v>
      </c>
      <c r="M1213" t="s">
        <v>78</v>
      </c>
      <c r="N1213" t="s">
        <v>17</v>
      </c>
      <c r="O1213">
        <v>13273</v>
      </c>
      <c r="P1213">
        <v>910</v>
      </c>
      <c r="Q1213">
        <v>168.9</v>
      </c>
    </row>
    <row r="1214" spans="2:17" x14ac:dyDescent="0.25">
      <c r="B1214" t="s">
        <v>78</v>
      </c>
      <c r="C1214" t="s">
        <v>79</v>
      </c>
      <c r="D1214" t="s">
        <v>2379</v>
      </c>
      <c r="E1214" t="s">
        <v>2380</v>
      </c>
      <c r="F1214">
        <v>191.15</v>
      </c>
      <c r="G1214">
        <v>187.15</v>
      </c>
      <c r="H1214">
        <v>201</v>
      </c>
      <c r="I1214">
        <v>187.15</v>
      </c>
      <c r="J1214" s="1">
        <v>196.35</v>
      </c>
      <c r="K1214">
        <v>63736825.25</v>
      </c>
      <c r="L1214">
        <v>327748</v>
      </c>
      <c r="M1214" t="s">
        <v>78</v>
      </c>
      <c r="N1214" t="s">
        <v>17</v>
      </c>
      <c r="O1214">
        <v>6929</v>
      </c>
      <c r="P1214">
        <v>211.45</v>
      </c>
      <c r="Q1214">
        <v>70.349999999999994</v>
      </c>
    </row>
    <row r="1215" spans="2:17" x14ac:dyDescent="0.25">
      <c r="B1215" t="s">
        <v>78</v>
      </c>
      <c r="C1215" t="s">
        <v>79</v>
      </c>
      <c r="D1215" t="s">
        <v>2381</v>
      </c>
      <c r="E1215" t="s">
        <v>2382</v>
      </c>
      <c r="F1215">
        <v>112.7</v>
      </c>
      <c r="G1215">
        <v>111</v>
      </c>
      <c r="H1215">
        <v>114.35</v>
      </c>
      <c r="I1215">
        <v>111</v>
      </c>
      <c r="J1215" s="1">
        <v>111.4</v>
      </c>
      <c r="K1215">
        <v>26767861.149999999</v>
      </c>
      <c r="L1215">
        <v>238781</v>
      </c>
      <c r="M1215" t="s">
        <v>78</v>
      </c>
      <c r="N1215" t="s">
        <v>17</v>
      </c>
      <c r="O1215">
        <v>3618</v>
      </c>
      <c r="P1215">
        <v>126</v>
      </c>
      <c r="Q1215">
        <v>56.5</v>
      </c>
    </row>
    <row r="1216" spans="2:17" x14ac:dyDescent="0.25">
      <c r="B1216" t="s">
        <v>78</v>
      </c>
      <c r="C1216" t="s">
        <v>79</v>
      </c>
      <c r="D1216" t="s">
        <v>2383</v>
      </c>
      <c r="E1216" t="s">
        <v>2384</v>
      </c>
      <c r="F1216">
        <v>527.5</v>
      </c>
      <c r="G1216">
        <v>521</v>
      </c>
      <c r="H1216">
        <v>569.29999999999995</v>
      </c>
      <c r="I1216">
        <v>521</v>
      </c>
      <c r="J1216" s="1">
        <v>538.9</v>
      </c>
      <c r="K1216">
        <v>453863560.10000002</v>
      </c>
      <c r="L1216">
        <v>825307</v>
      </c>
      <c r="M1216" t="s">
        <v>78</v>
      </c>
      <c r="N1216" t="s">
        <v>17</v>
      </c>
      <c r="O1216">
        <v>29075</v>
      </c>
      <c r="P1216">
        <v>569.29999999999995</v>
      </c>
      <c r="Q1216">
        <v>279.64999999999998</v>
      </c>
    </row>
    <row r="1217" spans="2:17" x14ac:dyDescent="0.25">
      <c r="B1217" t="s">
        <v>78</v>
      </c>
      <c r="C1217" t="s">
        <v>79</v>
      </c>
      <c r="D1217" t="s">
        <v>2385</v>
      </c>
      <c r="E1217" t="s">
        <v>2386</v>
      </c>
      <c r="F1217">
        <v>148.69999999999999</v>
      </c>
      <c r="G1217">
        <v>145.19999999999999</v>
      </c>
      <c r="H1217">
        <v>150.69999999999999</v>
      </c>
      <c r="I1217">
        <v>145.19999999999999</v>
      </c>
      <c r="J1217" s="1">
        <v>148.80000000000001</v>
      </c>
      <c r="K1217">
        <v>5460274.4500000002</v>
      </c>
      <c r="L1217">
        <v>36689</v>
      </c>
      <c r="M1217" t="s">
        <v>78</v>
      </c>
      <c r="N1217" t="s">
        <v>17</v>
      </c>
      <c r="O1217">
        <v>1254</v>
      </c>
      <c r="P1217">
        <v>162.44999999999999</v>
      </c>
      <c r="Q1217">
        <v>78.599999999999994</v>
      </c>
    </row>
    <row r="1218" spans="2:17" x14ac:dyDescent="0.25">
      <c r="B1218" t="s">
        <v>78</v>
      </c>
      <c r="C1218" t="s">
        <v>79</v>
      </c>
      <c r="D1218" t="s">
        <v>2387</v>
      </c>
      <c r="E1218" t="s">
        <v>2388</v>
      </c>
      <c r="F1218">
        <v>359.6</v>
      </c>
      <c r="G1218">
        <v>363</v>
      </c>
      <c r="H1218">
        <v>363</v>
      </c>
      <c r="I1218">
        <v>355.4</v>
      </c>
      <c r="J1218" s="1">
        <v>356.8</v>
      </c>
      <c r="K1218">
        <v>29479629.350000001</v>
      </c>
      <c r="L1218">
        <v>82125</v>
      </c>
      <c r="M1218" t="s">
        <v>78</v>
      </c>
      <c r="N1218" t="s">
        <v>17</v>
      </c>
      <c r="O1218">
        <v>4736</v>
      </c>
      <c r="P1218">
        <v>387</v>
      </c>
      <c r="Q1218">
        <v>230.9</v>
      </c>
    </row>
    <row r="1219" spans="2:17" x14ac:dyDescent="0.25">
      <c r="B1219" t="s">
        <v>78</v>
      </c>
      <c r="C1219" t="s">
        <v>79</v>
      </c>
      <c r="D1219" t="s">
        <v>2389</v>
      </c>
      <c r="E1219" t="s">
        <v>2390</v>
      </c>
      <c r="F1219">
        <v>538.15</v>
      </c>
      <c r="G1219">
        <v>543</v>
      </c>
      <c r="H1219">
        <v>546.1</v>
      </c>
      <c r="I1219">
        <v>507</v>
      </c>
      <c r="J1219" s="1">
        <v>520.65</v>
      </c>
      <c r="K1219">
        <v>128077164.5</v>
      </c>
      <c r="L1219">
        <v>240468</v>
      </c>
      <c r="M1219" t="s">
        <v>78</v>
      </c>
      <c r="N1219" t="s">
        <v>17</v>
      </c>
      <c r="O1219">
        <v>11480</v>
      </c>
      <c r="P1219">
        <v>548.70000000000005</v>
      </c>
      <c r="Q1219">
        <v>92.2</v>
      </c>
    </row>
    <row r="1220" spans="2:17" x14ac:dyDescent="0.25">
      <c r="B1220" t="s">
        <v>78</v>
      </c>
      <c r="C1220" t="s">
        <v>79</v>
      </c>
      <c r="D1220" t="s">
        <v>2391</v>
      </c>
      <c r="E1220" t="s">
        <v>2392</v>
      </c>
      <c r="F1220">
        <v>605.04999999999995</v>
      </c>
      <c r="G1220">
        <v>605.04999999999995</v>
      </c>
      <c r="H1220">
        <v>640</v>
      </c>
      <c r="I1220">
        <v>594.65</v>
      </c>
      <c r="J1220" s="1">
        <v>628.29999999999995</v>
      </c>
      <c r="K1220">
        <v>678429254.79999995</v>
      </c>
      <c r="L1220">
        <v>1097190</v>
      </c>
      <c r="M1220" t="s">
        <v>78</v>
      </c>
      <c r="N1220" t="s">
        <v>17</v>
      </c>
      <c r="O1220">
        <v>24726</v>
      </c>
      <c r="P1220">
        <v>695</v>
      </c>
      <c r="Q1220">
        <v>311.60000000000002</v>
      </c>
    </row>
    <row r="1221" spans="2:17" x14ac:dyDescent="0.25">
      <c r="B1221" t="s">
        <v>78</v>
      </c>
      <c r="C1221" t="s">
        <v>79</v>
      </c>
      <c r="D1221" t="s">
        <v>2393</v>
      </c>
      <c r="E1221" t="s">
        <v>2394</v>
      </c>
      <c r="F1221">
        <v>90.8</v>
      </c>
      <c r="G1221">
        <v>92</v>
      </c>
      <c r="H1221">
        <v>92.95</v>
      </c>
      <c r="I1221">
        <v>88.45</v>
      </c>
      <c r="J1221" s="1">
        <v>90.4</v>
      </c>
      <c r="K1221">
        <v>2304359.2999999998</v>
      </c>
      <c r="L1221">
        <v>25327</v>
      </c>
      <c r="M1221" t="s">
        <v>78</v>
      </c>
      <c r="N1221" t="s">
        <v>17</v>
      </c>
      <c r="O1221">
        <v>917</v>
      </c>
      <c r="P1221">
        <v>98.7</v>
      </c>
      <c r="Q1221">
        <v>19.95</v>
      </c>
    </row>
    <row r="1222" spans="2:17" x14ac:dyDescent="0.25">
      <c r="B1222" t="s">
        <v>78</v>
      </c>
      <c r="C1222" t="s">
        <v>79</v>
      </c>
      <c r="D1222" t="s">
        <v>2395</v>
      </c>
      <c r="E1222" t="s">
        <v>2396</v>
      </c>
      <c r="F1222">
        <v>189.35</v>
      </c>
      <c r="G1222">
        <v>190</v>
      </c>
      <c r="H1222">
        <v>198.5</v>
      </c>
      <c r="I1222">
        <v>186.65</v>
      </c>
      <c r="J1222" s="1">
        <v>197.2</v>
      </c>
      <c r="K1222">
        <v>6366265.2999999998</v>
      </c>
      <c r="L1222">
        <v>32625</v>
      </c>
      <c r="M1222" t="s">
        <v>78</v>
      </c>
      <c r="N1222" t="s">
        <v>17</v>
      </c>
      <c r="O1222">
        <v>953</v>
      </c>
      <c r="P1222">
        <v>214</v>
      </c>
      <c r="Q1222">
        <v>75.150000000000006</v>
      </c>
    </row>
    <row r="1223" spans="2:17" x14ac:dyDescent="0.25">
      <c r="B1223" t="s">
        <v>78</v>
      </c>
      <c r="C1223" t="s">
        <v>79</v>
      </c>
      <c r="D1223" t="s">
        <v>2397</v>
      </c>
      <c r="E1223" t="s">
        <v>2398</v>
      </c>
      <c r="F1223">
        <v>167.95</v>
      </c>
      <c r="G1223">
        <v>165.55</v>
      </c>
      <c r="H1223">
        <v>171</v>
      </c>
      <c r="I1223">
        <v>165.55</v>
      </c>
      <c r="J1223" s="1">
        <v>169.3</v>
      </c>
      <c r="K1223">
        <v>36142931.149999999</v>
      </c>
      <c r="L1223">
        <v>214092</v>
      </c>
      <c r="M1223" t="s">
        <v>78</v>
      </c>
      <c r="N1223" t="s">
        <v>17</v>
      </c>
      <c r="O1223">
        <v>4097</v>
      </c>
      <c r="P1223">
        <v>189.8</v>
      </c>
      <c r="Q1223">
        <v>69.25</v>
      </c>
    </row>
    <row r="1224" spans="2:17" x14ac:dyDescent="0.25">
      <c r="B1224" t="s">
        <v>78</v>
      </c>
      <c r="C1224" t="s">
        <v>79</v>
      </c>
      <c r="D1224" t="s">
        <v>2399</v>
      </c>
      <c r="E1224" t="s">
        <v>2400</v>
      </c>
      <c r="F1224">
        <v>247.2</v>
      </c>
      <c r="G1224">
        <v>244.8</v>
      </c>
      <c r="H1224">
        <v>254</v>
      </c>
      <c r="I1224">
        <v>242.85</v>
      </c>
      <c r="J1224" s="1">
        <v>251.6</v>
      </c>
      <c r="K1224">
        <v>57728471.950000003</v>
      </c>
      <c r="L1224">
        <v>231745</v>
      </c>
      <c r="M1224" t="s">
        <v>78</v>
      </c>
      <c r="N1224" t="s">
        <v>17</v>
      </c>
      <c r="O1224">
        <v>5675</v>
      </c>
      <c r="P1224">
        <v>270</v>
      </c>
      <c r="Q1224">
        <v>149.5</v>
      </c>
    </row>
    <row r="1225" spans="2:17" x14ac:dyDescent="0.25">
      <c r="B1225" t="s">
        <v>78</v>
      </c>
      <c r="C1225" t="s">
        <v>79</v>
      </c>
      <c r="D1225" t="s">
        <v>2401</v>
      </c>
      <c r="E1225" t="s">
        <v>2402</v>
      </c>
      <c r="F1225">
        <v>57.35</v>
      </c>
      <c r="G1225">
        <v>59.7</v>
      </c>
      <c r="H1225">
        <v>59.7</v>
      </c>
      <c r="I1225">
        <v>53.7</v>
      </c>
      <c r="J1225" s="1">
        <v>56.35</v>
      </c>
      <c r="K1225">
        <v>422847.1</v>
      </c>
      <c r="L1225">
        <v>7433</v>
      </c>
      <c r="M1225" t="s">
        <v>78</v>
      </c>
      <c r="N1225" t="s">
        <v>17</v>
      </c>
      <c r="O1225">
        <v>365</v>
      </c>
      <c r="P1225">
        <v>76.75</v>
      </c>
      <c r="Q1225">
        <v>35.549999999999997</v>
      </c>
    </row>
    <row r="1226" spans="2:17" x14ac:dyDescent="0.25">
      <c r="B1226" t="s">
        <v>78</v>
      </c>
      <c r="C1226" t="s">
        <v>79</v>
      </c>
      <c r="D1226" t="s">
        <v>2403</v>
      </c>
      <c r="E1226" t="s">
        <v>2404</v>
      </c>
      <c r="F1226">
        <v>87.45</v>
      </c>
      <c r="G1226">
        <v>86</v>
      </c>
      <c r="H1226">
        <v>89.9</v>
      </c>
      <c r="I1226">
        <v>86</v>
      </c>
      <c r="J1226" s="1">
        <v>87.75</v>
      </c>
      <c r="K1226">
        <v>44051046.149999999</v>
      </c>
      <c r="L1226">
        <v>498902</v>
      </c>
      <c r="M1226" t="s">
        <v>78</v>
      </c>
      <c r="N1226" t="s">
        <v>17</v>
      </c>
      <c r="O1226">
        <v>4979</v>
      </c>
      <c r="P1226">
        <v>93.85</v>
      </c>
      <c r="Q1226">
        <v>42.75</v>
      </c>
    </row>
    <row r="1227" spans="2:17" x14ac:dyDescent="0.25">
      <c r="B1227" t="s">
        <v>78</v>
      </c>
      <c r="C1227" t="s">
        <v>79</v>
      </c>
      <c r="D1227" t="s">
        <v>2405</v>
      </c>
      <c r="E1227" t="s">
        <v>2406</v>
      </c>
      <c r="F1227">
        <v>180.9</v>
      </c>
      <c r="G1227">
        <v>180.8</v>
      </c>
      <c r="H1227">
        <v>186</v>
      </c>
      <c r="I1227">
        <v>180.25</v>
      </c>
      <c r="J1227" s="1">
        <v>184.55</v>
      </c>
      <c r="K1227">
        <v>26060649.100000001</v>
      </c>
      <c r="L1227">
        <v>142110</v>
      </c>
      <c r="M1227" t="s">
        <v>78</v>
      </c>
      <c r="N1227" t="s">
        <v>17</v>
      </c>
      <c r="O1227">
        <v>5287</v>
      </c>
      <c r="P1227">
        <v>208.95</v>
      </c>
      <c r="Q1227">
        <v>90.6</v>
      </c>
    </row>
    <row r="1228" spans="2:17" x14ac:dyDescent="0.25">
      <c r="B1228" t="s">
        <v>78</v>
      </c>
      <c r="C1228" t="s">
        <v>79</v>
      </c>
      <c r="D1228" t="s">
        <v>2407</v>
      </c>
      <c r="E1228" t="s">
        <v>2408</v>
      </c>
      <c r="F1228">
        <v>12.5</v>
      </c>
      <c r="G1228">
        <v>12.7</v>
      </c>
      <c r="H1228">
        <v>13.1</v>
      </c>
      <c r="I1228">
        <v>12.3</v>
      </c>
      <c r="J1228" s="1">
        <v>12.9</v>
      </c>
      <c r="K1228">
        <v>1102669.1499999999</v>
      </c>
      <c r="L1228">
        <v>86702</v>
      </c>
      <c r="M1228" t="s">
        <v>78</v>
      </c>
      <c r="N1228" t="s">
        <v>17</v>
      </c>
      <c r="O1228">
        <v>497</v>
      </c>
      <c r="P1228">
        <v>18.7</v>
      </c>
      <c r="Q1228">
        <v>4.55</v>
      </c>
    </row>
    <row r="1229" spans="2:17" x14ac:dyDescent="0.25">
      <c r="B1229" t="s">
        <v>78</v>
      </c>
      <c r="C1229" t="s">
        <v>79</v>
      </c>
      <c r="D1229" t="s">
        <v>2409</v>
      </c>
      <c r="E1229" t="s">
        <v>2410</v>
      </c>
      <c r="F1229">
        <v>116.1</v>
      </c>
      <c r="G1229">
        <v>113.35</v>
      </c>
      <c r="H1229">
        <v>118.45</v>
      </c>
      <c r="I1229">
        <v>113.05</v>
      </c>
      <c r="J1229" s="1">
        <v>113.95</v>
      </c>
      <c r="K1229">
        <v>6421754.75</v>
      </c>
      <c r="L1229">
        <v>55799</v>
      </c>
      <c r="M1229" t="s">
        <v>78</v>
      </c>
      <c r="N1229" t="s">
        <v>17</v>
      </c>
      <c r="O1229">
        <v>2238</v>
      </c>
      <c r="P1229">
        <v>129.75</v>
      </c>
      <c r="Q1229">
        <v>68.2</v>
      </c>
    </row>
    <row r="1230" spans="2:17" x14ac:dyDescent="0.25">
      <c r="B1230" t="s">
        <v>78</v>
      </c>
      <c r="C1230" t="s">
        <v>79</v>
      </c>
      <c r="D1230" t="s">
        <v>2411</v>
      </c>
      <c r="E1230" t="s">
        <v>2412</v>
      </c>
      <c r="F1230">
        <v>197.95</v>
      </c>
      <c r="G1230">
        <v>194.45</v>
      </c>
      <c r="H1230">
        <v>207.8</v>
      </c>
      <c r="I1230">
        <v>189.55</v>
      </c>
      <c r="J1230" s="1">
        <v>207.8</v>
      </c>
      <c r="K1230">
        <v>44273299.299999997</v>
      </c>
      <c r="L1230">
        <v>214809</v>
      </c>
      <c r="M1230" t="s">
        <v>78</v>
      </c>
      <c r="N1230" t="s">
        <v>17</v>
      </c>
      <c r="O1230">
        <v>3017</v>
      </c>
      <c r="P1230">
        <v>228.35</v>
      </c>
      <c r="Q1230">
        <v>49.5</v>
      </c>
    </row>
    <row r="1231" spans="2:17" x14ac:dyDescent="0.25">
      <c r="B1231" t="s">
        <v>78</v>
      </c>
      <c r="C1231" t="s">
        <v>79</v>
      </c>
      <c r="D1231" t="s">
        <v>2413</v>
      </c>
      <c r="E1231" t="s">
        <v>2414</v>
      </c>
      <c r="F1231">
        <v>1764.1</v>
      </c>
      <c r="G1231">
        <v>1799</v>
      </c>
      <c r="H1231">
        <v>1806.55</v>
      </c>
      <c r="I1231">
        <v>1756.3</v>
      </c>
      <c r="J1231" s="1">
        <v>1764.95</v>
      </c>
      <c r="K1231">
        <v>15887609.199999999</v>
      </c>
      <c r="L1231">
        <v>8930</v>
      </c>
      <c r="M1231" t="s">
        <v>78</v>
      </c>
      <c r="N1231" t="s">
        <v>17</v>
      </c>
      <c r="O1231">
        <v>2378</v>
      </c>
      <c r="P1231">
        <v>1962.9</v>
      </c>
      <c r="Q1231">
        <v>651.79999999999995</v>
      </c>
    </row>
    <row r="1232" spans="2:17" x14ac:dyDescent="0.25">
      <c r="B1232" t="s">
        <v>78</v>
      </c>
      <c r="C1232" t="s">
        <v>79</v>
      </c>
      <c r="D1232" t="s">
        <v>2415</v>
      </c>
      <c r="E1232" t="s">
        <v>2416</v>
      </c>
      <c r="F1232">
        <v>5.3</v>
      </c>
      <c r="G1232">
        <v>5.3</v>
      </c>
      <c r="H1232">
        <v>5.55</v>
      </c>
      <c r="I1232">
        <v>5.05</v>
      </c>
      <c r="J1232" s="1">
        <v>5.45</v>
      </c>
      <c r="K1232">
        <v>14889497.300000001</v>
      </c>
      <c r="L1232">
        <v>2804054</v>
      </c>
      <c r="M1232" t="s">
        <v>78</v>
      </c>
      <c r="N1232" t="s">
        <v>17</v>
      </c>
      <c r="O1232">
        <v>1632</v>
      </c>
      <c r="P1232">
        <v>7</v>
      </c>
      <c r="Q1232">
        <v>3.3</v>
      </c>
    </row>
    <row r="1233" spans="2:17" x14ac:dyDescent="0.25">
      <c r="B1233" t="s">
        <v>78</v>
      </c>
      <c r="C1233" t="s">
        <v>287</v>
      </c>
      <c r="D1233" t="s">
        <v>2417</v>
      </c>
      <c r="E1233" t="s">
        <v>2418</v>
      </c>
      <c r="F1233">
        <v>13.05</v>
      </c>
      <c r="G1233">
        <v>13.05</v>
      </c>
      <c r="H1233">
        <v>13.05</v>
      </c>
      <c r="I1233">
        <v>12.4</v>
      </c>
      <c r="J1233" s="1">
        <v>12.5</v>
      </c>
      <c r="K1233">
        <v>363750</v>
      </c>
      <c r="L1233">
        <v>29000</v>
      </c>
      <c r="M1233" t="s">
        <v>78</v>
      </c>
      <c r="N1233" t="s">
        <v>17</v>
      </c>
      <c r="O1233">
        <v>24</v>
      </c>
      <c r="P1233">
        <v>29.9</v>
      </c>
      <c r="Q1233">
        <v>12.05</v>
      </c>
    </row>
    <row r="1234" spans="2:17" x14ac:dyDescent="0.25">
      <c r="B1234" t="s">
        <v>78</v>
      </c>
      <c r="C1234" t="s">
        <v>79</v>
      </c>
      <c r="D1234" t="s">
        <v>2419</v>
      </c>
      <c r="E1234" t="s">
        <v>2420</v>
      </c>
      <c r="F1234">
        <v>15.4</v>
      </c>
      <c r="G1234">
        <v>16.600000000000001</v>
      </c>
      <c r="H1234">
        <v>16.899999999999999</v>
      </c>
      <c r="I1234">
        <v>16.100000000000001</v>
      </c>
      <c r="J1234" s="1">
        <v>16.899999999999999</v>
      </c>
      <c r="K1234">
        <v>17315769.600000001</v>
      </c>
      <c r="L1234">
        <v>1033681</v>
      </c>
      <c r="M1234" t="s">
        <v>78</v>
      </c>
      <c r="N1234" t="s">
        <v>17</v>
      </c>
      <c r="O1234">
        <v>1689</v>
      </c>
      <c r="P1234">
        <v>16.899999999999999</v>
      </c>
      <c r="Q1234">
        <v>3.35</v>
      </c>
    </row>
    <row r="1235" spans="2:17" x14ac:dyDescent="0.25">
      <c r="B1235" t="s">
        <v>78</v>
      </c>
      <c r="C1235" t="s">
        <v>79</v>
      </c>
      <c r="D1235" t="s">
        <v>2421</v>
      </c>
      <c r="E1235" t="s">
        <v>2422</v>
      </c>
      <c r="F1235">
        <v>413.3</v>
      </c>
      <c r="G1235">
        <v>414.85</v>
      </c>
      <c r="H1235">
        <v>435.3</v>
      </c>
      <c r="I1235">
        <v>413</v>
      </c>
      <c r="J1235" s="1">
        <v>430.2</v>
      </c>
      <c r="K1235">
        <v>1366984298.7</v>
      </c>
      <c r="L1235">
        <v>3215214</v>
      </c>
      <c r="M1235" t="s">
        <v>78</v>
      </c>
      <c r="N1235" t="s">
        <v>17</v>
      </c>
      <c r="O1235">
        <v>49077</v>
      </c>
      <c r="P1235">
        <v>435.3</v>
      </c>
      <c r="Q1235">
        <v>361.1</v>
      </c>
    </row>
    <row r="1236" spans="2:17" x14ac:dyDescent="0.25">
      <c r="B1236" t="s">
        <v>78</v>
      </c>
      <c r="C1236" t="s">
        <v>79</v>
      </c>
      <c r="D1236" t="s">
        <v>2423</v>
      </c>
      <c r="E1236" t="s">
        <v>2424</v>
      </c>
      <c r="F1236">
        <v>14.2</v>
      </c>
      <c r="G1236">
        <v>14.25</v>
      </c>
      <c r="H1236">
        <v>14.9</v>
      </c>
      <c r="I1236">
        <v>13.55</v>
      </c>
      <c r="J1236" s="1">
        <v>14.9</v>
      </c>
      <c r="K1236">
        <v>19141287.300000001</v>
      </c>
      <c r="L1236">
        <v>1329167</v>
      </c>
      <c r="M1236" t="s">
        <v>78</v>
      </c>
      <c r="N1236" t="s">
        <v>17</v>
      </c>
      <c r="O1236">
        <v>1836</v>
      </c>
      <c r="P1236">
        <v>21.85</v>
      </c>
      <c r="Q1236">
        <v>8.6</v>
      </c>
    </row>
    <row r="1237" spans="2:17" x14ac:dyDescent="0.25">
      <c r="B1237" t="s">
        <v>78</v>
      </c>
      <c r="C1237" t="s">
        <v>287</v>
      </c>
      <c r="D1237" t="s">
        <v>2425</v>
      </c>
      <c r="E1237" t="s">
        <v>2426</v>
      </c>
      <c r="F1237">
        <v>63.2</v>
      </c>
      <c r="G1237">
        <v>61</v>
      </c>
      <c r="H1237">
        <v>61</v>
      </c>
      <c r="I1237">
        <v>61</v>
      </c>
      <c r="J1237" s="1">
        <v>61</v>
      </c>
      <c r="K1237">
        <v>122000</v>
      </c>
      <c r="L1237">
        <v>2000</v>
      </c>
      <c r="M1237" t="s">
        <v>78</v>
      </c>
      <c r="N1237" t="s">
        <v>17</v>
      </c>
      <c r="O1237">
        <v>1</v>
      </c>
      <c r="P1237">
        <v>81.5</v>
      </c>
      <c r="Q1237">
        <v>45</v>
      </c>
    </row>
    <row r="1238" spans="2:17" x14ac:dyDescent="0.25">
      <c r="B1238" t="s">
        <v>78</v>
      </c>
      <c r="C1238" t="s">
        <v>79</v>
      </c>
      <c r="D1238" t="s">
        <v>2427</v>
      </c>
      <c r="E1238" t="s">
        <v>2428</v>
      </c>
      <c r="F1238">
        <v>51.6</v>
      </c>
      <c r="G1238">
        <v>52.25</v>
      </c>
      <c r="H1238">
        <v>52.85</v>
      </c>
      <c r="I1238">
        <v>50.95</v>
      </c>
      <c r="J1238" s="1">
        <v>51.5</v>
      </c>
      <c r="K1238">
        <v>1938922.75</v>
      </c>
      <c r="L1238">
        <v>37323</v>
      </c>
      <c r="M1238" t="s">
        <v>78</v>
      </c>
      <c r="N1238" t="s">
        <v>17</v>
      </c>
      <c r="O1238">
        <v>872</v>
      </c>
      <c r="P1238">
        <v>59.55</v>
      </c>
      <c r="Q1238">
        <v>17</v>
      </c>
    </row>
    <row r="1239" spans="2:17" x14ac:dyDescent="0.25">
      <c r="B1239" t="s">
        <v>78</v>
      </c>
      <c r="C1239" t="s">
        <v>287</v>
      </c>
      <c r="D1239" t="s">
        <v>2429</v>
      </c>
      <c r="E1239" t="s">
        <v>2430</v>
      </c>
      <c r="F1239">
        <v>173</v>
      </c>
      <c r="G1239">
        <v>181.65</v>
      </c>
      <c r="H1239">
        <v>181.65</v>
      </c>
      <c r="I1239">
        <v>181.65</v>
      </c>
      <c r="J1239" s="1">
        <v>181.65</v>
      </c>
      <c r="K1239">
        <v>544950</v>
      </c>
      <c r="L1239">
        <v>3000</v>
      </c>
      <c r="M1239" t="s">
        <v>78</v>
      </c>
      <c r="N1239" t="s">
        <v>17</v>
      </c>
      <c r="O1239">
        <v>1</v>
      </c>
      <c r="P1239">
        <v>191.95</v>
      </c>
      <c r="Q1239">
        <v>33.799999999999997</v>
      </c>
    </row>
    <row r="1240" spans="2:17" x14ac:dyDescent="0.25">
      <c r="B1240" t="s">
        <v>78</v>
      </c>
      <c r="C1240" t="s">
        <v>79</v>
      </c>
      <c r="D1240" t="s">
        <v>2431</v>
      </c>
      <c r="E1240" t="s">
        <v>2432</v>
      </c>
      <c r="F1240">
        <v>44.45</v>
      </c>
      <c r="G1240">
        <v>43.05</v>
      </c>
      <c r="H1240">
        <v>43.8</v>
      </c>
      <c r="I1240">
        <v>42.1</v>
      </c>
      <c r="J1240" s="1">
        <v>42.65</v>
      </c>
      <c r="K1240">
        <v>8492065.9000000004</v>
      </c>
      <c r="L1240">
        <v>198599</v>
      </c>
      <c r="M1240" t="s">
        <v>78</v>
      </c>
      <c r="N1240" t="s">
        <v>17</v>
      </c>
      <c r="O1240">
        <v>481</v>
      </c>
      <c r="P1240">
        <v>66.7</v>
      </c>
      <c r="Q1240">
        <v>36.85</v>
      </c>
    </row>
    <row r="1241" spans="2:17" x14ac:dyDescent="0.25">
      <c r="B1241" t="s">
        <v>78</v>
      </c>
      <c r="C1241" t="s">
        <v>79</v>
      </c>
      <c r="D1241" t="s">
        <v>2433</v>
      </c>
      <c r="E1241" t="s">
        <v>2434</v>
      </c>
      <c r="F1241">
        <v>326.05</v>
      </c>
      <c r="G1241">
        <v>312.55</v>
      </c>
      <c r="H1241">
        <v>355.3</v>
      </c>
      <c r="I1241">
        <v>312.55</v>
      </c>
      <c r="J1241" s="1">
        <v>340.7</v>
      </c>
      <c r="K1241">
        <v>15312037.449999999</v>
      </c>
      <c r="L1241">
        <v>44358</v>
      </c>
      <c r="M1241" t="s">
        <v>78</v>
      </c>
      <c r="N1241" t="s">
        <v>17</v>
      </c>
      <c r="O1241">
        <v>2594</v>
      </c>
      <c r="P1241">
        <v>355.3</v>
      </c>
      <c r="Q1241">
        <v>131.19999999999999</v>
      </c>
    </row>
    <row r="1242" spans="2:17" x14ac:dyDescent="0.25">
      <c r="B1242" t="s">
        <v>78</v>
      </c>
      <c r="C1242" t="s">
        <v>287</v>
      </c>
      <c r="D1242" t="s">
        <v>2435</v>
      </c>
      <c r="E1242" t="s">
        <v>2436</v>
      </c>
      <c r="F1242">
        <v>88.25</v>
      </c>
      <c r="G1242">
        <v>88</v>
      </c>
      <c r="H1242">
        <v>98.9</v>
      </c>
      <c r="I1242">
        <v>86</v>
      </c>
      <c r="J1242" s="1">
        <v>90</v>
      </c>
      <c r="K1242">
        <v>3253450</v>
      </c>
      <c r="L1242">
        <v>35000</v>
      </c>
      <c r="M1242" t="s">
        <v>78</v>
      </c>
      <c r="N1242" t="s">
        <v>17</v>
      </c>
      <c r="O1242">
        <v>25</v>
      </c>
      <c r="P1242">
        <v>102</v>
      </c>
      <c r="Q1242">
        <v>72</v>
      </c>
    </row>
    <row r="1243" spans="2:17" x14ac:dyDescent="0.25">
      <c r="B1243" t="s">
        <v>78</v>
      </c>
      <c r="C1243" t="s">
        <v>79</v>
      </c>
      <c r="D1243" t="s">
        <v>2437</v>
      </c>
      <c r="E1243" t="s">
        <v>2438</v>
      </c>
      <c r="F1243">
        <v>50.65</v>
      </c>
      <c r="G1243">
        <v>50.9</v>
      </c>
      <c r="H1243">
        <v>52</v>
      </c>
      <c r="I1243">
        <v>49.35</v>
      </c>
      <c r="J1243" s="1">
        <v>51.45</v>
      </c>
      <c r="K1243">
        <v>11263302.6</v>
      </c>
      <c r="L1243">
        <v>220255</v>
      </c>
      <c r="M1243" t="s">
        <v>78</v>
      </c>
      <c r="N1243" t="s">
        <v>17</v>
      </c>
      <c r="O1243">
        <v>1528</v>
      </c>
      <c r="P1243">
        <v>56.5</v>
      </c>
      <c r="Q1243">
        <v>27.05</v>
      </c>
    </row>
    <row r="1244" spans="2:17" x14ac:dyDescent="0.25">
      <c r="B1244" t="s">
        <v>78</v>
      </c>
      <c r="C1244" t="s">
        <v>79</v>
      </c>
      <c r="D1244" t="s">
        <v>2439</v>
      </c>
      <c r="E1244" t="s">
        <v>2440</v>
      </c>
      <c r="F1244">
        <v>79.2</v>
      </c>
      <c r="G1244">
        <v>79.2</v>
      </c>
      <c r="H1244">
        <v>79.2</v>
      </c>
      <c r="I1244">
        <v>77.150000000000006</v>
      </c>
      <c r="J1244" s="1">
        <v>78.45</v>
      </c>
      <c r="K1244">
        <v>1696262.3</v>
      </c>
      <c r="L1244">
        <v>21673</v>
      </c>
      <c r="M1244" t="s">
        <v>78</v>
      </c>
      <c r="N1244" t="s">
        <v>17</v>
      </c>
      <c r="O1244">
        <v>192</v>
      </c>
      <c r="P1244">
        <v>99.45</v>
      </c>
      <c r="Q1244">
        <v>61.2</v>
      </c>
    </row>
    <row r="1245" spans="2:17" x14ac:dyDescent="0.25">
      <c r="B1245" t="s">
        <v>78</v>
      </c>
      <c r="C1245" t="s">
        <v>79</v>
      </c>
      <c r="D1245" t="s">
        <v>2441</v>
      </c>
      <c r="E1245" t="s">
        <v>2442</v>
      </c>
      <c r="F1245">
        <v>344.5</v>
      </c>
      <c r="G1245">
        <v>345.75</v>
      </c>
      <c r="H1245">
        <v>358.8</v>
      </c>
      <c r="I1245">
        <v>344.95</v>
      </c>
      <c r="J1245" s="1">
        <v>348.75</v>
      </c>
      <c r="K1245">
        <v>51383359.799999997</v>
      </c>
      <c r="L1245">
        <v>145740</v>
      </c>
      <c r="M1245" t="s">
        <v>78</v>
      </c>
      <c r="N1245" t="s">
        <v>17</v>
      </c>
      <c r="O1245">
        <v>3769</v>
      </c>
      <c r="P1245">
        <v>384</v>
      </c>
      <c r="Q1245">
        <v>209.1</v>
      </c>
    </row>
    <row r="1246" spans="2:17" x14ac:dyDescent="0.25">
      <c r="B1246" t="s">
        <v>78</v>
      </c>
      <c r="C1246" t="s">
        <v>79</v>
      </c>
      <c r="D1246" t="s">
        <v>2443</v>
      </c>
      <c r="E1246" t="s">
        <v>2444</v>
      </c>
      <c r="F1246">
        <v>507.1</v>
      </c>
      <c r="G1246">
        <v>500</v>
      </c>
      <c r="H1246">
        <v>515</v>
      </c>
      <c r="I1246">
        <v>495.5</v>
      </c>
      <c r="J1246" s="1">
        <v>504.2</v>
      </c>
      <c r="K1246">
        <v>207879757.90000001</v>
      </c>
      <c r="L1246">
        <v>412739</v>
      </c>
      <c r="M1246" t="s">
        <v>78</v>
      </c>
      <c r="N1246" t="s">
        <v>17</v>
      </c>
      <c r="O1246">
        <v>16307</v>
      </c>
      <c r="P1246">
        <v>529.5</v>
      </c>
      <c r="Q1246">
        <v>336.25</v>
      </c>
    </row>
    <row r="1247" spans="2:17" x14ac:dyDescent="0.25">
      <c r="B1247" t="s">
        <v>78</v>
      </c>
      <c r="C1247" t="s">
        <v>79</v>
      </c>
      <c r="D1247" t="s">
        <v>2445</v>
      </c>
      <c r="E1247" t="s">
        <v>2446</v>
      </c>
      <c r="F1247">
        <v>410.45</v>
      </c>
      <c r="G1247">
        <v>410.45</v>
      </c>
      <c r="H1247">
        <v>425</v>
      </c>
      <c r="I1247">
        <v>410.45</v>
      </c>
      <c r="J1247" s="1">
        <v>417.6</v>
      </c>
      <c r="K1247">
        <v>70052757.299999997</v>
      </c>
      <c r="L1247">
        <v>166903</v>
      </c>
      <c r="M1247" t="s">
        <v>78</v>
      </c>
      <c r="N1247" t="s">
        <v>183</v>
      </c>
      <c r="O1247">
        <v>5972</v>
      </c>
      <c r="P1247">
        <v>456</v>
      </c>
      <c r="Q1247">
        <v>125.5</v>
      </c>
    </row>
    <row r="1248" spans="2:17" x14ac:dyDescent="0.25">
      <c r="B1248" t="s">
        <v>78</v>
      </c>
      <c r="C1248" t="s">
        <v>79</v>
      </c>
      <c r="D1248" t="s">
        <v>2447</v>
      </c>
      <c r="E1248" t="s">
        <v>2448</v>
      </c>
      <c r="F1248">
        <v>27.95</v>
      </c>
      <c r="G1248">
        <v>27.9</v>
      </c>
      <c r="H1248">
        <v>28.15</v>
      </c>
      <c r="I1248">
        <v>27.6</v>
      </c>
      <c r="J1248" s="1">
        <v>27.7</v>
      </c>
      <c r="K1248">
        <v>58222218.5</v>
      </c>
      <c r="L1248">
        <v>2095107</v>
      </c>
      <c r="M1248" t="s">
        <v>78</v>
      </c>
      <c r="N1248" t="s">
        <v>17</v>
      </c>
      <c r="O1248">
        <v>8065</v>
      </c>
      <c r="P1248">
        <v>30.8</v>
      </c>
      <c r="Q1248">
        <v>20.65</v>
      </c>
    </row>
    <row r="1249" spans="2:17" x14ac:dyDescent="0.25">
      <c r="B1249" t="s">
        <v>78</v>
      </c>
      <c r="C1249" t="s">
        <v>79</v>
      </c>
      <c r="D1249" t="s">
        <v>2449</v>
      </c>
      <c r="E1249" t="s">
        <v>2450</v>
      </c>
      <c r="F1249">
        <v>2569.0500000000002</v>
      </c>
      <c r="G1249">
        <v>2563</v>
      </c>
      <c r="H1249">
        <v>2594.5</v>
      </c>
      <c r="I1249">
        <v>2525</v>
      </c>
      <c r="J1249" s="1">
        <v>2560.25</v>
      </c>
      <c r="K1249">
        <v>76030696.299999997</v>
      </c>
      <c r="L1249">
        <v>29806</v>
      </c>
      <c r="M1249" t="s">
        <v>78</v>
      </c>
      <c r="N1249" t="s">
        <v>17</v>
      </c>
      <c r="O1249">
        <v>7006</v>
      </c>
      <c r="P1249">
        <v>2758.8</v>
      </c>
      <c r="Q1249">
        <v>1426.55</v>
      </c>
    </row>
    <row r="1250" spans="2:17" x14ac:dyDescent="0.25">
      <c r="B1250" t="s">
        <v>78</v>
      </c>
      <c r="C1250" t="s">
        <v>79</v>
      </c>
      <c r="D1250" t="s">
        <v>2451</v>
      </c>
      <c r="E1250" t="s">
        <v>2452</v>
      </c>
      <c r="F1250">
        <v>87.8</v>
      </c>
      <c r="G1250">
        <v>87</v>
      </c>
      <c r="H1250">
        <v>95.55</v>
      </c>
      <c r="I1250">
        <v>87</v>
      </c>
      <c r="J1250" s="1">
        <v>92.35</v>
      </c>
      <c r="K1250">
        <v>242410265.09999999</v>
      </c>
      <c r="L1250">
        <v>2620432</v>
      </c>
      <c r="M1250" t="s">
        <v>78</v>
      </c>
      <c r="N1250" t="s">
        <v>17</v>
      </c>
      <c r="O1250">
        <v>25722</v>
      </c>
      <c r="P1250">
        <v>96.5</v>
      </c>
      <c r="Q1250">
        <v>33.6</v>
      </c>
    </row>
    <row r="1251" spans="2:17" x14ac:dyDescent="0.25">
      <c r="B1251" t="s">
        <v>78</v>
      </c>
      <c r="C1251" t="s">
        <v>79</v>
      </c>
      <c r="D1251" t="s">
        <v>2453</v>
      </c>
      <c r="E1251" t="s">
        <v>2454</v>
      </c>
      <c r="F1251">
        <v>90</v>
      </c>
      <c r="G1251">
        <v>89.5</v>
      </c>
      <c r="H1251">
        <v>91.4</v>
      </c>
      <c r="I1251">
        <v>88.1</v>
      </c>
      <c r="J1251" s="1">
        <v>89.6</v>
      </c>
      <c r="K1251">
        <v>15834505.550000001</v>
      </c>
      <c r="L1251">
        <v>176178</v>
      </c>
      <c r="M1251" t="s">
        <v>78</v>
      </c>
      <c r="N1251" t="s">
        <v>17</v>
      </c>
      <c r="O1251">
        <v>4098</v>
      </c>
      <c r="P1251">
        <v>99.5</v>
      </c>
      <c r="Q1251">
        <v>32.6</v>
      </c>
    </row>
    <row r="1252" spans="2:17" x14ac:dyDescent="0.25">
      <c r="B1252" t="s">
        <v>78</v>
      </c>
      <c r="C1252" t="s">
        <v>79</v>
      </c>
      <c r="D1252" t="s">
        <v>2455</v>
      </c>
      <c r="E1252" t="s">
        <v>2456</v>
      </c>
      <c r="F1252">
        <v>126.45</v>
      </c>
      <c r="G1252">
        <v>125.7</v>
      </c>
      <c r="H1252">
        <v>128.44999999999999</v>
      </c>
      <c r="I1252">
        <v>123.1</v>
      </c>
      <c r="J1252" s="1">
        <v>124.95</v>
      </c>
      <c r="K1252">
        <v>9107569.0500000007</v>
      </c>
      <c r="L1252">
        <v>72181</v>
      </c>
      <c r="M1252" t="s">
        <v>78</v>
      </c>
      <c r="N1252" t="s">
        <v>17</v>
      </c>
      <c r="O1252">
        <v>3491</v>
      </c>
      <c r="P1252">
        <v>134.55000000000001</v>
      </c>
      <c r="Q1252">
        <v>63.1</v>
      </c>
    </row>
    <row r="1253" spans="2:17" x14ac:dyDescent="0.25">
      <c r="B1253" t="s">
        <v>78</v>
      </c>
      <c r="C1253" t="s">
        <v>79</v>
      </c>
      <c r="D1253" t="s">
        <v>2457</v>
      </c>
      <c r="E1253" t="s">
        <v>2458</v>
      </c>
      <c r="F1253">
        <v>99.7</v>
      </c>
      <c r="G1253">
        <v>99</v>
      </c>
      <c r="H1253">
        <v>104.75</v>
      </c>
      <c r="I1253">
        <v>98.45</v>
      </c>
      <c r="J1253" s="1">
        <v>101.35</v>
      </c>
      <c r="K1253">
        <v>367793391.25</v>
      </c>
      <c r="L1253">
        <v>3592603</v>
      </c>
      <c r="M1253" t="s">
        <v>78</v>
      </c>
      <c r="N1253" t="s">
        <v>17</v>
      </c>
      <c r="O1253">
        <v>24364</v>
      </c>
      <c r="P1253">
        <v>104.75</v>
      </c>
      <c r="Q1253">
        <v>65.8</v>
      </c>
    </row>
    <row r="1254" spans="2:17" x14ac:dyDescent="0.25">
      <c r="B1254" t="s">
        <v>78</v>
      </c>
      <c r="C1254" t="s">
        <v>79</v>
      </c>
      <c r="D1254" t="s">
        <v>2459</v>
      </c>
      <c r="E1254" t="s">
        <v>2460</v>
      </c>
      <c r="F1254">
        <v>605.29999999999995</v>
      </c>
      <c r="G1254">
        <v>596</v>
      </c>
      <c r="H1254">
        <v>608.6</v>
      </c>
      <c r="I1254">
        <v>588</v>
      </c>
      <c r="J1254" s="1">
        <v>590.20000000000005</v>
      </c>
      <c r="K1254">
        <v>58206837.75</v>
      </c>
      <c r="L1254">
        <v>97683</v>
      </c>
      <c r="M1254" t="s">
        <v>78</v>
      </c>
      <c r="N1254" t="s">
        <v>17</v>
      </c>
      <c r="O1254">
        <v>4398</v>
      </c>
      <c r="P1254">
        <v>696.85</v>
      </c>
      <c r="Q1254">
        <v>365</v>
      </c>
    </row>
    <row r="1255" spans="2:17" x14ac:dyDescent="0.25">
      <c r="B1255" t="s">
        <v>78</v>
      </c>
      <c r="C1255" t="s">
        <v>79</v>
      </c>
      <c r="D1255" t="s">
        <v>2461</v>
      </c>
      <c r="E1255" t="s">
        <v>2462</v>
      </c>
      <c r="F1255">
        <v>751.05</v>
      </c>
      <c r="G1255">
        <v>748</v>
      </c>
      <c r="H1255">
        <v>748</v>
      </c>
      <c r="I1255">
        <v>721.9</v>
      </c>
      <c r="J1255" s="1">
        <v>730.95</v>
      </c>
      <c r="K1255">
        <v>11221183.449999999</v>
      </c>
      <c r="L1255">
        <v>15350</v>
      </c>
      <c r="M1255" t="s">
        <v>78</v>
      </c>
      <c r="N1255" t="s">
        <v>17</v>
      </c>
      <c r="O1255">
        <v>1355</v>
      </c>
      <c r="P1255">
        <v>885.65</v>
      </c>
      <c r="Q1255">
        <v>325</v>
      </c>
    </row>
    <row r="1256" spans="2:17" x14ac:dyDescent="0.25">
      <c r="B1256" t="s">
        <v>78</v>
      </c>
      <c r="C1256" t="s">
        <v>79</v>
      </c>
      <c r="D1256" t="s">
        <v>2463</v>
      </c>
      <c r="E1256" t="s">
        <v>2464</v>
      </c>
      <c r="F1256">
        <v>182.15</v>
      </c>
      <c r="G1256">
        <v>180.15</v>
      </c>
      <c r="H1256">
        <v>191.6</v>
      </c>
      <c r="I1256">
        <v>180.15</v>
      </c>
      <c r="J1256" s="1">
        <v>189.8</v>
      </c>
      <c r="K1256">
        <v>176380448.15000001</v>
      </c>
      <c r="L1256">
        <v>938079</v>
      </c>
      <c r="M1256" t="s">
        <v>78</v>
      </c>
      <c r="N1256" t="s">
        <v>17</v>
      </c>
      <c r="O1256">
        <v>16665</v>
      </c>
      <c r="P1256">
        <v>191.6</v>
      </c>
      <c r="Q1256">
        <v>68.25</v>
      </c>
    </row>
    <row r="1257" spans="2:17" x14ac:dyDescent="0.25">
      <c r="B1257" t="s">
        <v>78</v>
      </c>
      <c r="C1257" t="s">
        <v>79</v>
      </c>
      <c r="D1257" t="s">
        <v>2465</v>
      </c>
      <c r="E1257" t="s">
        <v>2466</v>
      </c>
      <c r="F1257">
        <v>53</v>
      </c>
      <c r="G1257">
        <v>52</v>
      </c>
      <c r="H1257">
        <v>52.9</v>
      </c>
      <c r="I1257">
        <v>51.3</v>
      </c>
      <c r="J1257" s="1">
        <v>51.85</v>
      </c>
      <c r="K1257">
        <v>134749706.69999999</v>
      </c>
      <c r="L1257">
        <v>2584638</v>
      </c>
      <c r="M1257" t="s">
        <v>78</v>
      </c>
      <c r="N1257" t="s">
        <v>17</v>
      </c>
      <c r="O1257">
        <v>10453</v>
      </c>
      <c r="P1257">
        <v>71.25</v>
      </c>
      <c r="Q1257">
        <v>28.75</v>
      </c>
    </row>
    <row r="1258" spans="2:17" x14ac:dyDescent="0.25">
      <c r="B1258" t="s">
        <v>78</v>
      </c>
      <c r="C1258" t="s">
        <v>79</v>
      </c>
      <c r="D1258" t="s">
        <v>2467</v>
      </c>
      <c r="E1258" t="s">
        <v>2468</v>
      </c>
      <c r="F1258">
        <v>658.3</v>
      </c>
      <c r="G1258">
        <v>645</v>
      </c>
      <c r="H1258">
        <v>656</v>
      </c>
      <c r="I1258">
        <v>615.35</v>
      </c>
      <c r="J1258" s="1">
        <v>620.65</v>
      </c>
      <c r="K1258">
        <v>564196932.20000005</v>
      </c>
      <c r="L1258">
        <v>889248</v>
      </c>
      <c r="M1258" t="s">
        <v>78</v>
      </c>
      <c r="N1258" t="s">
        <v>17</v>
      </c>
      <c r="O1258">
        <v>32570</v>
      </c>
      <c r="P1258">
        <v>688.35</v>
      </c>
      <c r="Q1258">
        <v>200.25</v>
      </c>
    </row>
    <row r="1259" spans="2:17" x14ac:dyDescent="0.25">
      <c r="B1259" t="s">
        <v>78</v>
      </c>
      <c r="C1259" t="s">
        <v>79</v>
      </c>
      <c r="D1259" t="s">
        <v>2469</v>
      </c>
      <c r="E1259" t="s">
        <v>2470</v>
      </c>
      <c r="F1259">
        <v>1666.85</v>
      </c>
      <c r="G1259">
        <v>1650</v>
      </c>
      <c r="H1259">
        <v>1683.85</v>
      </c>
      <c r="I1259">
        <v>1650</v>
      </c>
      <c r="J1259" s="1">
        <v>1668.25</v>
      </c>
      <c r="K1259">
        <v>58255941.75</v>
      </c>
      <c r="L1259">
        <v>34938</v>
      </c>
      <c r="M1259" t="s">
        <v>78</v>
      </c>
      <c r="N1259" t="s">
        <v>17</v>
      </c>
      <c r="O1259">
        <v>4394</v>
      </c>
      <c r="P1259">
        <v>1859.95</v>
      </c>
      <c r="Q1259">
        <v>635.1</v>
      </c>
    </row>
    <row r="1260" spans="2:17" x14ac:dyDescent="0.25">
      <c r="B1260" t="s">
        <v>78</v>
      </c>
      <c r="C1260" t="s">
        <v>79</v>
      </c>
      <c r="D1260" t="s">
        <v>2471</v>
      </c>
      <c r="E1260" t="s">
        <v>2472</v>
      </c>
      <c r="F1260">
        <v>1630.5</v>
      </c>
      <c r="G1260">
        <v>1600</v>
      </c>
      <c r="H1260">
        <v>1620</v>
      </c>
      <c r="I1260">
        <v>1570.3</v>
      </c>
      <c r="J1260" s="1">
        <v>1601.8</v>
      </c>
      <c r="K1260">
        <v>89500076.599999994</v>
      </c>
      <c r="L1260">
        <v>56066</v>
      </c>
      <c r="M1260" t="s">
        <v>78</v>
      </c>
      <c r="N1260" t="s">
        <v>17</v>
      </c>
      <c r="O1260">
        <v>8678</v>
      </c>
      <c r="P1260">
        <v>1714.5</v>
      </c>
      <c r="Q1260">
        <v>940</v>
      </c>
    </row>
    <row r="1261" spans="2:17" x14ac:dyDescent="0.25">
      <c r="B1261" t="s">
        <v>78</v>
      </c>
      <c r="C1261" t="s">
        <v>287</v>
      </c>
      <c r="D1261" t="s">
        <v>2473</v>
      </c>
      <c r="E1261" t="s">
        <v>2474</v>
      </c>
      <c r="F1261">
        <v>53.4</v>
      </c>
      <c r="G1261">
        <v>56.05</v>
      </c>
      <c r="H1261">
        <v>56.05</v>
      </c>
      <c r="I1261">
        <v>56.05</v>
      </c>
      <c r="J1261" s="1">
        <v>56.05</v>
      </c>
      <c r="K1261">
        <v>112100</v>
      </c>
      <c r="L1261">
        <v>2000</v>
      </c>
      <c r="M1261" t="s">
        <v>78</v>
      </c>
      <c r="N1261" t="s">
        <v>17</v>
      </c>
      <c r="O1261">
        <v>1</v>
      </c>
      <c r="P1261">
        <v>68.45</v>
      </c>
      <c r="Q1261">
        <v>20.149999999999999</v>
      </c>
    </row>
    <row r="1262" spans="2:17" x14ac:dyDescent="0.25">
      <c r="B1262" t="s">
        <v>78</v>
      </c>
      <c r="C1262" t="s">
        <v>79</v>
      </c>
      <c r="D1262" t="s">
        <v>2475</v>
      </c>
      <c r="E1262" t="s">
        <v>2476</v>
      </c>
      <c r="F1262">
        <v>60.65</v>
      </c>
      <c r="G1262">
        <v>58.1</v>
      </c>
      <c r="H1262">
        <v>61.7</v>
      </c>
      <c r="I1262">
        <v>58.1</v>
      </c>
      <c r="J1262" s="1">
        <v>59.55</v>
      </c>
      <c r="K1262">
        <v>983004.05</v>
      </c>
      <c r="L1262">
        <v>16467</v>
      </c>
      <c r="M1262" t="s">
        <v>78</v>
      </c>
      <c r="N1262" t="s">
        <v>17</v>
      </c>
      <c r="O1262">
        <v>394</v>
      </c>
      <c r="P1262">
        <v>65.5</v>
      </c>
      <c r="Q1262">
        <v>13.85</v>
      </c>
    </row>
    <row r="1263" spans="2:17" x14ac:dyDescent="0.25">
      <c r="B1263" t="s">
        <v>78</v>
      </c>
      <c r="C1263" t="s">
        <v>79</v>
      </c>
      <c r="D1263" t="s">
        <v>2477</v>
      </c>
      <c r="E1263" t="s">
        <v>2478</v>
      </c>
      <c r="F1263">
        <v>401.5</v>
      </c>
      <c r="G1263">
        <v>399.5</v>
      </c>
      <c r="H1263">
        <v>404.95</v>
      </c>
      <c r="I1263">
        <v>388</v>
      </c>
      <c r="J1263" s="1">
        <v>393.8</v>
      </c>
      <c r="K1263">
        <v>482959240.5</v>
      </c>
      <c r="L1263">
        <v>1220437</v>
      </c>
      <c r="M1263" t="s">
        <v>78</v>
      </c>
      <c r="N1263" t="s">
        <v>17</v>
      </c>
      <c r="O1263">
        <v>33038</v>
      </c>
      <c r="P1263">
        <v>427</v>
      </c>
      <c r="Q1263">
        <v>295</v>
      </c>
    </row>
    <row r="1264" spans="2:17" x14ac:dyDescent="0.25">
      <c r="B1264" t="s">
        <v>78</v>
      </c>
      <c r="C1264" t="s">
        <v>287</v>
      </c>
      <c r="D1264" t="s">
        <v>2479</v>
      </c>
      <c r="E1264" t="s">
        <v>2480</v>
      </c>
      <c r="F1264">
        <v>57.55</v>
      </c>
      <c r="G1264">
        <v>57.95</v>
      </c>
      <c r="H1264">
        <v>57.95</v>
      </c>
      <c r="I1264">
        <v>57</v>
      </c>
      <c r="J1264" s="1">
        <v>57.9</v>
      </c>
      <c r="K1264">
        <v>518550</v>
      </c>
      <c r="L1264">
        <v>9000</v>
      </c>
      <c r="M1264" t="s">
        <v>78</v>
      </c>
      <c r="N1264" t="s">
        <v>17</v>
      </c>
      <c r="O1264">
        <v>3</v>
      </c>
      <c r="P1264">
        <v>66</v>
      </c>
      <c r="Q1264">
        <v>39</v>
      </c>
    </row>
    <row r="1265" spans="2:17" x14ac:dyDescent="0.25">
      <c r="B1265" t="s">
        <v>78</v>
      </c>
      <c r="C1265" t="s">
        <v>79</v>
      </c>
      <c r="D1265" t="s">
        <v>2481</v>
      </c>
      <c r="E1265" t="s">
        <v>2482</v>
      </c>
      <c r="F1265">
        <v>782.05</v>
      </c>
      <c r="G1265">
        <v>782</v>
      </c>
      <c r="H1265">
        <v>795</v>
      </c>
      <c r="I1265">
        <v>771.05</v>
      </c>
      <c r="J1265" s="1">
        <v>791.15</v>
      </c>
      <c r="K1265">
        <v>109098128.15000001</v>
      </c>
      <c r="L1265">
        <v>138314</v>
      </c>
      <c r="M1265" t="s">
        <v>78</v>
      </c>
      <c r="N1265" t="s">
        <v>17</v>
      </c>
      <c r="O1265">
        <v>9486</v>
      </c>
      <c r="P1265">
        <v>813.45</v>
      </c>
      <c r="Q1265">
        <v>236.2</v>
      </c>
    </row>
    <row r="1266" spans="2:17" x14ac:dyDescent="0.25">
      <c r="B1266" t="s">
        <v>78</v>
      </c>
      <c r="C1266" t="s">
        <v>79</v>
      </c>
      <c r="D1266" t="s">
        <v>2483</v>
      </c>
      <c r="E1266" t="s">
        <v>2484</v>
      </c>
      <c r="F1266">
        <v>141.44999999999999</v>
      </c>
      <c r="G1266">
        <v>141</v>
      </c>
      <c r="H1266">
        <v>144</v>
      </c>
      <c r="I1266">
        <v>139</v>
      </c>
      <c r="J1266" s="1">
        <v>140.80000000000001</v>
      </c>
      <c r="K1266">
        <v>5793365.0999999996</v>
      </c>
      <c r="L1266">
        <v>41091</v>
      </c>
      <c r="M1266" t="s">
        <v>78</v>
      </c>
      <c r="N1266" t="s">
        <v>17</v>
      </c>
      <c r="O1266">
        <v>1152</v>
      </c>
      <c r="P1266">
        <v>227.75</v>
      </c>
      <c r="Q1266">
        <v>44.75</v>
      </c>
    </row>
    <row r="1267" spans="2:17" x14ac:dyDescent="0.25">
      <c r="B1267" t="s">
        <v>78</v>
      </c>
      <c r="C1267" t="s">
        <v>79</v>
      </c>
      <c r="D1267" t="s">
        <v>2485</v>
      </c>
      <c r="E1267" t="s">
        <v>2486</v>
      </c>
      <c r="F1267">
        <v>1495.4</v>
      </c>
      <c r="G1267">
        <v>1476.3</v>
      </c>
      <c r="H1267">
        <v>1495</v>
      </c>
      <c r="I1267">
        <v>1465.1</v>
      </c>
      <c r="J1267" s="1">
        <v>1482.5</v>
      </c>
      <c r="K1267">
        <v>63771787.450000003</v>
      </c>
      <c r="L1267">
        <v>43147</v>
      </c>
      <c r="M1267" t="s">
        <v>78</v>
      </c>
      <c r="N1267" t="s">
        <v>17</v>
      </c>
      <c r="O1267">
        <v>4459</v>
      </c>
      <c r="P1267">
        <v>1547</v>
      </c>
      <c r="Q1267">
        <v>621</v>
      </c>
    </row>
    <row r="1268" spans="2:17" x14ac:dyDescent="0.25">
      <c r="B1268" t="s">
        <v>78</v>
      </c>
      <c r="C1268" t="s">
        <v>79</v>
      </c>
      <c r="D1268" t="s">
        <v>2487</v>
      </c>
      <c r="E1268" t="s">
        <v>2488</v>
      </c>
      <c r="F1268">
        <v>12.45</v>
      </c>
      <c r="G1268">
        <v>12.4</v>
      </c>
      <c r="H1268">
        <v>12.65</v>
      </c>
      <c r="I1268">
        <v>12.3</v>
      </c>
      <c r="J1268" s="1">
        <v>12.35</v>
      </c>
      <c r="K1268">
        <v>168960347.15000001</v>
      </c>
      <c r="L1268">
        <v>13595638</v>
      </c>
      <c r="M1268" t="s">
        <v>78</v>
      </c>
      <c r="N1268" t="s">
        <v>17</v>
      </c>
      <c r="O1268">
        <v>30609</v>
      </c>
      <c r="P1268">
        <v>13.95</v>
      </c>
      <c r="Q1268">
        <v>6.25</v>
      </c>
    </row>
    <row r="1269" spans="2:17" x14ac:dyDescent="0.25">
      <c r="B1269" t="s">
        <v>78</v>
      </c>
      <c r="C1269" t="s">
        <v>79</v>
      </c>
      <c r="D1269" t="s">
        <v>2489</v>
      </c>
      <c r="E1269" t="s">
        <v>2490</v>
      </c>
      <c r="F1269">
        <v>53.05</v>
      </c>
      <c r="G1269">
        <v>53.5</v>
      </c>
      <c r="H1269">
        <v>56.85</v>
      </c>
      <c r="I1269">
        <v>52</v>
      </c>
      <c r="J1269" s="1">
        <v>54.3</v>
      </c>
      <c r="K1269">
        <v>10879207.75</v>
      </c>
      <c r="L1269">
        <v>199827</v>
      </c>
      <c r="M1269" t="s">
        <v>78</v>
      </c>
      <c r="N1269" t="s">
        <v>17</v>
      </c>
      <c r="O1269">
        <v>1530</v>
      </c>
      <c r="P1269">
        <v>59</v>
      </c>
      <c r="Q1269">
        <v>22.6</v>
      </c>
    </row>
    <row r="1270" spans="2:17" x14ac:dyDescent="0.25">
      <c r="B1270" t="s">
        <v>78</v>
      </c>
      <c r="C1270" t="s">
        <v>79</v>
      </c>
      <c r="D1270" t="s">
        <v>2491</v>
      </c>
      <c r="E1270" t="s">
        <v>2492</v>
      </c>
      <c r="F1270">
        <v>305.45</v>
      </c>
      <c r="G1270">
        <v>302.89999999999998</v>
      </c>
      <c r="H1270">
        <v>320</v>
      </c>
      <c r="I1270">
        <v>295.95</v>
      </c>
      <c r="J1270" s="1">
        <v>305.64999999999998</v>
      </c>
      <c r="K1270">
        <v>57845825.399999999</v>
      </c>
      <c r="L1270">
        <v>186353</v>
      </c>
      <c r="M1270" t="s">
        <v>78</v>
      </c>
      <c r="N1270" t="s">
        <v>17</v>
      </c>
      <c r="O1270">
        <v>4978</v>
      </c>
      <c r="P1270">
        <v>330</v>
      </c>
      <c r="Q1270">
        <v>61.5</v>
      </c>
    </row>
    <row r="1271" spans="2:17" x14ac:dyDescent="0.25">
      <c r="B1271" t="s">
        <v>78</v>
      </c>
      <c r="C1271" t="s">
        <v>79</v>
      </c>
      <c r="D1271" t="s">
        <v>2493</v>
      </c>
      <c r="E1271" t="s">
        <v>2494</v>
      </c>
      <c r="F1271">
        <v>688.35</v>
      </c>
      <c r="G1271">
        <v>694.8</v>
      </c>
      <c r="H1271">
        <v>695</v>
      </c>
      <c r="I1271">
        <v>674</v>
      </c>
      <c r="J1271" s="1">
        <v>676.9</v>
      </c>
      <c r="K1271">
        <v>50306761.700000003</v>
      </c>
      <c r="L1271">
        <v>73389</v>
      </c>
      <c r="M1271" t="s">
        <v>78</v>
      </c>
      <c r="N1271" t="s">
        <v>17</v>
      </c>
      <c r="O1271">
        <v>4401</v>
      </c>
      <c r="P1271">
        <v>830</v>
      </c>
      <c r="Q1271">
        <v>479.8</v>
      </c>
    </row>
    <row r="1272" spans="2:17" x14ac:dyDescent="0.25">
      <c r="B1272" t="s">
        <v>78</v>
      </c>
      <c r="C1272" t="s">
        <v>79</v>
      </c>
      <c r="D1272" t="s">
        <v>2495</v>
      </c>
      <c r="E1272" t="s">
        <v>2496</v>
      </c>
      <c r="F1272">
        <v>247.55</v>
      </c>
      <c r="G1272">
        <v>244.5</v>
      </c>
      <c r="H1272">
        <v>247.85</v>
      </c>
      <c r="I1272">
        <v>242</v>
      </c>
      <c r="J1272" s="1">
        <v>245.3</v>
      </c>
      <c r="K1272">
        <v>202619615.59999999</v>
      </c>
      <c r="L1272">
        <v>827831</v>
      </c>
      <c r="M1272" t="s">
        <v>78</v>
      </c>
      <c r="N1272" t="s">
        <v>17</v>
      </c>
      <c r="O1272">
        <v>19116</v>
      </c>
      <c r="P1272">
        <v>264.89999999999998</v>
      </c>
      <c r="Q1272">
        <v>141</v>
      </c>
    </row>
    <row r="1273" spans="2:17" x14ac:dyDescent="0.25">
      <c r="B1273" t="s">
        <v>78</v>
      </c>
      <c r="C1273" t="s">
        <v>79</v>
      </c>
      <c r="D1273" t="s">
        <v>2497</v>
      </c>
      <c r="E1273" t="s">
        <v>2498</v>
      </c>
      <c r="F1273">
        <v>72.099999999999994</v>
      </c>
      <c r="G1273">
        <v>70.7</v>
      </c>
      <c r="H1273">
        <v>72.5</v>
      </c>
      <c r="I1273">
        <v>68.099999999999994</v>
      </c>
      <c r="J1273" s="1">
        <v>69.099999999999994</v>
      </c>
      <c r="K1273">
        <v>18511261.949999999</v>
      </c>
      <c r="L1273">
        <v>264783</v>
      </c>
      <c r="M1273" t="s">
        <v>78</v>
      </c>
      <c r="N1273" t="s">
        <v>17</v>
      </c>
      <c r="O1273">
        <v>3663</v>
      </c>
      <c r="P1273">
        <v>75.8</v>
      </c>
      <c r="Q1273">
        <v>28.6</v>
      </c>
    </row>
    <row r="1274" spans="2:17" x14ac:dyDescent="0.25">
      <c r="B1274" t="s">
        <v>78</v>
      </c>
      <c r="C1274" t="s">
        <v>79</v>
      </c>
      <c r="D1274" t="s">
        <v>2499</v>
      </c>
      <c r="E1274" t="s">
        <v>2500</v>
      </c>
      <c r="F1274">
        <v>98.35</v>
      </c>
      <c r="G1274">
        <v>96</v>
      </c>
      <c r="H1274">
        <v>98.05</v>
      </c>
      <c r="I1274">
        <v>93.1</v>
      </c>
      <c r="J1274" s="1">
        <v>93.55</v>
      </c>
      <c r="K1274">
        <v>142657515.90000001</v>
      </c>
      <c r="L1274">
        <v>1495522</v>
      </c>
      <c r="M1274" t="s">
        <v>78</v>
      </c>
      <c r="N1274" t="s">
        <v>17</v>
      </c>
      <c r="O1274">
        <v>11546</v>
      </c>
      <c r="P1274">
        <v>99.7</v>
      </c>
      <c r="Q1274">
        <v>65.7</v>
      </c>
    </row>
    <row r="1275" spans="2:17" x14ac:dyDescent="0.25">
      <c r="B1275" t="s">
        <v>78</v>
      </c>
      <c r="C1275" t="s">
        <v>79</v>
      </c>
      <c r="D1275" t="s">
        <v>2501</v>
      </c>
      <c r="E1275" t="s">
        <v>2502</v>
      </c>
      <c r="F1275">
        <v>66.349999999999994</v>
      </c>
      <c r="G1275">
        <v>65.349999999999994</v>
      </c>
      <c r="H1275">
        <v>66.7</v>
      </c>
      <c r="I1275">
        <v>64</v>
      </c>
      <c r="J1275" s="1">
        <v>64.5</v>
      </c>
      <c r="K1275">
        <v>110022117.3</v>
      </c>
      <c r="L1275">
        <v>1692022</v>
      </c>
      <c r="M1275" t="s">
        <v>78</v>
      </c>
      <c r="N1275" t="s">
        <v>17</v>
      </c>
      <c r="O1275">
        <v>8338</v>
      </c>
      <c r="P1275">
        <v>68.45</v>
      </c>
      <c r="Q1275">
        <v>16.8</v>
      </c>
    </row>
    <row r="1276" spans="2:17" x14ac:dyDescent="0.25">
      <c r="B1276" t="s">
        <v>78</v>
      </c>
      <c r="C1276" t="s">
        <v>79</v>
      </c>
      <c r="D1276" t="s">
        <v>2503</v>
      </c>
      <c r="E1276" t="s">
        <v>2504</v>
      </c>
      <c r="F1276">
        <v>78.7</v>
      </c>
      <c r="G1276">
        <v>78.45</v>
      </c>
      <c r="H1276">
        <v>78.7</v>
      </c>
      <c r="I1276">
        <v>77.099999999999994</v>
      </c>
      <c r="J1276" s="1">
        <v>77.55</v>
      </c>
      <c r="K1276">
        <v>230433929.94999999</v>
      </c>
      <c r="L1276">
        <v>2958688</v>
      </c>
      <c r="M1276" t="s">
        <v>78</v>
      </c>
      <c r="N1276" t="s">
        <v>17</v>
      </c>
      <c r="O1276">
        <v>19710</v>
      </c>
      <c r="P1276">
        <v>108</v>
      </c>
      <c r="Q1276">
        <v>45.35</v>
      </c>
    </row>
    <row r="1277" spans="2:17" x14ac:dyDescent="0.25">
      <c r="B1277" t="s">
        <v>78</v>
      </c>
      <c r="C1277" t="s">
        <v>79</v>
      </c>
      <c r="D1277" t="s">
        <v>2505</v>
      </c>
      <c r="E1277" t="s">
        <v>2506</v>
      </c>
      <c r="F1277">
        <v>50.85</v>
      </c>
      <c r="G1277">
        <v>50.6</v>
      </c>
      <c r="H1277">
        <v>52.45</v>
      </c>
      <c r="I1277">
        <v>50.5</v>
      </c>
      <c r="J1277" s="1">
        <v>51.4</v>
      </c>
      <c r="K1277">
        <v>6145641.5999999996</v>
      </c>
      <c r="L1277">
        <v>119075</v>
      </c>
      <c r="M1277" t="s">
        <v>78</v>
      </c>
      <c r="N1277" t="s">
        <v>17</v>
      </c>
      <c r="O1277">
        <v>1585</v>
      </c>
      <c r="P1277">
        <v>57.7</v>
      </c>
      <c r="Q1277">
        <v>25.3</v>
      </c>
    </row>
    <row r="1278" spans="2:17" x14ac:dyDescent="0.25">
      <c r="B1278" t="s">
        <v>78</v>
      </c>
      <c r="C1278" t="s">
        <v>79</v>
      </c>
      <c r="D1278" t="s">
        <v>2507</v>
      </c>
      <c r="E1278" t="s">
        <v>2508</v>
      </c>
      <c r="F1278">
        <v>189.35</v>
      </c>
      <c r="G1278">
        <v>188</v>
      </c>
      <c r="H1278">
        <v>192.35</v>
      </c>
      <c r="I1278">
        <v>185</v>
      </c>
      <c r="J1278" s="1">
        <v>189.6</v>
      </c>
      <c r="K1278">
        <v>2107517.65</v>
      </c>
      <c r="L1278">
        <v>11105</v>
      </c>
      <c r="M1278" t="s">
        <v>78</v>
      </c>
      <c r="N1278" t="s">
        <v>17</v>
      </c>
      <c r="O1278">
        <v>332</v>
      </c>
      <c r="P1278">
        <v>238</v>
      </c>
      <c r="Q1278">
        <v>121.05</v>
      </c>
    </row>
    <row r="1279" spans="2:17" x14ac:dyDescent="0.25">
      <c r="B1279" t="s">
        <v>78</v>
      </c>
      <c r="C1279" t="s">
        <v>79</v>
      </c>
      <c r="D1279" t="s">
        <v>2509</v>
      </c>
      <c r="E1279" t="s">
        <v>2510</v>
      </c>
      <c r="F1279">
        <v>12.9</v>
      </c>
      <c r="G1279">
        <v>12.6</v>
      </c>
      <c r="H1279">
        <v>12.85</v>
      </c>
      <c r="I1279">
        <v>12.6</v>
      </c>
      <c r="J1279" s="1">
        <v>12.65</v>
      </c>
      <c r="K1279">
        <v>20224892.399999999</v>
      </c>
      <c r="L1279">
        <v>1594939</v>
      </c>
      <c r="M1279" t="s">
        <v>78</v>
      </c>
      <c r="N1279" t="s">
        <v>17</v>
      </c>
      <c r="O1279">
        <v>2792</v>
      </c>
      <c r="P1279">
        <v>18.350000000000001</v>
      </c>
      <c r="Q1279">
        <v>5</v>
      </c>
    </row>
    <row r="1280" spans="2:17" x14ac:dyDescent="0.25">
      <c r="B1280" t="s">
        <v>78</v>
      </c>
      <c r="C1280" t="s">
        <v>79</v>
      </c>
      <c r="D1280" t="s">
        <v>2511</v>
      </c>
      <c r="E1280" t="s">
        <v>2512</v>
      </c>
      <c r="F1280">
        <v>7761.85</v>
      </c>
      <c r="G1280">
        <v>7749.8</v>
      </c>
      <c r="H1280">
        <v>7874.85</v>
      </c>
      <c r="I1280">
        <v>7656.45</v>
      </c>
      <c r="J1280" s="1">
        <v>7844.3</v>
      </c>
      <c r="K1280">
        <v>1077043079.2</v>
      </c>
      <c r="L1280">
        <v>138363</v>
      </c>
      <c r="M1280" t="s">
        <v>78</v>
      </c>
      <c r="N1280" t="s">
        <v>17</v>
      </c>
      <c r="O1280">
        <v>23520</v>
      </c>
      <c r="P1280">
        <v>7874.85</v>
      </c>
      <c r="Q1280">
        <v>3722.1</v>
      </c>
    </row>
    <row r="1281" spans="2:17" x14ac:dyDescent="0.25">
      <c r="B1281" t="s">
        <v>78</v>
      </c>
      <c r="C1281" t="s">
        <v>79</v>
      </c>
      <c r="D1281" t="s">
        <v>2513</v>
      </c>
      <c r="E1281" t="s">
        <v>2514</v>
      </c>
      <c r="F1281">
        <v>337.45</v>
      </c>
      <c r="G1281">
        <v>330.5</v>
      </c>
      <c r="H1281">
        <v>339.8</v>
      </c>
      <c r="I1281">
        <v>317.95</v>
      </c>
      <c r="J1281" s="1">
        <v>323</v>
      </c>
      <c r="K1281">
        <v>15054466.15</v>
      </c>
      <c r="L1281">
        <v>46078</v>
      </c>
      <c r="M1281" t="s">
        <v>78</v>
      </c>
      <c r="N1281" t="s">
        <v>17</v>
      </c>
      <c r="O1281">
        <v>2552</v>
      </c>
      <c r="P1281">
        <v>368</v>
      </c>
      <c r="Q1281">
        <v>145.05000000000001</v>
      </c>
    </row>
    <row r="1282" spans="2:17" x14ac:dyDescent="0.25">
      <c r="B1282" t="s">
        <v>78</v>
      </c>
      <c r="C1282" t="s">
        <v>79</v>
      </c>
      <c r="D1282" t="s">
        <v>2515</v>
      </c>
      <c r="E1282" t="s">
        <v>2516</v>
      </c>
      <c r="F1282">
        <v>222.55</v>
      </c>
      <c r="G1282">
        <v>220.05</v>
      </c>
      <c r="H1282">
        <v>224.8</v>
      </c>
      <c r="I1282">
        <v>216.25</v>
      </c>
      <c r="J1282" s="1">
        <v>218.65</v>
      </c>
      <c r="K1282">
        <v>33203090.649999999</v>
      </c>
      <c r="L1282">
        <v>150310</v>
      </c>
      <c r="M1282" t="s">
        <v>78</v>
      </c>
      <c r="N1282" t="s">
        <v>17</v>
      </c>
      <c r="O1282">
        <v>6193</v>
      </c>
      <c r="P1282">
        <v>236.6</v>
      </c>
      <c r="Q1282">
        <v>109.3</v>
      </c>
    </row>
    <row r="1283" spans="2:17" x14ac:dyDescent="0.25">
      <c r="B1283" t="s">
        <v>78</v>
      </c>
      <c r="C1283" t="s">
        <v>79</v>
      </c>
      <c r="D1283" t="s">
        <v>2517</v>
      </c>
      <c r="E1283" t="s">
        <v>2518</v>
      </c>
      <c r="F1283">
        <v>1449.35</v>
      </c>
      <c r="G1283">
        <v>1425</v>
      </c>
      <c r="H1283">
        <v>1440</v>
      </c>
      <c r="I1283">
        <v>1381.9</v>
      </c>
      <c r="J1283" s="1">
        <v>1389.85</v>
      </c>
      <c r="K1283">
        <v>2390905414.5</v>
      </c>
      <c r="L1283">
        <v>1704670</v>
      </c>
      <c r="M1283" t="s">
        <v>78</v>
      </c>
      <c r="N1283" t="s">
        <v>17</v>
      </c>
      <c r="O1283">
        <v>49112</v>
      </c>
      <c r="P1283">
        <v>1534.95</v>
      </c>
      <c r="Q1283">
        <v>555.54999999999995</v>
      </c>
    </row>
    <row r="1284" spans="2:17" x14ac:dyDescent="0.25">
      <c r="B1284" t="s">
        <v>78</v>
      </c>
      <c r="C1284" t="s">
        <v>287</v>
      </c>
      <c r="D1284" t="s">
        <v>2519</v>
      </c>
      <c r="E1284" t="s">
        <v>2520</v>
      </c>
      <c r="F1284">
        <v>9.5</v>
      </c>
      <c r="G1284">
        <v>9.0500000000000007</v>
      </c>
      <c r="H1284">
        <v>9.4</v>
      </c>
      <c r="I1284">
        <v>9.0500000000000007</v>
      </c>
      <c r="J1284" s="1">
        <v>9.4</v>
      </c>
      <c r="K1284">
        <v>83550</v>
      </c>
      <c r="L1284">
        <v>9000</v>
      </c>
      <c r="M1284" t="s">
        <v>78</v>
      </c>
      <c r="N1284" t="s">
        <v>17</v>
      </c>
      <c r="O1284">
        <v>2</v>
      </c>
      <c r="P1284">
        <v>10.199999999999999</v>
      </c>
      <c r="Q1284">
        <v>5.65</v>
      </c>
    </row>
    <row r="1285" spans="2:17" x14ac:dyDescent="0.25">
      <c r="B1285" t="s">
        <v>78</v>
      </c>
      <c r="C1285" t="s">
        <v>79</v>
      </c>
      <c r="D1285" t="s">
        <v>2521</v>
      </c>
      <c r="E1285" t="s">
        <v>2522</v>
      </c>
      <c r="F1285">
        <v>1212.55</v>
      </c>
      <c r="G1285">
        <v>1216.8499999999999</v>
      </c>
      <c r="H1285">
        <v>1295.75</v>
      </c>
      <c r="I1285">
        <v>1216</v>
      </c>
      <c r="J1285" s="1">
        <v>1271.5</v>
      </c>
      <c r="K1285">
        <v>106305794.5</v>
      </c>
      <c r="L1285">
        <v>84221</v>
      </c>
      <c r="M1285" t="s">
        <v>78</v>
      </c>
      <c r="N1285" t="s">
        <v>17</v>
      </c>
      <c r="O1285">
        <v>7878</v>
      </c>
      <c r="P1285">
        <v>1355</v>
      </c>
      <c r="Q1285">
        <v>394.8</v>
      </c>
    </row>
    <row r="1286" spans="2:17" x14ac:dyDescent="0.25">
      <c r="B1286" t="s">
        <v>78</v>
      </c>
      <c r="C1286" t="s">
        <v>79</v>
      </c>
      <c r="D1286" t="s">
        <v>2523</v>
      </c>
      <c r="E1286" t="s">
        <v>2524</v>
      </c>
      <c r="F1286">
        <v>789.75</v>
      </c>
      <c r="G1286">
        <v>783.2</v>
      </c>
      <c r="H1286">
        <v>792.45</v>
      </c>
      <c r="I1286">
        <v>778.6</v>
      </c>
      <c r="J1286" s="1">
        <v>785</v>
      </c>
      <c r="K1286">
        <v>136083738.05000001</v>
      </c>
      <c r="L1286">
        <v>173336</v>
      </c>
      <c r="M1286" t="s">
        <v>78</v>
      </c>
      <c r="N1286" t="s">
        <v>17</v>
      </c>
      <c r="O1286">
        <v>6767</v>
      </c>
      <c r="P1286">
        <v>999</v>
      </c>
      <c r="Q1286">
        <v>406.9</v>
      </c>
    </row>
    <row r="1287" spans="2:17" x14ac:dyDescent="0.25">
      <c r="B1287" t="s">
        <v>78</v>
      </c>
      <c r="C1287" t="s">
        <v>79</v>
      </c>
      <c r="D1287" t="s">
        <v>2525</v>
      </c>
      <c r="E1287" t="s">
        <v>2526</v>
      </c>
      <c r="F1287">
        <v>108.5</v>
      </c>
      <c r="G1287">
        <v>108</v>
      </c>
      <c r="H1287">
        <v>113.1</v>
      </c>
      <c r="I1287">
        <v>108</v>
      </c>
      <c r="J1287" s="1">
        <v>112.2</v>
      </c>
      <c r="K1287">
        <v>95345783.299999997</v>
      </c>
      <c r="L1287">
        <v>853385</v>
      </c>
      <c r="M1287" t="s">
        <v>78</v>
      </c>
      <c r="N1287" t="s">
        <v>17</v>
      </c>
      <c r="O1287">
        <v>8696</v>
      </c>
      <c r="P1287">
        <v>117.95</v>
      </c>
      <c r="Q1287">
        <v>75.349999999999994</v>
      </c>
    </row>
    <row r="1288" spans="2:17" x14ac:dyDescent="0.25">
      <c r="B1288" t="s">
        <v>78</v>
      </c>
      <c r="C1288" t="s">
        <v>79</v>
      </c>
      <c r="D1288" t="s">
        <v>2527</v>
      </c>
      <c r="E1288" t="s">
        <v>2528</v>
      </c>
      <c r="F1288">
        <v>160.9</v>
      </c>
      <c r="G1288">
        <v>158.6</v>
      </c>
      <c r="H1288">
        <v>163.5</v>
      </c>
      <c r="I1288">
        <v>157.19999999999999</v>
      </c>
      <c r="J1288" s="1">
        <v>160.44999999999999</v>
      </c>
      <c r="K1288">
        <v>27081324.899999999</v>
      </c>
      <c r="L1288">
        <v>169236</v>
      </c>
      <c r="M1288" t="s">
        <v>78</v>
      </c>
      <c r="N1288" t="s">
        <v>17</v>
      </c>
      <c r="O1288">
        <v>3704</v>
      </c>
      <c r="P1288">
        <v>181.7</v>
      </c>
      <c r="Q1288">
        <v>80.8</v>
      </c>
    </row>
    <row r="1289" spans="2:17" x14ac:dyDescent="0.25">
      <c r="B1289" t="s">
        <v>78</v>
      </c>
      <c r="C1289" t="s">
        <v>79</v>
      </c>
      <c r="D1289" t="s">
        <v>2529</v>
      </c>
      <c r="E1289" t="s">
        <v>2530</v>
      </c>
      <c r="F1289">
        <v>113.8</v>
      </c>
      <c r="G1289">
        <v>112.8</v>
      </c>
      <c r="H1289">
        <v>115.65</v>
      </c>
      <c r="I1289">
        <v>111.65</v>
      </c>
      <c r="J1289" s="1">
        <v>112.8</v>
      </c>
      <c r="K1289">
        <v>9669710.8000000007</v>
      </c>
      <c r="L1289">
        <v>84947</v>
      </c>
      <c r="M1289" t="s">
        <v>78</v>
      </c>
      <c r="N1289" t="s">
        <v>17</v>
      </c>
      <c r="O1289">
        <v>4047</v>
      </c>
      <c r="P1289">
        <v>138.80000000000001</v>
      </c>
      <c r="Q1289">
        <v>46.5</v>
      </c>
    </row>
    <row r="1290" spans="2:17" x14ac:dyDescent="0.25">
      <c r="B1290" t="s">
        <v>78</v>
      </c>
      <c r="C1290" t="s">
        <v>79</v>
      </c>
      <c r="D1290" t="s">
        <v>2531</v>
      </c>
      <c r="E1290" t="s">
        <v>2532</v>
      </c>
      <c r="F1290">
        <v>69.2</v>
      </c>
      <c r="G1290">
        <v>78.05</v>
      </c>
      <c r="H1290">
        <v>83</v>
      </c>
      <c r="I1290">
        <v>72</v>
      </c>
      <c r="J1290" s="1">
        <v>83</v>
      </c>
      <c r="K1290">
        <v>113078214.2</v>
      </c>
      <c r="L1290">
        <v>1406480</v>
      </c>
      <c r="M1290" t="s">
        <v>78</v>
      </c>
      <c r="N1290" t="s">
        <v>17</v>
      </c>
      <c r="O1290">
        <v>11853</v>
      </c>
      <c r="P1290">
        <v>83</v>
      </c>
      <c r="Q1290">
        <v>25.45</v>
      </c>
    </row>
    <row r="1291" spans="2:17" x14ac:dyDescent="0.25">
      <c r="B1291" t="s">
        <v>78</v>
      </c>
      <c r="C1291" t="s">
        <v>79</v>
      </c>
      <c r="D1291" t="s">
        <v>2533</v>
      </c>
      <c r="E1291" t="s">
        <v>2534</v>
      </c>
      <c r="F1291">
        <v>69.55</v>
      </c>
      <c r="G1291">
        <v>69.5</v>
      </c>
      <c r="H1291">
        <v>69.650000000000006</v>
      </c>
      <c r="I1291">
        <v>68.05</v>
      </c>
      <c r="J1291" s="1">
        <v>68.5</v>
      </c>
      <c r="K1291">
        <v>9174402.4000000004</v>
      </c>
      <c r="L1291">
        <v>133490</v>
      </c>
      <c r="M1291" t="s">
        <v>78</v>
      </c>
      <c r="N1291" t="s">
        <v>17</v>
      </c>
      <c r="O1291">
        <v>1513</v>
      </c>
      <c r="P1291">
        <v>75.25</v>
      </c>
      <c r="Q1291">
        <v>30.3</v>
      </c>
    </row>
    <row r="1292" spans="2:17" x14ac:dyDescent="0.25">
      <c r="B1292" t="s">
        <v>78</v>
      </c>
      <c r="C1292" t="s">
        <v>79</v>
      </c>
      <c r="D1292" t="s">
        <v>2535</v>
      </c>
      <c r="E1292" t="s">
        <v>2536</v>
      </c>
      <c r="F1292">
        <v>109.15</v>
      </c>
      <c r="G1292">
        <v>107.6</v>
      </c>
      <c r="H1292">
        <v>116.5</v>
      </c>
      <c r="I1292">
        <v>107.6</v>
      </c>
      <c r="J1292" s="1">
        <v>114.15</v>
      </c>
      <c r="K1292">
        <v>10723714.550000001</v>
      </c>
      <c r="L1292">
        <v>93858</v>
      </c>
      <c r="M1292" t="s">
        <v>78</v>
      </c>
      <c r="N1292" t="s">
        <v>17</v>
      </c>
      <c r="O1292">
        <v>1630</v>
      </c>
      <c r="P1292">
        <v>121.5</v>
      </c>
      <c r="Q1292">
        <v>45.25</v>
      </c>
    </row>
    <row r="1293" spans="2:17" x14ac:dyDescent="0.25">
      <c r="B1293" t="s">
        <v>78</v>
      </c>
      <c r="C1293" t="s">
        <v>79</v>
      </c>
      <c r="D1293" t="s">
        <v>2537</v>
      </c>
      <c r="E1293" t="s">
        <v>2538</v>
      </c>
      <c r="F1293">
        <v>202.25</v>
      </c>
      <c r="G1293">
        <v>201.9</v>
      </c>
      <c r="H1293">
        <v>208</v>
      </c>
      <c r="I1293">
        <v>200.25</v>
      </c>
      <c r="J1293" s="1">
        <v>203.35</v>
      </c>
      <c r="K1293">
        <v>25718229.949999999</v>
      </c>
      <c r="L1293">
        <v>125935</v>
      </c>
      <c r="M1293" t="s">
        <v>78</v>
      </c>
      <c r="N1293" t="s">
        <v>17</v>
      </c>
      <c r="O1293">
        <v>3741</v>
      </c>
      <c r="P1293">
        <v>232.2</v>
      </c>
      <c r="Q1293">
        <v>159.94999999999999</v>
      </c>
    </row>
    <row r="1294" spans="2:17" x14ac:dyDescent="0.25">
      <c r="B1294" t="s">
        <v>78</v>
      </c>
      <c r="C1294" t="s">
        <v>79</v>
      </c>
      <c r="D1294" t="s">
        <v>2539</v>
      </c>
      <c r="E1294" t="s">
        <v>2540</v>
      </c>
      <c r="F1294">
        <v>300.39999999999998</v>
      </c>
      <c r="G1294">
        <v>298.39999999999998</v>
      </c>
      <c r="H1294">
        <v>301.64999999999998</v>
      </c>
      <c r="I1294">
        <v>296.5</v>
      </c>
      <c r="J1294" s="1">
        <v>299.45</v>
      </c>
      <c r="K1294">
        <v>121172028.84999999</v>
      </c>
      <c r="L1294">
        <v>404718</v>
      </c>
      <c r="M1294" t="s">
        <v>78</v>
      </c>
      <c r="N1294" t="s">
        <v>17</v>
      </c>
      <c r="O1294">
        <v>8288</v>
      </c>
      <c r="P1294">
        <v>305</v>
      </c>
      <c r="Q1294">
        <v>115.5</v>
      </c>
    </row>
    <row r="1295" spans="2:17" x14ac:dyDescent="0.25">
      <c r="B1295" t="s">
        <v>78</v>
      </c>
      <c r="C1295" t="s">
        <v>79</v>
      </c>
      <c r="D1295" t="s">
        <v>2541</v>
      </c>
      <c r="E1295" t="s">
        <v>2542</v>
      </c>
      <c r="F1295">
        <v>753.15</v>
      </c>
      <c r="G1295">
        <v>748.95</v>
      </c>
      <c r="H1295">
        <v>753</v>
      </c>
      <c r="I1295">
        <v>730</v>
      </c>
      <c r="J1295" s="1">
        <v>731.8</v>
      </c>
      <c r="K1295">
        <v>343555118.64999998</v>
      </c>
      <c r="L1295">
        <v>463757</v>
      </c>
      <c r="M1295" t="s">
        <v>78</v>
      </c>
      <c r="N1295" t="s">
        <v>17</v>
      </c>
      <c r="O1295">
        <v>20437</v>
      </c>
      <c r="P1295">
        <v>813.9</v>
      </c>
      <c r="Q1295">
        <v>406.1</v>
      </c>
    </row>
    <row r="1296" spans="2:17" x14ac:dyDescent="0.25">
      <c r="B1296" t="s">
        <v>78</v>
      </c>
      <c r="C1296" t="s">
        <v>79</v>
      </c>
      <c r="D1296" t="s">
        <v>2543</v>
      </c>
      <c r="E1296" t="s">
        <v>2544</v>
      </c>
      <c r="F1296">
        <v>68.7</v>
      </c>
      <c r="G1296">
        <v>68.400000000000006</v>
      </c>
      <c r="H1296">
        <v>69.7</v>
      </c>
      <c r="I1296">
        <v>66.7</v>
      </c>
      <c r="J1296" s="1">
        <v>67.7</v>
      </c>
      <c r="K1296">
        <v>735861243.85000002</v>
      </c>
      <c r="L1296">
        <v>10772813</v>
      </c>
      <c r="M1296" t="s">
        <v>78</v>
      </c>
      <c r="N1296" t="s">
        <v>17</v>
      </c>
      <c r="O1296">
        <v>37450</v>
      </c>
      <c r="P1296">
        <v>74.400000000000006</v>
      </c>
      <c r="Q1296">
        <v>17.75</v>
      </c>
    </row>
    <row r="1297" spans="2:17" x14ac:dyDescent="0.25">
      <c r="B1297" t="s">
        <v>78</v>
      </c>
      <c r="C1297" t="s">
        <v>79</v>
      </c>
      <c r="D1297" t="s">
        <v>2545</v>
      </c>
      <c r="E1297" t="s">
        <v>2546</v>
      </c>
      <c r="F1297">
        <v>333.1</v>
      </c>
      <c r="G1297">
        <v>334</v>
      </c>
      <c r="H1297">
        <v>334</v>
      </c>
      <c r="I1297">
        <v>321.89999999999998</v>
      </c>
      <c r="J1297" s="1">
        <v>324.60000000000002</v>
      </c>
      <c r="K1297">
        <v>14984750.5</v>
      </c>
      <c r="L1297">
        <v>45791</v>
      </c>
      <c r="M1297" t="s">
        <v>78</v>
      </c>
      <c r="N1297" t="s">
        <v>17</v>
      </c>
      <c r="O1297">
        <v>2585</v>
      </c>
      <c r="P1297">
        <v>364.9</v>
      </c>
      <c r="Q1297">
        <v>163.5</v>
      </c>
    </row>
    <row r="1298" spans="2:17" x14ac:dyDescent="0.25">
      <c r="B1298" t="s">
        <v>78</v>
      </c>
      <c r="C1298" t="s">
        <v>79</v>
      </c>
      <c r="D1298" t="s">
        <v>2547</v>
      </c>
      <c r="E1298" t="s">
        <v>2548</v>
      </c>
      <c r="F1298">
        <v>751.25</v>
      </c>
      <c r="G1298">
        <v>749.5</v>
      </c>
      <c r="H1298">
        <v>756.95</v>
      </c>
      <c r="I1298">
        <v>745.15</v>
      </c>
      <c r="J1298" s="1">
        <v>749.5</v>
      </c>
      <c r="K1298">
        <v>77227287.049999997</v>
      </c>
      <c r="L1298">
        <v>102858</v>
      </c>
      <c r="M1298" t="s">
        <v>78</v>
      </c>
      <c r="N1298" t="s">
        <v>17</v>
      </c>
      <c r="O1298">
        <v>4711</v>
      </c>
      <c r="P1298">
        <v>794</v>
      </c>
      <c r="Q1298">
        <v>383</v>
      </c>
    </row>
    <row r="1299" spans="2:17" x14ac:dyDescent="0.25">
      <c r="B1299" t="s">
        <v>78</v>
      </c>
      <c r="C1299" t="s">
        <v>79</v>
      </c>
      <c r="D1299" t="s">
        <v>2549</v>
      </c>
      <c r="E1299" t="s">
        <v>2550</v>
      </c>
      <c r="F1299">
        <v>437.45</v>
      </c>
      <c r="G1299">
        <v>437.45</v>
      </c>
      <c r="H1299">
        <v>451.95</v>
      </c>
      <c r="I1299">
        <v>431.3</v>
      </c>
      <c r="J1299" s="1">
        <v>436.2</v>
      </c>
      <c r="K1299">
        <v>304462924.05000001</v>
      </c>
      <c r="L1299">
        <v>689291</v>
      </c>
      <c r="M1299" t="s">
        <v>78</v>
      </c>
      <c r="N1299" t="s">
        <v>17</v>
      </c>
      <c r="O1299">
        <v>15215</v>
      </c>
      <c r="P1299">
        <v>458</v>
      </c>
      <c r="Q1299">
        <v>258</v>
      </c>
    </row>
    <row r="1300" spans="2:17" x14ac:dyDescent="0.25">
      <c r="B1300" t="s">
        <v>78</v>
      </c>
      <c r="C1300" t="s">
        <v>79</v>
      </c>
      <c r="D1300" t="s">
        <v>2551</v>
      </c>
      <c r="E1300" t="s">
        <v>2552</v>
      </c>
      <c r="F1300">
        <v>18.45</v>
      </c>
      <c r="G1300">
        <v>17.100000000000001</v>
      </c>
      <c r="H1300">
        <v>21.8</v>
      </c>
      <c r="I1300">
        <v>17.100000000000001</v>
      </c>
      <c r="J1300" s="1">
        <v>20.7</v>
      </c>
      <c r="K1300">
        <v>31557661</v>
      </c>
      <c r="L1300">
        <v>1544518</v>
      </c>
      <c r="M1300" t="s">
        <v>78</v>
      </c>
      <c r="N1300" t="s">
        <v>17</v>
      </c>
      <c r="O1300">
        <v>4464</v>
      </c>
      <c r="P1300">
        <v>21.85</v>
      </c>
      <c r="Q1300">
        <v>7.45</v>
      </c>
    </row>
    <row r="1301" spans="2:17" x14ac:dyDescent="0.25">
      <c r="B1301" t="s">
        <v>78</v>
      </c>
      <c r="C1301" t="s">
        <v>79</v>
      </c>
      <c r="D1301" t="s">
        <v>2553</v>
      </c>
      <c r="E1301" t="s">
        <v>2554</v>
      </c>
      <c r="F1301">
        <v>657.8</v>
      </c>
      <c r="G1301">
        <v>656</v>
      </c>
      <c r="H1301">
        <v>665</v>
      </c>
      <c r="I1301">
        <v>647.79999999999995</v>
      </c>
      <c r="J1301" s="1">
        <v>655.15</v>
      </c>
      <c r="K1301">
        <v>3949382.2</v>
      </c>
      <c r="L1301">
        <v>6018</v>
      </c>
      <c r="M1301" t="s">
        <v>78</v>
      </c>
      <c r="N1301" t="s">
        <v>17</v>
      </c>
      <c r="O1301">
        <v>545</v>
      </c>
      <c r="P1301">
        <v>737.4</v>
      </c>
      <c r="Q1301">
        <v>341.05</v>
      </c>
    </row>
    <row r="1302" spans="2:17" x14ac:dyDescent="0.25">
      <c r="B1302" t="s">
        <v>78</v>
      </c>
      <c r="C1302" t="s">
        <v>79</v>
      </c>
      <c r="D1302" t="s">
        <v>2555</v>
      </c>
      <c r="E1302" t="s">
        <v>2556</v>
      </c>
      <c r="F1302">
        <v>3884.1</v>
      </c>
      <c r="G1302">
        <v>3874.4</v>
      </c>
      <c r="H1302">
        <v>4099</v>
      </c>
      <c r="I1302">
        <v>3821.5</v>
      </c>
      <c r="J1302" s="1">
        <v>3881.85</v>
      </c>
      <c r="K1302">
        <v>172609915.44999999</v>
      </c>
      <c r="L1302">
        <v>43533</v>
      </c>
      <c r="M1302" t="s">
        <v>78</v>
      </c>
      <c r="N1302" t="s">
        <v>17</v>
      </c>
      <c r="O1302">
        <v>8963</v>
      </c>
      <c r="P1302">
        <v>4250</v>
      </c>
      <c r="Q1302">
        <v>1522.65</v>
      </c>
    </row>
    <row r="1303" spans="2:17" x14ac:dyDescent="0.25">
      <c r="B1303" t="s">
        <v>78</v>
      </c>
      <c r="C1303" t="s">
        <v>79</v>
      </c>
      <c r="D1303" t="s">
        <v>2557</v>
      </c>
      <c r="E1303" t="s">
        <v>2558</v>
      </c>
      <c r="F1303">
        <v>2652.7</v>
      </c>
      <c r="G1303">
        <v>2652.7</v>
      </c>
      <c r="H1303">
        <v>2660</v>
      </c>
      <c r="I1303">
        <v>2615.35</v>
      </c>
      <c r="J1303" s="1">
        <v>2643.4</v>
      </c>
      <c r="K1303">
        <v>29993247.300000001</v>
      </c>
      <c r="L1303">
        <v>11356</v>
      </c>
      <c r="M1303" t="s">
        <v>78</v>
      </c>
      <c r="N1303" t="s">
        <v>17</v>
      </c>
      <c r="O1303">
        <v>3698</v>
      </c>
      <c r="P1303">
        <v>2868</v>
      </c>
      <c r="Q1303">
        <v>1232.1500000000001</v>
      </c>
    </row>
    <row r="1304" spans="2:17" x14ac:dyDescent="0.25">
      <c r="B1304" t="s">
        <v>78</v>
      </c>
      <c r="C1304" t="s">
        <v>79</v>
      </c>
      <c r="D1304" t="s">
        <v>2559</v>
      </c>
      <c r="E1304" t="s">
        <v>2560</v>
      </c>
      <c r="F1304">
        <v>80.45</v>
      </c>
      <c r="G1304">
        <v>79</v>
      </c>
      <c r="H1304">
        <v>83.25</v>
      </c>
      <c r="I1304">
        <v>77.75</v>
      </c>
      <c r="J1304" s="1">
        <v>78.8</v>
      </c>
      <c r="K1304">
        <v>58480654.350000001</v>
      </c>
      <c r="L1304">
        <v>726886</v>
      </c>
      <c r="M1304" t="s">
        <v>78</v>
      </c>
      <c r="N1304" t="s">
        <v>17</v>
      </c>
      <c r="O1304">
        <v>6924</v>
      </c>
      <c r="P1304">
        <v>91.5</v>
      </c>
      <c r="Q1304">
        <v>46.1</v>
      </c>
    </row>
    <row r="1305" spans="2:17" x14ac:dyDescent="0.25">
      <c r="B1305" t="s">
        <v>78</v>
      </c>
      <c r="C1305" t="s">
        <v>79</v>
      </c>
      <c r="D1305" t="s">
        <v>2561</v>
      </c>
      <c r="E1305" t="s">
        <v>2562</v>
      </c>
      <c r="F1305">
        <v>439.75</v>
      </c>
      <c r="G1305">
        <v>433.5</v>
      </c>
      <c r="H1305">
        <v>454.9</v>
      </c>
      <c r="I1305">
        <v>433.5</v>
      </c>
      <c r="J1305" s="1">
        <v>437.6</v>
      </c>
      <c r="K1305">
        <v>3627445.9</v>
      </c>
      <c r="L1305">
        <v>8210</v>
      </c>
      <c r="M1305" t="s">
        <v>78</v>
      </c>
      <c r="N1305" t="s">
        <v>17</v>
      </c>
      <c r="O1305">
        <v>1111</v>
      </c>
      <c r="P1305">
        <v>479.65</v>
      </c>
      <c r="Q1305">
        <v>208.9</v>
      </c>
    </row>
    <row r="1306" spans="2:17" x14ac:dyDescent="0.25">
      <c r="B1306" t="s">
        <v>78</v>
      </c>
      <c r="C1306" t="s">
        <v>79</v>
      </c>
      <c r="D1306" t="s">
        <v>2563</v>
      </c>
      <c r="E1306" t="s">
        <v>2564</v>
      </c>
      <c r="F1306">
        <v>789.45</v>
      </c>
      <c r="G1306">
        <v>789</v>
      </c>
      <c r="H1306">
        <v>798.95</v>
      </c>
      <c r="I1306">
        <v>777.25</v>
      </c>
      <c r="J1306" s="1">
        <v>780.9</v>
      </c>
      <c r="K1306">
        <v>26347960.350000001</v>
      </c>
      <c r="L1306">
        <v>33592</v>
      </c>
      <c r="M1306" t="s">
        <v>78</v>
      </c>
      <c r="N1306" t="s">
        <v>17</v>
      </c>
      <c r="O1306">
        <v>3205</v>
      </c>
      <c r="P1306">
        <v>867.7</v>
      </c>
      <c r="Q1306">
        <v>384.8</v>
      </c>
    </row>
    <row r="1307" spans="2:17" x14ac:dyDescent="0.25">
      <c r="B1307" t="s">
        <v>78</v>
      </c>
      <c r="C1307" t="s">
        <v>79</v>
      </c>
      <c r="D1307" t="s">
        <v>2565</v>
      </c>
      <c r="E1307" t="s">
        <v>2566</v>
      </c>
      <c r="F1307">
        <v>82.55</v>
      </c>
      <c r="G1307">
        <v>81.650000000000006</v>
      </c>
      <c r="H1307">
        <v>84.4</v>
      </c>
      <c r="I1307">
        <v>81.099999999999994</v>
      </c>
      <c r="J1307" s="1">
        <v>82.2</v>
      </c>
      <c r="K1307">
        <v>59527316.549999997</v>
      </c>
      <c r="L1307">
        <v>719343</v>
      </c>
      <c r="M1307" t="s">
        <v>78</v>
      </c>
      <c r="N1307" t="s">
        <v>17</v>
      </c>
      <c r="O1307">
        <v>4679</v>
      </c>
      <c r="P1307">
        <v>92.7</v>
      </c>
      <c r="Q1307">
        <v>36.549999999999997</v>
      </c>
    </row>
    <row r="1308" spans="2:17" x14ac:dyDescent="0.25">
      <c r="B1308" t="s">
        <v>78</v>
      </c>
      <c r="C1308" t="s">
        <v>79</v>
      </c>
      <c r="D1308" t="s">
        <v>2567</v>
      </c>
      <c r="E1308" t="s">
        <v>2568</v>
      </c>
      <c r="F1308">
        <v>366.9</v>
      </c>
      <c r="G1308">
        <v>362</v>
      </c>
      <c r="H1308">
        <v>373.85</v>
      </c>
      <c r="I1308">
        <v>360.3</v>
      </c>
      <c r="J1308" s="1">
        <v>367.3</v>
      </c>
      <c r="K1308">
        <v>443383351.25</v>
      </c>
      <c r="L1308">
        <v>1204788</v>
      </c>
      <c r="M1308" t="s">
        <v>78</v>
      </c>
      <c r="N1308" t="s">
        <v>17</v>
      </c>
      <c r="O1308">
        <v>32514</v>
      </c>
      <c r="P1308">
        <v>394</v>
      </c>
      <c r="Q1308">
        <v>166</v>
      </c>
    </row>
    <row r="1309" spans="2:17" x14ac:dyDescent="0.25">
      <c r="B1309" t="s">
        <v>78</v>
      </c>
      <c r="C1309" t="s">
        <v>79</v>
      </c>
      <c r="D1309" t="s">
        <v>2569</v>
      </c>
      <c r="E1309" t="s">
        <v>2570</v>
      </c>
      <c r="F1309">
        <v>533.79999999999995</v>
      </c>
      <c r="G1309">
        <v>530.6</v>
      </c>
      <c r="H1309">
        <v>545.9</v>
      </c>
      <c r="I1309">
        <v>530</v>
      </c>
      <c r="J1309" s="1">
        <v>538.85</v>
      </c>
      <c r="K1309">
        <v>1027342124.25</v>
      </c>
      <c r="L1309">
        <v>1902493</v>
      </c>
      <c r="M1309" t="s">
        <v>78</v>
      </c>
      <c r="N1309" t="s">
        <v>17</v>
      </c>
      <c r="O1309">
        <v>21898</v>
      </c>
      <c r="P1309">
        <v>571</v>
      </c>
      <c r="Q1309">
        <v>372</v>
      </c>
    </row>
    <row r="1310" spans="2:17" x14ac:dyDescent="0.25">
      <c r="B1310" t="s">
        <v>78</v>
      </c>
      <c r="C1310" t="s">
        <v>79</v>
      </c>
      <c r="D1310" t="s">
        <v>2571</v>
      </c>
      <c r="E1310" t="s">
        <v>2572</v>
      </c>
      <c r="F1310">
        <v>163.55000000000001</v>
      </c>
      <c r="G1310">
        <v>162.69999999999999</v>
      </c>
      <c r="H1310">
        <v>166</v>
      </c>
      <c r="I1310">
        <v>161</v>
      </c>
      <c r="J1310" s="1">
        <v>163</v>
      </c>
      <c r="K1310">
        <v>6014243</v>
      </c>
      <c r="L1310">
        <v>36748</v>
      </c>
      <c r="M1310" t="s">
        <v>78</v>
      </c>
      <c r="N1310" t="s">
        <v>17</v>
      </c>
      <c r="O1310">
        <v>1169</v>
      </c>
      <c r="P1310">
        <v>182</v>
      </c>
      <c r="Q1310">
        <v>78</v>
      </c>
    </row>
    <row r="1311" spans="2:17" x14ac:dyDescent="0.25">
      <c r="B1311" t="s">
        <v>78</v>
      </c>
      <c r="C1311" t="s">
        <v>79</v>
      </c>
      <c r="D1311" t="s">
        <v>2573</v>
      </c>
      <c r="E1311" t="s">
        <v>2574</v>
      </c>
      <c r="F1311">
        <v>316.64999999999998</v>
      </c>
      <c r="G1311">
        <v>309.89999999999998</v>
      </c>
      <c r="H1311">
        <v>316.60000000000002</v>
      </c>
      <c r="I1311">
        <v>308.2</v>
      </c>
      <c r="J1311" s="1">
        <v>312.55</v>
      </c>
      <c r="K1311">
        <v>56089697.700000003</v>
      </c>
      <c r="L1311">
        <v>179006</v>
      </c>
      <c r="M1311" t="s">
        <v>78</v>
      </c>
      <c r="N1311" t="s">
        <v>17</v>
      </c>
      <c r="O1311">
        <v>6180</v>
      </c>
      <c r="P1311">
        <v>324.89999999999998</v>
      </c>
      <c r="Q1311">
        <v>148.6</v>
      </c>
    </row>
    <row r="1312" spans="2:17" x14ac:dyDescent="0.25">
      <c r="B1312" t="s">
        <v>78</v>
      </c>
      <c r="C1312" t="s">
        <v>79</v>
      </c>
      <c r="D1312" t="s">
        <v>2575</v>
      </c>
      <c r="E1312" t="s">
        <v>2576</v>
      </c>
      <c r="F1312">
        <v>2129.0500000000002</v>
      </c>
      <c r="G1312">
        <v>2122</v>
      </c>
      <c r="H1312">
        <v>2128.8000000000002</v>
      </c>
      <c r="I1312">
        <v>2062.9499999999998</v>
      </c>
      <c r="J1312" s="1">
        <v>2108.9499999999998</v>
      </c>
      <c r="K1312">
        <v>245710372.90000001</v>
      </c>
      <c r="L1312">
        <v>117361</v>
      </c>
      <c r="M1312" t="s">
        <v>78</v>
      </c>
      <c r="N1312" t="s">
        <v>17</v>
      </c>
      <c r="O1312">
        <v>19622</v>
      </c>
      <c r="P1312">
        <v>2339.9499999999998</v>
      </c>
      <c r="Q1312">
        <v>1128</v>
      </c>
    </row>
    <row r="1313" spans="2:17" x14ac:dyDescent="0.25">
      <c r="B1313" t="s">
        <v>78</v>
      </c>
      <c r="C1313" t="s">
        <v>79</v>
      </c>
      <c r="D1313" t="s">
        <v>2577</v>
      </c>
      <c r="E1313" t="s">
        <v>2578</v>
      </c>
      <c r="F1313">
        <v>13.2</v>
      </c>
      <c r="G1313">
        <v>13.45</v>
      </c>
      <c r="H1313">
        <v>13.85</v>
      </c>
      <c r="I1313">
        <v>13.4</v>
      </c>
      <c r="J1313" s="1">
        <v>13.85</v>
      </c>
      <c r="K1313">
        <v>3562312.55</v>
      </c>
      <c r="L1313">
        <v>259930</v>
      </c>
      <c r="M1313" t="s">
        <v>78</v>
      </c>
      <c r="N1313" t="s">
        <v>17</v>
      </c>
      <c r="O1313">
        <v>960</v>
      </c>
      <c r="P1313">
        <v>14.7</v>
      </c>
      <c r="Q1313">
        <v>6.4</v>
      </c>
    </row>
    <row r="1314" spans="2:17" x14ac:dyDescent="0.25">
      <c r="B1314" t="s">
        <v>78</v>
      </c>
      <c r="C1314" t="s">
        <v>79</v>
      </c>
      <c r="D1314" t="s">
        <v>2579</v>
      </c>
      <c r="E1314" t="s">
        <v>2580</v>
      </c>
      <c r="F1314">
        <v>7.05</v>
      </c>
      <c r="G1314">
        <v>7.25</v>
      </c>
      <c r="H1314">
        <v>7.4</v>
      </c>
      <c r="I1314">
        <v>7</v>
      </c>
      <c r="J1314" s="1">
        <v>7.35</v>
      </c>
      <c r="K1314">
        <v>1793861.15</v>
      </c>
      <c r="L1314">
        <v>250218</v>
      </c>
      <c r="M1314" t="s">
        <v>78</v>
      </c>
      <c r="N1314" t="s">
        <v>17</v>
      </c>
      <c r="O1314">
        <v>633</v>
      </c>
      <c r="P1314">
        <v>8.3000000000000007</v>
      </c>
      <c r="Q1314">
        <v>3.35</v>
      </c>
    </row>
    <row r="1315" spans="2:17" x14ac:dyDescent="0.25">
      <c r="B1315" t="s">
        <v>78</v>
      </c>
      <c r="C1315" t="s">
        <v>79</v>
      </c>
      <c r="D1315" t="s">
        <v>2581</v>
      </c>
      <c r="E1315" t="s">
        <v>2582</v>
      </c>
      <c r="F1315">
        <v>537.15</v>
      </c>
      <c r="G1315">
        <v>533</v>
      </c>
      <c r="H1315">
        <v>543</v>
      </c>
      <c r="I1315">
        <v>528.95000000000005</v>
      </c>
      <c r="J1315" s="1">
        <v>535.45000000000005</v>
      </c>
      <c r="K1315">
        <v>36353561.649999999</v>
      </c>
      <c r="L1315">
        <v>67808</v>
      </c>
      <c r="M1315" t="s">
        <v>78</v>
      </c>
      <c r="N1315" t="s">
        <v>17</v>
      </c>
      <c r="O1315">
        <v>7609</v>
      </c>
      <c r="P1315">
        <v>573</v>
      </c>
      <c r="Q1315">
        <v>112</v>
      </c>
    </row>
    <row r="1316" spans="2:17" x14ac:dyDescent="0.25">
      <c r="B1316" t="s">
        <v>78</v>
      </c>
      <c r="C1316" t="s">
        <v>79</v>
      </c>
      <c r="D1316" t="s">
        <v>2583</v>
      </c>
      <c r="E1316" t="s">
        <v>2584</v>
      </c>
      <c r="F1316">
        <v>210.75</v>
      </c>
      <c r="G1316">
        <v>210</v>
      </c>
      <c r="H1316">
        <v>225.5</v>
      </c>
      <c r="I1316">
        <v>207.9</v>
      </c>
      <c r="J1316" s="1">
        <v>216.15</v>
      </c>
      <c r="K1316">
        <v>127259967.09999999</v>
      </c>
      <c r="L1316">
        <v>584496</v>
      </c>
      <c r="M1316" t="s">
        <v>78</v>
      </c>
      <c r="N1316" t="s">
        <v>17</v>
      </c>
      <c r="O1316">
        <v>15000</v>
      </c>
      <c r="P1316">
        <v>296.35000000000002</v>
      </c>
      <c r="Q1316">
        <v>207.9</v>
      </c>
    </row>
    <row r="1317" spans="2:17" x14ac:dyDescent="0.25">
      <c r="B1317" t="s">
        <v>78</v>
      </c>
      <c r="C1317" t="s">
        <v>79</v>
      </c>
      <c r="D1317" t="s">
        <v>2585</v>
      </c>
      <c r="E1317" t="s">
        <v>2586</v>
      </c>
      <c r="F1317">
        <v>74.5</v>
      </c>
      <c r="G1317">
        <v>77.5</v>
      </c>
      <c r="H1317">
        <v>81.2</v>
      </c>
      <c r="I1317">
        <v>74.099999999999994</v>
      </c>
      <c r="J1317" s="1">
        <v>75.2</v>
      </c>
      <c r="K1317">
        <v>255446075.65000001</v>
      </c>
      <c r="L1317">
        <v>3302610</v>
      </c>
      <c r="M1317" t="s">
        <v>78</v>
      </c>
      <c r="N1317" t="s">
        <v>17</v>
      </c>
      <c r="O1317">
        <v>25932</v>
      </c>
      <c r="P1317">
        <v>81.2</v>
      </c>
      <c r="Q1317">
        <v>17.55</v>
      </c>
    </row>
    <row r="1318" spans="2:17" x14ac:dyDescent="0.25">
      <c r="B1318" t="s">
        <v>78</v>
      </c>
      <c r="C1318" t="s">
        <v>79</v>
      </c>
      <c r="D1318" t="s">
        <v>2587</v>
      </c>
      <c r="E1318" t="s">
        <v>2588</v>
      </c>
      <c r="F1318">
        <v>518.6</v>
      </c>
      <c r="G1318">
        <v>544.5</v>
      </c>
      <c r="H1318">
        <v>544.5</v>
      </c>
      <c r="I1318">
        <v>517</v>
      </c>
      <c r="J1318" s="1">
        <v>544.5</v>
      </c>
      <c r="K1318">
        <v>118545291.65000001</v>
      </c>
      <c r="L1318">
        <v>224793</v>
      </c>
      <c r="M1318" t="s">
        <v>78</v>
      </c>
      <c r="N1318" t="s">
        <v>17</v>
      </c>
      <c r="O1318">
        <v>1933</v>
      </c>
      <c r="P1318">
        <v>736.85</v>
      </c>
      <c r="Q1318">
        <v>62.25</v>
      </c>
    </row>
    <row r="1319" spans="2:17" x14ac:dyDescent="0.25">
      <c r="B1319" t="s">
        <v>78</v>
      </c>
      <c r="C1319" t="s">
        <v>79</v>
      </c>
      <c r="D1319" t="s">
        <v>2589</v>
      </c>
      <c r="E1319" t="s">
        <v>2590</v>
      </c>
      <c r="F1319">
        <v>90.7</v>
      </c>
      <c r="G1319">
        <v>90</v>
      </c>
      <c r="H1319">
        <v>90.55</v>
      </c>
      <c r="I1319">
        <v>88.7</v>
      </c>
      <c r="J1319" s="1">
        <v>88.85</v>
      </c>
      <c r="K1319">
        <v>27346538.350000001</v>
      </c>
      <c r="L1319">
        <v>305429</v>
      </c>
      <c r="M1319" t="s">
        <v>78</v>
      </c>
      <c r="N1319" t="s">
        <v>17</v>
      </c>
      <c r="O1319">
        <v>3078</v>
      </c>
      <c r="P1319">
        <v>116</v>
      </c>
      <c r="Q1319">
        <v>36.15</v>
      </c>
    </row>
    <row r="1320" spans="2:17" x14ac:dyDescent="0.25">
      <c r="B1320" t="s">
        <v>78</v>
      </c>
      <c r="C1320" t="s">
        <v>79</v>
      </c>
      <c r="D1320" t="s">
        <v>2591</v>
      </c>
      <c r="E1320" t="s">
        <v>2592</v>
      </c>
      <c r="F1320">
        <v>464.65</v>
      </c>
      <c r="G1320">
        <v>464.9</v>
      </c>
      <c r="H1320">
        <v>468.85</v>
      </c>
      <c r="I1320">
        <v>457.05</v>
      </c>
      <c r="J1320" s="1">
        <v>463.05</v>
      </c>
      <c r="K1320">
        <v>181534249.09999999</v>
      </c>
      <c r="L1320">
        <v>393087</v>
      </c>
      <c r="M1320" t="s">
        <v>78</v>
      </c>
      <c r="N1320" t="s">
        <v>17</v>
      </c>
      <c r="O1320">
        <v>13522</v>
      </c>
      <c r="P1320">
        <v>825</v>
      </c>
      <c r="Q1320">
        <v>291.60000000000002</v>
      </c>
    </row>
    <row r="1321" spans="2:17" x14ac:dyDescent="0.25">
      <c r="B1321" t="s">
        <v>78</v>
      </c>
      <c r="C1321" t="s">
        <v>79</v>
      </c>
      <c r="D1321" t="s">
        <v>2593</v>
      </c>
      <c r="E1321" t="s">
        <v>2594</v>
      </c>
      <c r="F1321">
        <v>25.15</v>
      </c>
      <c r="G1321">
        <v>25</v>
      </c>
      <c r="H1321">
        <v>26</v>
      </c>
      <c r="I1321">
        <v>24.9</v>
      </c>
      <c r="J1321" s="1">
        <v>25.35</v>
      </c>
      <c r="K1321">
        <v>2633060.75</v>
      </c>
      <c r="L1321">
        <v>104359</v>
      </c>
      <c r="M1321" t="s">
        <v>78</v>
      </c>
      <c r="N1321" t="s">
        <v>17</v>
      </c>
      <c r="O1321">
        <v>583</v>
      </c>
      <c r="P1321">
        <v>59.65</v>
      </c>
      <c r="Q1321">
        <v>19.75</v>
      </c>
    </row>
    <row r="1322" spans="2:17" x14ac:dyDescent="0.25">
      <c r="B1322" t="s">
        <v>78</v>
      </c>
      <c r="C1322" t="s">
        <v>79</v>
      </c>
      <c r="D1322" t="s">
        <v>2595</v>
      </c>
      <c r="E1322" t="s">
        <v>2596</v>
      </c>
      <c r="F1322">
        <v>7.95</v>
      </c>
      <c r="G1322">
        <v>7.8</v>
      </c>
      <c r="H1322">
        <v>7.95</v>
      </c>
      <c r="I1322">
        <v>7.65</v>
      </c>
      <c r="J1322" s="1">
        <v>7.7</v>
      </c>
      <c r="K1322">
        <v>325121722.94999999</v>
      </c>
      <c r="L1322">
        <v>41795050</v>
      </c>
      <c r="M1322" t="s">
        <v>78</v>
      </c>
      <c r="N1322" t="s">
        <v>17</v>
      </c>
      <c r="O1322">
        <v>46833</v>
      </c>
      <c r="P1322">
        <v>9.4499999999999993</v>
      </c>
      <c r="Q1322">
        <v>2.7</v>
      </c>
    </row>
    <row r="1323" spans="2:17" x14ac:dyDescent="0.25">
      <c r="B1323" t="s">
        <v>78</v>
      </c>
      <c r="C1323" t="s">
        <v>79</v>
      </c>
      <c r="D1323" t="s">
        <v>2597</v>
      </c>
      <c r="E1323" t="s">
        <v>2598</v>
      </c>
      <c r="F1323">
        <v>109.8</v>
      </c>
      <c r="G1323">
        <v>106.6</v>
      </c>
      <c r="H1323">
        <v>113</v>
      </c>
      <c r="I1323">
        <v>106</v>
      </c>
      <c r="J1323" s="1">
        <v>108.3</v>
      </c>
      <c r="K1323">
        <v>19378222.649999999</v>
      </c>
      <c r="L1323">
        <v>175021</v>
      </c>
      <c r="M1323" t="s">
        <v>78</v>
      </c>
      <c r="N1323" t="s">
        <v>17</v>
      </c>
      <c r="O1323">
        <v>1838</v>
      </c>
      <c r="P1323">
        <v>114.4</v>
      </c>
      <c r="Q1323">
        <v>101.2</v>
      </c>
    </row>
    <row r="1324" spans="2:17" x14ac:dyDescent="0.25">
      <c r="B1324" t="s">
        <v>78</v>
      </c>
      <c r="C1324" t="s">
        <v>79</v>
      </c>
      <c r="D1324" t="s">
        <v>2599</v>
      </c>
      <c r="E1324" t="s">
        <v>2600</v>
      </c>
      <c r="F1324">
        <v>141.9</v>
      </c>
      <c r="G1324">
        <v>140.9</v>
      </c>
      <c r="H1324">
        <v>149.5</v>
      </c>
      <c r="I1324">
        <v>140.15</v>
      </c>
      <c r="J1324" s="1">
        <v>147.6</v>
      </c>
      <c r="K1324">
        <v>45852212.200000003</v>
      </c>
      <c r="L1324">
        <v>313385</v>
      </c>
      <c r="M1324" t="s">
        <v>78</v>
      </c>
      <c r="N1324" t="s">
        <v>17</v>
      </c>
      <c r="O1324">
        <v>7512</v>
      </c>
      <c r="P1324">
        <v>160</v>
      </c>
      <c r="Q1324">
        <v>108</v>
      </c>
    </row>
    <row r="1325" spans="2:17" x14ac:dyDescent="0.25">
      <c r="B1325" t="s">
        <v>78</v>
      </c>
      <c r="C1325" t="s">
        <v>79</v>
      </c>
      <c r="D1325" t="s">
        <v>2601</v>
      </c>
      <c r="E1325" t="s">
        <v>2602</v>
      </c>
      <c r="F1325">
        <v>1773</v>
      </c>
      <c r="G1325">
        <v>1765</v>
      </c>
      <c r="H1325">
        <v>1825</v>
      </c>
      <c r="I1325">
        <v>1756.15</v>
      </c>
      <c r="J1325" s="1">
        <v>1770.5</v>
      </c>
      <c r="K1325">
        <v>218243848.19999999</v>
      </c>
      <c r="L1325">
        <v>121325</v>
      </c>
      <c r="M1325" t="s">
        <v>78</v>
      </c>
      <c r="N1325" t="s">
        <v>17</v>
      </c>
      <c r="O1325">
        <v>9707</v>
      </c>
      <c r="P1325">
        <v>2000</v>
      </c>
      <c r="Q1325">
        <v>1268</v>
      </c>
    </row>
    <row r="1326" spans="2:17" x14ac:dyDescent="0.25">
      <c r="B1326" t="s">
        <v>78</v>
      </c>
      <c r="C1326" t="s">
        <v>79</v>
      </c>
      <c r="D1326" t="s">
        <v>2603</v>
      </c>
      <c r="E1326" t="s">
        <v>2604</v>
      </c>
      <c r="F1326">
        <v>264.95</v>
      </c>
      <c r="G1326">
        <v>264.5</v>
      </c>
      <c r="H1326">
        <v>264.5</v>
      </c>
      <c r="I1326">
        <v>251.25</v>
      </c>
      <c r="J1326" s="1">
        <v>255.1</v>
      </c>
      <c r="K1326">
        <v>11449255.449999999</v>
      </c>
      <c r="L1326">
        <v>44617</v>
      </c>
      <c r="M1326" t="s">
        <v>78</v>
      </c>
      <c r="N1326" t="s">
        <v>17</v>
      </c>
      <c r="O1326">
        <v>2659</v>
      </c>
      <c r="P1326">
        <v>279.35000000000002</v>
      </c>
      <c r="Q1326">
        <v>95</v>
      </c>
    </row>
    <row r="1327" spans="2:17" x14ac:dyDescent="0.25">
      <c r="B1327" t="s">
        <v>78</v>
      </c>
      <c r="C1327" t="s">
        <v>79</v>
      </c>
      <c r="D1327" t="s">
        <v>2605</v>
      </c>
      <c r="E1327" t="s">
        <v>2606</v>
      </c>
      <c r="F1327">
        <v>282.25</v>
      </c>
      <c r="G1327">
        <v>279</v>
      </c>
      <c r="H1327">
        <v>282.95</v>
      </c>
      <c r="I1327">
        <v>274.10000000000002</v>
      </c>
      <c r="J1327" s="1">
        <v>275.3</v>
      </c>
      <c r="K1327">
        <v>233985652.55000001</v>
      </c>
      <c r="L1327">
        <v>841942</v>
      </c>
      <c r="M1327" t="s">
        <v>78</v>
      </c>
      <c r="N1327" t="s">
        <v>17</v>
      </c>
      <c r="O1327">
        <v>12304</v>
      </c>
      <c r="P1327">
        <v>343.8</v>
      </c>
      <c r="Q1327">
        <v>183.5</v>
      </c>
    </row>
    <row r="1328" spans="2:17" x14ac:dyDescent="0.25">
      <c r="B1328" t="s">
        <v>78</v>
      </c>
      <c r="C1328" t="s">
        <v>79</v>
      </c>
      <c r="D1328" t="s">
        <v>2607</v>
      </c>
      <c r="E1328" t="s">
        <v>2608</v>
      </c>
      <c r="F1328">
        <v>1072.3</v>
      </c>
      <c r="G1328">
        <v>1071</v>
      </c>
      <c r="H1328">
        <v>1129.4000000000001</v>
      </c>
      <c r="I1328">
        <v>1065</v>
      </c>
      <c r="J1328" s="1">
        <v>1083.45</v>
      </c>
      <c r="K1328">
        <v>538015925.85000002</v>
      </c>
      <c r="L1328">
        <v>488578</v>
      </c>
      <c r="M1328" t="s">
        <v>78</v>
      </c>
      <c r="N1328" t="s">
        <v>17</v>
      </c>
      <c r="O1328">
        <v>29468</v>
      </c>
      <c r="P1328">
        <v>1528.8</v>
      </c>
      <c r="Q1328">
        <v>820</v>
      </c>
    </row>
    <row r="1329" spans="2:17" x14ac:dyDescent="0.25">
      <c r="B1329" t="s">
        <v>78</v>
      </c>
      <c r="C1329" t="s">
        <v>79</v>
      </c>
      <c r="D1329" t="s">
        <v>2609</v>
      </c>
      <c r="E1329" t="s">
        <v>2610</v>
      </c>
      <c r="F1329">
        <v>668.15</v>
      </c>
      <c r="G1329">
        <v>657</v>
      </c>
      <c r="H1329">
        <v>678.35</v>
      </c>
      <c r="I1329">
        <v>651.20000000000005</v>
      </c>
      <c r="J1329" s="1">
        <v>670</v>
      </c>
      <c r="K1329">
        <v>582947971.54999995</v>
      </c>
      <c r="L1329">
        <v>878620</v>
      </c>
      <c r="M1329" t="s">
        <v>78</v>
      </c>
      <c r="N1329" t="s">
        <v>17</v>
      </c>
      <c r="O1329">
        <v>24323</v>
      </c>
      <c r="P1329">
        <v>700</v>
      </c>
      <c r="Q1329">
        <v>408</v>
      </c>
    </row>
    <row r="1330" spans="2:17" x14ac:dyDescent="0.25">
      <c r="B1330" t="s">
        <v>78</v>
      </c>
      <c r="C1330" t="s">
        <v>79</v>
      </c>
      <c r="D1330" t="s">
        <v>2611</v>
      </c>
      <c r="E1330" t="s">
        <v>2612</v>
      </c>
      <c r="F1330">
        <v>81.099999999999994</v>
      </c>
      <c r="G1330">
        <v>85</v>
      </c>
      <c r="H1330">
        <v>85</v>
      </c>
      <c r="I1330">
        <v>79.45</v>
      </c>
      <c r="J1330" s="1">
        <v>83.95</v>
      </c>
      <c r="K1330">
        <v>2578115.6</v>
      </c>
      <c r="L1330">
        <v>31105</v>
      </c>
      <c r="M1330" t="s">
        <v>78</v>
      </c>
      <c r="N1330" t="s">
        <v>17</v>
      </c>
      <c r="O1330">
        <v>535</v>
      </c>
      <c r="P1330">
        <v>93.25</v>
      </c>
      <c r="Q1330">
        <v>42.7</v>
      </c>
    </row>
    <row r="1331" spans="2:17" x14ac:dyDescent="0.25">
      <c r="B1331" t="s">
        <v>78</v>
      </c>
      <c r="C1331" t="s">
        <v>79</v>
      </c>
      <c r="D1331" t="s">
        <v>2613</v>
      </c>
      <c r="E1331" t="s">
        <v>2614</v>
      </c>
      <c r="F1331">
        <v>136.05000000000001</v>
      </c>
      <c r="G1331">
        <v>136</v>
      </c>
      <c r="H1331">
        <v>136.6</v>
      </c>
      <c r="I1331">
        <v>133.80000000000001</v>
      </c>
      <c r="J1331" s="1">
        <v>135.4</v>
      </c>
      <c r="K1331">
        <v>27134010.300000001</v>
      </c>
      <c r="L1331">
        <v>201482</v>
      </c>
      <c r="M1331" t="s">
        <v>78</v>
      </c>
      <c r="N1331" t="s">
        <v>17</v>
      </c>
      <c r="O1331">
        <v>5723</v>
      </c>
      <c r="P1331">
        <v>158.30000000000001</v>
      </c>
      <c r="Q1331">
        <v>102</v>
      </c>
    </row>
    <row r="1332" spans="2:17" x14ac:dyDescent="0.25">
      <c r="B1332" t="s">
        <v>78</v>
      </c>
      <c r="C1332" t="s">
        <v>79</v>
      </c>
      <c r="D1332" t="s">
        <v>2615</v>
      </c>
      <c r="E1332" t="s">
        <v>2616</v>
      </c>
      <c r="F1332">
        <v>64.95</v>
      </c>
      <c r="G1332">
        <v>64.45</v>
      </c>
      <c r="H1332">
        <v>64.599999999999994</v>
      </c>
      <c r="I1332">
        <v>63</v>
      </c>
      <c r="J1332" s="1">
        <v>63.35</v>
      </c>
      <c r="K1332">
        <v>83132368.150000006</v>
      </c>
      <c r="L1332">
        <v>1302860</v>
      </c>
      <c r="M1332" t="s">
        <v>78</v>
      </c>
      <c r="N1332" t="s">
        <v>17</v>
      </c>
      <c r="O1332">
        <v>7351</v>
      </c>
      <c r="P1332">
        <v>74.599999999999994</v>
      </c>
      <c r="Q1332">
        <v>38</v>
      </c>
    </row>
    <row r="1333" spans="2:17" x14ac:dyDescent="0.25">
      <c r="B1333" t="s">
        <v>78</v>
      </c>
      <c r="C1333" t="s">
        <v>79</v>
      </c>
      <c r="D1333" t="s">
        <v>2617</v>
      </c>
      <c r="E1333" t="s">
        <v>2618</v>
      </c>
      <c r="F1333">
        <v>314.35000000000002</v>
      </c>
      <c r="G1333">
        <v>314.35000000000002</v>
      </c>
      <c r="H1333">
        <v>326.35000000000002</v>
      </c>
      <c r="I1333">
        <v>314</v>
      </c>
      <c r="J1333" s="1">
        <v>316.64999999999998</v>
      </c>
      <c r="K1333">
        <v>28275317.050000001</v>
      </c>
      <c r="L1333">
        <v>87976</v>
      </c>
      <c r="M1333" t="s">
        <v>78</v>
      </c>
      <c r="N1333" t="s">
        <v>17</v>
      </c>
      <c r="O1333">
        <v>5376</v>
      </c>
      <c r="P1333">
        <v>338.7</v>
      </c>
      <c r="Q1333">
        <v>90.75</v>
      </c>
    </row>
    <row r="1334" spans="2:17" x14ac:dyDescent="0.25">
      <c r="B1334" t="s">
        <v>78</v>
      </c>
      <c r="C1334" t="s">
        <v>79</v>
      </c>
      <c r="D1334" t="s">
        <v>2619</v>
      </c>
      <c r="E1334" t="s">
        <v>2620</v>
      </c>
      <c r="F1334">
        <v>46.9</v>
      </c>
      <c r="G1334">
        <v>46.25</v>
      </c>
      <c r="H1334">
        <v>47.5</v>
      </c>
      <c r="I1334">
        <v>45.2</v>
      </c>
      <c r="J1334" s="1">
        <v>45.65</v>
      </c>
      <c r="K1334">
        <v>72514806.549999997</v>
      </c>
      <c r="L1334">
        <v>1561767</v>
      </c>
      <c r="M1334" t="s">
        <v>78</v>
      </c>
      <c r="N1334" t="s">
        <v>17</v>
      </c>
      <c r="O1334">
        <v>7312</v>
      </c>
      <c r="P1334">
        <v>50.7</v>
      </c>
      <c r="Q1334">
        <v>20.7</v>
      </c>
    </row>
    <row r="1335" spans="2:17" x14ac:dyDescent="0.25">
      <c r="B1335" t="s">
        <v>78</v>
      </c>
      <c r="C1335" t="s">
        <v>79</v>
      </c>
      <c r="D1335" t="s">
        <v>2621</v>
      </c>
      <c r="E1335" t="s">
        <v>2622</v>
      </c>
      <c r="F1335">
        <v>78.349999999999994</v>
      </c>
      <c r="G1335">
        <v>83.1</v>
      </c>
      <c r="H1335">
        <v>93.3</v>
      </c>
      <c r="I1335">
        <v>80.650000000000006</v>
      </c>
      <c r="J1335" s="1">
        <v>89.9</v>
      </c>
      <c r="K1335">
        <v>181694171.94999999</v>
      </c>
      <c r="L1335">
        <v>2055575</v>
      </c>
      <c r="M1335" t="s">
        <v>78</v>
      </c>
      <c r="N1335" t="s">
        <v>17</v>
      </c>
      <c r="O1335">
        <v>27977</v>
      </c>
      <c r="P1335">
        <v>93.3</v>
      </c>
      <c r="Q1335">
        <v>25.3</v>
      </c>
    </row>
    <row r="1336" spans="2:17" x14ac:dyDescent="0.25">
      <c r="B1336" t="s">
        <v>78</v>
      </c>
      <c r="C1336" t="s">
        <v>79</v>
      </c>
      <c r="D1336" t="s">
        <v>2623</v>
      </c>
      <c r="E1336" t="s">
        <v>2624</v>
      </c>
      <c r="F1336">
        <v>18827.05</v>
      </c>
      <c r="G1336">
        <v>18848.8</v>
      </c>
      <c r="H1336">
        <v>19063.150000000001</v>
      </c>
      <c r="I1336">
        <v>18700</v>
      </c>
      <c r="J1336" s="1">
        <v>18902.75</v>
      </c>
      <c r="K1336">
        <v>48726474.399999999</v>
      </c>
      <c r="L1336">
        <v>2584</v>
      </c>
      <c r="M1336" t="s">
        <v>78</v>
      </c>
      <c r="N1336" t="s">
        <v>17</v>
      </c>
      <c r="O1336">
        <v>1436</v>
      </c>
      <c r="P1336">
        <v>21487</v>
      </c>
      <c r="Q1336">
        <v>9801</v>
      </c>
    </row>
    <row r="1337" spans="2:17" x14ac:dyDescent="0.25">
      <c r="B1337" t="s">
        <v>78</v>
      </c>
      <c r="C1337" t="s">
        <v>79</v>
      </c>
      <c r="D1337" t="s">
        <v>2625</v>
      </c>
      <c r="E1337" t="s">
        <v>2626</v>
      </c>
      <c r="F1337">
        <v>781</v>
      </c>
      <c r="G1337">
        <v>778</v>
      </c>
      <c r="H1337">
        <v>795.5</v>
      </c>
      <c r="I1337">
        <v>769.05</v>
      </c>
      <c r="J1337" s="1">
        <v>779.65</v>
      </c>
      <c r="K1337">
        <v>2171231670.9000001</v>
      </c>
      <c r="L1337">
        <v>2775607</v>
      </c>
      <c r="M1337" t="s">
        <v>78</v>
      </c>
      <c r="N1337" t="s">
        <v>17</v>
      </c>
      <c r="O1337">
        <v>51791</v>
      </c>
      <c r="P1337">
        <v>833.95</v>
      </c>
      <c r="Q1337">
        <v>273.45</v>
      </c>
    </row>
    <row r="1338" spans="2:17" x14ac:dyDescent="0.25">
      <c r="B1338" t="s">
        <v>78</v>
      </c>
      <c r="C1338" t="s">
        <v>79</v>
      </c>
      <c r="D1338" t="s">
        <v>2627</v>
      </c>
      <c r="E1338" t="s">
        <v>2628</v>
      </c>
      <c r="F1338">
        <v>190.25</v>
      </c>
      <c r="G1338">
        <v>190.4</v>
      </c>
      <c r="H1338">
        <v>191.4</v>
      </c>
      <c r="I1338">
        <v>187.5</v>
      </c>
      <c r="J1338" s="1">
        <v>189.1</v>
      </c>
      <c r="K1338">
        <v>268940934.69999999</v>
      </c>
      <c r="L1338">
        <v>1419787</v>
      </c>
      <c r="M1338" t="s">
        <v>78</v>
      </c>
      <c r="N1338" t="s">
        <v>17</v>
      </c>
      <c r="O1338">
        <v>12679</v>
      </c>
      <c r="P1338">
        <v>198.35</v>
      </c>
      <c r="Q1338">
        <v>79.55</v>
      </c>
    </row>
    <row r="1339" spans="2:17" x14ac:dyDescent="0.25">
      <c r="B1339" t="s">
        <v>78</v>
      </c>
      <c r="C1339" t="s">
        <v>79</v>
      </c>
      <c r="D1339" t="s">
        <v>2629</v>
      </c>
      <c r="E1339" t="s">
        <v>2630</v>
      </c>
      <c r="F1339">
        <v>1361.15</v>
      </c>
      <c r="G1339">
        <v>1360.8</v>
      </c>
      <c r="H1339">
        <v>1399.75</v>
      </c>
      <c r="I1339">
        <v>1355</v>
      </c>
      <c r="J1339" s="1">
        <v>1385.45</v>
      </c>
      <c r="K1339">
        <v>403404705.39999998</v>
      </c>
      <c r="L1339">
        <v>292128</v>
      </c>
      <c r="M1339" t="s">
        <v>78</v>
      </c>
      <c r="N1339" t="s">
        <v>17</v>
      </c>
      <c r="O1339">
        <v>11440</v>
      </c>
      <c r="P1339">
        <v>1438</v>
      </c>
      <c r="Q1339">
        <v>615</v>
      </c>
    </row>
    <row r="1340" spans="2:17" x14ac:dyDescent="0.25">
      <c r="B1340" t="s">
        <v>78</v>
      </c>
      <c r="C1340" t="s">
        <v>79</v>
      </c>
      <c r="D1340" t="s">
        <v>2631</v>
      </c>
      <c r="E1340" t="s">
        <v>2632</v>
      </c>
      <c r="F1340">
        <v>4302.6499999999996</v>
      </c>
      <c r="G1340">
        <v>4303</v>
      </c>
      <c r="H1340">
        <v>4347.3500000000004</v>
      </c>
      <c r="I1340">
        <v>4211</v>
      </c>
      <c r="J1340" s="1">
        <v>4223.3500000000004</v>
      </c>
      <c r="K1340">
        <v>1048610914.45</v>
      </c>
      <c r="L1340">
        <v>245690</v>
      </c>
      <c r="M1340" t="s">
        <v>78</v>
      </c>
      <c r="N1340" t="s">
        <v>17</v>
      </c>
      <c r="O1340">
        <v>35913</v>
      </c>
      <c r="P1340">
        <v>4575</v>
      </c>
      <c r="Q1340">
        <v>892.05</v>
      </c>
    </row>
    <row r="1341" spans="2:17" x14ac:dyDescent="0.25">
      <c r="B1341" t="s">
        <v>78</v>
      </c>
      <c r="C1341" t="s">
        <v>79</v>
      </c>
      <c r="D1341" t="s">
        <v>2633</v>
      </c>
      <c r="E1341" t="s">
        <v>2634</v>
      </c>
      <c r="F1341">
        <v>1164.5999999999999</v>
      </c>
      <c r="G1341">
        <v>1169</v>
      </c>
      <c r="H1341">
        <v>1175.7</v>
      </c>
      <c r="I1341">
        <v>1145.3</v>
      </c>
      <c r="J1341" s="1">
        <v>1150.5999999999999</v>
      </c>
      <c r="K1341">
        <v>35362466.100000001</v>
      </c>
      <c r="L1341">
        <v>30455</v>
      </c>
      <c r="M1341" t="s">
        <v>78</v>
      </c>
      <c r="N1341" t="s">
        <v>17</v>
      </c>
      <c r="O1341">
        <v>3281</v>
      </c>
      <c r="P1341">
        <v>1194.5999999999999</v>
      </c>
      <c r="Q1341">
        <v>725</v>
      </c>
    </row>
    <row r="1342" spans="2:17" x14ac:dyDescent="0.25">
      <c r="B1342" t="s">
        <v>78</v>
      </c>
      <c r="C1342" t="s">
        <v>79</v>
      </c>
      <c r="D1342" t="s">
        <v>2635</v>
      </c>
      <c r="E1342" t="s">
        <v>2636</v>
      </c>
      <c r="F1342">
        <v>1273.3499999999999</v>
      </c>
      <c r="G1342">
        <v>1258</v>
      </c>
      <c r="H1342">
        <v>1298.55</v>
      </c>
      <c r="I1342">
        <v>1257.3499999999999</v>
      </c>
      <c r="J1342" s="1">
        <v>1272.5999999999999</v>
      </c>
      <c r="K1342">
        <v>604488505</v>
      </c>
      <c r="L1342">
        <v>473658</v>
      </c>
      <c r="M1342" t="s">
        <v>78</v>
      </c>
      <c r="N1342" t="s">
        <v>17</v>
      </c>
      <c r="O1342">
        <v>20993</v>
      </c>
      <c r="P1342">
        <v>1373.7</v>
      </c>
      <c r="Q1342">
        <v>471.1</v>
      </c>
    </row>
    <row r="1343" spans="2:17" x14ac:dyDescent="0.25">
      <c r="B1343" t="s">
        <v>78</v>
      </c>
      <c r="C1343" t="s">
        <v>79</v>
      </c>
      <c r="D1343" t="s">
        <v>2637</v>
      </c>
      <c r="E1343" t="s">
        <v>2638</v>
      </c>
      <c r="F1343">
        <v>144.65</v>
      </c>
      <c r="G1343">
        <v>143.9</v>
      </c>
      <c r="H1343">
        <v>144.44999999999999</v>
      </c>
      <c r="I1343">
        <v>140.6</v>
      </c>
      <c r="J1343" s="1">
        <v>141.75</v>
      </c>
      <c r="K1343">
        <v>238503868.59999999</v>
      </c>
      <c r="L1343">
        <v>1673412</v>
      </c>
      <c r="M1343" t="s">
        <v>78</v>
      </c>
      <c r="N1343" t="s">
        <v>17</v>
      </c>
      <c r="O1343">
        <v>19942</v>
      </c>
      <c r="P1343">
        <v>169.75</v>
      </c>
      <c r="Q1343">
        <v>36.85</v>
      </c>
    </row>
    <row r="1344" spans="2:17" x14ac:dyDescent="0.25">
      <c r="B1344" t="s">
        <v>78</v>
      </c>
      <c r="C1344" t="s">
        <v>79</v>
      </c>
      <c r="D1344" t="s">
        <v>2639</v>
      </c>
      <c r="E1344" t="s">
        <v>2640</v>
      </c>
      <c r="F1344">
        <v>124.15</v>
      </c>
      <c r="G1344">
        <v>126.25</v>
      </c>
      <c r="H1344">
        <v>128.44999999999999</v>
      </c>
      <c r="I1344">
        <v>124.6</v>
      </c>
      <c r="J1344" s="1">
        <v>125.8</v>
      </c>
      <c r="K1344">
        <v>8322674149.8500004</v>
      </c>
      <c r="L1344">
        <v>65614163</v>
      </c>
      <c r="M1344" t="s">
        <v>78</v>
      </c>
      <c r="N1344" t="s">
        <v>17</v>
      </c>
      <c r="O1344">
        <v>245089</v>
      </c>
      <c r="P1344">
        <v>132.69999999999999</v>
      </c>
      <c r="Q1344">
        <v>47.5</v>
      </c>
    </row>
    <row r="1345" spans="2:17" x14ac:dyDescent="0.25">
      <c r="B1345" t="s">
        <v>78</v>
      </c>
      <c r="C1345" t="s">
        <v>79</v>
      </c>
      <c r="D1345" t="s">
        <v>2641</v>
      </c>
      <c r="E1345" t="s">
        <v>2642</v>
      </c>
      <c r="F1345">
        <v>89.5</v>
      </c>
      <c r="G1345">
        <v>88.9</v>
      </c>
      <c r="H1345">
        <v>91</v>
      </c>
      <c r="I1345">
        <v>88.7</v>
      </c>
      <c r="J1345" s="1">
        <v>89</v>
      </c>
      <c r="K1345">
        <v>253639408.80000001</v>
      </c>
      <c r="L1345">
        <v>2829414</v>
      </c>
      <c r="M1345" t="s">
        <v>78</v>
      </c>
      <c r="N1345" t="s">
        <v>17</v>
      </c>
      <c r="O1345">
        <v>19152</v>
      </c>
      <c r="P1345">
        <v>109.7</v>
      </c>
      <c r="Q1345">
        <v>19.100000000000001</v>
      </c>
    </row>
    <row r="1346" spans="2:17" x14ac:dyDescent="0.25">
      <c r="B1346" t="s">
        <v>78</v>
      </c>
      <c r="C1346" t="s">
        <v>79</v>
      </c>
      <c r="D1346" t="s">
        <v>2643</v>
      </c>
      <c r="E1346" t="s">
        <v>2644</v>
      </c>
      <c r="F1346">
        <v>81.5</v>
      </c>
      <c r="G1346">
        <v>81.25</v>
      </c>
      <c r="H1346">
        <v>82.6</v>
      </c>
      <c r="I1346">
        <v>80.150000000000006</v>
      </c>
      <c r="J1346" s="1">
        <v>81.849999999999994</v>
      </c>
      <c r="K1346">
        <v>19044978.5</v>
      </c>
      <c r="L1346">
        <v>232347</v>
      </c>
      <c r="M1346" t="s">
        <v>78</v>
      </c>
      <c r="N1346" t="s">
        <v>17</v>
      </c>
      <c r="O1346">
        <v>2581</v>
      </c>
      <c r="P1346">
        <v>96.25</v>
      </c>
      <c r="Q1346">
        <v>29.1</v>
      </c>
    </row>
    <row r="1347" spans="2:17" x14ac:dyDescent="0.25">
      <c r="B1347" t="s">
        <v>78</v>
      </c>
      <c r="C1347" t="s">
        <v>79</v>
      </c>
      <c r="D1347" t="s">
        <v>2645</v>
      </c>
      <c r="E1347" t="s">
        <v>2646</v>
      </c>
      <c r="F1347">
        <v>400.7</v>
      </c>
      <c r="G1347">
        <v>400.7</v>
      </c>
      <c r="H1347">
        <v>417.45</v>
      </c>
      <c r="I1347">
        <v>395.1</v>
      </c>
      <c r="J1347" s="1">
        <v>411.65</v>
      </c>
      <c r="K1347">
        <v>450224574</v>
      </c>
      <c r="L1347">
        <v>1116813</v>
      </c>
      <c r="M1347" t="s">
        <v>78</v>
      </c>
      <c r="N1347" t="s">
        <v>17</v>
      </c>
      <c r="O1347">
        <v>4668</v>
      </c>
      <c r="P1347">
        <v>509.95</v>
      </c>
      <c r="Q1347">
        <v>165.95</v>
      </c>
    </row>
    <row r="1348" spans="2:17" x14ac:dyDescent="0.25">
      <c r="B1348" t="s">
        <v>78</v>
      </c>
      <c r="C1348" t="s">
        <v>79</v>
      </c>
      <c r="D1348" t="s">
        <v>2647</v>
      </c>
      <c r="E1348" t="s">
        <v>2648</v>
      </c>
      <c r="F1348">
        <v>387.8</v>
      </c>
      <c r="G1348">
        <v>395.6</v>
      </c>
      <c r="H1348">
        <v>395.6</v>
      </c>
      <c r="I1348">
        <v>378</v>
      </c>
      <c r="J1348" s="1">
        <v>384.75</v>
      </c>
      <c r="K1348">
        <v>3166105.55</v>
      </c>
      <c r="L1348">
        <v>8225</v>
      </c>
      <c r="M1348" t="s">
        <v>78</v>
      </c>
      <c r="N1348" t="s">
        <v>17</v>
      </c>
      <c r="O1348">
        <v>360</v>
      </c>
      <c r="P1348">
        <v>549</v>
      </c>
      <c r="Q1348">
        <v>260</v>
      </c>
    </row>
    <row r="1349" spans="2:17" x14ac:dyDescent="0.25">
      <c r="B1349" t="s">
        <v>78</v>
      </c>
      <c r="C1349" t="s">
        <v>79</v>
      </c>
      <c r="D1349" t="s">
        <v>2649</v>
      </c>
      <c r="E1349" t="s">
        <v>2650</v>
      </c>
      <c r="F1349">
        <v>1576.95</v>
      </c>
      <c r="G1349">
        <v>1584.9</v>
      </c>
      <c r="H1349">
        <v>1619</v>
      </c>
      <c r="I1349">
        <v>1570.85</v>
      </c>
      <c r="J1349" s="1">
        <v>1590.5</v>
      </c>
      <c r="K1349">
        <v>147683164.15000001</v>
      </c>
      <c r="L1349">
        <v>92424</v>
      </c>
      <c r="M1349" t="s">
        <v>78</v>
      </c>
      <c r="N1349" t="s">
        <v>17</v>
      </c>
      <c r="O1349">
        <v>8491</v>
      </c>
      <c r="P1349">
        <v>1635</v>
      </c>
      <c r="Q1349">
        <v>661.55</v>
      </c>
    </row>
    <row r="1350" spans="2:17" x14ac:dyDescent="0.25">
      <c r="B1350" t="s">
        <v>783</v>
      </c>
      <c r="C1350" t="s">
        <v>79</v>
      </c>
      <c r="D1350" t="s">
        <v>2651</v>
      </c>
      <c r="E1350" t="s">
        <v>2652</v>
      </c>
      <c r="F1350">
        <v>5.5</v>
      </c>
      <c r="G1350">
        <v>5.55</v>
      </c>
      <c r="H1350">
        <v>5.9</v>
      </c>
      <c r="I1350">
        <v>5.55</v>
      </c>
      <c r="J1350" s="1">
        <v>5.7</v>
      </c>
      <c r="K1350">
        <v>29203.9</v>
      </c>
      <c r="L1350">
        <v>4996</v>
      </c>
      <c r="M1350" t="s">
        <v>78</v>
      </c>
      <c r="N1350" t="s">
        <v>17</v>
      </c>
      <c r="O1350">
        <v>23</v>
      </c>
      <c r="P1350">
        <v>7.3</v>
      </c>
      <c r="Q1350">
        <v>3.95</v>
      </c>
    </row>
    <row r="1351" spans="2:17" x14ac:dyDescent="0.25">
      <c r="B1351" t="s">
        <v>78</v>
      </c>
      <c r="C1351" t="s">
        <v>79</v>
      </c>
      <c r="D1351" t="s">
        <v>2653</v>
      </c>
      <c r="E1351" t="s">
        <v>2654</v>
      </c>
      <c r="F1351">
        <v>595.25</v>
      </c>
      <c r="G1351">
        <v>595.25</v>
      </c>
      <c r="H1351">
        <v>596.4</v>
      </c>
      <c r="I1351">
        <v>587</v>
      </c>
      <c r="J1351" s="1">
        <v>590.29999999999995</v>
      </c>
      <c r="K1351">
        <v>13962886.800000001</v>
      </c>
      <c r="L1351">
        <v>23664</v>
      </c>
      <c r="M1351" t="s">
        <v>78</v>
      </c>
      <c r="N1351" t="s">
        <v>17</v>
      </c>
      <c r="O1351">
        <v>1869</v>
      </c>
      <c r="P1351">
        <v>652.4</v>
      </c>
      <c r="Q1351">
        <v>323.14999999999998</v>
      </c>
    </row>
    <row r="1352" spans="2:17" x14ac:dyDescent="0.25">
      <c r="B1352" t="s">
        <v>78</v>
      </c>
      <c r="C1352" t="s">
        <v>79</v>
      </c>
      <c r="D1352" t="s">
        <v>2655</v>
      </c>
      <c r="E1352" t="s">
        <v>2656</v>
      </c>
      <c r="F1352">
        <v>528.54999999999995</v>
      </c>
      <c r="G1352">
        <v>528.54999999999995</v>
      </c>
      <c r="H1352">
        <v>539.75</v>
      </c>
      <c r="I1352">
        <v>514</v>
      </c>
      <c r="J1352" s="1">
        <v>527.6</v>
      </c>
      <c r="K1352">
        <v>5591083.9500000002</v>
      </c>
      <c r="L1352">
        <v>10574</v>
      </c>
      <c r="M1352" t="s">
        <v>78</v>
      </c>
      <c r="N1352" t="s">
        <v>17</v>
      </c>
      <c r="O1352">
        <v>1855</v>
      </c>
      <c r="P1352">
        <v>574</v>
      </c>
      <c r="Q1352">
        <v>262</v>
      </c>
    </row>
    <row r="1353" spans="2:17" x14ac:dyDescent="0.25">
      <c r="B1353" t="s">
        <v>78</v>
      </c>
      <c r="C1353" t="s">
        <v>79</v>
      </c>
      <c r="D1353" t="s">
        <v>2657</v>
      </c>
      <c r="E1353" t="s">
        <v>2658</v>
      </c>
      <c r="F1353">
        <v>211.55</v>
      </c>
      <c r="G1353">
        <v>211</v>
      </c>
      <c r="H1353">
        <v>211.35</v>
      </c>
      <c r="I1353">
        <v>201.4</v>
      </c>
      <c r="J1353" s="1">
        <v>203.2</v>
      </c>
      <c r="K1353">
        <v>19444506.5</v>
      </c>
      <c r="L1353">
        <v>94683</v>
      </c>
      <c r="M1353" t="s">
        <v>78</v>
      </c>
      <c r="N1353" t="s">
        <v>17</v>
      </c>
      <c r="O1353">
        <v>2867</v>
      </c>
      <c r="P1353">
        <v>234</v>
      </c>
      <c r="Q1353">
        <v>97.55</v>
      </c>
    </row>
    <row r="1354" spans="2:17" x14ac:dyDescent="0.25">
      <c r="B1354" t="s">
        <v>78</v>
      </c>
      <c r="C1354" t="s">
        <v>79</v>
      </c>
      <c r="D1354" t="s">
        <v>2659</v>
      </c>
      <c r="E1354" t="s">
        <v>2660</v>
      </c>
      <c r="F1354">
        <v>3856.95</v>
      </c>
      <c r="G1354">
        <v>3860</v>
      </c>
      <c r="H1354">
        <v>3945.5</v>
      </c>
      <c r="I1354">
        <v>3814.3</v>
      </c>
      <c r="J1354" s="1">
        <v>3884.5</v>
      </c>
      <c r="K1354">
        <v>50682994.549999997</v>
      </c>
      <c r="L1354">
        <v>13020</v>
      </c>
      <c r="M1354" t="s">
        <v>78</v>
      </c>
      <c r="N1354" t="s">
        <v>17</v>
      </c>
      <c r="O1354">
        <v>4304</v>
      </c>
      <c r="P1354">
        <v>4097.7</v>
      </c>
      <c r="Q1354">
        <v>1758.35</v>
      </c>
    </row>
    <row r="1355" spans="2:17" x14ac:dyDescent="0.25">
      <c r="B1355" t="s">
        <v>78</v>
      </c>
      <c r="C1355" t="s">
        <v>79</v>
      </c>
      <c r="D1355" t="s">
        <v>2661</v>
      </c>
      <c r="E1355" t="s">
        <v>2662</v>
      </c>
      <c r="F1355">
        <v>310.64999999999998</v>
      </c>
      <c r="G1355">
        <v>312.95</v>
      </c>
      <c r="H1355">
        <v>312.95</v>
      </c>
      <c r="I1355">
        <v>305</v>
      </c>
      <c r="J1355" s="1">
        <v>309.14999999999998</v>
      </c>
      <c r="K1355">
        <v>25838040.399999999</v>
      </c>
      <c r="L1355">
        <v>83647</v>
      </c>
      <c r="M1355" t="s">
        <v>78</v>
      </c>
      <c r="N1355" t="s">
        <v>17</v>
      </c>
      <c r="O1355">
        <v>4168</v>
      </c>
      <c r="P1355">
        <v>354</v>
      </c>
      <c r="Q1355">
        <v>172.55</v>
      </c>
    </row>
    <row r="1356" spans="2:17" x14ac:dyDescent="0.25">
      <c r="B1356" t="s">
        <v>78</v>
      </c>
      <c r="C1356" t="s">
        <v>79</v>
      </c>
      <c r="D1356" t="s">
        <v>2663</v>
      </c>
      <c r="E1356" t="s">
        <v>2664</v>
      </c>
      <c r="F1356">
        <v>78.95</v>
      </c>
      <c r="G1356">
        <v>78</v>
      </c>
      <c r="H1356">
        <v>84.75</v>
      </c>
      <c r="I1356">
        <v>75.099999999999994</v>
      </c>
      <c r="J1356" s="1">
        <v>81.55</v>
      </c>
      <c r="K1356">
        <v>73855341.5</v>
      </c>
      <c r="L1356">
        <v>910618</v>
      </c>
      <c r="M1356" t="s">
        <v>78</v>
      </c>
      <c r="N1356" t="s">
        <v>17</v>
      </c>
      <c r="O1356">
        <v>13283</v>
      </c>
      <c r="P1356">
        <v>84.9</v>
      </c>
      <c r="Q1356">
        <v>23.8</v>
      </c>
    </row>
    <row r="1357" spans="2:17" x14ac:dyDescent="0.25">
      <c r="B1357" t="s">
        <v>78</v>
      </c>
      <c r="C1357" t="s">
        <v>79</v>
      </c>
      <c r="D1357" t="s">
        <v>2665</v>
      </c>
      <c r="E1357" t="s">
        <v>2666</v>
      </c>
      <c r="F1357">
        <v>66.2</v>
      </c>
      <c r="G1357">
        <v>65.5</v>
      </c>
      <c r="H1357">
        <v>67.25</v>
      </c>
      <c r="I1357">
        <v>65.150000000000006</v>
      </c>
      <c r="J1357" s="1">
        <v>65.95</v>
      </c>
      <c r="K1357">
        <v>3468397.75</v>
      </c>
      <c r="L1357">
        <v>52430</v>
      </c>
      <c r="M1357" t="s">
        <v>78</v>
      </c>
      <c r="N1357" t="s">
        <v>17</v>
      </c>
      <c r="O1357">
        <v>617</v>
      </c>
      <c r="P1357">
        <v>79.900000000000006</v>
      </c>
      <c r="Q1357">
        <v>31.15</v>
      </c>
    </row>
    <row r="1358" spans="2:17" x14ac:dyDescent="0.25">
      <c r="B1358" t="s">
        <v>78</v>
      </c>
      <c r="C1358" t="s">
        <v>79</v>
      </c>
      <c r="D1358" t="s">
        <v>2667</v>
      </c>
      <c r="E1358" t="s">
        <v>2668</v>
      </c>
      <c r="F1358">
        <v>52.1</v>
      </c>
      <c r="G1358">
        <v>53.1</v>
      </c>
      <c r="H1358">
        <v>53.1</v>
      </c>
      <c r="I1358">
        <v>50.8</v>
      </c>
      <c r="J1358" s="1">
        <v>51.45</v>
      </c>
      <c r="K1358">
        <v>10637859.449999999</v>
      </c>
      <c r="L1358">
        <v>205405</v>
      </c>
      <c r="M1358" t="s">
        <v>78</v>
      </c>
      <c r="N1358" t="s">
        <v>17</v>
      </c>
      <c r="O1358">
        <v>1858</v>
      </c>
      <c r="P1358">
        <v>65.8</v>
      </c>
      <c r="Q1358">
        <v>11.2</v>
      </c>
    </row>
    <row r="1359" spans="2:17" x14ac:dyDescent="0.25">
      <c r="B1359" t="s">
        <v>78</v>
      </c>
      <c r="C1359" t="s">
        <v>79</v>
      </c>
      <c r="D1359" t="s">
        <v>2669</v>
      </c>
      <c r="E1359" t="s">
        <v>2670</v>
      </c>
      <c r="F1359">
        <v>38.450000000000003</v>
      </c>
      <c r="G1359">
        <v>37.9</v>
      </c>
      <c r="H1359">
        <v>38.4</v>
      </c>
      <c r="I1359">
        <v>37.15</v>
      </c>
      <c r="J1359" s="1">
        <v>37.5</v>
      </c>
      <c r="K1359">
        <v>37052847.700000003</v>
      </c>
      <c r="L1359">
        <v>982099</v>
      </c>
      <c r="M1359" t="s">
        <v>78</v>
      </c>
      <c r="N1359" t="s">
        <v>17</v>
      </c>
      <c r="O1359">
        <v>4229</v>
      </c>
      <c r="P1359">
        <v>41.9</v>
      </c>
      <c r="Q1359">
        <v>22.95</v>
      </c>
    </row>
    <row r="1360" spans="2:17" x14ac:dyDescent="0.25">
      <c r="B1360" t="s">
        <v>78</v>
      </c>
      <c r="C1360" t="s">
        <v>79</v>
      </c>
      <c r="D1360" t="s">
        <v>2671</v>
      </c>
      <c r="E1360" t="s">
        <v>2672</v>
      </c>
      <c r="F1360">
        <v>76.400000000000006</v>
      </c>
      <c r="G1360">
        <v>76.5</v>
      </c>
      <c r="H1360">
        <v>81.75</v>
      </c>
      <c r="I1360">
        <v>75.400000000000006</v>
      </c>
      <c r="J1360" s="1">
        <v>80</v>
      </c>
      <c r="K1360">
        <v>173003361</v>
      </c>
      <c r="L1360">
        <v>2188818</v>
      </c>
      <c r="M1360" t="s">
        <v>78</v>
      </c>
      <c r="N1360" t="s">
        <v>17</v>
      </c>
      <c r="O1360">
        <v>14376</v>
      </c>
      <c r="P1360">
        <v>83.35</v>
      </c>
      <c r="Q1360">
        <v>32.9</v>
      </c>
    </row>
    <row r="1361" spans="2:17" x14ac:dyDescent="0.25">
      <c r="B1361" t="s">
        <v>78</v>
      </c>
      <c r="C1361" t="s">
        <v>79</v>
      </c>
      <c r="D1361" t="s">
        <v>2673</v>
      </c>
      <c r="E1361" t="s">
        <v>2674</v>
      </c>
      <c r="F1361">
        <v>835.95</v>
      </c>
      <c r="G1361">
        <v>831</v>
      </c>
      <c r="H1361">
        <v>835</v>
      </c>
      <c r="I1361">
        <v>824.9</v>
      </c>
      <c r="J1361" s="1">
        <v>831.4</v>
      </c>
      <c r="K1361">
        <v>13150239.949999999</v>
      </c>
      <c r="L1361">
        <v>15893</v>
      </c>
      <c r="M1361" t="s">
        <v>78</v>
      </c>
      <c r="N1361" t="s">
        <v>17</v>
      </c>
      <c r="O1361">
        <v>1217</v>
      </c>
      <c r="P1361">
        <v>951.8</v>
      </c>
      <c r="Q1361">
        <v>250</v>
      </c>
    </row>
    <row r="1362" spans="2:17" x14ac:dyDescent="0.25">
      <c r="B1362" t="s">
        <v>78</v>
      </c>
      <c r="C1362" t="s">
        <v>79</v>
      </c>
      <c r="D1362" t="s">
        <v>2675</v>
      </c>
      <c r="E1362" t="s">
        <v>2676</v>
      </c>
      <c r="F1362">
        <v>111</v>
      </c>
      <c r="G1362">
        <v>112.85</v>
      </c>
      <c r="H1362">
        <v>112.85</v>
      </c>
      <c r="I1362">
        <v>108.1</v>
      </c>
      <c r="J1362" s="1">
        <v>108.85</v>
      </c>
      <c r="K1362">
        <v>1867751.8</v>
      </c>
      <c r="L1362">
        <v>17100</v>
      </c>
      <c r="M1362" t="s">
        <v>78</v>
      </c>
      <c r="N1362" t="s">
        <v>17</v>
      </c>
      <c r="O1362">
        <v>682</v>
      </c>
      <c r="P1362">
        <v>174.35</v>
      </c>
      <c r="Q1362">
        <v>83</v>
      </c>
    </row>
    <row r="1363" spans="2:17" x14ac:dyDescent="0.25">
      <c r="B1363" t="s">
        <v>78</v>
      </c>
      <c r="C1363" t="s">
        <v>287</v>
      </c>
      <c r="D1363" t="s">
        <v>2677</v>
      </c>
      <c r="E1363" t="s">
        <v>2678</v>
      </c>
      <c r="F1363">
        <v>2500.1</v>
      </c>
      <c r="G1363">
        <v>2524</v>
      </c>
      <c r="H1363">
        <v>2640</v>
      </c>
      <c r="I1363">
        <v>2524</v>
      </c>
      <c r="J1363" s="1">
        <v>2600</v>
      </c>
      <c r="K1363">
        <v>2810400</v>
      </c>
      <c r="L1363">
        <v>1100</v>
      </c>
      <c r="M1363" t="s">
        <v>78</v>
      </c>
      <c r="N1363" t="s">
        <v>17</v>
      </c>
      <c r="O1363">
        <v>10</v>
      </c>
      <c r="P1363">
        <v>2999.95</v>
      </c>
      <c r="Q1363">
        <v>490</v>
      </c>
    </row>
    <row r="1364" spans="2:17" x14ac:dyDescent="0.25">
      <c r="B1364" t="s">
        <v>78</v>
      </c>
      <c r="C1364" t="s">
        <v>79</v>
      </c>
      <c r="D1364" t="s">
        <v>2679</v>
      </c>
      <c r="E1364" t="s">
        <v>2680</v>
      </c>
      <c r="F1364">
        <v>872.85</v>
      </c>
      <c r="G1364">
        <v>870</v>
      </c>
      <c r="H1364">
        <v>889.1</v>
      </c>
      <c r="I1364">
        <v>837.95</v>
      </c>
      <c r="J1364" s="1">
        <v>870</v>
      </c>
      <c r="K1364">
        <v>31982335</v>
      </c>
      <c r="L1364">
        <v>36966</v>
      </c>
      <c r="M1364" t="s">
        <v>78</v>
      </c>
      <c r="N1364" t="s">
        <v>17</v>
      </c>
      <c r="O1364">
        <v>1997</v>
      </c>
      <c r="P1364">
        <v>909.95</v>
      </c>
      <c r="Q1364">
        <v>275.25</v>
      </c>
    </row>
    <row r="1365" spans="2:17" x14ac:dyDescent="0.25">
      <c r="B1365" t="s">
        <v>78</v>
      </c>
      <c r="C1365" t="s">
        <v>79</v>
      </c>
      <c r="D1365" t="s">
        <v>2681</v>
      </c>
      <c r="E1365" t="s">
        <v>2682</v>
      </c>
      <c r="F1365">
        <v>1427.45</v>
      </c>
      <c r="G1365">
        <v>1416</v>
      </c>
      <c r="H1365">
        <v>1428.65</v>
      </c>
      <c r="I1365">
        <v>1372</v>
      </c>
      <c r="J1365" s="1">
        <v>1394.55</v>
      </c>
      <c r="K1365">
        <v>33361353.449999999</v>
      </c>
      <c r="L1365">
        <v>23761</v>
      </c>
      <c r="M1365" t="s">
        <v>78</v>
      </c>
      <c r="N1365" t="s">
        <v>17</v>
      </c>
      <c r="O1365">
        <v>2869</v>
      </c>
      <c r="P1365">
        <v>1577.55</v>
      </c>
      <c r="Q1365">
        <v>703.95</v>
      </c>
    </row>
    <row r="1366" spans="2:17" x14ac:dyDescent="0.25">
      <c r="B1366" t="s">
        <v>78</v>
      </c>
      <c r="C1366" t="s">
        <v>79</v>
      </c>
      <c r="D1366" t="s">
        <v>2683</v>
      </c>
      <c r="E1366" t="s">
        <v>2684</v>
      </c>
      <c r="F1366">
        <v>62.45</v>
      </c>
      <c r="G1366">
        <v>62</v>
      </c>
      <c r="H1366">
        <v>62.7</v>
      </c>
      <c r="I1366">
        <v>60.75</v>
      </c>
      <c r="J1366" s="1">
        <v>61.05</v>
      </c>
      <c r="K1366">
        <v>41973670.899999999</v>
      </c>
      <c r="L1366">
        <v>681651</v>
      </c>
      <c r="M1366" t="s">
        <v>78</v>
      </c>
      <c r="N1366" t="s">
        <v>17</v>
      </c>
      <c r="O1366">
        <v>8001</v>
      </c>
      <c r="P1366">
        <v>71.5</v>
      </c>
      <c r="Q1366">
        <v>25.8</v>
      </c>
    </row>
    <row r="1367" spans="2:17" x14ac:dyDescent="0.25">
      <c r="B1367" t="s">
        <v>78</v>
      </c>
      <c r="C1367" t="s">
        <v>79</v>
      </c>
      <c r="D1367" t="s">
        <v>2685</v>
      </c>
      <c r="E1367" t="s">
        <v>2686</v>
      </c>
      <c r="F1367">
        <v>1320.3</v>
      </c>
      <c r="G1367">
        <v>1319</v>
      </c>
      <c r="H1367">
        <v>1328.1</v>
      </c>
      <c r="I1367">
        <v>1311.2</v>
      </c>
      <c r="J1367" s="1">
        <v>1316.95</v>
      </c>
      <c r="K1367">
        <v>209233672.84999999</v>
      </c>
      <c r="L1367">
        <v>158646</v>
      </c>
      <c r="M1367" t="s">
        <v>78</v>
      </c>
      <c r="N1367" t="s">
        <v>17</v>
      </c>
      <c r="O1367">
        <v>5832</v>
      </c>
      <c r="P1367">
        <v>1465</v>
      </c>
      <c r="Q1367">
        <v>586</v>
      </c>
    </row>
    <row r="1368" spans="2:17" x14ac:dyDescent="0.25">
      <c r="B1368" t="s">
        <v>78</v>
      </c>
      <c r="C1368" t="s">
        <v>79</v>
      </c>
      <c r="D1368" t="s">
        <v>2687</v>
      </c>
      <c r="E1368" t="s">
        <v>2688</v>
      </c>
      <c r="F1368">
        <v>43.35</v>
      </c>
      <c r="G1368">
        <v>43.35</v>
      </c>
      <c r="H1368">
        <v>46.45</v>
      </c>
      <c r="I1368">
        <v>42.85</v>
      </c>
      <c r="J1368" s="1">
        <v>44.6</v>
      </c>
      <c r="K1368">
        <v>36657010.649999999</v>
      </c>
      <c r="L1368">
        <v>813776</v>
      </c>
      <c r="M1368" t="s">
        <v>78</v>
      </c>
      <c r="N1368" t="s">
        <v>17</v>
      </c>
      <c r="O1368">
        <v>4087</v>
      </c>
      <c r="P1368">
        <v>49.2</v>
      </c>
      <c r="Q1368">
        <v>15.25</v>
      </c>
    </row>
    <row r="1369" spans="2:17" x14ac:dyDescent="0.25">
      <c r="B1369" t="s">
        <v>78</v>
      </c>
      <c r="C1369" t="s">
        <v>79</v>
      </c>
      <c r="D1369" t="s">
        <v>2689</v>
      </c>
      <c r="E1369" t="s">
        <v>2690</v>
      </c>
      <c r="F1369">
        <v>628.15</v>
      </c>
      <c r="G1369">
        <v>607</v>
      </c>
      <c r="H1369">
        <v>653</v>
      </c>
      <c r="I1369">
        <v>607</v>
      </c>
      <c r="J1369" s="1">
        <v>629.65</v>
      </c>
      <c r="K1369">
        <v>44526468.350000001</v>
      </c>
      <c r="L1369">
        <v>70285</v>
      </c>
      <c r="M1369" t="s">
        <v>78</v>
      </c>
      <c r="N1369" t="s">
        <v>17</v>
      </c>
      <c r="O1369">
        <v>5199</v>
      </c>
      <c r="P1369">
        <v>660</v>
      </c>
      <c r="Q1369">
        <v>211</v>
      </c>
    </row>
    <row r="1370" spans="2:17" x14ac:dyDescent="0.25">
      <c r="B1370" t="s">
        <v>78</v>
      </c>
      <c r="C1370" t="s">
        <v>79</v>
      </c>
      <c r="D1370" t="s">
        <v>2691</v>
      </c>
      <c r="E1370" t="s">
        <v>2692</v>
      </c>
      <c r="F1370">
        <v>1128.7</v>
      </c>
      <c r="G1370">
        <v>1127.0999999999999</v>
      </c>
      <c r="H1370">
        <v>1128.1500000000001</v>
      </c>
      <c r="I1370">
        <v>1101.05</v>
      </c>
      <c r="J1370" s="1">
        <v>1104.5</v>
      </c>
      <c r="K1370">
        <v>746541948.79999995</v>
      </c>
      <c r="L1370">
        <v>676115</v>
      </c>
      <c r="M1370" t="s">
        <v>78</v>
      </c>
      <c r="N1370" t="s">
        <v>17</v>
      </c>
      <c r="O1370">
        <v>6637</v>
      </c>
      <c r="P1370">
        <v>1450</v>
      </c>
      <c r="Q1370">
        <v>491.2</v>
      </c>
    </row>
    <row r="1371" spans="2:17" x14ac:dyDescent="0.25">
      <c r="B1371" t="s">
        <v>78</v>
      </c>
      <c r="C1371" t="s">
        <v>79</v>
      </c>
      <c r="D1371" t="s">
        <v>2693</v>
      </c>
      <c r="E1371" t="s">
        <v>2694</v>
      </c>
      <c r="F1371">
        <v>8.9</v>
      </c>
      <c r="G1371">
        <v>8.9</v>
      </c>
      <c r="H1371">
        <v>8.9</v>
      </c>
      <c r="I1371">
        <v>8.5500000000000007</v>
      </c>
      <c r="J1371" s="1">
        <v>8.75</v>
      </c>
      <c r="K1371">
        <v>183353.85</v>
      </c>
      <c r="L1371">
        <v>20984</v>
      </c>
      <c r="M1371" t="s">
        <v>78</v>
      </c>
      <c r="N1371" t="s">
        <v>17</v>
      </c>
      <c r="O1371">
        <v>70</v>
      </c>
      <c r="P1371">
        <v>10.55</v>
      </c>
      <c r="Q1371">
        <v>4.95</v>
      </c>
    </row>
    <row r="1372" spans="2:17" x14ac:dyDescent="0.25">
      <c r="B1372" t="s">
        <v>78</v>
      </c>
      <c r="C1372" t="s">
        <v>79</v>
      </c>
      <c r="D1372" t="s">
        <v>2695</v>
      </c>
      <c r="E1372" t="s">
        <v>2696</v>
      </c>
      <c r="F1372">
        <v>54.2</v>
      </c>
      <c r="G1372">
        <v>54</v>
      </c>
      <c r="H1372">
        <v>56.9</v>
      </c>
      <c r="I1372">
        <v>53.65</v>
      </c>
      <c r="J1372" s="1">
        <v>56.9</v>
      </c>
      <c r="K1372">
        <v>908169.9</v>
      </c>
      <c r="L1372">
        <v>16191</v>
      </c>
      <c r="M1372" t="s">
        <v>78</v>
      </c>
      <c r="N1372" t="s">
        <v>17</v>
      </c>
      <c r="O1372">
        <v>407</v>
      </c>
      <c r="P1372">
        <v>63.3</v>
      </c>
      <c r="Q1372">
        <v>19.2</v>
      </c>
    </row>
    <row r="1373" spans="2:17" x14ac:dyDescent="0.25">
      <c r="B1373" t="s">
        <v>78</v>
      </c>
      <c r="C1373" t="s">
        <v>79</v>
      </c>
      <c r="D1373" t="s">
        <v>2697</v>
      </c>
      <c r="E1373" t="s">
        <v>2698</v>
      </c>
      <c r="F1373">
        <v>83.6</v>
      </c>
      <c r="G1373">
        <v>83.2</v>
      </c>
      <c r="H1373">
        <v>84.3</v>
      </c>
      <c r="I1373">
        <v>82.5</v>
      </c>
      <c r="J1373" s="1">
        <v>83.75</v>
      </c>
      <c r="K1373">
        <v>31146302.550000001</v>
      </c>
      <c r="L1373">
        <v>372125</v>
      </c>
      <c r="M1373" t="s">
        <v>78</v>
      </c>
      <c r="N1373" t="s">
        <v>17</v>
      </c>
      <c r="O1373">
        <v>5652</v>
      </c>
      <c r="P1373">
        <v>94.5</v>
      </c>
      <c r="Q1373">
        <v>35.25</v>
      </c>
    </row>
    <row r="1374" spans="2:17" x14ac:dyDescent="0.25">
      <c r="B1374" t="s">
        <v>78</v>
      </c>
      <c r="C1374" t="s">
        <v>79</v>
      </c>
      <c r="D1374" t="s">
        <v>2699</v>
      </c>
      <c r="E1374" t="s">
        <v>2700</v>
      </c>
      <c r="F1374">
        <v>1526.5</v>
      </c>
      <c r="G1374">
        <v>1525</v>
      </c>
      <c r="H1374">
        <v>1530.05</v>
      </c>
      <c r="I1374">
        <v>1498</v>
      </c>
      <c r="J1374" s="1">
        <v>1503.8</v>
      </c>
      <c r="K1374">
        <v>39220485.899999999</v>
      </c>
      <c r="L1374">
        <v>25885</v>
      </c>
      <c r="M1374" t="s">
        <v>78</v>
      </c>
      <c r="N1374" t="s">
        <v>17</v>
      </c>
      <c r="O1374">
        <v>2900</v>
      </c>
      <c r="P1374">
        <v>1667</v>
      </c>
      <c r="Q1374">
        <v>927.5</v>
      </c>
    </row>
    <row r="1375" spans="2:17" x14ac:dyDescent="0.25">
      <c r="B1375" t="s">
        <v>78</v>
      </c>
      <c r="C1375" t="s">
        <v>79</v>
      </c>
      <c r="D1375" t="s">
        <v>2701</v>
      </c>
      <c r="E1375" t="s">
        <v>2702</v>
      </c>
      <c r="F1375">
        <v>249.05</v>
      </c>
      <c r="G1375">
        <v>247.9</v>
      </c>
      <c r="H1375">
        <v>249.65</v>
      </c>
      <c r="I1375">
        <v>241.35</v>
      </c>
      <c r="J1375" s="1">
        <v>243.15</v>
      </c>
      <c r="K1375">
        <v>217664390.19999999</v>
      </c>
      <c r="L1375">
        <v>887882</v>
      </c>
      <c r="M1375" t="s">
        <v>78</v>
      </c>
      <c r="N1375" t="s">
        <v>17</v>
      </c>
      <c r="O1375">
        <v>16507</v>
      </c>
      <c r="P1375">
        <v>262.64999999999998</v>
      </c>
      <c r="Q1375">
        <v>118</v>
      </c>
    </row>
    <row r="1376" spans="2:17" x14ac:dyDescent="0.25">
      <c r="B1376" t="s">
        <v>78</v>
      </c>
      <c r="C1376" t="s">
        <v>79</v>
      </c>
      <c r="D1376" t="s">
        <v>2703</v>
      </c>
      <c r="E1376" t="s">
        <v>2704</v>
      </c>
      <c r="F1376">
        <v>167.65</v>
      </c>
      <c r="G1376">
        <v>168.9</v>
      </c>
      <c r="H1376">
        <v>175</v>
      </c>
      <c r="I1376">
        <v>163.15</v>
      </c>
      <c r="J1376" s="1">
        <v>174.1</v>
      </c>
      <c r="K1376">
        <v>577430248.39999998</v>
      </c>
      <c r="L1376">
        <v>3366572</v>
      </c>
      <c r="M1376" t="s">
        <v>78</v>
      </c>
      <c r="N1376" t="s">
        <v>17</v>
      </c>
      <c r="O1376">
        <v>31856</v>
      </c>
      <c r="P1376">
        <v>175</v>
      </c>
      <c r="Q1376">
        <v>52.45</v>
      </c>
    </row>
    <row r="1377" spans="2:17" x14ac:dyDescent="0.25">
      <c r="B1377" t="s">
        <v>78</v>
      </c>
      <c r="C1377" t="s">
        <v>79</v>
      </c>
      <c r="D1377" t="s">
        <v>2705</v>
      </c>
      <c r="E1377" t="s">
        <v>2706</v>
      </c>
      <c r="F1377">
        <v>121.85</v>
      </c>
      <c r="G1377">
        <v>121.6</v>
      </c>
      <c r="H1377">
        <v>124.95</v>
      </c>
      <c r="I1377">
        <v>120</v>
      </c>
      <c r="J1377" s="1">
        <v>122.4</v>
      </c>
      <c r="K1377">
        <v>95982132.349999994</v>
      </c>
      <c r="L1377">
        <v>778817</v>
      </c>
      <c r="M1377" t="s">
        <v>78</v>
      </c>
      <c r="N1377" t="s">
        <v>17</v>
      </c>
      <c r="O1377">
        <v>10364</v>
      </c>
      <c r="P1377">
        <v>127.5</v>
      </c>
      <c r="Q1377">
        <v>33.200000000000003</v>
      </c>
    </row>
    <row r="1378" spans="2:17" x14ac:dyDescent="0.25">
      <c r="B1378" t="s">
        <v>78</v>
      </c>
      <c r="C1378" t="s">
        <v>79</v>
      </c>
      <c r="D1378" t="s">
        <v>2707</v>
      </c>
      <c r="E1378" t="s">
        <v>2708</v>
      </c>
      <c r="F1378">
        <v>150.6</v>
      </c>
      <c r="G1378">
        <v>150.6</v>
      </c>
      <c r="H1378">
        <v>153.44999999999999</v>
      </c>
      <c r="I1378">
        <v>150</v>
      </c>
      <c r="J1378" s="1">
        <v>150.85</v>
      </c>
      <c r="K1378">
        <v>22609983.5</v>
      </c>
      <c r="L1378">
        <v>149219</v>
      </c>
      <c r="M1378" t="s">
        <v>78</v>
      </c>
      <c r="N1378" t="s">
        <v>17</v>
      </c>
      <c r="O1378">
        <v>2745</v>
      </c>
      <c r="P1378">
        <v>182.9</v>
      </c>
      <c r="Q1378">
        <v>98</v>
      </c>
    </row>
    <row r="1379" spans="2:17" x14ac:dyDescent="0.25">
      <c r="B1379" t="s">
        <v>78</v>
      </c>
      <c r="C1379" t="s">
        <v>79</v>
      </c>
      <c r="D1379" t="s">
        <v>2709</v>
      </c>
      <c r="E1379" t="s">
        <v>2710</v>
      </c>
      <c r="F1379">
        <v>110.95</v>
      </c>
      <c r="G1379">
        <v>109</v>
      </c>
      <c r="H1379">
        <v>117.8</v>
      </c>
      <c r="I1379">
        <v>109</v>
      </c>
      <c r="J1379" s="1">
        <v>111.8</v>
      </c>
      <c r="K1379">
        <v>8210516.9000000004</v>
      </c>
      <c r="L1379">
        <v>71582</v>
      </c>
      <c r="M1379" t="s">
        <v>78</v>
      </c>
      <c r="N1379" t="s">
        <v>17</v>
      </c>
      <c r="O1379">
        <v>1651</v>
      </c>
      <c r="P1379">
        <v>117.8</v>
      </c>
      <c r="Q1379">
        <v>55.7</v>
      </c>
    </row>
    <row r="1380" spans="2:17" x14ac:dyDescent="0.25">
      <c r="B1380" t="s">
        <v>78</v>
      </c>
      <c r="C1380" t="s">
        <v>79</v>
      </c>
      <c r="D1380" t="s">
        <v>2711</v>
      </c>
      <c r="E1380" t="s">
        <v>2712</v>
      </c>
      <c r="F1380">
        <v>480.5</v>
      </c>
      <c r="G1380">
        <v>476</v>
      </c>
      <c r="H1380">
        <v>482.7</v>
      </c>
      <c r="I1380">
        <v>474</v>
      </c>
      <c r="J1380" s="1">
        <v>481.1</v>
      </c>
      <c r="K1380">
        <v>324590012.69999999</v>
      </c>
      <c r="L1380">
        <v>677467</v>
      </c>
      <c r="M1380" t="s">
        <v>78</v>
      </c>
      <c r="N1380" t="s">
        <v>17</v>
      </c>
      <c r="O1380">
        <v>9923</v>
      </c>
      <c r="P1380">
        <v>508.7</v>
      </c>
      <c r="Q1380">
        <v>293</v>
      </c>
    </row>
    <row r="1381" spans="2:17" x14ac:dyDescent="0.25">
      <c r="B1381" t="s">
        <v>78</v>
      </c>
      <c r="C1381" t="s">
        <v>79</v>
      </c>
      <c r="D1381" t="s">
        <v>2713</v>
      </c>
      <c r="E1381" t="s">
        <v>2714</v>
      </c>
      <c r="F1381">
        <v>57.7</v>
      </c>
      <c r="G1381">
        <v>54.5</v>
      </c>
      <c r="H1381">
        <v>66</v>
      </c>
      <c r="I1381">
        <v>54.1</v>
      </c>
      <c r="J1381" s="1">
        <v>64.7</v>
      </c>
      <c r="K1381">
        <v>57380062.899999999</v>
      </c>
      <c r="L1381">
        <v>942504</v>
      </c>
      <c r="M1381" t="s">
        <v>78</v>
      </c>
      <c r="N1381" t="s">
        <v>17</v>
      </c>
      <c r="O1381">
        <v>8003</v>
      </c>
      <c r="P1381">
        <v>84.05</v>
      </c>
      <c r="Q1381">
        <v>25.9</v>
      </c>
    </row>
    <row r="1382" spans="2:17" x14ac:dyDescent="0.25">
      <c r="B1382" t="s">
        <v>78</v>
      </c>
      <c r="C1382" t="s">
        <v>79</v>
      </c>
      <c r="D1382" t="s">
        <v>2715</v>
      </c>
      <c r="E1382" t="s">
        <v>2716</v>
      </c>
      <c r="F1382">
        <v>105.8</v>
      </c>
      <c r="G1382">
        <v>107</v>
      </c>
      <c r="H1382">
        <v>110</v>
      </c>
      <c r="I1382">
        <v>105</v>
      </c>
      <c r="J1382" s="1">
        <v>108.3</v>
      </c>
      <c r="K1382">
        <v>3612310.7</v>
      </c>
      <c r="L1382">
        <v>33287</v>
      </c>
      <c r="M1382" t="s">
        <v>78</v>
      </c>
      <c r="N1382" t="s">
        <v>17</v>
      </c>
      <c r="O1382">
        <v>754</v>
      </c>
      <c r="P1382">
        <v>120.7</v>
      </c>
      <c r="Q1382">
        <v>38.200000000000003</v>
      </c>
    </row>
    <row r="1383" spans="2:17" x14ac:dyDescent="0.25">
      <c r="B1383" t="s">
        <v>78</v>
      </c>
      <c r="C1383" t="s">
        <v>79</v>
      </c>
      <c r="D1383" t="s">
        <v>2717</v>
      </c>
      <c r="E1383" t="s">
        <v>2718</v>
      </c>
      <c r="F1383">
        <v>260.35000000000002</v>
      </c>
      <c r="G1383">
        <v>256.89999999999998</v>
      </c>
      <c r="H1383">
        <v>280</v>
      </c>
      <c r="I1383">
        <v>253.2</v>
      </c>
      <c r="J1383" s="1">
        <v>277.14999999999998</v>
      </c>
      <c r="K1383">
        <v>24812030.850000001</v>
      </c>
      <c r="L1383">
        <v>91318</v>
      </c>
      <c r="M1383" t="s">
        <v>78</v>
      </c>
      <c r="N1383" t="s">
        <v>17</v>
      </c>
      <c r="O1383">
        <v>2738</v>
      </c>
      <c r="P1383">
        <v>296.75</v>
      </c>
      <c r="Q1383">
        <v>100</v>
      </c>
    </row>
    <row r="1384" spans="2:17" x14ac:dyDescent="0.25">
      <c r="B1384" t="s">
        <v>78</v>
      </c>
      <c r="C1384" t="s">
        <v>287</v>
      </c>
      <c r="D1384" t="s">
        <v>2719</v>
      </c>
      <c r="E1384" t="s">
        <v>2720</v>
      </c>
      <c r="F1384">
        <v>5.45</v>
      </c>
      <c r="G1384">
        <v>5.3</v>
      </c>
      <c r="H1384">
        <v>5.3</v>
      </c>
      <c r="I1384">
        <v>5.3</v>
      </c>
      <c r="J1384" s="1">
        <v>5.3</v>
      </c>
      <c r="K1384">
        <v>21200</v>
      </c>
      <c r="L1384">
        <v>4000</v>
      </c>
      <c r="M1384" t="s">
        <v>78</v>
      </c>
      <c r="N1384" t="s">
        <v>17</v>
      </c>
      <c r="O1384">
        <v>1</v>
      </c>
      <c r="P1384">
        <v>11.15</v>
      </c>
      <c r="Q1384">
        <v>4.75</v>
      </c>
    </row>
    <row r="1385" spans="2:17" x14ac:dyDescent="0.25">
      <c r="B1385" t="s">
        <v>78</v>
      </c>
      <c r="C1385" t="s">
        <v>79</v>
      </c>
      <c r="D1385" t="s">
        <v>2721</v>
      </c>
      <c r="E1385" t="s">
        <v>2722</v>
      </c>
      <c r="F1385">
        <v>61.15</v>
      </c>
      <c r="G1385">
        <v>62.45</v>
      </c>
      <c r="H1385">
        <v>62.45</v>
      </c>
      <c r="I1385">
        <v>59.5</v>
      </c>
      <c r="J1385" s="1">
        <v>60.1</v>
      </c>
      <c r="K1385">
        <v>2328566.9</v>
      </c>
      <c r="L1385">
        <v>38587</v>
      </c>
      <c r="M1385" t="s">
        <v>78</v>
      </c>
      <c r="N1385" t="s">
        <v>17</v>
      </c>
      <c r="O1385">
        <v>634</v>
      </c>
      <c r="P1385">
        <v>68.95</v>
      </c>
      <c r="Q1385">
        <v>8.35</v>
      </c>
    </row>
    <row r="1386" spans="2:17" x14ac:dyDescent="0.25">
      <c r="B1386" t="s">
        <v>78</v>
      </c>
      <c r="C1386" t="s">
        <v>79</v>
      </c>
      <c r="D1386" t="s">
        <v>2723</v>
      </c>
      <c r="E1386" t="s">
        <v>2724</v>
      </c>
      <c r="F1386">
        <v>879.9</v>
      </c>
      <c r="G1386">
        <v>877.9</v>
      </c>
      <c r="H1386">
        <v>879</v>
      </c>
      <c r="I1386">
        <v>860</v>
      </c>
      <c r="J1386" s="1">
        <v>870</v>
      </c>
      <c r="K1386">
        <v>659521064.60000002</v>
      </c>
      <c r="L1386">
        <v>759172</v>
      </c>
      <c r="M1386" t="s">
        <v>78</v>
      </c>
      <c r="N1386" t="s">
        <v>17</v>
      </c>
      <c r="O1386">
        <v>22826</v>
      </c>
      <c r="P1386">
        <v>947.95</v>
      </c>
      <c r="Q1386">
        <v>540.6</v>
      </c>
    </row>
    <row r="1387" spans="2:17" x14ac:dyDescent="0.25">
      <c r="B1387" t="s">
        <v>78</v>
      </c>
      <c r="C1387" t="s">
        <v>79</v>
      </c>
      <c r="D1387" t="s">
        <v>2725</v>
      </c>
      <c r="E1387" t="s">
        <v>2726</v>
      </c>
      <c r="F1387">
        <v>17.7</v>
      </c>
      <c r="G1387">
        <v>17.55</v>
      </c>
      <c r="H1387">
        <v>18.05</v>
      </c>
      <c r="I1387">
        <v>17.5</v>
      </c>
      <c r="J1387" s="1">
        <v>17.649999999999999</v>
      </c>
      <c r="K1387">
        <v>247901767</v>
      </c>
      <c r="L1387">
        <v>13924694</v>
      </c>
      <c r="M1387" t="s">
        <v>78</v>
      </c>
      <c r="N1387" t="s">
        <v>17</v>
      </c>
      <c r="O1387">
        <v>24715</v>
      </c>
      <c r="P1387">
        <v>19.3</v>
      </c>
      <c r="Q1387">
        <v>5.9</v>
      </c>
    </row>
    <row r="1388" spans="2:17" x14ac:dyDescent="0.25">
      <c r="B1388" t="s">
        <v>78</v>
      </c>
      <c r="C1388" t="s">
        <v>79</v>
      </c>
      <c r="D1388" t="s">
        <v>2727</v>
      </c>
      <c r="E1388" t="s">
        <v>2728</v>
      </c>
      <c r="F1388">
        <v>148.94999999999999</v>
      </c>
      <c r="G1388">
        <v>151.94999999999999</v>
      </c>
      <c r="H1388">
        <v>163.55000000000001</v>
      </c>
      <c r="I1388">
        <v>145.25</v>
      </c>
      <c r="J1388" s="1">
        <v>158.6</v>
      </c>
      <c r="K1388">
        <v>190654524.09999999</v>
      </c>
      <c r="L1388">
        <v>1211255</v>
      </c>
      <c r="M1388" t="s">
        <v>78</v>
      </c>
      <c r="N1388" t="s">
        <v>17</v>
      </c>
      <c r="O1388">
        <v>17338</v>
      </c>
      <c r="P1388">
        <v>163.55000000000001</v>
      </c>
      <c r="Q1388">
        <v>30.15</v>
      </c>
    </row>
    <row r="1389" spans="2:17" x14ac:dyDescent="0.25">
      <c r="B1389" t="s">
        <v>78</v>
      </c>
      <c r="C1389" t="s">
        <v>79</v>
      </c>
      <c r="D1389" t="s">
        <v>2729</v>
      </c>
      <c r="E1389" t="s">
        <v>2730</v>
      </c>
      <c r="F1389">
        <v>33.5</v>
      </c>
      <c r="G1389">
        <v>33.450000000000003</v>
      </c>
      <c r="H1389">
        <v>34.299999999999997</v>
      </c>
      <c r="I1389">
        <v>32.549999999999997</v>
      </c>
      <c r="J1389" s="1">
        <v>33.35</v>
      </c>
      <c r="K1389">
        <v>11058620.199999999</v>
      </c>
      <c r="L1389">
        <v>330256</v>
      </c>
      <c r="M1389" t="s">
        <v>78</v>
      </c>
      <c r="N1389" t="s">
        <v>17</v>
      </c>
      <c r="O1389">
        <v>1819</v>
      </c>
      <c r="P1389">
        <v>37.6</v>
      </c>
      <c r="Q1389">
        <v>8.5</v>
      </c>
    </row>
    <row r="1390" spans="2:17" x14ac:dyDescent="0.25">
      <c r="B1390" t="s">
        <v>78</v>
      </c>
      <c r="C1390" t="s">
        <v>79</v>
      </c>
      <c r="D1390" t="s">
        <v>2731</v>
      </c>
      <c r="E1390" t="s">
        <v>2732</v>
      </c>
      <c r="F1390">
        <v>135.55000000000001</v>
      </c>
      <c r="G1390">
        <v>134</v>
      </c>
      <c r="H1390">
        <v>134.94999999999999</v>
      </c>
      <c r="I1390">
        <v>131.25</v>
      </c>
      <c r="J1390" s="1">
        <v>131.69999999999999</v>
      </c>
      <c r="K1390">
        <v>34669296.149999999</v>
      </c>
      <c r="L1390">
        <v>261214</v>
      </c>
      <c r="M1390" t="s">
        <v>78</v>
      </c>
      <c r="N1390" t="s">
        <v>17</v>
      </c>
      <c r="O1390">
        <v>5303</v>
      </c>
      <c r="P1390">
        <v>136.35</v>
      </c>
      <c r="Q1390">
        <v>61.75</v>
      </c>
    </row>
    <row r="1391" spans="2:17" x14ac:dyDescent="0.25">
      <c r="B1391" t="s">
        <v>78</v>
      </c>
      <c r="C1391" t="s">
        <v>79</v>
      </c>
      <c r="D1391" t="s">
        <v>2733</v>
      </c>
      <c r="E1391" t="s">
        <v>2734</v>
      </c>
      <c r="F1391">
        <v>191.1</v>
      </c>
      <c r="G1391">
        <v>190</v>
      </c>
      <c r="H1391">
        <v>198.95</v>
      </c>
      <c r="I1391">
        <v>188.9</v>
      </c>
      <c r="J1391" s="1">
        <v>193.6</v>
      </c>
      <c r="K1391">
        <v>142420630.40000001</v>
      </c>
      <c r="L1391">
        <v>731644</v>
      </c>
      <c r="M1391" t="s">
        <v>78</v>
      </c>
      <c r="N1391" t="s">
        <v>17</v>
      </c>
      <c r="O1391">
        <v>13099</v>
      </c>
      <c r="P1391">
        <v>209.4</v>
      </c>
      <c r="Q1391">
        <v>54</v>
      </c>
    </row>
    <row r="1392" spans="2:17" x14ac:dyDescent="0.25">
      <c r="B1392" t="s">
        <v>78</v>
      </c>
      <c r="C1392" t="s">
        <v>79</v>
      </c>
      <c r="D1392" t="s">
        <v>2735</v>
      </c>
      <c r="E1392" t="s">
        <v>2736</v>
      </c>
      <c r="F1392">
        <v>788.05</v>
      </c>
      <c r="G1392">
        <v>778.9</v>
      </c>
      <c r="H1392">
        <v>815.85</v>
      </c>
      <c r="I1392">
        <v>774.75</v>
      </c>
      <c r="J1392" s="1">
        <v>808.65</v>
      </c>
      <c r="K1392">
        <v>106504041.15000001</v>
      </c>
      <c r="L1392">
        <v>132530</v>
      </c>
      <c r="M1392" t="s">
        <v>78</v>
      </c>
      <c r="N1392" t="s">
        <v>17</v>
      </c>
      <c r="O1392">
        <v>11537</v>
      </c>
      <c r="P1392">
        <v>815.85</v>
      </c>
      <c r="Q1392">
        <v>403</v>
      </c>
    </row>
    <row r="1393" spans="2:17" x14ac:dyDescent="0.25">
      <c r="B1393" t="s">
        <v>78</v>
      </c>
      <c r="C1393" t="s">
        <v>79</v>
      </c>
      <c r="D1393" t="s">
        <v>2737</v>
      </c>
      <c r="E1393" t="s">
        <v>2738</v>
      </c>
      <c r="F1393">
        <v>9244</v>
      </c>
      <c r="G1393">
        <v>9250</v>
      </c>
      <c r="H1393">
        <v>9329.5</v>
      </c>
      <c r="I1393">
        <v>9110</v>
      </c>
      <c r="J1393" s="1">
        <v>9159.15</v>
      </c>
      <c r="K1393">
        <v>24861088.850000001</v>
      </c>
      <c r="L1393">
        <v>2700</v>
      </c>
      <c r="M1393" t="s">
        <v>78</v>
      </c>
      <c r="N1393" t="s">
        <v>17</v>
      </c>
      <c r="O1393">
        <v>1366</v>
      </c>
      <c r="P1393">
        <v>9589.15</v>
      </c>
      <c r="Q1393">
        <v>5020</v>
      </c>
    </row>
    <row r="1394" spans="2:17" x14ac:dyDescent="0.25">
      <c r="B1394" t="s">
        <v>78</v>
      </c>
      <c r="C1394" t="s">
        <v>79</v>
      </c>
      <c r="D1394" t="s">
        <v>2739</v>
      </c>
      <c r="E1394" t="s">
        <v>2740</v>
      </c>
      <c r="F1394">
        <v>41.95</v>
      </c>
      <c r="G1394">
        <v>41.5</v>
      </c>
      <c r="H1394">
        <v>42</v>
      </c>
      <c r="I1394">
        <v>41.05</v>
      </c>
      <c r="J1394" s="1">
        <v>41.4</v>
      </c>
      <c r="K1394">
        <v>272453392</v>
      </c>
      <c r="L1394">
        <v>6564618</v>
      </c>
      <c r="M1394" t="s">
        <v>78</v>
      </c>
      <c r="N1394" t="s">
        <v>17</v>
      </c>
      <c r="O1394">
        <v>11916</v>
      </c>
      <c r="P1394">
        <v>48.95</v>
      </c>
      <c r="Q1394">
        <v>26.25</v>
      </c>
    </row>
    <row r="1395" spans="2:17" x14ac:dyDescent="0.25">
      <c r="B1395" t="s">
        <v>78</v>
      </c>
      <c r="C1395" t="s">
        <v>79</v>
      </c>
      <c r="D1395" t="s">
        <v>2741</v>
      </c>
      <c r="E1395" t="s">
        <v>2742</v>
      </c>
      <c r="F1395">
        <v>196.85</v>
      </c>
      <c r="G1395">
        <v>195.9</v>
      </c>
      <c r="H1395">
        <v>199</v>
      </c>
      <c r="I1395">
        <v>193</v>
      </c>
      <c r="J1395" s="1">
        <v>193.95</v>
      </c>
      <c r="K1395">
        <v>8439799.9499999993</v>
      </c>
      <c r="L1395">
        <v>43126</v>
      </c>
      <c r="M1395" t="s">
        <v>78</v>
      </c>
      <c r="N1395" t="s">
        <v>17</v>
      </c>
      <c r="O1395">
        <v>1684</v>
      </c>
      <c r="P1395">
        <v>217</v>
      </c>
      <c r="Q1395">
        <v>84.15</v>
      </c>
    </row>
    <row r="1396" spans="2:17" x14ac:dyDescent="0.25">
      <c r="B1396" t="s">
        <v>78</v>
      </c>
      <c r="C1396" t="s">
        <v>79</v>
      </c>
      <c r="D1396" t="s">
        <v>2743</v>
      </c>
      <c r="E1396" t="s">
        <v>2744</v>
      </c>
      <c r="F1396">
        <v>611.65</v>
      </c>
      <c r="G1396">
        <v>609.79999999999995</v>
      </c>
      <c r="H1396">
        <v>609.79999999999995</v>
      </c>
      <c r="I1396">
        <v>593</v>
      </c>
      <c r="J1396" s="1">
        <v>601.4</v>
      </c>
      <c r="K1396">
        <v>1390497909.05</v>
      </c>
      <c r="L1396">
        <v>2316952</v>
      </c>
      <c r="M1396" t="s">
        <v>78</v>
      </c>
      <c r="N1396" t="s">
        <v>17</v>
      </c>
      <c r="O1396">
        <v>38934</v>
      </c>
      <c r="P1396">
        <v>666</v>
      </c>
      <c r="Q1396">
        <v>383.7</v>
      </c>
    </row>
    <row r="1397" spans="2:17" x14ac:dyDescent="0.25">
      <c r="B1397" t="s">
        <v>78</v>
      </c>
      <c r="C1397" t="s">
        <v>79</v>
      </c>
      <c r="D1397" t="s">
        <v>2745</v>
      </c>
      <c r="E1397" t="s">
        <v>2746</v>
      </c>
      <c r="F1397">
        <v>2224.35</v>
      </c>
      <c r="G1397">
        <v>2224</v>
      </c>
      <c r="H1397">
        <v>2250</v>
      </c>
      <c r="I1397">
        <v>2201.25</v>
      </c>
      <c r="J1397" s="1">
        <v>2222.9</v>
      </c>
      <c r="K1397">
        <v>15014691</v>
      </c>
      <c r="L1397">
        <v>6736</v>
      </c>
      <c r="M1397" t="s">
        <v>78</v>
      </c>
      <c r="N1397" t="s">
        <v>17</v>
      </c>
      <c r="O1397">
        <v>1692</v>
      </c>
      <c r="P1397">
        <v>2394</v>
      </c>
      <c r="Q1397">
        <v>1327.1</v>
      </c>
    </row>
    <row r="1398" spans="2:17" x14ac:dyDescent="0.25">
      <c r="B1398" t="s">
        <v>78</v>
      </c>
      <c r="C1398" t="s">
        <v>79</v>
      </c>
      <c r="D1398" t="s">
        <v>2747</v>
      </c>
      <c r="E1398" t="s">
        <v>2748</v>
      </c>
      <c r="F1398">
        <v>299.95</v>
      </c>
      <c r="G1398">
        <v>305</v>
      </c>
      <c r="H1398">
        <v>307</v>
      </c>
      <c r="I1398">
        <v>301.2</v>
      </c>
      <c r="J1398" s="1">
        <v>305.39999999999998</v>
      </c>
      <c r="K1398">
        <v>48653324.600000001</v>
      </c>
      <c r="L1398">
        <v>160007</v>
      </c>
      <c r="M1398" t="s">
        <v>78</v>
      </c>
      <c r="N1398" t="s">
        <v>17</v>
      </c>
      <c r="O1398">
        <v>4200</v>
      </c>
      <c r="P1398">
        <v>379</v>
      </c>
      <c r="Q1398">
        <v>182.3</v>
      </c>
    </row>
    <row r="1399" spans="2:17" x14ac:dyDescent="0.25">
      <c r="B1399" t="s">
        <v>78</v>
      </c>
      <c r="C1399" t="s">
        <v>79</v>
      </c>
      <c r="D1399" t="s">
        <v>2749</v>
      </c>
      <c r="E1399" t="s">
        <v>2750</v>
      </c>
      <c r="F1399">
        <v>73.7</v>
      </c>
      <c r="G1399">
        <v>72.7</v>
      </c>
      <c r="H1399">
        <v>73.349999999999994</v>
      </c>
      <c r="I1399">
        <v>71.05</v>
      </c>
      <c r="J1399" s="1">
        <v>71.349999999999994</v>
      </c>
      <c r="K1399">
        <v>46722447.399999999</v>
      </c>
      <c r="L1399">
        <v>648273</v>
      </c>
      <c r="M1399" t="s">
        <v>78</v>
      </c>
      <c r="N1399" t="s">
        <v>17</v>
      </c>
      <c r="O1399">
        <v>5079</v>
      </c>
      <c r="P1399">
        <v>77.25</v>
      </c>
      <c r="Q1399">
        <v>38</v>
      </c>
    </row>
    <row r="1400" spans="2:17" x14ac:dyDescent="0.25">
      <c r="B1400" t="s">
        <v>78</v>
      </c>
      <c r="C1400" t="s">
        <v>79</v>
      </c>
      <c r="D1400" t="s">
        <v>2751</v>
      </c>
      <c r="E1400" t="s">
        <v>2752</v>
      </c>
      <c r="F1400">
        <v>161.85</v>
      </c>
      <c r="G1400">
        <v>158.1</v>
      </c>
      <c r="H1400">
        <v>163.95</v>
      </c>
      <c r="I1400">
        <v>158.05000000000001</v>
      </c>
      <c r="J1400" s="1">
        <v>161.85</v>
      </c>
      <c r="K1400">
        <v>5572666.7999999998</v>
      </c>
      <c r="L1400">
        <v>34451</v>
      </c>
      <c r="M1400" t="s">
        <v>78</v>
      </c>
      <c r="N1400" t="s">
        <v>17</v>
      </c>
      <c r="O1400">
        <v>1394</v>
      </c>
      <c r="P1400">
        <v>206.5</v>
      </c>
      <c r="Q1400">
        <v>106.85</v>
      </c>
    </row>
    <row r="1401" spans="2:17" x14ac:dyDescent="0.25">
      <c r="B1401" t="s">
        <v>78</v>
      </c>
      <c r="C1401" t="s">
        <v>287</v>
      </c>
      <c r="D1401" t="s">
        <v>2753</v>
      </c>
      <c r="E1401" t="s">
        <v>2754</v>
      </c>
      <c r="F1401">
        <v>52.7</v>
      </c>
      <c r="G1401">
        <v>53.5</v>
      </c>
      <c r="H1401">
        <v>53.5</v>
      </c>
      <c r="I1401">
        <v>52</v>
      </c>
      <c r="J1401" s="1">
        <v>52</v>
      </c>
      <c r="K1401">
        <v>211000</v>
      </c>
      <c r="L1401">
        <v>4000</v>
      </c>
      <c r="M1401" t="s">
        <v>78</v>
      </c>
      <c r="N1401" t="s">
        <v>17</v>
      </c>
      <c r="O1401">
        <v>2</v>
      </c>
      <c r="P1401">
        <v>56</v>
      </c>
      <c r="Q1401">
        <v>24</v>
      </c>
    </row>
    <row r="1402" spans="2:17" x14ac:dyDescent="0.25">
      <c r="B1402" t="s">
        <v>78</v>
      </c>
      <c r="C1402" t="s">
        <v>79</v>
      </c>
      <c r="D1402" t="s">
        <v>2755</v>
      </c>
      <c r="E1402" t="s">
        <v>2756</v>
      </c>
      <c r="F1402">
        <v>14.05</v>
      </c>
      <c r="G1402">
        <v>13.85</v>
      </c>
      <c r="H1402">
        <v>14</v>
      </c>
      <c r="I1402">
        <v>13.8</v>
      </c>
      <c r="J1402" s="1">
        <v>13.85</v>
      </c>
      <c r="K1402">
        <v>60787756</v>
      </c>
      <c r="L1402">
        <v>4385689</v>
      </c>
      <c r="M1402" t="s">
        <v>78</v>
      </c>
      <c r="N1402" t="s">
        <v>17</v>
      </c>
      <c r="O1402">
        <v>15151</v>
      </c>
      <c r="P1402">
        <v>16.350000000000001</v>
      </c>
      <c r="Q1402">
        <v>10.75</v>
      </c>
    </row>
    <row r="1403" spans="2:17" x14ac:dyDescent="0.25">
      <c r="B1403" t="s">
        <v>78</v>
      </c>
      <c r="C1403" t="s">
        <v>79</v>
      </c>
      <c r="D1403" t="s">
        <v>2757</v>
      </c>
      <c r="E1403" t="s">
        <v>2758</v>
      </c>
      <c r="F1403">
        <v>530</v>
      </c>
      <c r="G1403">
        <v>526</v>
      </c>
      <c r="H1403">
        <v>549.5</v>
      </c>
      <c r="I1403">
        <v>526</v>
      </c>
      <c r="J1403" s="1">
        <v>529.5</v>
      </c>
      <c r="K1403">
        <v>335977599.64999998</v>
      </c>
      <c r="L1403">
        <v>622784</v>
      </c>
      <c r="M1403" t="s">
        <v>78</v>
      </c>
      <c r="N1403" t="s">
        <v>17</v>
      </c>
      <c r="O1403">
        <v>16442</v>
      </c>
      <c r="P1403">
        <v>593.9</v>
      </c>
      <c r="Q1403">
        <v>259.25</v>
      </c>
    </row>
    <row r="1404" spans="2:17" x14ac:dyDescent="0.25">
      <c r="B1404" t="s">
        <v>78</v>
      </c>
      <c r="C1404" t="s">
        <v>79</v>
      </c>
      <c r="D1404" t="s">
        <v>2759</v>
      </c>
      <c r="E1404" t="s">
        <v>2760</v>
      </c>
      <c r="F1404">
        <v>106.3</v>
      </c>
      <c r="G1404">
        <v>104.8</v>
      </c>
      <c r="H1404">
        <v>110.75</v>
      </c>
      <c r="I1404">
        <v>103.6</v>
      </c>
      <c r="J1404" s="1">
        <v>108.3</v>
      </c>
      <c r="K1404">
        <v>230020534</v>
      </c>
      <c r="L1404">
        <v>2131240</v>
      </c>
      <c r="M1404" t="s">
        <v>78</v>
      </c>
      <c r="N1404" t="s">
        <v>17</v>
      </c>
      <c r="O1404">
        <v>20916</v>
      </c>
      <c r="P1404">
        <v>110.75</v>
      </c>
      <c r="Q1404">
        <v>65</v>
      </c>
    </row>
    <row r="1405" spans="2:17" x14ac:dyDescent="0.25">
      <c r="B1405" t="s">
        <v>78</v>
      </c>
      <c r="C1405" t="s">
        <v>79</v>
      </c>
      <c r="D1405" t="s">
        <v>2761</v>
      </c>
      <c r="E1405" t="s">
        <v>2762</v>
      </c>
      <c r="F1405">
        <v>34</v>
      </c>
      <c r="G1405">
        <v>33.65</v>
      </c>
      <c r="H1405">
        <v>35.700000000000003</v>
      </c>
      <c r="I1405">
        <v>33.1</v>
      </c>
      <c r="J1405" s="1">
        <v>35.700000000000003</v>
      </c>
      <c r="K1405">
        <v>35810686.049999997</v>
      </c>
      <c r="L1405">
        <v>1021987</v>
      </c>
      <c r="M1405" t="s">
        <v>78</v>
      </c>
      <c r="N1405" t="s">
        <v>17</v>
      </c>
      <c r="O1405">
        <v>3077</v>
      </c>
      <c r="P1405">
        <v>40.049999999999997</v>
      </c>
      <c r="Q1405">
        <v>13.1</v>
      </c>
    </row>
    <row r="1406" spans="2:17" x14ac:dyDescent="0.25">
      <c r="B1406" t="s">
        <v>78</v>
      </c>
      <c r="C1406" t="s">
        <v>79</v>
      </c>
      <c r="D1406" t="s">
        <v>2763</v>
      </c>
      <c r="E1406" t="s">
        <v>2764</v>
      </c>
      <c r="F1406">
        <v>242.1</v>
      </c>
      <c r="G1406">
        <v>237</v>
      </c>
      <c r="H1406">
        <v>241.55</v>
      </c>
      <c r="I1406">
        <v>235.6</v>
      </c>
      <c r="J1406" s="1">
        <v>236.45</v>
      </c>
      <c r="K1406">
        <v>153532465.59999999</v>
      </c>
      <c r="L1406">
        <v>645013</v>
      </c>
      <c r="M1406" t="s">
        <v>78</v>
      </c>
      <c r="N1406" t="s">
        <v>17</v>
      </c>
      <c r="O1406">
        <v>9548</v>
      </c>
      <c r="P1406">
        <v>310.95</v>
      </c>
      <c r="Q1406">
        <v>183.3</v>
      </c>
    </row>
    <row r="1407" spans="2:17" x14ac:dyDescent="0.25">
      <c r="B1407" t="s">
        <v>78</v>
      </c>
      <c r="C1407" t="s">
        <v>79</v>
      </c>
      <c r="D1407" t="s">
        <v>2765</v>
      </c>
      <c r="E1407" t="s">
        <v>2766</v>
      </c>
      <c r="F1407">
        <v>30.4</v>
      </c>
      <c r="G1407">
        <v>30.15</v>
      </c>
      <c r="H1407">
        <v>30.5</v>
      </c>
      <c r="I1407">
        <v>29.9</v>
      </c>
      <c r="J1407" s="1">
        <v>30.05</v>
      </c>
      <c r="K1407">
        <v>126020311.75</v>
      </c>
      <c r="L1407">
        <v>4178406</v>
      </c>
      <c r="M1407" t="s">
        <v>78</v>
      </c>
      <c r="N1407" t="s">
        <v>17</v>
      </c>
      <c r="O1407">
        <v>9597</v>
      </c>
      <c r="P1407">
        <v>44.6</v>
      </c>
      <c r="Q1407">
        <v>26.5</v>
      </c>
    </row>
    <row r="1408" spans="2:17" x14ac:dyDescent="0.25">
      <c r="B1408" t="s">
        <v>78</v>
      </c>
      <c r="C1408" t="s">
        <v>79</v>
      </c>
      <c r="D1408" t="s">
        <v>2767</v>
      </c>
      <c r="E1408" t="s">
        <v>2768</v>
      </c>
      <c r="F1408">
        <v>84</v>
      </c>
      <c r="G1408">
        <v>82.75</v>
      </c>
      <c r="H1408">
        <v>83.55</v>
      </c>
      <c r="I1408">
        <v>81.8</v>
      </c>
      <c r="J1408" s="1">
        <v>82.1</v>
      </c>
      <c r="K1408">
        <v>4767970</v>
      </c>
      <c r="L1408">
        <v>57641</v>
      </c>
      <c r="M1408" t="s">
        <v>78</v>
      </c>
      <c r="N1408" t="s">
        <v>17</v>
      </c>
      <c r="O1408">
        <v>1859</v>
      </c>
      <c r="P1408">
        <v>94</v>
      </c>
      <c r="Q1408">
        <v>41</v>
      </c>
    </row>
    <row r="1409" spans="2:17" x14ac:dyDescent="0.25">
      <c r="B1409" t="s">
        <v>78</v>
      </c>
      <c r="C1409" t="s">
        <v>79</v>
      </c>
      <c r="D1409" t="s">
        <v>2769</v>
      </c>
      <c r="E1409" t="s">
        <v>2770</v>
      </c>
      <c r="F1409">
        <v>336.6</v>
      </c>
      <c r="G1409">
        <v>333.8</v>
      </c>
      <c r="H1409">
        <v>345</v>
      </c>
      <c r="I1409">
        <v>331.95</v>
      </c>
      <c r="J1409" s="1">
        <v>339.8</v>
      </c>
      <c r="K1409">
        <v>47986791.299999997</v>
      </c>
      <c r="L1409">
        <v>140598</v>
      </c>
      <c r="M1409" t="s">
        <v>78</v>
      </c>
      <c r="N1409" t="s">
        <v>17</v>
      </c>
      <c r="O1409">
        <v>4613</v>
      </c>
      <c r="P1409">
        <v>375</v>
      </c>
      <c r="Q1409">
        <v>191.5</v>
      </c>
    </row>
    <row r="1410" spans="2:17" x14ac:dyDescent="0.25">
      <c r="B1410" t="s">
        <v>78</v>
      </c>
      <c r="C1410" t="s">
        <v>79</v>
      </c>
      <c r="D1410" t="s">
        <v>2771</v>
      </c>
      <c r="E1410" t="s">
        <v>2772</v>
      </c>
      <c r="F1410">
        <v>331.5</v>
      </c>
      <c r="G1410">
        <v>328</v>
      </c>
      <c r="H1410">
        <v>364</v>
      </c>
      <c r="I1410">
        <v>328</v>
      </c>
      <c r="J1410" s="1">
        <v>353.3</v>
      </c>
      <c r="K1410">
        <v>90694380.549999997</v>
      </c>
      <c r="L1410">
        <v>265616</v>
      </c>
      <c r="M1410" t="s">
        <v>78</v>
      </c>
      <c r="N1410" t="s">
        <v>17</v>
      </c>
      <c r="O1410">
        <v>3035</v>
      </c>
      <c r="P1410">
        <v>410.3</v>
      </c>
      <c r="Q1410">
        <v>234.25</v>
      </c>
    </row>
    <row r="1411" spans="2:17" x14ac:dyDescent="0.25">
      <c r="B1411" t="s">
        <v>78</v>
      </c>
      <c r="C1411" t="s">
        <v>79</v>
      </c>
      <c r="D1411" t="s">
        <v>2773</v>
      </c>
      <c r="E1411" t="s">
        <v>2774</v>
      </c>
      <c r="F1411">
        <v>137.15</v>
      </c>
      <c r="G1411">
        <v>139.44999999999999</v>
      </c>
      <c r="H1411">
        <v>139.5</v>
      </c>
      <c r="I1411">
        <v>132.35</v>
      </c>
      <c r="J1411" s="1">
        <v>134.19999999999999</v>
      </c>
      <c r="K1411">
        <v>2701604.35</v>
      </c>
      <c r="L1411">
        <v>20024</v>
      </c>
      <c r="M1411" t="s">
        <v>78</v>
      </c>
      <c r="N1411" t="s">
        <v>17</v>
      </c>
      <c r="O1411">
        <v>1013</v>
      </c>
      <c r="P1411">
        <v>148</v>
      </c>
      <c r="Q1411">
        <v>57.3</v>
      </c>
    </row>
    <row r="1412" spans="2:17" x14ac:dyDescent="0.25">
      <c r="B1412" t="s">
        <v>78</v>
      </c>
      <c r="C1412" t="s">
        <v>79</v>
      </c>
      <c r="D1412" t="s">
        <v>2775</v>
      </c>
      <c r="E1412" t="s">
        <v>2776</v>
      </c>
      <c r="F1412">
        <v>36.6</v>
      </c>
      <c r="G1412">
        <v>36.450000000000003</v>
      </c>
      <c r="H1412">
        <v>37.15</v>
      </c>
      <c r="I1412">
        <v>36.1</v>
      </c>
      <c r="J1412" s="1">
        <v>37</v>
      </c>
      <c r="K1412">
        <v>432254090.44999999</v>
      </c>
      <c r="L1412">
        <v>11785792</v>
      </c>
      <c r="M1412" t="s">
        <v>78</v>
      </c>
      <c r="N1412" t="s">
        <v>17</v>
      </c>
      <c r="O1412">
        <v>14601</v>
      </c>
      <c r="P1412">
        <v>45.25</v>
      </c>
      <c r="Q1412">
        <v>23.1</v>
      </c>
    </row>
    <row r="1413" spans="2:17" x14ac:dyDescent="0.25">
      <c r="B1413" t="s">
        <v>78</v>
      </c>
      <c r="C1413" t="s">
        <v>79</v>
      </c>
      <c r="D1413" t="s">
        <v>2777</v>
      </c>
      <c r="E1413" t="s">
        <v>2778</v>
      </c>
      <c r="F1413">
        <v>345.6</v>
      </c>
      <c r="G1413">
        <v>339</v>
      </c>
      <c r="H1413">
        <v>355.8</v>
      </c>
      <c r="I1413">
        <v>339</v>
      </c>
      <c r="J1413" s="1">
        <v>350.05</v>
      </c>
      <c r="K1413">
        <v>1123293.1000000001</v>
      </c>
      <c r="L1413">
        <v>3240</v>
      </c>
      <c r="M1413" t="s">
        <v>78</v>
      </c>
      <c r="N1413" t="s">
        <v>17</v>
      </c>
      <c r="O1413">
        <v>174</v>
      </c>
      <c r="P1413">
        <v>394.1</v>
      </c>
      <c r="Q1413">
        <v>240.1</v>
      </c>
    </row>
    <row r="1414" spans="2:17" x14ac:dyDescent="0.25">
      <c r="B1414" t="s">
        <v>78</v>
      </c>
      <c r="C1414" t="s">
        <v>79</v>
      </c>
      <c r="D1414" t="s">
        <v>2779</v>
      </c>
      <c r="E1414" t="s">
        <v>2780</v>
      </c>
      <c r="F1414">
        <v>53.35</v>
      </c>
      <c r="G1414">
        <v>54.9</v>
      </c>
      <c r="H1414">
        <v>54.9</v>
      </c>
      <c r="I1414">
        <v>51.7</v>
      </c>
      <c r="J1414" s="1">
        <v>54.3</v>
      </c>
      <c r="K1414">
        <v>947513.4</v>
      </c>
      <c r="L1414">
        <v>17670</v>
      </c>
      <c r="M1414" t="s">
        <v>78</v>
      </c>
      <c r="N1414" t="s">
        <v>17</v>
      </c>
      <c r="O1414">
        <v>394</v>
      </c>
      <c r="P1414">
        <v>62.5</v>
      </c>
      <c r="Q1414">
        <v>26.5</v>
      </c>
    </row>
    <row r="1415" spans="2:17" x14ac:dyDescent="0.25">
      <c r="B1415" t="s">
        <v>78</v>
      </c>
      <c r="C1415" t="s">
        <v>79</v>
      </c>
      <c r="D1415" t="s">
        <v>2781</v>
      </c>
      <c r="E1415" t="s">
        <v>2782</v>
      </c>
      <c r="F1415">
        <v>194.85</v>
      </c>
      <c r="G1415">
        <v>191.55</v>
      </c>
      <c r="H1415">
        <v>198</v>
      </c>
      <c r="I1415">
        <v>191.55</v>
      </c>
      <c r="J1415" s="1">
        <v>193.8</v>
      </c>
      <c r="K1415">
        <v>12954155.25</v>
      </c>
      <c r="L1415">
        <v>66484</v>
      </c>
      <c r="M1415" t="s">
        <v>78</v>
      </c>
      <c r="N1415" t="s">
        <v>17</v>
      </c>
      <c r="O1415">
        <v>2484</v>
      </c>
      <c r="P1415">
        <v>217.7</v>
      </c>
      <c r="Q1415">
        <v>105.15</v>
      </c>
    </row>
    <row r="1416" spans="2:17" x14ac:dyDescent="0.25">
      <c r="B1416" t="s">
        <v>78</v>
      </c>
      <c r="C1416" t="s">
        <v>79</v>
      </c>
      <c r="D1416" t="s">
        <v>2783</v>
      </c>
      <c r="E1416" t="s">
        <v>2784</v>
      </c>
      <c r="F1416">
        <v>298.95</v>
      </c>
      <c r="G1416">
        <v>313.5</v>
      </c>
      <c r="H1416">
        <v>313.5</v>
      </c>
      <c r="I1416">
        <v>296</v>
      </c>
      <c r="J1416" s="1">
        <v>297.95</v>
      </c>
      <c r="K1416">
        <v>1742142.9</v>
      </c>
      <c r="L1416">
        <v>5761</v>
      </c>
      <c r="M1416" t="s">
        <v>78</v>
      </c>
      <c r="N1416" t="s">
        <v>17</v>
      </c>
      <c r="O1416">
        <v>422</v>
      </c>
      <c r="P1416">
        <v>354.4</v>
      </c>
      <c r="Q1416">
        <v>96.2</v>
      </c>
    </row>
    <row r="1417" spans="2:17" x14ac:dyDescent="0.25">
      <c r="B1417" t="s">
        <v>78</v>
      </c>
      <c r="C1417" t="s">
        <v>79</v>
      </c>
      <c r="D1417" t="s">
        <v>2785</v>
      </c>
      <c r="E1417" t="s">
        <v>2786</v>
      </c>
      <c r="F1417">
        <v>7.6</v>
      </c>
      <c r="G1417">
        <v>7.65</v>
      </c>
      <c r="H1417">
        <v>7.65</v>
      </c>
      <c r="I1417">
        <v>7.45</v>
      </c>
      <c r="J1417" s="1">
        <v>7.5</v>
      </c>
      <c r="K1417">
        <v>20096156.5</v>
      </c>
      <c r="L1417">
        <v>2661243</v>
      </c>
      <c r="M1417" t="s">
        <v>78</v>
      </c>
      <c r="N1417" t="s">
        <v>17</v>
      </c>
      <c r="O1417">
        <v>7713</v>
      </c>
      <c r="P1417">
        <v>8.5</v>
      </c>
      <c r="Q1417">
        <v>2.6</v>
      </c>
    </row>
    <row r="1418" spans="2:17" x14ac:dyDescent="0.25">
      <c r="B1418" t="s">
        <v>78</v>
      </c>
      <c r="C1418" t="s">
        <v>79</v>
      </c>
      <c r="D1418" t="s">
        <v>2787</v>
      </c>
      <c r="E1418" t="s">
        <v>2788</v>
      </c>
      <c r="F1418">
        <v>55.95</v>
      </c>
      <c r="G1418">
        <v>55.95</v>
      </c>
      <c r="H1418">
        <v>60.4</v>
      </c>
      <c r="I1418">
        <v>55.35</v>
      </c>
      <c r="J1418" s="1">
        <v>59.55</v>
      </c>
      <c r="K1418">
        <v>327101893.69999999</v>
      </c>
      <c r="L1418">
        <v>5592515</v>
      </c>
      <c r="M1418" t="s">
        <v>78</v>
      </c>
      <c r="N1418" t="s">
        <v>17</v>
      </c>
      <c r="O1418">
        <v>17233</v>
      </c>
      <c r="P1418">
        <v>60.9</v>
      </c>
      <c r="Q1418">
        <v>17.100000000000001</v>
      </c>
    </row>
    <row r="1419" spans="2:17" x14ac:dyDescent="0.25">
      <c r="B1419" t="s">
        <v>78</v>
      </c>
      <c r="C1419" t="s">
        <v>79</v>
      </c>
      <c r="D1419" t="s">
        <v>2789</v>
      </c>
      <c r="E1419" t="s">
        <v>2790</v>
      </c>
      <c r="F1419">
        <v>879.15</v>
      </c>
      <c r="G1419">
        <v>855.95</v>
      </c>
      <c r="H1419">
        <v>907.15</v>
      </c>
      <c r="I1419">
        <v>855.95</v>
      </c>
      <c r="J1419" s="1">
        <v>893.5</v>
      </c>
      <c r="K1419">
        <v>797597091.39999998</v>
      </c>
      <c r="L1419">
        <v>893103</v>
      </c>
      <c r="M1419" t="s">
        <v>78</v>
      </c>
      <c r="N1419" t="s">
        <v>1555</v>
      </c>
      <c r="O1419">
        <v>26345</v>
      </c>
      <c r="P1419">
        <v>919.45</v>
      </c>
      <c r="Q1419">
        <v>471.1</v>
      </c>
    </row>
    <row r="1420" spans="2:17" x14ac:dyDescent="0.25">
      <c r="B1420" t="s">
        <v>78</v>
      </c>
      <c r="C1420" t="s">
        <v>79</v>
      </c>
      <c r="D1420" t="s">
        <v>2791</v>
      </c>
      <c r="E1420" t="s">
        <v>2792</v>
      </c>
      <c r="F1420">
        <v>5</v>
      </c>
      <c r="G1420">
        <v>5.25</v>
      </c>
      <c r="H1420">
        <v>5.25</v>
      </c>
      <c r="I1420">
        <v>5.25</v>
      </c>
      <c r="J1420" s="1">
        <v>5.25</v>
      </c>
      <c r="K1420">
        <v>4830939.75</v>
      </c>
      <c r="L1420">
        <v>920179</v>
      </c>
      <c r="M1420" t="s">
        <v>78</v>
      </c>
      <c r="N1420" t="s">
        <v>17</v>
      </c>
      <c r="O1420">
        <v>491</v>
      </c>
      <c r="P1420">
        <v>10.85</v>
      </c>
      <c r="Q1420">
        <v>3.7</v>
      </c>
    </row>
    <row r="1421" spans="2:17" x14ac:dyDescent="0.25">
      <c r="B1421" t="s">
        <v>78</v>
      </c>
      <c r="C1421" t="s">
        <v>79</v>
      </c>
      <c r="D1421" t="s">
        <v>2793</v>
      </c>
      <c r="E1421" t="s">
        <v>2794</v>
      </c>
      <c r="F1421">
        <v>129.25</v>
      </c>
      <c r="G1421">
        <v>128</v>
      </c>
      <c r="H1421">
        <v>129.69999999999999</v>
      </c>
      <c r="I1421">
        <v>125</v>
      </c>
      <c r="J1421" s="1">
        <v>127.75</v>
      </c>
      <c r="K1421">
        <v>4922667.4000000004</v>
      </c>
      <c r="L1421">
        <v>38449</v>
      </c>
      <c r="M1421" t="s">
        <v>78</v>
      </c>
      <c r="N1421" t="s">
        <v>17</v>
      </c>
      <c r="O1421">
        <v>830</v>
      </c>
      <c r="P1421">
        <v>154.69999999999999</v>
      </c>
      <c r="Q1421">
        <v>43</v>
      </c>
    </row>
    <row r="1422" spans="2:17" x14ac:dyDescent="0.25">
      <c r="B1422" t="s">
        <v>78</v>
      </c>
      <c r="C1422" t="s">
        <v>79</v>
      </c>
      <c r="D1422" t="s">
        <v>2795</v>
      </c>
      <c r="E1422" t="s">
        <v>2796</v>
      </c>
      <c r="F1422">
        <v>1026.7</v>
      </c>
      <c r="G1422">
        <v>1024</v>
      </c>
      <c r="H1422">
        <v>1095</v>
      </c>
      <c r="I1422">
        <v>1006.7</v>
      </c>
      <c r="J1422" s="1">
        <v>1064</v>
      </c>
      <c r="K1422">
        <v>78869106.5</v>
      </c>
      <c r="L1422">
        <v>73826</v>
      </c>
      <c r="M1422" t="s">
        <v>78</v>
      </c>
      <c r="N1422" t="s">
        <v>17</v>
      </c>
      <c r="O1422">
        <v>6364</v>
      </c>
      <c r="P1422">
        <v>1125</v>
      </c>
      <c r="Q1422">
        <v>513</v>
      </c>
    </row>
    <row r="1423" spans="2:17" x14ac:dyDescent="0.25">
      <c r="B1423" t="s">
        <v>78</v>
      </c>
      <c r="C1423" t="s">
        <v>79</v>
      </c>
      <c r="D1423" t="s">
        <v>2797</v>
      </c>
      <c r="E1423" t="s">
        <v>2798</v>
      </c>
      <c r="F1423">
        <v>794.8</v>
      </c>
      <c r="G1423">
        <v>779</v>
      </c>
      <c r="H1423">
        <v>792.1</v>
      </c>
      <c r="I1423">
        <v>775.1</v>
      </c>
      <c r="J1423" s="1">
        <v>777.9</v>
      </c>
      <c r="K1423">
        <v>195599226.25</v>
      </c>
      <c r="L1423">
        <v>250595</v>
      </c>
      <c r="M1423" t="s">
        <v>78</v>
      </c>
      <c r="N1423" t="s">
        <v>17</v>
      </c>
      <c r="O1423">
        <v>23179</v>
      </c>
      <c r="P1423">
        <v>4780</v>
      </c>
      <c r="Q1423">
        <v>775.1</v>
      </c>
    </row>
    <row r="1424" spans="2:17" x14ac:dyDescent="0.25">
      <c r="B1424" t="s">
        <v>78</v>
      </c>
      <c r="C1424" t="s">
        <v>79</v>
      </c>
      <c r="D1424" t="s">
        <v>2799</v>
      </c>
      <c r="E1424" t="s">
        <v>2800</v>
      </c>
      <c r="F1424">
        <v>42.05</v>
      </c>
      <c r="G1424">
        <v>42.1</v>
      </c>
      <c r="H1424">
        <v>43.4</v>
      </c>
      <c r="I1424">
        <v>41.55</v>
      </c>
      <c r="J1424" s="1">
        <v>41.85</v>
      </c>
      <c r="K1424">
        <v>1999487.2</v>
      </c>
      <c r="L1424">
        <v>47422</v>
      </c>
      <c r="M1424" t="s">
        <v>78</v>
      </c>
      <c r="N1424" t="s">
        <v>17</v>
      </c>
      <c r="O1424">
        <v>494</v>
      </c>
      <c r="P1424">
        <v>77.05</v>
      </c>
      <c r="Q1424">
        <v>28.35</v>
      </c>
    </row>
    <row r="1425" spans="2:17" x14ac:dyDescent="0.25">
      <c r="B1425" t="s">
        <v>78</v>
      </c>
      <c r="C1425" t="s">
        <v>79</v>
      </c>
      <c r="D1425" t="s">
        <v>2801</v>
      </c>
      <c r="E1425" t="s">
        <v>2802</v>
      </c>
      <c r="F1425">
        <v>37.700000000000003</v>
      </c>
      <c r="G1425">
        <v>37.5</v>
      </c>
      <c r="H1425">
        <v>38.200000000000003</v>
      </c>
      <c r="I1425">
        <v>36.950000000000003</v>
      </c>
      <c r="J1425" s="1">
        <v>37.1</v>
      </c>
      <c r="K1425">
        <v>111020040.3</v>
      </c>
      <c r="L1425">
        <v>2967738</v>
      </c>
      <c r="M1425" t="s">
        <v>78</v>
      </c>
      <c r="N1425" t="s">
        <v>17</v>
      </c>
      <c r="O1425">
        <v>13260</v>
      </c>
      <c r="P1425">
        <v>69.849999999999994</v>
      </c>
      <c r="Q1425">
        <v>24.5</v>
      </c>
    </row>
    <row r="1426" spans="2:17" x14ac:dyDescent="0.25">
      <c r="B1426" t="s">
        <v>78</v>
      </c>
      <c r="C1426" t="s">
        <v>79</v>
      </c>
      <c r="D1426" t="s">
        <v>2803</v>
      </c>
      <c r="E1426" t="s">
        <v>2804</v>
      </c>
      <c r="F1426">
        <v>1435.85</v>
      </c>
      <c r="G1426">
        <v>1437.25</v>
      </c>
      <c r="H1426">
        <v>1459.5</v>
      </c>
      <c r="I1426">
        <v>1435</v>
      </c>
      <c r="J1426" s="1">
        <v>1453.85</v>
      </c>
      <c r="K1426">
        <v>23906132.350000001</v>
      </c>
      <c r="L1426">
        <v>16456</v>
      </c>
      <c r="M1426" t="s">
        <v>78</v>
      </c>
      <c r="N1426" t="s">
        <v>17</v>
      </c>
      <c r="O1426">
        <v>1758</v>
      </c>
      <c r="P1426">
        <v>3877</v>
      </c>
      <c r="Q1426">
        <v>1121</v>
      </c>
    </row>
    <row r="1427" spans="2:17" x14ac:dyDescent="0.25">
      <c r="B1427" t="s">
        <v>78</v>
      </c>
      <c r="C1427" t="s">
        <v>79</v>
      </c>
      <c r="D1427" t="s">
        <v>2805</v>
      </c>
      <c r="E1427" t="s">
        <v>2806</v>
      </c>
      <c r="F1427">
        <v>62.15</v>
      </c>
      <c r="G1427">
        <v>61.6</v>
      </c>
      <c r="H1427">
        <v>66.2</v>
      </c>
      <c r="I1427">
        <v>61.1</v>
      </c>
      <c r="J1427" s="1">
        <v>62.05</v>
      </c>
      <c r="K1427">
        <v>28256632.449999999</v>
      </c>
      <c r="L1427">
        <v>449519</v>
      </c>
      <c r="M1427" t="s">
        <v>78</v>
      </c>
      <c r="N1427" t="s">
        <v>17</v>
      </c>
      <c r="O1427">
        <v>4269</v>
      </c>
      <c r="P1427">
        <v>67.5</v>
      </c>
      <c r="Q1427">
        <v>27.4</v>
      </c>
    </row>
    <row r="1428" spans="2:17" x14ac:dyDescent="0.25">
      <c r="B1428" t="s">
        <v>78</v>
      </c>
      <c r="C1428" t="s">
        <v>79</v>
      </c>
      <c r="D1428" t="s">
        <v>2807</v>
      </c>
      <c r="E1428" t="s">
        <v>2808</v>
      </c>
      <c r="F1428">
        <v>23.85</v>
      </c>
      <c r="G1428">
        <v>24.35</v>
      </c>
      <c r="H1428">
        <v>26.2</v>
      </c>
      <c r="I1428">
        <v>23.9</v>
      </c>
      <c r="J1428" s="1">
        <v>26.2</v>
      </c>
      <c r="K1428">
        <v>8140397.2999999998</v>
      </c>
      <c r="L1428">
        <v>314216</v>
      </c>
      <c r="M1428" t="s">
        <v>78</v>
      </c>
      <c r="N1428" t="s">
        <v>17</v>
      </c>
      <c r="O1428">
        <v>1250</v>
      </c>
      <c r="P1428">
        <v>28.85</v>
      </c>
      <c r="Q1428">
        <v>7.2</v>
      </c>
    </row>
    <row r="1429" spans="2:17" x14ac:dyDescent="0.25">
      <c r="B1429" t="s">
        <v>78</v>
      </c>
      <c r="C1429" t="s">
        <v>79</v>
      </c>
      <c r="D1429" t="s">
        <v>2809</v>
      </c>
      <c r="E1429" t="s">
        <v>2810</v>
      </c>
      <c r="F1429">
        <v>351.25</v>
      </c>
      <c r="G1429">
        <v>351.05</v>
      </c>
      <c r="H1429">
        <v>355.8</v>
      </c>
      <c r="I1429">
        <v>347.2</v>
      </c>
      <c r="J1429" s="1">
        <v>350.2</v>
      </c>
      <c r="K1429">
        <v>48468609.649999999</v>
      </c>
      <c r="L1429">
        <v>137730</v>
      </c>
      <c r="M1429" t="s">
        <v>78</v>
      </c>
      <c r="N1429" t="s">
        <v>17</v>
      </c>
      <c r="O1429">
        <v>5639</v>
      </c>
      <c r="P1429">
        <v>477.65</v>
      </c>
      <c r="Q1429">
        <v>186</v>
      </c>
    </row>
    <row r="1430" spans="2:17" x14ac:dyDescent="0.25">
      <c r="B1430" t="s">
        <v>78</v>
      </c>
      <c r="C1430" t="s">
        <v>79</v>
      </c>
      <c r="D1430" t="s">
        <v>2811</v>
      </c>
      <c r="E1430" t="s">
        <v>2812</v>
      </c>
      <c r="F1430">
        <v>22.45</v>
      </c>
      <c r="G1430">
        <v>22.2</v>
      </c>
      <c r="H1430">
        <v>23.55</v>
      </c>
      <c r="I1430">
        <v>22.05</v>
      </c>
      <c r="J1430" s="1">
        <v>22.9</v>
      </c>
      <c r="K1430">
        <v>31307912.850000001</v>
      </c>
      <c r="L1430">
        <v>1372711</v>
      </c>
      <c r="M1430" t="s">
        <v>78</v>
      </c>
      <c r="N1430" t="s">
        <v>17</v>
      </c>
      <c r="O1430">
        <v>2614</v>
      </c>
      <c r="P1430">
        <v>26.15</v>
      </c>
      <c r="Q1430">
        <v>7.85</v>
      </c>
    </row>
    <row r="1431" spans="2:17" x14ac:dyDescent="0.25">
      <c r="B1431" t="s">
        <v>78</v>
      </c>
      <c r="C1431" t="s">
        <v>79</v>
      </c>
      <c r="D1431" t="s">
        <v>2813</v>
      </c>
      <c r="E1431" t="s">
        <v>2814</v>
      </c>
      <c r="F1431">
        <v>14.55</v>
      </c>
      <c r="G1431">
        <v>14.75</v>
      </c>
      <c r="H1431">
        <v>14.75</v>
      </c>
      <c r="I1431">
        <v>14.25</v>
      </c>
      <c r="J1431" s="1">
        <v>14.65</v>
      </c>
      <c r="K1431">
        <v>685318.6</v>
      </c>
      <c r="L1431">
        <v>47194</v>
      </c>
      <c r="M1431" t="s">
        <v>78</v>
      </c>
      <c r="N1431" t="s">
        <v>17</v>
      </c>
      <c r="O1431">
        <v>245</v>
      </c>
      <c r="P1431">
        <v>15.8</v>
      </c>
      <c r="Q1431">
        <v>3.9</v>
      </c>
    </row>
    <row r="1432" spans="2:17" x14ac:dyDescent="0.25">
      <c r="B1432" t="s">
        <v>78</v>
      </c>
      <c r="C1432" t="s">
        <v>79</v>
      </c>
      <c r="D1432" t="s">
        <v>2815</v>
      </c>
      <c r="E1432" t="s">
        <v>2816</v>
      </c>
      <c r="F1432">
        <v>797.7</v>
      </c>
      <c r="G1432">
        <v>790</v>
      </c>
      <c r="H1432">
        <v>792</v>
      </c>
      <c r="I1432">
        <v>765</v>
      </c>
      <c r="J1432" s="1">
        <v>776.2</v>
      </c>
      <c r="K1432">
        <v>157277078.75</v>
      </c>
      <c r="L1432">
        <v>201787</v>
      </c>
      <c r="M1432" t="s">
        <v>78</v>
      </c>
      <c r="N1432" t="s">
        <v>17</v>
      </c>
      <c r="O1432">
        <v>13840</v>
      </c>
      <c r="P1432">
        <v>1178</v>
      </c>
      <c r="Q1432">
        <v>646.35</v>
      </c>
    </row>
    <row r="1433" spans="2:17" x14ac:dyDescent="0.25">
      <c r="B1433" t="s">
        <v>78</v>
      </c>
      <c r="C1433" t="s">
        <v>287</v>
      </c>
      <c r="D1433" t="s">
        <v>2817</v>
      </c>
      <c r="E1433" t="s">
        <v>2818</v>
      </c>
      <c r="F1433">
        <v>36</v>
      </c>
      <c r="G1433">
        <v>36.5</v>
      </c>
      <c r="H1433">
        <v>37.5</v>
      </c>
      <c r="I1433">
        <v>36.5</v>
      </c>
      <c r="J1433" s="1">
        <v>37.5</v>
      </c>
      <c r="K1433">
        <v>664800</v>
      </c>
      <c r="L1433">
        <v>18000</v>
      </c>
      <c r="M1433" t="s">
        <v>78</v>
      </c>
      <c r="N1433" t="s">
        <v>17</v>
      </c>
      <c r="O1433">
        <v>6</v>
      </c>
      <c r="P1433">
        <v>51</v>
      </c>
      <c r="Q1433">
        <v>17</v>
      </c>
    </row>
    <row r="1434" spans="2:17" x14ac:dyDescent="0.25">
      <c r="B1434" t="s">
        <v>78</v>
      </c>
      <c r="C1434" t="s">
        <v>79</v>
      </c>
      <c r="D1434" t="s">
        <v>2819</v>
      </c>
      <c r="E1434" t="s">
        <v>2820</v>
      </c>
      <c r="F1434">
        <v>272.5</v>
      </c>
      <c r="G1434">
        <v>269.5</v>
      </c>
      <c r="H1434">
        <v>271.14999999999998</v>
      </c>
      <c r="I1434">
        <v>263.10000000000002</v>
      </c>
      <c r="J1434" s="1">
        <v>264.89999999999998</v>
      </c>
      <c r="K1434">
        <v>1438074258.8</v>
      </c>
      <c r="L1434">
        <v>5379470</v>
      </c>
      <c r="M1434" t="s">
        <v>78</v>
      </c>
      <c r="N1434" t="s">
        <v>17</v>
      </c>
      <c r="O1434">
        <v>36534</v>
      </c>
      <c r="P1434">
        <v>296.3</v>
      </c>
      <c r="Q1434">
        <v>91.2</v>
      </c>
    </row>
    <row r="1435" spans="2:17" x14ac:dyDescent="0.25">
      <c r="B1435" t="s">
        <v>78</v>
      </c>
      <c r="C1435" t="s">
        <v>79</v>
      </c>
      <c r="D1435" t="s">
        <v>2821</v>
      </c>
      <c r="E1435" t="s">
        <v>2822</v>
      </c>
      <c r="F1435">
        <v>3423.6</v>
      </c>
      <c r="G1435">
        <v>3395</v>
      </c>
      <c r="H1435">
        <v>3520</v>
      </c>
      <c r="I1435">
        <v>3390</v>
      </c>
      <c r="J1435" s="1">
        <v>3431.35</v>
      </c>
      <c r="K1435">
        <v>226126531.19999999</v>
      </c>
      <c r="L1435">
        <v>65583</v>
      </c>
      <c r="M1435" t="s">
        <v>78</v>
      </c>
      <c r="N1435" t="s">
        <v>17</v>
      </c>
      <c r="O1435">
        <v>7849</v>
      </c>
      <c r="P1435">
        <v>3955</v>
      </c>
      <c r="Q1435">
        <v>1029.95</v>
      </c>
    </row>
    <row r="1436" spans="2:17" x14ac:dyDescent="0.25">
      <c r="B1436" t="s">
        <v>78</v>
      </c>
      <c r="C1436" t="s">
        <v>79</v>
      </c>
      <c r="D1436" t="s">
        <v>2823</v>
      </c>
      <c r="E1436" t="s">
        <v>2824</v>
      </c>
      <c r="F1436">
        <v>457.55</v>
      </c>
      <c r="G1436">
        <v>453</v>
      </c>
      <c r="H1436">
        <v>476.6</v>
      </c>
      <c r="I1436">
        <v>443.05</v>
      </c>
      <c r="J1436" s="1">
        <v>461.5</v>
      </c>
      <c r="K1436">
        <v>49853332.700000003</v>
      </c>
      <c r="L1436">
        <v>107490</v>
      </c>
      <c r="M1436" t="s">
        <v>78</v>
      </c>
      <c r="N1436" t="s">
        <v>17</v>
      </c>
      <c r="O1436">
        <v>5156</v>
      </c>
      <c r="P1436">
        <v>477.25</v>
      </c>
      <c r="Q1436">
        <v>116.05</v>
      </c>
    </row>
    <row r="1437" spans="2:17" x14ac:dyDescent="0.25">
      <c r="B1437" t="s">
        <v>78</v>
      </c>
      <c r="C1437" t="s">
        <v>79</v>
      </c>
      <c r="D1437" t="s">
        <v>2825</v>
      </c>
      <c r="E1437" t="s">
        <v>2826</v>
      </c>
      <c r="F1437">
        <v>151.94999999999999</v>
      </c>
      <c r="G1437">
        <v>153.9</v>
      </c>
      <c r="H1437">
        <v>155.9</v>
      </c>
      <c r="I1437">
        <v>150</v>
      </c>
      <c r="J1437" s="1">
        <v>151</v>
      </c>
      <c r="K1437">
        <v>58231725.299999997</v>
      </c>
      <c r="L1437">
        <v>382139</v>
      </c>
      <c r="M1437" t="s">
        <v>78</v>
      </c>
      <c r="N1437" t="s">
        <v>17</v>
      </c>
      <c r="O1437">
        <v>4843</v>
      </c>
      <c r="P1437">
        <v>322</v>
      </c>
      <c r="Q1437">
        <v>116</v>
      </c>
    </row>
    <row r="1438" spans="2:17" x14ac:dyDescent="0.25">
      <c r="B1438" t="s">
        <v>78</v>
      </c>
      <c r="C1438" t="s">
        <v>79</v>
      </c>
      <c r="D1438" t="s">
        <v>2827</v>
      </c>
      <c r="E1438" t="s">
        <v>2828</v>
      </c>
      <c r="F1438">
        <v>1175.3</v>
      </c>
      <c r="G1438">
        <v>1186</v>
      </c>
      <c r="H1438">
        <v>1186</v>
      </c>
      <c r="I1438">
        <v>1160.95</v>
      </c>
      <c r="J1438" s="1">
        <v>1175.2</v>
      </c>
      <c r="K1438">
        <v>13844245.050000001</v>
      </c>
      <c r="L1438">
        <v>11791</v>
      </c>
      <c r="M1438" t="s">
        <v>78</v>
      </c>
      <c r="N1438" t="s">
        <v>17</v>
      </c>
      <c r="O1438">
        <v>1858</v>
      </c>
      <c r="P1438">
        <v>1218</v>
      </c>
      <c r="Q1438">
        <v>849.05</v>
      </c>
    </row>
    <row r="1439" spans="2:17" x14ac:dyDescent="0.25">
      <c r="B1439" t="s">
        <v>78</v>
      </c>
      <c r="C1439" t="s">
        <v>79</v>
      </c>
      <c r="D1439" t="s">
        <v>2829</v>
      </c>
      <c r="E1439" t="s">
        <v>2830</v>
      </c>
      <c r="F1439">
        <v>148.9</v>
      </c>
      <c r="G1439">
        <v>148.65</v>
      </c>
      <c r="H1439">
        <v>148.65</v>
      </c>
      <c r="I1439">
        <v>129.55000000000001</v>
      </c>
      <c r="J1439" s="1">
        <v>137</v>
      </c>
      <c r="K1439">
        <v>109413962.2</v>
      </c>
      <c r="L1439">
        <v>790674</v>
      </c>
      <c r="M1439" t="s">
        <v>78</v>
      </c>
      <c r="N1439" t="s">
        <v>17</v>
      </c>
      <c r="O1439">
        <v>12701</v>
      </c>
      <c r="P1439">
        <v>172</v>
      </c>
      <c r="Q1439">
        <v>40.200000000000003</v>
      </c>
    </row>
    <row r="1440" spans="2:17" x14ac:dyDescent="0.25">
      <c r="B1440" t="s">
        <v>78</v>
      </c>
      <c r="C1440" t="s">
        <v>79</v>
      </c>
      <c r="D1440" t="s">
        <v>2831</v>
      </c>
      <c r="E1440" t="s">
        <v>2832</v>
      </c>
      <c r="F1440">
        <v>258.89999999999998</v>
      </c>
      <c r="G1440">
        <v>262.85000000000002</v>
      </c>
      <c r="H1440">
        <v>265.39999999999998</v>
      </c>
      <c r="I1440">
        <v>255.2</v>
      </c>
      <c r="J1440" s="1">
        <v>256.10000000000002</v>
      </c>
      <c r="K1440">
        <v>514142468.94999999</v>
      </c>
      <c r="L1440">
        <v>1982942</v>
      </c>
      <c r="M1440" t="s">
        <v>78</v>
      </c>
      <c r="N1440" t="s">
        <v>17</v>
      </c>
      <c r="O1440">
        <v>22381</v>
      </c>
      <c r="P1440">
        <v>285</v>
      </c>
      <c r="Q1440">
        <v>159.35</v>
      </c>
    </row>
    <row r="1441" spans="2:17" x14ac:dyDescent="0.25">
      <c r="B1441" t="s">
        <v>78</v>
      </c>
      <c r="C1441" t="s">
        <v>79</v>
      </c>
      <c r="D1441" t="s">
        <v>2833</v>
      </c>
      <c r="E1441" t="s">
        <v>2834</v>
      </c>
      <c r="F1441">
        <v>3240.75</v>
      </c>
      <c r="G1441">
        <v>3240</v>
      </c>
      <c r="H1441">
        <v>3297</v>
      </c>
      <c r="I1441">
        <v>3105</v>
      </c>
      <c r="J1441" s="1">
        <v>3255.05</v>
      </c>
      <c r="K1441">
        <v>6127098.9000000004</v>
      </c>
      <c r="L1441">
        <v>1903</v>
      </c>
      <c r="M1441" t="s">
        <v>78</v>
      </c>
      <c r="N1441" t="s">
        <v>17</v>
      </c>
      <c r="O1441">
        <v>577</v>
      </c>
      <c r="P1441">
        <v>3820.55</v>
      </c>
      <c r="Q1441">
        <v>1175.55</v>
      </c>
    </row>
    <row r="1442" spans="2:17" x14ac:dyDescent="0.25">
      <c r="B1442" t="s">
        <v>78</v>
      </c>
      <c r="C1442" t="s">
        <v>79</v>
      </c>
      <c r="D1442" t="s">
        <v>2835</v>
      </c>
      <c r="E1442" t="s">
        <v>2836</v>
      </c>
      <c r="F1442">
        <v>257.7</v>
      </c>
      <c r="G1442">
        <v>254</v>
      </c>
      <c r="H1442">
        <v>277</v>
      </c>
      <c r="I1442">
        <v>251.05</v>
      </c>
      <c r="J1442" s="1">
        <v>266.75</v>
      </c>
      <c r="K1442">
        <v>37478298.100000001</v>
      </c>
      <c r="L1442">
        <v>140842</v>
      </c>
      <c r="M1442" t="s">
        <v>78</v>
      </c>
      <c r="N1442" t="s">
        <v>17</v>
      </c>
      <c r="O1442">
        <v>3828</v>
      </c>
      <c r="P1442">
        <v>288</v>
      </c>
      <c r="Q1442">
        <v>68.2</v>
      </c>
    </row>
    <row r="1443" spans="2:17" x14ac:dyDescent="0.25">
      <c r="B1443" t="s">
        <v>78</v>
      </c>
      <c r="C1443" t="s">
        <v>79</v>
      </c>
      <c r="D1443" t="s">
        <v>2837</v>
      </c>
      <c r="E1443" t="s">
        <v>2838</v>
      </c>
      <c r="F1443">
        <v>3.8</v>
      </c>
      <c r="G1443">
        <v>3.95</v>
      </c>
      <c r="H1443">
        <v>3.95</v>
      </c>
      <c r="I1443">
        <v>3.85</v>
      </c>
      <c r="J1443" s="1">
        <v>3.95</v>
      </c>
      <c r="K1443">
        <v>64021923.100000001</v>
      </c>
      <c r="L1443">
        <v>16247879</v>
      </c>
      <c r="M1443" t="s">
        <v>78</v>
      </c>
      <c r="N1443" t="s">
        <v>17</v>
      </c>
      <c r="O1443">
        <v>4688</v>
      </c>
      <c r="P1443">
        <v>21</v>
      </c>
      <c r="Q1443">
        <v>2.65</v>
      </c>
    </row>
    <row r="1444" spans="2:17" x14ac:dyDescent="0.25">
      <c r="B1444" t="s">
        <v>78</v>
      </c>
      <c r="C1444" t="s">
        <v>79</v>
      </c>
      <c r="D1444" t="s">
        <v>2839</v>
      </c>
      <c r="E1444" t="s">
        <v>2840</v>
      </c>
      <c r="F1444">
        <v>2.65</v>
      </c>
      <c r="G1444">
        <v>2.6</v>
      </c>
      <c r="H1444">
        <v>2.7</v>
      </c>
      <c r="I1444">
        <v>2.6</v>
      </c>
      <c r="J1444" s="1">
        <v>2.65</v>
      </c>
      <c r="K1444">
        <v>3759936.75</v>
      </c>
      <c r="L1444">
        <v>1433688</v>
      </c>
      <c r="M1444" t="s">
        <v>78</v>
      </c>
      <c r="N1444" t="s">
        <v>17</v>
      </c>
      <c r="O1444">
        <v>2140</v>
      </c>
      <c r="P1444">
        <v>3.85</v>
      </c>
      <c r="Q1444">
        <v>2</v>
      </c>
    </row>
    <row r="1445" spans="2:17" x14ac:dyDescent="0.25">
      <c r="B1445" t="s">
        <v>78</v>
      </c>
      <c r="C1445" t="s">
        <v>79</v>
      </c>
      <c r="D1445" t="s">
        <v>2841</v>
      </c>
      <c r="E1445" t="s">
        <v>2842</v>
      </c>
      <c r="F1445">
        <v>5.9</v>
      </c>
      <c r="G1445">
        <v>5.9</v>
      </c>
      <c r="H1445">
        <v>6</v>
      </c>
      <c r="I1445">
        <v>5.7</v>
      </c>
      <c r="J1445" s="1">
        <v>5.85</v>
      </c>
      <c r="K1445">
        <v>2959876.35</v>
      </c>
      <c r="L1445">
        <v>502683</v>
      </c>
      <c r="M1445" t="s">
        <v>78</v>
      </c>
      <c r="N1445" t="s">
        <v>17</v>
      </c>
      <c r="O1445">
        <v>553</v>
      </c>
      <c r="P1445">
        <v>8.0500000000000007</v>
      </c>
      <c r="Q1445">
        <v>3.65</v>
      </c>
    </row>
    <row r="1446" spans="2:17" x14ac:dyDescent="0.25">
      <c r="B1446" t="s">
        <v>78</v>
      </c>
      <c r="C1446" t="s">
        <v>79</v>
      </c>
      <c r="D1446" t="s">
        <v>2843</v>
      </c>
      <c r="E1446" t="s">
        <v>2844</v>
      </c>
      <c r="F1446">
        <v>304</v>
      </c>
      <c r="G1446">
        <v>303.5</v>
      </c>
      <c r="H1446">
        <v>309</v>
      </c>
      <c r="I1446">
        <v>299.25</v>
      </c>
      <c r="J1446" s="1">
        <v>301.14999999999998</v>
      </c>
      <c r="K1446">
        <v>29766415.449999999</v>
      </c>
      <c r="L1446">
        <v>98010</v>
      </c>
      <c r="M1446" t="s">
        <v>78</v>
      </c>
      <c r="N1446" t="s">
        <v>17</v>
      </c>
      <c r="O1446">
        <v>3952</v>
      </c>
      <c r="P1446">
        <v>337.8</v>
      </c>
      <c r="Q1446">
        <v>88.1</v>
      </c>
    </row>
    <row r="1447" spans="2:17" x14ac:dyDescent="0.25">
      <c r="B1447" t="s">
        <v>78</v>
      </c>
      <c r="C1447" t="s">
        <v>79</v>
      </c>
      <c r="D1447" t="s">
        <v>2845</v>
      </c>
      <c r="E1447" t="s">
        <v>2846</v>
      </c>
      <c r="F1447">
        <v>1910.15</v>
      </c>
      <c r="G1447">
        <v>1905</v>
      </c>
      <c r="H1447">
        <v>1993.5</v>
      </c>
      <c r="I1447">
        <v>1905</v>
      </c>
      <c r="J1447" s="1">
        <v>1977.35</v>
      </c>
      <c r="K1447">
        <v>337525288.89999998</v>
      </c>
      <c r="L1447">
        <v>171400</v>
      </c>
      <c r="M1447" t="s">
        <v>78</v>
      </c>
      <c r="N1447" t="s">
        <v>17</v>
      </c>
      <c r="O1447">
        <v>14894</v>
      </c>
      <c r="P1447">
        <v>2132</v>
      </c>
      <c r="Q1447">
        <v>963.05</v>
      </c>
    </row>
    <row r="1448" spans="2:17" x14ac:dyDescent="0.25">
      <c r="B1448" t="s">
        <v>78</v>
      </c>
      <c r="C1448" t="s">
        <v>79</v>
      </c>
      <c r="D1448" t="s">
        <v>2847</v>
      </c>
      <c r="E1448" t="s">
        <v>2848</v>
      </c>
      <c r="F1448">
        <v>1339.3</v>
      </c>
      <c r="G1448">
        <v>1342.95</v>
      </c>
      <c r="H1448">
        <v>1410</v>
      </c>
      <c r="I1448">
        <v>1332.9</v>
      </c>
      <c r="J1448" s="1">
        <v>1379.75</v>
      </c>
      <c r="K1448">
        <v>103605649.55</v>
      </c>
      <c r="L1448">
        <v>74625</v>
      </c>
      <c r="M1448" t="s">
        <v>78</v>
      </c>
      <c r="N1448" t="s">
        <v>17</v>
      </c>
      <c r="O1448">
        <v>8701</v>
      </c>
      <c r="P1448">
        <v>1499</v>
      </c>
      <c r="Q1448">
        <v>620</v>
      </c>
    </row>
    <row r="1449" spans="2:17" x14ac:dyDescent="0.25">
      <c r="B1449" t="s">
        <v>78</v>
      </c>
      <c r="C1449" t="s">
        <v>79</v>
      </c>
      <c r="D1449" t="s">
        <v>2849</v>
      </c>
      <c r="E1449" t="s">
        <v>2850</v>
      </c>
      <c r="F1449">
        <v>102.2</v>
      </c>
      <c r="G1449">
        <v>102</v>
      </c>
      <c r="H1449">
        <v>107.3</v>
      </c>
      <c r="I1449">
        <v>100.3</v>
      </c>
      <c r="J1449" s="1">
        <v>107.3</v>
      </c>
      <c r="K1449">
        <v>10600112.85</v>
      </c>
      <c r="L1449">
        <v>100192</v>
      </c>
      <c r="M1449" t="s">
        <v>78</v>
      </c>
      <c r="N1449" t="s">
        <v>17</v>
      </c>
      <c r="O1449">
        <v>775</v>
      </c>
      <c r="P1449">
        <v>124</v>
      </c>
      <c r="Q1449">
        <v>61</v>
      </c>
    </row>
    <row r="1450" spans="2:17" x14ac:dyDescent="0.25">
      <c r="B1450" t="s">
        <v>78</v>
      </c>
      <c r="C1450" t="s">
        <v>79</v>
      </c>
      <c r="D1450" t="s">
        <v>2851</v>
      </c>
      <c r="E1450" t="s">
        <v>2852</v>
      </c>
      <c r="F1450">
        <v>160</v>
      </c>
      <c r="G1450">
        <v>158</v>
      </c>
      <c r="H1450">
        <v>165.7</v>
      </c>
      <c r="I1450">
        <v>158</v>
      </c>
      <c r="J1450" s="1">
        <v>161.1</v>
      </c>
      <c r="K1450">
        <v>31019141.399999999</v>
      </c>
      <c r="L1450">
        <v>190921</v>
      </c>
      <c r="M1450" t="s">
        <v>78</v>
      </c>
      <c r="N1450" t="s">
        <v>17</v>
      </c>
      <c r="O1450">
        <v>4748</v>
      </c>
      <c r="P1450">
        <v>167.5</v>
      </c>
      <c r="Q1450">
        <v>77.599999999999994</v>
      </c>
    </row>
    <row r="1451" spans="2:17" x14ac:dyDescent="0.25">
      <c r="B1451" t="s">
        <v>78</v>
      </c>
      <c r="C1451" t="s">
        <v>79</v>
      </c>
      <c r="D1451" t="s">
        <v>2853</v>
      </c>
      <c r="E1451" t="s">
        <v>2854</v>
      </c>
      <c r="F1451">
        <v>20.100000000000001</v>
      </c>
      <c r="G1451">
        <v>21.1</v>
      </c>
      <c r="H1451">
        <v>21.1</v>
      </c>
      <c r="I1451">
        <v>20.6</v>
      </c>
      <c r="J1451" s="1">
        <v>21.05</v>
      </c>
      <c r="K1451">
        <v>53879488.649999999</v>
      </c>
      <c r="L1451">
        <v>2556947</v>
      </c>
      <c r="M1451" t="s">
        <v>78</v>
      </c>
      <c r="N1451" t="s">
        <v>17</v>
      </c>
      <c r="O1451">
        <v>4204</v>
      </c>
      <c r="P1451">
        <v>21.1</v>
      </c>
      <c r="Q1451">
        <v>8.3000000000000007</v>
      </c>
    </row>
    <row r="1452" spans="2:17" x14ac:dyDescent="0.25">
      <c r="B1452" t="s">
        <v>78</v>
      </c>
      <c r="C1452" t="s">
        <v>79</v>
      </c>
      <c r="D1452" t="s">
        <v>2855</v>
      </c>
      <c r="E1452" t="s">
        <v>2856</v>
      </c>
      <c r="F1452">
        <v>406.95</v>
      </c>
      <c r="G1452">
        <v>406</v>
      </c>
      <c r="H1452">
        <v>414.6</v>
      </c>
      <c r="I1452">
        <v>400</v>
      </c>
      <c r="J1452" s="1">
        <v>402.35</v>
      </c>
      <c r="K1452">
        <v>107099085.59999999</v>
      </c>
      <c r="L1452">
        <v>262693</v>
      </c>
      <c r="M1452" t="s">
        <v>78</v>
      </c>
      <c r="N1452" t="s">
        <v>17</v>
      </c>
      <c r="O1452">
        <v>9254</v>
      </c>
      <c r="P1452">
        <v>437.7</v>
      </c>
      <c r="Q1452">
        <v>258.3</v>
      </c>
    </row>
    <row r="1453" spans="2:17" x14ac:dyDescent="0.25">
      <c r="B1453" t="s">
        <v>78</v>
      </c>
      <c r="C1453" t="s">
        <v>79</v>
      </c>
      <c r="D1453" t="s">
        <v>2857</v>
      </c>
      <c r="E1453" t="s">
        <v>2858</v>
      </c>
      <c r="F1453">
        <v>762.35</v>
      </c>
      <c r="G1453">
        <v>762.7</v>
      </c>
      <c r="H1453">
        <v>778</v>
      </c>
      <c r="I1453">
        <v>747.25</v>
      </c>
      <c r="J1453" s="1">
        <v>769.3</v>
      </c>
      <c r="K1453">
        <v>38411734.450000003</v>
      </c>
      <c r="L1453">
        <v>49945</v>
      </c>
      <c r="M1453" t="s">
        <v>78</v>
      </c>
      <c r="N1453" t="s">
        <v>17</v>
      </c>
      <c r="O1453">
        <v>3970</v>
      </c>
      <c r="P1453">
        <v>779.9</v>
      </c>
      <c r="Q1453">
        <v>256</v>
      </c>
    </row>
    <row r="1454" spans="2:17" x14ac:dyDescent="0.25">
      <c r="B1454" t="s">
        <v>78</v>
      </c>
      <c r="C1454" t="s">
        <v>79</v>
      </c>
      <c r="D1454" t="s">
        <v>2859</v>
      </c>
      <c r="E1454" t="s">
        <v>2860</v>
      </c>
      <c r="F1454">
        <v>95.75</v>
      </c>
      <c r="G1454">
        <v>97</v>
      </c>
      <c r="H1454">
        <v>99.5</v>
      </c>
      <c r="I1454">
        <v>93.95</v>
      </c>
      <c r="J1454" s="1">
        <v>95.55</v>
      </c>
      <c r="K1454">
        <v>99504572.950000003</v>
      </c>
      <c r="L1454">
        <v>1027607</v>
      </c>
      <c r="M1454" t="s">
        <v>78</v>
      </c>
      <c r="N1454" t="s">
        <v>17</v>
      </c>
      <c r="O1454">
        <v>5125</v>
      </c>
      <c r="P1454">
        <v>208.4</v>
      </c>
      <c r="Q1454">
        <v>40.700000000000003</v>
      </c>
    </row>
    <row r="1455" spans="2:17" x14ac:dyDescent="0.25">
      <c r="B1455" t="s">
        <v>78</v>
      </c>
      <c r="C1455" t="s">
        <v>79</v>
      </c>
      <c r="D1455" t="s">
        <v>2861</v>
      </c>
      <c r="E1455" t="s">
        <v>2862</v>
      </c>
      <c r="F1455">
        <v>582.04999999999995</v>
      </c>
      <c r="G1455">
        <v>576.04999999999995</v>
      </c>
      <c r="H1455">
        <v>611.15</v>
      </c>
      <c r="I1455">
        <v>575.95000000000005</v>
      </c>
      <c r="J1455" s="1">
        <v>611.15</v>
      </c>
      <c r="K1455">
        <v>9122971.3000000007</v>
      </c>
      <c r="L1455">
        <v>15184</v>
      </c>
      <c r="M1455" t="s">
        <v>78</v>
      </c>
      <c r="N1455" t="s">
        <v>17</v>
      </c>
      <c r="O1455">
        <v>539</v>
      </c>
      <c r="P1455">
        <v>694.15</v>
      </c>
      <c r="Q1455">
        <v>126.25</v>
      </c>
    </row>
    <row r="1456" spans="2:17" x14ac:dyDescent="0.25">
      <c r="B1456" t="s">
        <v>78</v>
      </c>
      <c r="C1456" t="s">
        <v>79</v>
      </c>
      <c r="D1456" t="s">
        <v>2863</v>
      </c>
      <c r="E1456" t="s">
        <v>2864</v>
      </c>
      <c r="F1456">
        <v>143</v>
      </c>
      <c r="G1456">
        <v>143.94999999999999</v>
      </c>
      <c r="H1456">
        <v>147.5</v>
      </c>
      <c r="I1456">
        <v>141.80000000000001</v>
      </c>
      <c r="J1456" s="1">
        <v>146.80000000000001</v>
      </c>
      <c r="K1456">
        <v>125272234.55</v>
      </c>
      <c r="L1456">
        <v>872713</v>
      </c>
      <c r="M1456" t="s">
        <v>78</v>
      </c>
      <c r="N1456" t="s">
        <v>17</v>
      </c>
      <c r="O1456">
        <v>6399</v>
      </c>
      <c r="P1456">
        <v>169.7</v>
      </c>
      <c r="Q1456">
        <v>80.2</v>
      </c>
    </row>
    <row r="1457" spans="2:17" x14ac:dyDescent="0.25">
      <c r="B1457" t="s">
        <v>78</v>
      </c>
      <c r="C1457" t="s">
        <v>79</v>
      </c>
      <c r="D1457" t="s">
        <v>2865</v>
      </c>
      <c r="E1457" t="s">
        <v>2866</v>
      </c>
      <c r="F1457">
        <v>231.95</v>
      </c>
      <c r="G1457">
        <v>230</v>
      </c>
      <c r="H1457">
        <v>238</v>
      </c>
      <c r="I1457">
        <v>223</v>
      </c>
      <c r="J1457" s="1">
        <v>233.4</v>
      </c>
      <c r="K1457">
        <v>42172163.100000001</v>
      </c>
      <c r="L1457">
        <v>182265</v>
      </c>
      <c r="M1457" t="s">
        <v>78</v>
      </c>
      <c r="N1457" t="s">
        <v>17</v>
      </c>
      <c r="O1457">
        <v>4258</v>
      </c>
      <c r="P1457">
        <v>255</v>
      </c>
      <c r="Q1457">
        <v>50.4</v>
      </c>
    </row>
    <row r="1458" spans="2:17" x14ac:dyDescent="0.25">
      <c r="B1458" t="s">
        <v>78</v>
      </c>
      <c r="C1458" t="s">
        <v>287</v>
      </c>
      <c r="D1458" t="s">
        <v>2867</v>
      </c>
      <c r="E1458" t="s">
        <v>2868</v>
      </c>
      <c r="F1458">
        <v>34.9</v>
      </c>
      <c r="G1458">
        <v>33</v>
      </c>
      <c r="H1458">
        <v>36.5</v>
      </c>
      <c r="I1458">
        <v>33</v>
      </c>
      <c r="J1458" s="1">
        <v>36.1</v>
      </c>
      <c r="K1458">
        <v>1683300</v>
      </c>
      <c r="L1458">
        <v>48000</v>
      </c>
      <c r="M1458" t="s">
        <v>78</v>
      </c>
      <c r="N1458" t="s">
        <v>17</v>
      </c>
      <c r="O1458">
        <v>13</v>
      </c>
      <c r="P1458">
        <v>45</v>
      </c>
      <c r="Q1458">
        <v>25.35</v>
      </c>
    </row>
    <row r="1459" spans="2:17" x14ac:dyDescent="0.25">
      <c r="B1459" t="s">
        <v>78</v>
      </c>
      <c r="C1459" t="s">
        <v>79</v>
      </c>
      <c r="D1459" t="s">
        <v>2869</v>
      </c>
      <c r="E1459" t="s">
        <v>2870</v>
      </c>
      <c r="F1459">
        <v>3285</v>
      </c>
      <c r="G1459">
        <v>3280</v>
      </c>
      <c r="H1459">
        <v>3346.45</v>
      </c>
      <c r="I1459">
        <v>3233</v>
      </c>
      <c r="J1459" s="1">
        <v>3302.05</v>
      </c>
      <c r="K1459">
        <v>96999667.25</v>
      </c>
      <c r="L1459">
        <v>29412</v>
      </c>
      <c r="M1459" t="s">
        <v>78</v>
      </c>
      <c r="N1459" t="s">
        <v>17</v>
      </c>
      <c r="O1459">
        <v>5891</v>
      </c>
      <c r="P1459">
        <v>3611</v>
      </c>
      <c r="Q1459">
        <v>1710</v>
      </c>
    </row>
    <row r="1460" spans="2:17" x14ac:dyDescent="0.25">
      <c r="B1460" t="s">
        <v>78</v>
      </c>
      <c r="C1460" t="s">
        <v>79</v>
      </c>
      <c r="D1460" t="s">
        <v>2871</v>
      </c>
      <c r="E1460" t="s">
        <v>2872</v>
      </c>
      <c r="F1460">
        <v>1573.3</v>
      </c>
      <c r="G1460">
        <v>1575</v>
      </c>
      <c r="H1460">
        <v>1581.95</v>
      </c>
      <c r="I1460">
        <v>1550</v>
      </c>
      <c r="J1460" s="1">
        <v>1559.05</v>
      </c>
      <c r="K1460">
        <v>18221213.75</v>
      </c>
      <c r="L1460">
        <v>11637</v>
      </c>
      <c r="M1460" t="s">
        <v>78</v>
      </c>
      <c r="N1460" t="s">
        <v>17</v>
      </c>
      <c r="O1460">
        <v>1895</v>
      </c>
      <c r="P1460">
        <v>1684.8</v>
      </c>
      <c r="Q1460">
        <v>960</v>
      </c>
    </row>
    <row r="1461" spans="2:17" x14ac:dyDescent="0.25">
      <c r="B1461" t="s">
        <v>78</v>
      </c>
      <c r="C1461" t="s">
        <v>79</v>
      </c>
      <c r="D1461" t="s">
        <v>2873</v>
      </c>
      <c r="E1461" t="s">
        <v>2874</v>
      </c>
      <c r="F1461">
        <v>1051.05</v>
      </c>
      <c r="G1461">
        <v>1044.75</v>
      </c>
      <c r="H1461">
        <v>1053</v>
      </c>
      <c r="I1461">
        <v>1032</v>
      </c>
      <c r="J1461" s="1">
        <v>1039.05</v>
      </c>
      <c r="K1461">
        <v>861269180.95000005</v>
      </c>
      <c r="L1461">
        <v>827048</v>
      </c>
      <c r="M1461" t="s">
        <v>78</v>
      </c>
      <c r="N1461" t="s">
        <v>17</v>
      </c>
      <c r="O1461">
        <v>20142</v>
      </c>
      <c r="P1461">
        <v>1132</v>
      </c>
      <c r="Q1461">
        <v>573.79999999999995</v>
      </c>
    </row>
    <row r="1462" spans="2:17" x14ac:dyDescent="0.25">
      <c r="B1462" t="s">
        <v>78</v>
      </c>
      <c r="C1462" t="s">
        <v>79</v>
      </c>
      <c r="D1462" t="s">
        <v>2875</v>
      </c>
      <c r="E1462" t="s">
        <v>2876</v>
      </c>
      <c r="F1462">
        <v>311.60000000000002</v>
      </c>
      <c r="G1462">
        <v>309.64999999999998</v>
      </c>
      <c r="H1462">
        <v>313.7</v>
      </c>
      <c r="I1462">
        <v>303</v>
      </c>
      <c r="J1462" s="1">
        <v>304.89999999999998</v>
      </c>
      <c r="K1462">
        <v>63717547.799999997</v>
      </c>
      <c r="L1462">
        <v>207865</v>
      </c>
      <c r="M1462" t="s">
        <v>78</v>
      </c>
      <c r="N1462" t="s">
        <v>17</v>
      </c>
      <c r="O1462">
        <v>5845</v>
      </c>
      <c r="P1462">
        <v>324</v>
      </c>
      <c r="Q1462">
        <v>144</v>
      </c>
    </row>
    <row r="1463" spans="2:17" x14ac:dyDescent="0.25">
      <c r="B1463" t="s">
        <v>78</v>
      </c>
      <c r="C1463" t="s">
        <v>287</v>
      </c>
      <c r="D1463" t="s">
        <v>2877</v>
      </c>
      <c r="E1463" t="s">
        <v>2878</v>
      </c>
      <c r="F1463">
        <v>17.05</v>
      </c>
      <c r="G1463">
        <v>17.05</v>
      </c>
      <c r="H1463">
        <v>17.05</v>
      </c>
      <c r="I1463">
        <v>17.05</v>
      </c>
      <c r="J1463" s="1">
        <v>17.05</v>
      </c>
      <c r="K1463">
        <v>51150</v>
      </c>
      <c r="L1463">
        <v>3000</v>
      </c>
      <c r="M1463" t="s">
        <v>78</v>
      </c>
      <c r="N1463" t="s">
        <v>17</v>
      </c>
      <c r="O1463">
        <v>1</v>
      </c>
      <c r="P1463">
        <v>19.55</v>
      </c>
      <c r="Q1463">
        <v>6.4</v>
      </c>
    </row>
    <row r="1464" spans="2:17" x14ac:dyDescent="0.25">
      <c r="B1464" t="s">
        <v>78</v>
      </c>
      <c r="C1464" t="s">
        <v>79</v>
      </c>
      <c r="D1464" t="s">
        <v>2879</v>
      </c>
      <c r="E1464" t="s">
        <v>2880</v>
      </c>
      <c r="F1464">
        <v>240.15</v>
      </c>
      <c r="G1464">
        <v>236</v>
      </c>
      <c r="H1464">
        <v>245.7</v>
      </c>
      <c r="I1464">
        <v>232.65</v>
      </c>
      <c r="J1464" s="1">
        <v>239.85</v>
      </c>
      <c r="K1464">
        <v>49625031.049999997</v>
      </c>
      <c r="L1464">
        <v>206598</v>
      </c>
      <c r="M1464" t="s">
        <v>78</v>
      </c>
      <c r="N1464" t="s">
        <v>17</v>
      </c>
      <c r="O1464">
        <v>8798</v>
      </c>
      <c r="P1464">
        <v>273.60000000000002</v>
      </c>
      <c r="Q1464">
        <v>65.25</v>
      </c>
    </row>
    <row r="1465" spans="2:17" x14ac:dyDescent="0.25">
      <c r="B1465" t="s">
        <v>78</v>
      </c>
      <c r="C1465" t="s">
        <v>79</v>
      </c>
      <c r="D1465" t="s">
        <v>2881</v>
      </c>
      <c r="E1465" t="s">
        <v>2882</v>
      </c>
      <c r="F1465">
        <v>3534</v>
      </c>
      <c r="G1465">
        <v>3530.1</v>
      </c>
      <c r="H1465">
        <v>3540.15</v>
      </c>
      <c r="I1465">
        <v>3500</v>
      </c>
      <c r="J1465" s="1">
        <v>3527.3</v>
      </c>
      <c r="K1465">
        <v>19462149.25</v>
      </c>
      <c r="L1465">
        <v>5516</v>
      </c>
      <c r="M1465" t="s">
        <v>78</v>
      </c>
      <c r="N1465" t="s">
        <v>17</v>
      </c>
      <c r="O1465">
        <v>1198</v>
      </c>
      <c r="P1465">
        <v>4538.2</v>
      </c>
      <c r="Q1465">
        <v>3120</v>
      </c>
    </row>
    <row r="1466" spans="2:17" x14ac:dyDescent="0.25">
      <c r="B1466" t="s">
        <v>78</v>
      </c>
      <c r="C1466" t="s">
        <v>79</v>
      </c>
      <c r="D1466" t="s">
        <v>2883</v>
      </c>
      <c r="E1466" t="s">
        <v>2884</v>
      </c>
      <c r="F1466">
        <v>1988.5</v>
      </c>
      <c r="G1466">
        <v>1990</v>
      </c>
      <c r="H1466">
        <v>2152</v>
      </c>
      <c r="I1466">
        <v>1977.05</v>
      </c>
      <c r="J1466" s="1">
        <v>2092.4499999999998</v>
      </c>
      <c r="K1466">
        <v>149494172.44999999</v>
      </c>
      <c r="L1466">
        <v>71659</v>
      </c>
      <c r="M1466" t="s">
        <v>78</v>
      </c>
      <c r="N1466" t="s">
        <v>17</v>
      </c>
      <c r="O1466">
        <v>9316</v>
      </c>
      <c r="P1466">
        <v>2300</v>
      </c>
      <c r="Q1466">
        <v>1335</v>
      </c>
    </row>
    <row r="1467" spans="2:17" x14ac:dyDescent="0.25">
      <c r="B1467" t="s">
        <v>78</v>
      </c>
      <c r="C1467" t="s">
        <v>79</v>
      </c>
      <c r="D1467" t="s">
        <v>2885</v>
      </c>
      <c r="E1467" t="s">
        <v>2886</v>
      </c>
      <c r="F1467">
        <v>1704.8</v>
      </c>
      <c r="G1467">
        <v>1692.85</v>
      </c>
      <c r="H1467">
        <v>1721.05</v>
      </c>
      <c r="I1467">
        <v>1674</v>
      </c>
      <c r="J1467" s="1">
        <v>1685.5</v>
      </c>
      <c r="K1467">
        <v>180692871.69999999</v>
      </c>
      <c r="L1467">
        <v>106561</v>
      </c>
      <c r="M1467" t="s">
        <v>78</v>
      </c>
      <c r="N1467" t="s">
        <v>17</v>
      </c>
      <c r="O1467">
        <v>6981</v>
      </c>
      <c r="P1467">
        <v>1739</v>
      </c>
      <c r="Q1467">
        <v>630.5</v>
      </c>
    </row>
    <row r="1468" spans="2:17" x14ac:dyDescent="0.25">
      <c r="B1468" t="s">
        <v>78</v>
      </c>
      <c r="C1468" t="s">
        <v>79</v>
      </c>
      <c r="D1468" t="s">
        <v>2887</v>
      </c>
      <c r="E1468" t="s">
        <v>2888</v>
      </c>
      <c r="F1468">
        <v>361.5</v>
      </c>
      <c r="G1468">
        <v>356.5</v>
      </c>
      <c r="H1468">
        <v>366</v>
      </c>
      <c r="I1468">
        <v>354.95</v>
      </c>
      <c r="J1468" s="1">
        <v>357.1</v>
      </c>
      <c r="K1468">
        <v>82042716.549999997</v>
      </c>
      <c r="L1468">
        <v>228075</v>
      </c>
      <c r="M1468" t="s">
        <v>78</v>
      </c>
      <c r="N1468" t="s">
        <v>17</v>
      </c>
      <c r="O1468">
        <v>6800</v>
      </c>
      <c r="P1468">
        <v>396.3</v>
      </c>
      <c r="Q1468">
        <v>108.1</v>
      </c>
    </row>
    <row r="1469" spans="2:17" x14ac:dyDescent="0.25">
      <c r="B1469" t="s">
        <v>78</v>
      </c>
      <c r="C1469" t="s">
        <v>79</v>
      </c>
      <c r="D1469" t="s">
        <v>2889</v>
      </c>
      <c r="E1469" t="s">
        <v>2890</v>
      </c>
      <c r="F1469">
        <v>7389.25</v>
      </c>
      <c r="G1469">
        <v>7405.1</v>
      </c>
      <c r="H1469">
        <v>7499.7</v>
      </c>
      <c r="I1469">
        <v>7297.7</v>
      </c>
      <c r="J1469" s="1">
        <v>7410.45</v>
      </c>
      <c r="K1469">
        <v>157178362.94999999</v>
      </c>
      <c r="L1469">
        <v>21218</v>
      </c>
      <c r="M1469" t="s">
        <v>78</v>
      </c>
      <c r="N1469" t="s">
        <v>17</v>
      </c>
      <c r="O1469">
        <v>4363</v>
      </c>
      <c r="P1469">
        <v>7871.95</v>
      </c>
      <c r="Q1469">
        <v>4750.05</v>
      </c>
    </row>
    <row r="1470" spans="2:17" x14ac:dyDescent="0.25">
      <c r="B1470" t="s">
        <v>78</v>
      </c>
      <c r="C1470" t="s">
        <v>79</v>
      </c>
      <c r="D1470" t="s">
        <v>2891</v>
      </c>
      <c r="E1470" t="s">
        <v>2892</v>
      </c>
      <c r="F1470">
        <v>70.55</v>
      </c>
      <c r="G1470">
        <v>70</v>
      </c>
      <c r="H1470">
        <v>73.05</v>
      </c>
      <c r="I1470">
        <v>68.75</v>
      </c>
      <c r="J1470" s="1">
        <v>70.95</v>
      </c>
      <c r="K1470">
        <v>31738017.300000001</v>
      </c>
      <c r="L1470">
        <v>444427</v>
      </c>
      <c r="M1470" t="s">
        <v>78</v>
      </c>
      <c r="N1470" t="s">
        <v>17</v>
      </c>
      <c r="O1470">
        <v>5771</v>
      </c>
      <c r="P1470">
        <v>92</v>
      </c>
      <c r="Q1470">
        <v>43.75</v>
      </c>
    </row>
    <row r="1471" spans="2:17" x14ac:dyDescent="0.25">
      <c r="B1471" t="s">
        <v>78</v>
      </c>
      <c r="C1471" t="s">
        <v>79</v>
      </c>
      <c r="D1471" t="s">
        <v>2893</v>
      </c>
      <c r="E1471" t="s">
        <v>2894</v>
      </c>
      <c r="F1471">
        <v>132.35</v>
      </c>
      <c r="G1471">
        <v>131</v>
      </c>
      <c r="H1471">
        <v>134.9</v>
      </c>
      <c r="I1471">
        <v>130</v>
      </c>
      <c r="J1471" s="1">
        <v>130.44999999999999</v>
      </c>
      <c r="K1471">
        <v>36797377</v>
      </c>
      <c r="L1471">
        <v>277834</v>
      </c>
      <c r="M1471" t="s">
        <v>78</v>
      </c>
      <c r="N1471" t="s">
        <v>17</v>
      </c>
      <c r="O1471">
        <v>6914</v>
      </c>
      <c r="P1471">
        <v>145.9</v>
      </c>
      <c r="Q1471">
        <v>95.7</v>
      </c>
    </row>
    <row r="1472" spans="2:17" x14ac:dyDescent="0.25">
      <c r="B1472" t="s">
        <v>78</v>
      </c>
      <c r="C1472" t="s">
        <v>79</v>
      </c>
      <c r="D1472" t="s">
        <v>2895</v>
      </c>
      <c r="E1472" t="s">
        <v>2896</v>
      </c>
      <c r="F1472">
        <v>70.55</v>
      </c>
      <c r="G1472">
        <v>71</v>
      </c>
      <c r="H1472">
        <v>73.8</v>
      </c>
      <c r="I1472">
        <v>69</v>
      </c>
      <c r="J1472" s="1">
        <v>72.5</v>
      </c>
      <c r="K1472">
        <v>28908401.199999999</v>
      </c>
      <c r="L1472">
        <v>406471</v>
      </c>
      <c r="M1472" t="s">
        <v>78</v>
      </c>
      <c r="N1472" t="s">
        <v>17</v>
      </c>
      <c r="O1472">
        <v>2261</v>
      </c>
      <c r="P1472">
        <v>78.400000000000006</v>
      </c>
      <c r="Q1472">
        <v>17.600000000000001</v>
      </c>
    </row>
    <row r="1473" spans="2:17" x14ac:dyDescent="0.25">
      <c r="B1473" t="s">
        <v>78</v>
      </c>
      <c r="C1473" t="s">
        <v>79</v>
      </c>
      <c r="D1473" t="s">
        <v>2897</v>
      </c>
      <c r="E1473" t="s">
        <v>2898</v>
      </c>
      <c r="F1473">
        <v>63.45</v>
      </c>
      <c r="G1473">
        <v>60.3</v>
      </c>
      <c r="H1473">
        <v>60.3</v>
      </c>
      <c r="I1473">
        <v>60.3</v>
      </c>
      <c r="J1473" s="1">
        <v>60.3</v>
      </c>
      <c r="K1473">
        <v>654435.9</v>
      </c>
      <c r="L1473">
        <v>10853</v>
      </c>
      <c r="M1473" t="s">
        <v>78</v>
      </c>
      <c r="N1473" t="s">
        <v>17</v>
      </c>
      <c r="O1473">
        <v>126</v>
      </c>
      <c r="P1473">
        <v>70.25</v>
      </c>
      <c r="Q1473">
        <v>23</v>
      </c>
    </row>
    <row r="1474" spans="2:17" x14ac:dyDescent="0.25">
      <c r="B1474" t="s">
        <v>78</v>
      </c>
      <c r="C1474" t="s">
        <v>79</v>
      </c>
      <c r="D1474" t="s">
        <v>2899</v>
      </c>
      <c r="E1474" t="s">
        <v>2900</v>
      </c>
      <c r="F1474">
        <v>152.9</v>
      </c>
      <c r="G1474">
        <v>150.75</v>
      </c>
      <c r="H1474">
        <v>151.9</v>
      </c>
      <c r="I1474">
        <v>146.65</v>
      </c>
      <c r="J1474" s="1">
        <v>147.69999999999999</v>
      </c>
      <c r="K1474">
        <v>352356904.94999999</v>
      </c>
      <c r="L1474">
        <v>2358280</v>
      </c>
      <c r="M1474" t="s">
        <v>78</v>
      </c>
      <c r="N1474" t="s">
        <v>17</v>
      </c>
      <c r="O1474">
        <v>23951</v>
      </c>
      <c r="P1474">
        <v>165.9</v>
      </c>
      <c r="Q1474">
        <v>79.55</v>
      </c>
    </row>
    <row r="1475" spans="2:17" x14ac:dyDescent="0.25">
      <c r="B1475" t="s">
        <v>78</v>
      </c>
      <c r="C1475" t="s">
        <v>79</v>
      </c>
      <c r="D1475" t="s">
        <v>2901</v>
      </c>
      <c r="E1475" t="s">
        <v>2902</v>
      </c>
      <c r="F1475">
        <v>112.5</v>
      </c>
      <c r="G1475">
        <v>111.8</v>
      </c>
      <c r="H1475">
        <v>113.8</v>
      </c>
      <c r="I1475">
        <v>111</v>
      </c>
      <c r="J1475" s="1">
        <v>112.5</v>
      </c>
      <c r="K1475">
        <v>36843439.850000001</v>
      </c>
      <c r="L1475">
        <v>326982</v>
      </c>
      <c r="M1475" t="s">
        <v>78</v>
      </c>
      <c r="N1475" t="s">
        <v>17</v>
      </c>
      <c r="O1475">
        <v>4736</v>
      </c>
      <c r="P1475">
        <v>135</v>
      </c>
      <c r="Q1475">
        <v>54.5</v>
      </c>
    </row>
    <row r="1476" spans="2:17" x14ac:dyDescent="0.25">
      <c r="B1476" t="s">
        <v>78</v>
      </c>
      <c r="C1476" t="s">
        <v>79</v>
      </c>
      <c r="D1476" t="s">
        <v>2903</v>
      </c>
      <c r="E1476" t="s">
        <v>2904</v>
      </c>
      <c r="F1476">
        <v>472</v>
      </c>
      <c r="G1476">
        <v>467</v>
      </c>
      <c r="H1476">
        <v>470</v>
      </c>
      <c r="I1476">
        <v>458.05</v>
      </c>
      <c r="J1476" s="1">
        <v>460.95</v>
      </c>
      <c r="K1476">
        <v>231744.1</v>
      </c>
      <c r="L1476">
        <v>501</v>
      </c>
      <c r="M1476" t="s">
        <v>78</v>
      </c>
      <c r="N1476" t="s">
        <v>17</v>
      </c>
      <c r="O1476">
        <v>83</v>
      </c>
      <c r="P1476">
        <v>584</v>
      </c>
      <c r="Q1476">
        <v>210</v>
      </c>
    </row>
    <row r="1477" spans="2:17" x14ac:dyDescent="0.25">
      <c r="B1477" t="s">
        <v>78</v>
      </c>
      <c r="C1477" t="s">
        <v>79</v>
      </c>
      <c r="D1477" t="s">
        <v>2905</v>
      </c>
      <c r="E1477" t="s">
        <v>2906</v>
      </c>
      <c r="F1477">
        <v>125.3</v>
      </c>
      <c r="G1477">
        <v>124.95</v>
      </c>
      <c r="H1477">
        <v>134.5</v>
      </c>
      <c r="I1477">
        <v>123</v>
      </c>
      <c r="J1477" s="1">
        <v>132.9</v>
      </c>
      <c r="K1477">
        <v>1290537976.3499999</v>
      </c>
      <c r="L1477">
        <v>9899861</v>
      </c>
      <c r="M1477" t="s">
        <v>78</v>
      </c>
      <c r="N1477" t="s">
        <v>17</v>
      </c>
      <c r="O1477">
        <v>52140</v>
      </c>
      <c r="P1477">
        <v>134.5</v>
      </c>
      <c r="Q1477">
        <v>31.3</v>
      </c>
    </row>
    <row r="1478" spans="2:17" x14ac:dyDescent="0.25">
      <c r="B1478" t="s">
        <v>78</v>
      </c>
      <c r="C1478" t="s">
        <v>79</v>
      </c>
      <c r="D1478" t="s">
        <v>2907</v>
      </c>
      <c r="E1478" t="s">
        <v>2908</v>
      </c>
      <c r="F1478">
        <v>4391.95</v>
      </c>
      <c r="G1478">
        <v>4391.95</v>
      </c>
      <c r="H1478">
        <v>4455</v>
      </c>
      <c r="I1478">
        <v>4305</v>
      </c>
      <c r="J1478" s="1">
        <v>4368.1499999999996</v>
      </c>
      <c r="K1478">
        <v>12935590.800000001</v>
      </c>
      <c r="L1478">
        <v>2955</v>
      </c>
      <c r="M1478" t="s">
        <v>78</v>
      </c>
      <c r="N1478" t="s">
        <v>17</v>
      </c>
      <c r="O1478">
        <v>712</v>
      </c>
      <c r="P1478">
        <v>4872.6000000000004</v>
      </c>
      <c r="Q1478">
        <v>2403</v>
      </c>
    </row>
    <row r="1479" spans="2:17" x14ac:dyDescent="0.25">
      <c r="B1479" t="s">
        <v>78</v>
      </c>
      <c r="C1479" t="s">
        <v>79</v>
      </c>
      <c r="D1479" t="s">
        <v>2909</v>
      </c>
      <c r="E1479" t="s">
        <v>2910</v>
      </c>
      <c r="F1479">
        <v>531.6</v>
      </c>
      <c r="G1479">
        <v>531.6</v>
      </c>
      <c r="H1479">
        <v>531.6</v>
      </c>
      <c r="I1479">
        <v>516.75</v>
      </c>
      <c r="J1479" s="1">
        <v>521.54999999999995</v>
      </c>
      <c r="K1479">
        <v>77570571.5</v>
      </c>
      <c r="L1479">
        <v>148791</v>
      </c>
      <c r="M1479" t="s">
        <v>78</v>
      </c>
      <c r="N1479" t="s">
        <v>17</v>
      </c>
      <c r="O1479">
        <v>9736</v>
      </c>
      <c r="P1479">
        <v>569</v>
      </c>
      <c r="Q1479">
        <v>318.05</v>
      </c>
    </row>
    <row r="1480" spans="2:17" x14ac:dyDescent="0.25">
      <c r="B1480" t="s">
        <v>78</v>
      </c>
      <c r="C1480" t="s">
        <v>287</v>
      </c>
      <c r="D1480" t="s">
        <v>2911</v>
      </c>
      <c r="E1480" t="s">
        <v>2912</v>
      </c>
      <c r="F1480">
        <v>15.85</v>
      </c>
      <c r="G1480">
        <v>16.55</v>
      </c>
      <c r="H1480">
        <v>16.55</v>
      </c>
      <c r="I1480">
        <v>16.55</v>
      </c>
      <c r="J1480" s="1">
        <v>16.55</v>
      </c>
      <c r="K1480">
        <v>99300</v>
      </c>
      <c r="L1480">
        <v>6000</v>
      </c>
      <c r="M1480" t="s">
        <v>78</v>
      </c>
      <c r="N1480" t="s">
        <v>17</v>
      </c>
      <c r="O1480">
        <v>2</v>
      </c>
      <c r="P1480">
        <v>60</v>
      </c>
      <c r="Q1480">
        <v>13.55</v>
      </c>
    </row>
    <row r="1481" spans="2:17" x14ac:dyDescent="0.25">
      <c r="B1481" t="s">
        <v>78</v>
      </c>
      <c r="C1481" t="s">
        <v>287</v>
      </c>
      <c r="D1481" t="s">
        <v>2913</v>
      </c>
      <c r="E1481" t="s">
        <v>2914</v>
      </c>
      <c r="F1481">
        <v>115.05</v>
      </c>
      <c r="G1481">
        <v>109.3</v>
      </c>
      <c r="H1481">
        <v>109.3</v>
      </c>
      <c r="I1481">
        <v>109.3</v>
      </c>
      <c r="J1481" s="1">
        <v>109.3</v>
      </c>
      <c r="K1481">
        <v>174880</v>
      </c>
      <c r="L1481">
        <v>1600</v>
      </c>
      <c r="M1481" t="s">
        <v>78</v>
      </c>
      <c r="N1481" t="s">
        <v>17</v>
      </c>
      <c r="O1481">
        <v>1</v>
      </c>
      <c r="P1481">
        <v>126</v>
      </c>
      <c r="Q1481">
        <v>42.7</v>
      </c>
    </row>
    <row r="1482" spans="2:17" x14ac:dyDescent="0.25">
      <c r="B1482" t="s">
        <v>78</v>
      </c>
      <c r="C1482" t="s">
        <v>79</v>
      </c>
      <c r="D1482" t="s">
        <v>2915</v>
      </c>
      <c r="E1482" t="s">
        <v>2916</v>
      </c>
      <c r="F1482">
        <v>744.65</v>
      </c>
      <c r="G1482">
        <v>755</v>
      </c>
      <c r="H1482">
        <v>799</v>
      </c>
      <c r="I1482">
        <v>754.95</v>
      </c>
      <c r="J1482" s="1">
        <v>776.45</v>
      </c>
      <c r="K1482">
        <v>212066319.90000001</v>
      </c>
      <c r="L1482">
        <v>271663</v>
      </c>
      <c r="M1482" t="s">
        <v>78</v>
      </c>
      <c r="N1482" t="s">
        <v>17</v>
      </c>
      <c r="O1482">
        <v>16649</v>
      </c>
      <c r="P1482">
        <v>799</v>
      </c>
      <c r="Q1482">
        <v>373.85</v>
      </c>
    </row>
    <row r="1483" spans="2:17" x14ac:dyDescent="0.25">
      <c r="B1483" t="s">
        <v>78</v>
      </c>
      <c r="C1483" t="s">
        <v>79</v>
      </c>
      <c r="D1483" t="s">
        <v>2917</v>
      </c>
      <c r="E1483" t="s">
        <v>2918</v>
      </c>
      <c r="F1483">
        <v>2196.25</v>
      </c>
      <c r="G1483">
        <v>2195</v>
      </c>
      <c r="H1483">
        <v>2202</v>
      </c>
      <c r="I1483">
        <v>2164</v>
      </c>
      <c r="J1483" s="1">
        <v>2174.4499999999998</v>
      </c>
      <c r="K1483">
        <v>146744705.55000001</v>
      </c>
      <c r="L1483">
        <v>67334</v>
      </c>
      <c r="M1483" t="s">
        <v>78</v>
      </c>
      <c r="N1483" t="s">
        <v>17</v>
      </c>
      <c r="O1483">
        <v>7701</v>
      </c>
      <c r="P1483">
        <v>2787</v>
      </c>
      <c r="Q1483">
        <v>1980.1</v>
      </c>
    </row>
    <row r="1484" spans="2:17" x14ac:dyDescent="0.25">
      <c r="B1484" t="s">
        <v>78</v>
      </c>
      <c r="C1484" t="s">
        <v>79</v>
      </c>
      <c r="D1484" t="s">
        <v>2919</v>
      </c>
      <c r="E1484" t="s">
        <v>2920</v>
      </c>
      <c r="F1484">
        <v>23.35</v>
      </c>
      <c r="G1484">
        <v>23.35</v>
      </c>
      <c r="H1484">
        <v>24.35</v>
      </c>
      <c r="I1484">
        <v>22.35</v>
      </c>
      <c r="J1484" s="1">
        <v>22.45</v>
      </c>
      <c r="K1484">
        <v>1098126.6499999999</v>
      </c>
      <c r="L1484">
        <v>47853</v>
      </c>
      <c r="M1484" t="s">
        <v>78</v>
      </c>
      <c r="N1484" t="s">
        <v>17</v>
      </c>
      <c r="O1484">
        <v>259</v>
      </c>
      <c r="P1484">
        <v>28.6</v>
      </c>
      <c r="Q1484">
        <v>14.25</v>
      </c>
    </row>
    <row r="1485" spans="2:17" x14ac:dyDescent="0.25">
      <c r="B1485" t="s">
        <v>78</v>
      </c>
      <c r="C1485" t="s">
        <v>79</v>
      </c>
      <c r="D1485" t="s">
        <v>2921</v>
      </c>
      <c r="E1485" t="s">
        <v>2922</v>
      </c>
      <c r="F1485">
        <v>35.35</v>
      </c>
      <c r="G1485">
        <v>36.549999999999997</v>
      </c>
      <c r="H1485">
        <v>38.85</v>
      </c>
      <c r="I1485">
        <v>36.549999999999997</v>
      </c>
      <c r="J1485" s="1">
        <v>38.85</v>
      </c>
      <c r="K1485">
        <v>20739297.350000001</v>
      </c>
      <c r="L1485">
        <v>539895</v>
      </c>
      <c r="M1485" t="s">
        <v>78</v>
      </c>
      <c r="N1485" t="s">
        <v>17</v>
      </c>
      <c r="O1485">
        <v>1557</v>
      </c>
      <c r="P1485">
        <v>45</v>
      </c>
      <c r="Q1485">
        <v>11.5</v>
      </c>
    </row>
    <row r="1486" spans="2:17" x14ac:dyDescent="0.25">
      <c r="B1486" t="s">
        <v>78</v>
      </c>
      <c r="C1486" t="s">
        <v>79</v>
      </c>
      <c r="D1486" t="s">
        <v>2923</v>
      </c>
      <c r="E1486" t="s">
        <v>2924</v>
      </c>
      <c r="F1486">
        <v>572.70000000000005</v>
      </c>
      <c r="G1486">
        <v>568.65</v>
      </c>
      <c r="H1486">
        <v>592</v>
      </c>
      <c r="I1486">
        <v>566.04999999999995</v>
      </c>
      <c r="J1486" s="1">
        <v>580.85</v>
      </c>
      <c r="K1486">
        <v>765138874</v>
      </c>
      <c r="L1486">
        <v>1314200</v>
      </c>
      <c r="M1486" t="s">
        <v>78</v>
      </c>
      <c r="N1486" t="s">
        <v>17</v>
      </c>
      <c r="O1486">
        <v>31705</v>
      </c>
      <c r="P1486">
        <v>804.9</v>
      </c>
      <c r="Q1486">
        <v>252.6</v>
      </c>
    </row>
    <row r="1487" spans="2:17" x14ac:dyDescent="0.25">
      <c r="B1487" t="s">
        <v>78</v>
      </c>
      <c r="C1487" t="s">
        <v>79</v>
      </c>
      <c r="D1487" t="s">
        <v>2925</v>
      </c>
      <c r="E1487" t="s">
        <v>2926</v>
      </c>
      <c r="F1487">
        <v>239.85</v>
      </c>
      <c r="G1487">
        <v>239.85</v>
      </c>
      <c r="H1487">
        <v>248.8</v>
      </c>
      <c r="I1487">
        <v>239.85</v>
      </c>
      <c r="J1487" s="1">
        <v>244.95</v>
      </c>
      <c r="K1487">
        <v>33255482.850000001</v>
      </c>
      <c r="L1487">
        <v>135446</v>
      </c>
      <c r="M1487" t="s">
        <v>78</v>
      </c>
      <c r="N1487" t="s">
        <v>17</v>
      </c>
      <c r="O1487">
        <v>6358</v>
      </c>
      <c r="P1487">
        <v>270</v>
      </c>
      <c r="Q1487">
        <v>129.6</v>
      </c>
    </row>
    <row r="1488" spans="2:17" x14ac:dyDescent="0.25">
      <c r="B1488" t="s">
        <v>78</v>
      </c>
      <c r="C1488" t="s">
        <v>79</v>
      </c>
      <c r="D1488" t="s">
        <v>2927</v>
      </c>
      <c r="E1488" t="s">
        <v>2928</v>
      </c>
      <c r="F1488">
        <v>108.8</v>
      </c>
      <c r="G1488">
        <v>110.95</v>
      </c>
      <c r="H1488">
        <v>113.35</v>
      </c>
      <c r="I1488">
        <v>108.5</v>
      </c>
      <c r="J1488" s="1">
        <v>109.35</v>
      </c>
      <c r="K1488">
        <v>9711055.0999999996</v>
      </c>
      <c r="L1488">
        <v>87305</v>
      </c>
      <c r="M1488" t="s">
        <v>78</v>
      </c>
      <c r="N1488" t="s">
        <v>17</v>
      </c>
      <c r="O1488">
        <v>2520</v>
      </c>
      <c r="P1488">
        <v>119.45</v>
      </c>
      <c r="Q1488">
        <v>37.85</v>
      </c>
    </row>
    <row r="1489" spans="2:17" x14ac:dyDescent="0.25">
      <c r="B1489" t="s">
        <v>78</v>
      </c>
      <c r="C1489" t="s">
        <v>79</v>
      </c>
      <c r="D1489" t="s">
        <v>2929</v>
      </c>
      <c r="E1489" t="s">
        <v>2930</v>
      </c>
      <c r="F1489">
        <v>262.2</v>
      </c>
      <c r="G1489">
        <v>261.39999999999998</v>
      </c>
      <c r="H1489">
        <v>266.7</v>
      </c>
      <c r="I1489">
        <v>254.65</v>
      </c>
      <c r="J1489" s="1">
        <v>258.64999999999998</v>
      </c>
      <c r="K1489">
        <v>47165561.299999997</v>
      </c>
      <c r="L1489">
        <v>181117</v>
      </c>
      <c r="M1489" t="s">
        <v>78</v>
      </c>
      <c r="N1489" t="s">
        <v>17</v>
      </c>
      <c r="O1489">
        <v>4499</v>
      </c>
      <c r="P1489">
        <v>288.7</v>
      </c>
      <c r="Q1489">
        <v>154.5</v>
      </c>
    </row>
    <row r="1490" spans="2:17" x14ac:dyDescent="0.25">
      <c r="B1490" t="s">
        <v>78</v>
      </c>
      <c r="C1490" t="s">
        <v>79</v>
      </c>
      <c r="D1490" t="s">
        <v>2931</v>
      </c>
      <c r="E1490" t="s">
        <v>2932</v>
      </c>
      <c r="F1490">
        <v>96.35</v>
      </c>
      <c r="G1490">
        <v>96.45</v>
      </c>
      <c r="H1490">
        <v>115.6</v>
      </c>
      <c r="I1490">
        <v>96.45</v>
      </c>
      <c r="J1490" s="1">
        <v>114.8</v>
      </c>
      <c r="K1490">
        <v>1630059498.05</v>
      </c>
      <c r="L1490">
        <v>14720190</v>
      </c>
      <c r="M1490" t="s">
        <v>78</v>
      </c>
      <c r="N1490" t="s">
        <v>17</v>
      </c>
      <c r="O1490">
        <v>81483</v>
      </c>
      <c r="P1490">
        <v>115.6</v>
      </c>
      <c r="Q1490">
        <v>43</v>
      </c>
    </row>
    <row r="1491" spans="2:17" x14ac:dyDescent="0.25">
      <c r="B1491" t="s">
        <v>78</v>
      </c>
      <c r="C1491" t="s">
        <v>79</v>
      </c>
      <c r="D1491" t="s">
        <v>2933</v>
      </c>
      <c r="E1491" t="s">
        <v>2934</v>
      </c>
      <c r="F1491">
        <v>451.05</v>
      </c>
      <c r="G1491">
        <v>441.15</v>
      </c>
      <c r="H1491">
        <v>469</v>
      </c>
      <c r="I1491">
        <v>441.15</v>
      </c>
      <c r="J1491" s="1">
        <v>452.4</v>
      </c>
      <c r="K1491">
        <v>21858614.550000001</v>
      </c>
      <c r="L1491">
        <v>48129</v>
      </c>
      <c r="M1491" t="s">
        <v>78</v>
      </c>
      <c r="N1491" t="s">
        <v>17</v>
      </c>
      <c r="O1491">
        <v>3148</v>
      </c>
      <c r="P1491">
        <v>513</v>
      </c>
      <c r="Q1491">
        <v>236</v>
      </c>
    </row>
    <row r="1492" spans="2:17" x14ac:dyDescent="0.25">
      <c r="B1492" t="s">
        <v>78</v>
      </c>
      <c r="C1492" t="s">
        <v>79</v>
      </c>
      <c r="D1492" t="s">
        <v>2935</v>
      </c>
      <c r="E1492" t="s">
        <v>2936</v>
      </c>
      <c r="F1492">
        <v>13.4</v>
      </c>
      <c r="G1492">
        <v>13.3</v>
      </c>
      <c r="H1492">
        <v>13.35</v>
      </c>
      <c r="I1492">
        <v>13.15</v>
      </c>
      <c r="J1492" s="1">
        <v>13.2</v>
      </c>
      <c r="K1492">
        <v>1281534312.6500001</v>
      </c>
      <c r="L1492">
        <v>96849269</v>
      </c>
      <c r="M1492" t="s">
        <v>78</v>
      </c>
      <c r="N1492" t="s">
        <v>17</v>
      </c>
      <c r="O1492">
        <v>71707</v>
      </c>
      <c r="P1492">
        <v>20.75</v>
      </c>
      <c r="Q1492">
        <v>11.1</v>
      </c>
    </row>
    <row r="1493" spans="2:17" x14ac:dyDescent="0.25">
      <c r="B1493" t="s">
        <v>78</v>
      </c>
      <c r="C1493" t="s">
        <v>79</v>
      </c>
      <c r="D1493" t="s">
        <v>2937</v>
      </c>
      <c r="E1493" t="s">
        <v>2938</v>
      </c>
      <c r="F1493">
        <v>208.95</v>
      </c>
      <c r="G1493">
        <v>208</v>
      </c>
      <c r="H1493">
        <v>210.4</v>
      </c>
      <c r="I1493">
        <v>205.6</v>
      </c>
      <c r="J1493" s="1">
        <v>206.5</v>
      </c>
      <c r="K1493">
        <v>931520743.04999995</v>
      </c>
      <c r="L1493">
        <v>4489542</v>
      </c>
      <c r="M1493" t="s">
        <v>78</v>
      </c>
      <c r="N1493" t="s">
        <v>17</v>
      </c>
      <c r="O1493">
        <v>38896</v>
      </c>
      <c r="P1493">
        <v>261</v>
      </c>
      <c r="Q1493">
        <v>134.65</v>
      </c>
    </row>
    <row r="1494" spans="2:17" x14ac:dyDescent="0.25">
      <c r="B1494" t="s">
        <v>78</v>
      </c>
      <c r="C1494" t="s">
        <v>79</v>
      </c>
      <c r="D1494" t="s">
        <v>2939</v>
      </c>
      <c r="E1494" t="s">
        <v>2940</v>
      </c>
      <c r="F1494">
        <v>16.100000000000001</v>
      </c>
      <c r="G1494">
        <v>15.8</v>
      </c>
      <c r="H1494">
        <v>15.95</v>
      </c>
      <c r="I1494">
        <v>15.55</v>
      </c>
      <c r="J1494" s="1">
        <v>15.7</v>
      </c>
      <c r="K1494">
        <v>20528846.800000001</v>
      </c>
      <c r="L1494">
        <v>1300665</v>
      </c>
      <c r="M1494" t="s">
        <v>78</v>
      </c>
      <c r="N1494" t="s">
        <v>17</v>
      </c>
      <c r="O1494">
        <v>1930</v>
      </c>
      <c r="P1494">
        <v>20.149999999999999</v>
      </c>
      <c r="Q1494">
        <v>9.75</v>
      </c>
    </row>
    <row r="1495" spans="2:17" x14ac:dyDescent="0.25">
      <c r="B1495" t="s">
        <v>78</v>
      </c>
      <c r="C1495" t="s">
        <v>79</v>
      </c>
      <c r="D1495" t="s">
        <v>2941</v>
      </c>
      <c r="E1495" t="s">
        <v>2942</v>
      </c>
      <c r="F1495">
        <v>12.7</v>
      </c>
      <c r="G1495">
        <v>12.85</v>
      </c>
      <c r="H1495">
        <v>12.85</v>
      </c>
      <c r="I1495">
        <v>12.5</v>
      </c>
      <c r="J1495" s="1">
        <v>12.6</v>
      </c>
      <c r="K1495">
        <v>21824926.550000001</v>
      </c>
      <c r="L1495">
        <v>1734115</v>
      </c>
      <c r="M1495" t="s">
        <v>78</v>
      </c>
      <c r="N1495" t="s">
        <v>17</v>
      </c>
      <c r="O1495">
        <v>2576</v>
      </c>
      <c r="P1495">
        <v>14.4</v>
      </c>
      <c r="Q1495">
        <v>4.6500000000000004</v>
      </c>
    </row>
    <row r="1496" spans="2:17" x14ac:dyDescent="0.25">
      <c r="B1496" t="s">
        <v>78</v>
      </c>
      <c r="C1496" t="s">
        <v>79</v>
      </c>
      <c r="D1496" t="s">
        <v>2943</v>
      </c>
      <c r="E1496" t="s">
        <v>2944</v>
      </c>
      <c r="F1496">
        <v>377.65</v>
      </c>
      <c r="G1496">
        <v>372</v>
      </c>
      <c r="H1496">
        <v>391.1</v>
      </c>
      <c r="I1496">
        <v>365.2</v>
      </c>
      <c r="J1496" s="1">
        <v>373.35</v>
      </c>
      <c r="K1496">
        <v>1253184776.75</v>
      </c>
      <c r="L1496">
        <v>3287038</v>
      </c>
      <c r="M1496" t="s">
        <v>78</v>
      </c>
      <c r="N1496" t="s">
        <v>17</v>
      </c>
      <c r="O1496">
        <v>53008</v>
      </c>
      <c r="P1496">
        <v>391.1</v>
      </c>
      <c r="Q1496">
        <v>137</v>
      </c>
    </row>
    <row r="1497" spans="2:17" x14ac:dyDescent="0.25">
      <c r="B1497" t="s">
        <v>78</v>
      </c>
      <c r="C1497" t="s">
        <v>79</v>
      </c>
      <c r="D1497" t="s">
        <v>2945</v>
      </c>
      <c r="E1497" t="s">
        <v>2946</v>
      </c>
      <c r="F1497">
        <v>95.75</v>
      </c>
      <c r="G1497">
        <v>96.3</v>
      </c>
      <c r="H1497">
        <v>99.25</v>
      </c>
      <c r="I1497">
        <v>93.75</v>
      </c>
      <c r="J1497" s="1">
        <v>94.8</v>
      </c>
      <c r="K1497">
        <v>98810138.150000006</v>
      </c>
      <c r="L1497">
        <v>1020697</v>
      </c>
      <c r="M1497" t="s">
        <v>78</v>
      </c>
      <c r="N1497" t="s">
        <v>17</v>
      </c>
      <c r="O1497">
        <v>12211</v>
      </c>
      <c r="P1497">
        <v>106.9</v>
      </c>
      <c r="Q1497">
        <v>49.7</v>
      </c>
    </row>
    <row r="1498" spans="2:17" x14ac:dyDescent="0.25">
      <c r="B1498" t="s">
        <v>78</v>
      </c>
      <c r="C1498" t="s">
        <v>287</v>
      </c>
      <c r="D1498" t="s">
        <v>2947</v>
      </c>
      <c r="E1498" t="s">
        <v>2948</v>
      </c>
      <c r="F1498">
        <v>17.2</v>
      </c>
      <c r="G1498">
        <v>17.149999999999999</v>
      </c>
      <c r="H1498">
        <v>17.149999999999999</v>
      </c>
      <c r="I1498">
        <v>17.149999999999999</v>
      </c>
      <c r="J1498" s="1">
        <v>17.149999999999999</v>
      </c>
      <c r="K1498">
        <v>68600</v>
      </c>
      <c r="L1498">
        <v>4000</v>
      </c>
      <c r="M1498" t="s">
        <v>78</v>
      </c>
      <c r="N1498" t="s">
        <v>17</v>
      </c>
      <c r="O1498">
        <v>1</v>
      </c>
      <c r="P1498">
        <v>23.75</v>
      </c>
      <c r="Q1498">
        <v>11.5</v>
      </c>
    </row>
    <row r="1499" spans="2:17" x14ac:dyDescent="0.25">
      <c r="B1499" t="s">
        <v>78</v>
      </c>
      <c r="C1499" t="s">
        <v>79</v>
      </c>
      <c r="D1499" t="s">
        <v>2949</v>
      </c>
      <c r="E1499" t="s">
        <v>2950</v>
      </c>
      <c r="F1499">
        <v>136.9</v>
      </c>
      <c r="G1499">
        <v>134.5</v>
      </c>
      <c r="H1499">
        <v>144.65</v>
      </c>
      <c r="I1499">
        <v>133.85</v>
      </c>
      <c r="J1499" s="1">
        <v>139.94999999999999</v>
      </c>
      <c r="K1499">
        <v>36445469.299999997</v>
      </c>
      <c r="L1499">
        <v>259535</v>
      </c>
      <c r="M1499" t="s">
        <v>78</v>
      </c>
      <c r="N1499" t="s">
        <v>17</v>
      </c>
      <c r="O1499">
        <v>4787</v>
      </c>
      <c r="P1499">
        <v>154.05000000000001</v>
      </c>
      <c r="Q1499">
        <v>86</v>
      </c>
    </row>
    <row r="1500" spans="2:17" x14ac:dyDescent="0.25">
      <c r="B1500" t="s">
        <v>78</v>
      </c>
      <c r="C1500" t="s">
        <v>79</v>
      </c>
      <c r="D1500" t="s">
        <v>2951</v>
      </c>
      <c r="E1500" t="s">
        <v>2952</v>
      </c>
      <c r="F1500">
        <v>245.5</v>
      </c>
      <c r="G1500">
        <v>240.05</v>
      </c>
      <c r="H1500">
        <v>253</v>
      </c>
      <c r="I1500">
        <v>240.05</v>
      </c>
      <c r="J1500" s="1">
        <v>249.05</v>
      </c>
      <c r="K1500">
        <v>11126092.800000001</v>
      </c>
      <c r="L1500">
        <v>44627</v>
      </c>
      <c r="M1500" t="s">
        <v>78</v>
      </c>
      <c r="N1500" t="s">
        <v>17</v>
      </c>
      <c r="O1500">
        <v>1466</v>
      </c>
      <c r="P1500">
        <v>256.8</v>
      </c>
      <c r="Q1500">
        <v>135.9</v>
      </c>
    </row>
    <row r="1501" spans="2:17" x14ac:dyDescent="0.25">
      <c r="B1501" t="s">
        <v>78</v>
      </c>
      <c r="C1501" t="s">
        <v>79</v>
      </c>
      <c r="D1501" t="s">
        <v>2953</v>
      </c>
      <c r="E1501" t="s">
        <v>2954</v>
      </c>
      <c r="F1501">
        <v>150.25</v>
      </c>
      <c r="G1501">
        <v>150</v>
      </c>
      <c r="H1501">
        <v>154.9</v>
      </c>
      <c r="I1501">
        <v>147.15</v>
      </c>
      <c r="J1501" s="1">
        <v>148.9</v>
      </c>
      <c r="K1501">
        <v>45537614.5</v>
      </c>
      <c r="L1501">
        <v>300738</v>
      </c>
      <c r="M1501" t="s">
        <v>78</v>
      </c>
      <c r="N1501" t="s">
        <v>17</v>
      </c>
      <c r="O1501">
        <v>7942</v>
      </c>
      <c r="P1501">
        <v>158.9</v>
      </c>
      <c r="Q1501">
        <v>75.55</v>
      </c>
    </row>
    <row r="1502" spans="2:17" x14ac:dyDescent="0.25">
      <c r="B1502" t="s">
        <v>78</v>
      </c>
      <c r="C1502" t="s">
        <v>79</v>
      </c>
      <c r="D1502" t="s">
        <v>2955</v>
      </c>
      <c r="E1502" t="s">
        <v>2956</v>
      </c>
      <c r="F1502">
        <v>158.05000000000001</v>
      </c>
      <c r="G1502">
        <v>155.15</v>
      </c>
      <c r="H1502">
        <v>165.9</v>
      </c>
      <c r="I1502">
        <v>155.15</v>
      </c>
      <c r="J1502" s="1">
        <v>164.75</v>
      </c>
      <c r="K1502">
        <v>25405274.550000001</v>
      </c>
      <c r="L1502">
        <v>156192</v>
      </c>
      <c r="M1502" t="s">
        <v>78</v>
      </c>
      <c r="N1502" t="s">
        <v>17</v>
      </c>
      <c r="O1502">
        <v>2169</v>
      </c>
      <c r="P1502">
        <v>177.75</v>
      </c>
      <c r="Q1502">
        <v>43.3</v>
      </c>
    </row>
    <row r="1503" spans="2:17" x14ac:dyDescent="0.25">
      <c r="B1503" t="s">
        <v>78</v>
      </c>
      <c r="C1503" t="s">
        <v>79</v>
      </c>
      <c r="D1503" t="s">
        <v>2957</v>
      </c>
      <c r="E1503" t="s">
        <v>2958</v>
      </c>
      <c r="F1503">
        <v>2262.0500000000002</v>
      </c>
      <c r="G1503">
        <v>2250</v>
      </c>
      <c r="H1503">
        <v>2270</v>
      </c>
      <c r="I1503">
        <v>2219.9499999999998</v>
      </c>
      <c r="J1503" s="1">
        <v>2232.9499999999998</v>
      </c>
      <c r="K1503">
        <v>65558199.149999999</v>
      </c>
      <c r="L1503">
        <v>29193</v>
      </c>
      <c r="M1503" t="s">
        <v>78</v>
      </c>
      <c r="N1503" t="s">
        <v>17</v>
      </c>
      <c r="O1503">
        <v>4309</v>
      </c>
      <c r="P1503">
        <v>2299</v>
      </c>
      <c r="Q1503">
        <v>1401</v>
      </c>
    </row>
    <row r="1504" spans="2:17" x14ac:dyDescent="0.25">
      <c r="B1504" t="s">
        <v>17</v>
      </c>
      <c r="C1504" t="s">
        <v>2959</v>
      </c>
      <c r="D1504" t="s">
        <v>17</v>
      </c>
      <c r="E1504" t="s">
        <v>17</v>
      </c>
      <c r="F1504" t="s">
        <v>17</v>
      </c>
      <c r="G1504" t="s">
        <v>17</v>
      </c>
      <c r="H1504" t="s">
        <v>17</v>
      </c>
      <c r="I1504" t="s">
        <v>17</v>
      </c>
      <c r="J1504" s="1" t="s">
        <v>17</v>
      </c>
      <c r="K1504" t="s">
        <v>17</v>
      </c>
      <c r="L1504" t="s">
        <v>17</v>
      </c>
      <c r="M1504" t="s">
        <v>78</v>
      </c>
      <c r="N1504" t="s">
        <v>17</v>
      </c>
      <c r="O1504" t="s">
        <v>17</v>
      </c>
      <c r="P1504" t="s">
        <v>17</v>
      </c>
      <c r="Q1504" t="s">
        <v>17</v>
      </c>
    </row>
    <row r="1505" spans="2:17" x14ac:dyDescent="0.25">
      <c r="B1505" t="s">
        <v>17</v>
      </c>
      <c r="C1505" t="s">
        <v>2959</v>
      </c>
      <c r="D1505" t="s">
        <v>17</v>
      </c>
      <c r="E1505" t="s">
        <v>2960</v>
      </c>
      <c r="F1505" t="s">
        <v>17</v>
      </c>
      <c r="G1505" t="s">
        <v>17</v>
      </c>
      <c r="H1505" t="s">
        <v>17</v>
      </c>
      <c r="I1505" t="s">
        <v>17</v>
      </c>
      <c r="J1505" s="1" t="s">
        <v>17</v>
      </c>
      <c r="K1505" t="s">
        <v>17</v>
      </c>
      <c r="L1505" t="s">
        <v>17</v>
      </c>
      <c r="M1505" t="s">
        <v>78</v>
      </c>
      <c r="N1505" t="s">
        <v>17</v>
      </c>
      <c r="O1505" t="s">
        <v>17</v>
      </c>
      <c r="P1505" t="s">
        <v>17</v>
      </c>
      <c r="Q1505" t="s">
        <v>17</v>
      </c>
    </row>
    <row r="1506" spans="2:17" x14ac:dyDescent="0.25">
      <c r="B1506" t="s">
        <v>78</v>
      </c>
      <c r="C1506" t="s">
        <v>2961</v>
      </c>
      <c r="D1506" t="s">
        <v>2962</v>
      </c>
      <c r="E1506" t="s">
        <v>2963</v>
      </c>
      <c r="F1506">
        <v>9.15</v>
      </c>
      <c r="G1506">
        <v>9.15</v>
      </c>
      <c r="H1506">
        <v>9.5</v>
      </c>
      <c r="I1506">
        <v>8.6999999999999993</v>
      </c>
      <c r="J1506" s="1">
        <v>9.35</v>
      </c>
      <c r="K1506">
        <v>75925903.25</v>
      </c>
      <c r="L1506">
        <v>8277879</v>
      </c>
      <c r="M1506" t="s">
        <v>78</v>
      </c>
      <c r="N1506" t="s">
        <v>17</v>
      </c>
      <c r="O1506">
        <v>11055</v>
      </c>
      <c r="P1506">
        <v>11.55</v>
      </c>
      <c r="Q1506">
        <v>2.65</v>
      </c>
    </row>
    <row r="1507" spans="2:17" x14ac:dyDescent="0.25">
      <c r="B1507" t="s">
        <v>78</v>
      </c>
      <c r="C1507" t="s">
        <v>2961</v>
      </c>
      <c r="D1507" t="s">
        <v>2964</v>
      </c>
      <c r="E1507" t="s">
        <v>2965</v>
      </c>
      <c r="F1507">
        <v>94.5</v>
      </c>
      <c r="G1507">
        <v>95.05</v>
      </c>
      <c r="H1507">
        <v>99.2</v>
      </c>
      <c r="I1507">
        <v>93</v>
      </c>
      <c r="J1507" s="1">
        <v>99.2</v>
      </c>
      <c r="K1507">
        <v>22301667.75</v>
      </c>
      <c r="L1507">
        <v>227826</v>
      </c>
      <c r="M1507" t="s">
        <v>78</v>
      </c>
      <c r="N1507" t="s">
        <v>17</v>
      </c>
      <c r="O1507">
        <v>1555</v>
      </c>
      <c r="P1507">
        <v>99.9</v>
      </c>
      <c r="Q1507">
        <v>73</v>
      </c>
    </row>
    <row r="1508" spans="2:17" x14ac:dyDescent="0.25">
      <c r="B1508" t="s">
        <v>78</v>
      </c>
      <c r="C1508" t="s">
        <v>2961</v>
      </c>
      <c r="D1508" t="s">
        <v>2966</v>
      </c>
      <c r="E1508" t="s">
        <v>2967</v>
      </c>
      <c r="F1508">
        <v>5.85</v>
      </c>
      <c r="G1508">
        <v>5.85</v>
      </c>
      <c r="H1508">
        <v>5.9</v>
      </c>
      <c r="I1508">
        <v>5.65</v>
      </c>
      <c r="J1508" s="1">
        <v>5.7</v>
      </c>
      <c r="K1508">
        <v>2088920.75</v>
      </c>
      <c r="L1508">
        <v>363961</v>
      </c>
      <c r="M1508" t="s">
        <v>78</v>
      </c>
      <c r="N1508" t="s">
        <v>17</v>
      </c>
      <c r="O1508">
        <v>562</v>
      </c>
      <c r="P1508">
        <v>19.7</v>
      </c>
      <c r="Q1508">
        <v>4.05</v>
      </c>
    </row>
    <row r="1509" spans="2:17" x14ac:dyDescent="0.25">
      <c r="B1509" t="s">
        <v>78</v>
      </c>
      <c r="C1509" t="s">
        <v>2961</v>
      </c>
      <c r="D1509" t="s">
        <v>2968</v>
      </c>
      <c r="E1509" t="s">
        <v>2969</v>
      </c>
      <c r="F1509">
        <v>121.85</v>
      </c>
      <c r="G1509">
        <v>116.15</v>
      </c>
      <c r="H1509">
        <v>122</v>
      </c>
      <c r="I1509">
        <v>115.8</v>
      </c>
      <c r="J1509" s="1">
        <v>117.35</v>
      </c>
      <c r="K1509">
        <v>2848528.2</v>
      </c>
      <c r="L1509">
        <v>24291</v>
      </c>
      <c r="M1509" t="s">
        <v>78</v>
      </c>
      <c r="N1509" t="s">
        <v>17</v>
      </c>
      <c r="O1509">
        <v>379</v>
      </c>
      <c r="P1509">
        <v>124.75</v>
      </c>
      <c r="Q1509">
        <v>65.05</v>
      </c>
    </row>
    <row r="1510" spans="2:17" x14ac:dyDescent="0.25">
      <c r="B1510" t="s">
        <v>78</v>
      </c>
      <c r="C1510" t="s">
        <v>2961</v>
      </c>
      <c r="D1510" t="s">
        <v>2970</v>
      </c>
      <c r="E1510" t="s">
        <v>2971</v>
      </c>
      <c r="F1510">
        <v>24.5</v>
      </c>
      <c r="G1510">
        <v>25.6</v>
      </c>
      <c r="H1510">
        <v>25.7</v>
      </c>
      <c r="I1510">
        <v>25</v>
      </c>
      <c r="J1510" s="1">
        <v>25.7</v>
      </c>
      <c r="K1510">
        <v>1597601.2</v>
      </c>
      <c r="L1510">
        <v>62237</v>
      </c>
      <c r="M1510" t="s">
        <v>78</v>
      </c>
      <c r="N1510" t="s">
        <v>17</v>
      </c>
      <c r="O1510">
        <v>223</v>
      </c>
      <c r="P1510">
        <v>25.7</v>
      </c>
      <c r="Q1510">
        <v>19.05</v>
      </c>
    </row>
    <row r="1511" spans="2:17" x14ac:dyDescent="0.25">
      <c r="B1511" t="s">
        <v>78</v>
      </c>
      <c r="C1511" t="s">
        <v>2961</v>
      </c>
      <c r="D1511" t="s">
        <v>2972</v>
      </c>
      <c r="E1511" t="s">
        <v>2973</v>
      </c>
      <c r="F1511">
        <v>41.4</v>
      </c>
      <c r="G1511">
        <v>42.45</v>
      </c>
      <c r="H1511">
        <v>43.45</v>
      </c>
      <c r="I1511">
        <v>42.25</v>
      </c>
      <c r="J1511" s="1">
        <v>43.45</v>
      </c>
      <c r="K1511">
        <v>2260522.4</v>
      </c>
      <c r="L1511">
        <v>52297</v>
      </c>
      <c r="M1511" t="s">
        <v>78</v>
      </c>
      <c r="N1511" t="s">
        <v>17</v>
      </c>
      <c r="O1511">
        <v>620</v>
      </c>
      <c r="P1511">
        <v>51.5</v>
      </c>
      <c r="Q1511">
        <v>26.75</v>
      </c>
    </row>
    <row r="1512" spans="2:17" x14ac:dyDescent="0.25">
      <c r="B1512" t="s">
        <v>78</v>
      </c>
      <c r="C1512" t="s">
        <v>2961</v>
      </c>
      <c r="D1512" t="s">
        <v>2974</v>
      </c>
      <c r="E1512" t="s">
        <v>2975</v>
      </c>
      <c r="F1512">
        <v>1008.65</v>
      </c>
      <c r="G1512">
        <v>1008</v>
      </c>
      <c r="H1512">
        <v>1008</v>
      </c>
      <c r="I1512">
        <v>970</v>
      </c>
      <c r="J1512" s="1">
        <v>979.15</v>
      </c>
      <c r="K1512">
        <v>112699726.2</v>
      </c>
      <c r="L1512">
        <v>114607</v>
      </c>
      <c r="M1512" t="s">
        <v>78</v>
      </c>
      <c r="N1512" t="s">
        <v>17</v>
      </c>
      <c r="O1512">
        <v>10903</v>
      </c>
      <c r="P1512">
        <v>1270</v>
      </c>
      <c r="Q1512">
        <v>29.1</v>
      </c>
    </row>
    <row r="1513" spans="2:17" x14ac:dyDescent="0.25">
      <c r="B1513" t="s">
        <v>78</v>
      </c>
      <c r="C1513" t="s">
        <v>2961</v>
      </c>
      <c r="D1513" t="s">
        <v>2976</v>
      </c>
      <c r="E1513" t="s">
        <v>2977</v>
      </c>
      <c r="F1513">
        <v>105.65</v>
      </c>
      <c r="G1513">
        <v>105.65</v>
      </c>
      <c r="H1513">
        <v>107.75</v>
      </c>
      <c r="I1513">
        <v>100.45</v>
      </c>
      <c r="J1513" s="1">
        <v>102.15</v>
      </c>
      <c r="K1513">
        <v>526384437.69999999</v>
      </c>
      <c r="L1513">
        <v>5073034</v>
      </c>
      <c r="M1513" t="s">
        <v>78</v>
      </c>
      <c r="N1513" t="s">
        <v>17</v>
      </c>
      <c r="O1513">
        <v>50494</v>
      </c>
      <c r="P1513">
        <v>140.9</v>
      </c>
      <c r="Q1513">
        <v>21</v>
      </c>
    </row>
    <row r="1514" spans="2:17" x14ac:dyDescent="0.25">
      <c r="B1514" t="s">
        <v>78</v>
      </c>
      <c r="C1514" t="s">
        <v>2961</v>
      </c>
      <c r="D1514" t="s">
        <v>2978</v>
      </c>
      <c r="E1514" t="s">
        <v>2979</v>
      </c>
      <c r="F1514">
        <v>1016.55</v>
      </c>
      <c r="G1514">
        <v>1008</v>
      </c>
      <c r="H1514">
        <v>1023.6</v>
      </c>
      <c r="I1514">
        <v>965.75</v>
      </c>
      <c r="J1514" s="1">
        <v>968.05</v>
      </c>
      <c r="K1514">
        <v>146967879.25</v>
      </c>
      <c r="L1514">
        <v>148182</v>
      </c>
      <c r="M1514" t="s">
        <v>78</v>
      </c>
      <c r="N1514" t="s">
        <v>17</v>
      </c>
      <c r="O1514">
        <v>12497</v>
      </c>
      <c r="P1514">
        <v>1640</v>
      </c>
      <c r="Q1514">
        <v>141</v>
      </c>
    </row>
    <row r="1515" spans="2:17" x14ac:dyDescent="0.25">
      <c r="B1515" t="s">
        <v>78</v>
      </c>
      <c r="C1515" t="s">
        <v>2961</v>
      </c>
      <c r="D1515" t="s">
        <v>2980</v>
      </c>
      <c r="E1515" t="s">
        <v>2981</v>
      </c>
      <c r="F1515">
        <v>36.85</v>
      </c>
      <c r="G1515">
        <v>36.85</v>
      </c>
      <c r="H1515">
        <v>38.4</v>
      </c>
      <c r="I1515">
        <v>35.049999999999997</v>
      </c>
      <c r="J1515" s="1">
        <v>36.950000000000003</v>
      </c>
      <c r="K1515">
        <v>411795.20000000001</v>
      </c>
      <c r="L1515">
        <v>11563</v>
      </c>
      <c r="M1515" t="s">
        <v>78</v>
      </c>
      <c r="N1515" t="s">
        <v>17</v>
      </c>
      <c r="O1515">
        <v>50</v>
      </c>
      <c r="P1515">
        <v>45.3</v>
      </c>
      <c r="Q1515">
        <v>16.100000000000001</v>
      </c>
    </row>
    <row r="1516" spans="2:17" x14ac:dyDescent="0.25">
      <c r="B1516" t="s">
        <v>78</v>
      </c>
      <c r="C1516" t="s">
        <v>2961</v>
      </c>
      <c r="D1516" t="s">
        <v>2982</v>
      </c>
      <c r="E1516" t="s">
        <v>2983</v>
      </c>
      <c r="F1516">
        <v>9.9499999999999993</v>
      </c>
      <c r="G1516">
        <v>9.5</v>
      </c>
      <c r="H1516">
        <v>9.5</v>
      </c>
      <c r="I1516">
        <v>9.5</v>
      </c>
      <c r="J1516" s="1">
        <v>9.5</v>
      </c>
      <c r="K1516">
        <v>46113</v>
      </c>
      <c r="L1516">
        <v>4854</v>
      </c>
      <c r="M1516" t="s">
        <v>78</v>
      </c>
      <c r="N1516" t="s">
        <v>17</v>
      </c>
      <c r="O1516">
        <v>14</v>
      </c>
      <c r="P1516">
        <v>14.05</v>
      </c>
      <c r="Q1516">
        <v>5.7</v>
      </c>
    </row>
    <row r="1517" spans="2:17" x14ac:dyDescent="0.25">
      <c r="B1517" t="s">
        <v>78</v>
      </c>
      <c r="C1517" t="s">
        <v>2961</v>
      </c>
      <c r="D1517" t="s">
        <v>2984</v>
      </c>
      <c r="E1517" t="s">
        <v>2985</v>
      </c>
      <c r="F1517">
        <v>4376.6000000000004</v>
      </c>
      <c r="G1517">
        <v>4350</v>
      </c>
      <c r="H1517">
        <v>4389.6499999999996</v>
      </c>
      <c r="I1517">
        <v>4350</v>
      </c>
      <c r="J1517" s="1">
        <v>4370.8500000000004</v>
      </c>
      <c r="K1517">
        <v>178807258.55000001</v>
      </c>
      <c r="L1517">
        <v>40839</v>
      </c>
      <c r="M1517" t="s">
        <v>78</v>
      </c>
      <c r="N1517" t="s">
        <v>17</v>
      </c>
      <c r="O1517">
        <v>4544</v>
      </c>
      <c r="P1517">
        <v>5400</v>
      </c>
      <c r="Q1517">
        <v>899.25</v>
      </c>
    </row>
    <row r="1518" spans="2:17" x14ac:dyDescent="0.25">
      <c r="B1518" t="s">
        <v>78</v>
      </c>
      <c r="C1518" t="s">
        <v>2961</v>
      </c>
      <c r="D1518" t="s">
        <v>2986</v>
      </c>
      <c r="E1518" t="s">
        <v>2987</v>
      </c>
      <c r="F1518">
        <v>1222.8499999999999</v>
      </c>
      <c r="G1518">
        <v>1203</v>
      </c>
      <c r="H1518">
        <v>1248</v>
      </c>
      <c r="I1518">
        <v>1190</v>
      </c>
      <c r="J1518" s="1">
        <v>1221.05</v>
      </c>
      <c r="K1518">
        <v>2258967.4</v>
      </c>
      <c r="L1518">
        <v>1838</v>
      </c>
      <c r="M1518" t="s">
        <v>78</v>
      </c>
      <c r="N1518" t="s">
        <v>17</v>
      </c>
      <c r="O1518">
        <v>98</v>
      </c>
      <c r="P1518">
        <v>1360</v>
      </c>
      <c r="Q1518">
        <v>585.04999999999995</v>
      </c>
    </row>
    <row r="1519" spans="2:17" x14ac:dyDescent="0.25">
      <c r="B1519" t="s">
        <v>78</v>
      </c>
      <c r="C1519" t="s">
        <v>2961</v>
      </c>
      <c r="D1519" t="s">
        <v>2988</v>
      </c>
      <c r="E1519" t="s">
        <v>2989</v>
      </c>
      <c r="F1519">
        <v>26.7</v>
      </c>
      <c r="G1519">
        <v>27.35</v>
      </c>
      <c r="H1519">
        <v>27.5</v>
      </c>
      <c r="I1519">
        <v>25.4</v>
      </c>
      <c r="J1519" s="1">
        <v>25.65</v>
      </c>
      <c r="K1519">
        <v>3707519.4</v>
      </c>
      <c r="L1519">
        <v>142704</v>
      </c>
      <c r="M1519" t="s">
        <v>78</v>
      </c>
      <c r="N1519" t="s">
        <v>17</v>
      </c>
      <c r="O1519">
        <v>994</v>
      </c>
      <c r="P1519">
        <v>30.9</v>
      </c>
      <c r="Q1519">
        <v>11.35</v>
      </c>
    </row>
    <row r="1520" spans="2:17" x14ac:dyDescent="0.25">
      <c r="B1520" t="s">
        <v>78</v>
      </c>
      <c r="C1520" t="s">
        <v>2961</v>
      </c>
      <c r="D1520" t="s">
        <v>2990</v>
      </c>
      <c r="E1520" t="s">
        <v>2991</v>
      </c>
      <c r="F1520">
        <v>54.9</v>
      </c>
      <c r="G1520">
        <v>54.9</v>
      </c>
      <c r="H1520">
        <v>55</v>
      </c>
      <c r="I1520">
        <v>53.2</v>
      </c>
      <c r="J1520" s="1">
        <v>53.65</v>
      </c>
      <c r="K1520">
        <v>1759149.45</v>
      </c>
      <c r="L1520">
        <v>32615</v>
      </c>
      <c r="M1520" t="s">
        <v>78</v>
      </c>
      <c r="N1520" t="s">
        <v>17</v>
      </c>
      <c r="O1520">
        <v>272</v>
      </c>
      <c r="P1520">
        <v>75.7</v>
      </c>
      <c r="Q1520">
        <v>46.2</v>
      </c>
    </row>
    <row r="1521" spans="2:17" x14ac:dyDescent="0.25">
      <c r="B1521" t="s">
        <v>78</v>
      </c>
      <c r="C1521" t="s">
        <v>2961</v>
      </c>
      <c r="D1521" t="s">
        <v>2992</v>
      </c>
      <c r="E1521" t="s">
        <v>2993</v>
      </c>
      <c r="F1521">
        <v>12.1</v>
      </c>
      <c r="G1521">
        <v>11.5</v>
      </c>
      <c r="H1521">
        <v>11.8</v>
      </c>
      <c r="I1521">
        <v>11.5</v>
      </c>
      <c r="J1521" s="1">
        <v>11.5</v>
      </c>
      <c r="K1521">
        <v>5697479</v>
      </c>
      <c r="L1521">
        <v>494661</v>
      </c>
      <c r="M1521" t="s">
        <v>78</v>
      </c>
      <c r="N1521" t="s">
        <v>17</v>
      </c>
      <c r="O1521">
        <v>1165</v>
      </c>
      <c r="P1521">
        <v>13.85</v>
      </c>
      <c r="Q1521">
        <v>4.7</v>
      </c>
    </row>
    <row r="1522" spans="2:17" x14ac:dyDescent="0.25">
      <c r="B1522" t="s">
        <v>78</v>
      </c>
      <c r="C1522" t="s">
        <v>2961</v>
      </c>
      <c r="D1522" t="s">
        <v>2994</v>
      </c>
      <c r="E1522" t="s">
        <v>2995</v>
      </c>
      <c r="F1522">
        <v>49.95</v>
      </c>
      <c r="G1522">
        <v>49.95</v>
      </c>
      <c r="H1522">
        <v>51.4</v>
      </c>
      <c r="I1522">
        <v>49.05</v>
      </c>
      <c r="J1522" s="1">
        <v>50.25</v>
      </c>
      <c r="K1522">
        <v>1961585.4</v>
      </c>
      <c r="L1522">
        <v>38682</v>
      </c>
      <c r="M1522" t="s">
        <v>78</v>
      </c>
      <c r="N1522" t="s">
        <v>17</v>
      </c>
      <c r="O1522">
        <v>315</v>
      </c>
      <c r="P1522">
        <v>63.6</v>
      </c>
      <c r="Q1522">
        <v>48.55</v>
      </c>
    </row>
    <row r="1523" spans="2:17" x14ac:dyDescent="0.25">
      <c r="B1523" t="s">
        <v>78</v>
      </c>
      <c r="C1523" t="s">
        <v>2961</v>
      </c>
      <c r="D1523" t="s">
        <v>2996</v>
      </c>
      <c r="E1523" t="s">
        <v>2997</v>
      </c>
      <c r="F1523">
        <v>3.3</v>
      </c>
      <c r="G1523">
        <v>3.35</v>
      </c>
      <c r="H1523">
        <v>3.45</v>
      </c>
      <c r="I1523">
        <v>3.15</v>
      </c>
      <c r="J1523" s="1">
        <v>3.35</v>
      </c>
      <c r="K1523">
        <v>334866.8</v>
      </c>
      <c r="L1523">
        <v>100298</v>
      </c>
      <c r="M1523" t="s">
        <v>78</v>
      </c>
      <c r="N1523" t="s">
        <v>17</v>
      </c>
      <c r="O1523">
        <v>102</v>
      </c>
      <c r="P1523">
        <v>3.8</v>
      </c>
      <c r="Q1523">
        <v>1</v>
      </c>
    </row>
    <row r="1524" spans="2:17" x14ac:dyDescent="0.25">
      <c r="B1524" t="s">
        <v>78</v>
      </c>
      <c r="C1524" t="s">
        <v>2961</v>
      </c>
      <c r="D1524" t="s">
        <v>2998</v>
      </c>
      <c r="E1524" t="s">
        <v>2999</v>
      </c>
      <c r="F1524">
        <v>70.599999999999994</v>
      </c>
      <c r="G1524">
        <v>67.650000000000006</v>
      </c>
      <c r="H1524">
        <v>71.5</v>
      </c>
      <c r="I1524">
        <v>67.650000000000006</v>
      </c>
      <c r="J1524" s="1">
        <v>68.400000000000006</v>
      </c>
      <c r="K1524">
        <v>16120214.449999999</v>
      </c>
      <c r="L1524">
        <v>233206</v>
      </c>
      <c r="M1524" t="s">
        <v>78</v>
      </c>
      <c r="N1524" t="s">
        <v>17</v>
      </c>
      <c r="O1524">
        <v>921</v>
      </c>
      <c r="P1524">
        <v>73.95</v>
      </c>
      <c r="Q1524">
        <v>18.3</v>
      </c>
    </row>
    <row r="1525" spans="2:17" x14ac:dyDescent="0.25">
      <c r="B1525" t="s">
        <v>78</v>
      </c>
      <c r="C1525" t="s">
        <v>2961</v>
      </c>
      <c r="D1525" t="s">
        <v>3000</v>
      </c>
      <c r="E1525" t="s">
        <v>3001</v>
      </c>
      <c r="F1525">
        <v>25.55</v>
      </c>
      <c r="G1525">
        <v>26.75</v>
      </c>
      <c r="H1525">
        <v>26.8</v>
      </c>
      <c r="I1525">
        <v>26</v>
      </c>
      <c r="J1525" s="1">
        <v>26.8</v>
      </c>
      <c r="K1525">
        <v>33530012.850000001</v>
      </c>
      <c r="L1525">
        <v>1253244</v>
      </c>
      <c r="M1525" t="s">
        <v>78</v>
      </c>
      <c r="N1525" t="s">
        <v>17</v>
      </c>
      <c r="O1525">
        <v>1316</v>
      </c>
      <c r="P1525">
        <v>26.8</v>
      </c>
      <c r="Q1525">
        <v>3.5</v>
      </c>
    </row>
    <row r="1526" spans="2:17" x14ac:dyDescent="0.25">
      <c r="B1526" t="s">
        <v>78</v>
      </c>
      <c r="C1526" t="s">
        <v>2961</v>
      </c>
      <c r="D1526" t="s">
        <v>3002</v>
      </c>
      <c r="E1526" t="s">
        <v>3003</v>
      </c>
      <c r="F1526">
        <v>1.8</v>
      </c>
      <c r="G1526">
        <v>1.85</v>
      </c>
      <c r="H1526">
        <v>1.85</v>
      </c>
      <c r="I1526">
        <v>1.75</v>
      </c>
      <c r="J1526" s="1">
        <v>1.85</v>
      </c>
      <c r="K1526">
        <v>153964.4</v>
      </c>
      <c r="L1526">
        <v>85128</v>
      </c>
      <c r="M1526" t="s">
        <v>78</v>
      </c>
      <c r="N1526" t="s">
        <v>17</v>
      </c>
      <c r="O1526">
        <v>134</v>
      </c>
      <c r="P1526">
        <v>2</v>
      </c>
      <c r="Q1526">
        <v>0.65</v>
      </c>
    </row>
    <row r="1527" spans="2:17" x14ac:dyDescent="0.25">
      <c r="B1527" t="s">
        <v>78</v>
      </c>
      <c r="C1527" t="s">
        <v>2961</v>
      </c>
      <c r="D1527" t="s">
        <v>3004</v>
      </c>
      <c r="E1527" t="s">
        <v>3005</v>
      </c>
      <c r="F1527">
        <v>9.75</v>
      </c>
      <c r="G1527">
        <v>9.5</v>
      </c>
      <c r="H1527">
        <v>9.6999999999999993</v>
      </c>
      <c r="I1527">
        <v>9.3000000000000007</v>
      </c>
      <c r="J1527" s="1">
        <v>9.4</v>
      </c>
      <c r="K1527">
        <v>2057099.65</v>
      </c>
      <c r="L1527">
        <v>219027</v>
      </c>
      <c r="M1527" t="s">
        <v>78</v>
      </c>
      <c r="N1527" t="s">
        <v>17</v>
      </c>
      <c r="O1527">
        <v>284</v>
      </c>
      <c r="P1527">
        <v>13.55</v>
      </c>
      <c r="Q1527">
        <v>4.0999999999999996</v>
      </c>
    </row>
    <row r="1528" spans="2:17" x14ac:dyDescent="0.25">
      <c r="B1528" t="s">
        <v>78</v>
      </c>
      <c r="C1528" t="s">
        <v>2961</v>
      </c>
      <c r="D1528" t="s">
        <v>3006</v>
      </c>
      <c r="E1528" t="s">
        <v>3007</v>
      </c>
      <c r="F1528">
        <v>0.8</v>
      </c>
      <c r="G1528">
        <v>0.85</v>
      </c>
      <c r="H1528">
        <v>0.85</v>
      </c>
      <c r="I1528">
        <v>0.75</v>
      </c>
      <c r="J1528" s="1">
        <v>0.8</v>
      </c>
      <c r="K1528">
        <v>993368.6</v>
      </c>
      <c r="L1528">
        <v>1213931</v>
      </c>
      <c r="M1528" t="s">
        <v>78</v>
      </c>
      <c r="N1528" t="s">
        <v>17</v>
      </c>
      <c r="O1528">
        <v>659</v>
      </c>
      <c r="P1528">
        <v>0.95</v>
      </c>
      <c r="Q1528">
        <v>0.4</v>
      </c>
    </row>
    <row r="1529" spans="2:17" x14ac:dyDescent="0.25">
      <c r="B1529" t="s">
        <v>78</v>
      </c>
      <c r="C1529" t="s">
        <v>2961</v>
      </c>
      <c r="D1529" t="s">
        <v>3008</v>
      </c>
      <c r="E1529" t="s">
        <v>3009</v>
      </c>
      <c r="F1529">
        <v>33.700000000000003</v>
      </c>
      <c r="G1529">
        <v>33.5</v>
      </c>
      <c r="H1529">
        <v>35.200000000000003</v>
      </c>
      <c r="I1529">
        <v>33.049999999999997</v>
      </c>
      <c r="J1529" s="1">
        <v>34.15</v>
      </c>
      <c r="K1529">
        <v>611784.30000000005</v>
      </c>
      <c r="L1529">
        <v>18056</v>
      </c>
      <c r="M1529" t="s">
        <v>78</v>
      </c>
      <c r="N1529" t="s">
        <v>17</v>
      </c>
      <c r="O1529">
        <v>106</v>
      </c>
      <c r="P1529">
        <v>38.1</v>
      </c>
      <c r="Q1529">
        <v>28.05</v>
      </c>
    </row>
    <row r="1530" spans="2:17" x14ac:dyDescent="0.25">
      <c r="B1530" t="s">
        <v>78</v>
      </c>
      <c r="C1530" t="s">
        <v>2961</v>
      </c>
      <c r="D1530" t="s">
        <v>3010</v>
      </c>
      <c r="E1530" t="s">
        <v>3011</v>
      </c>
      <c r="F1530">
        <v>26.3</v>
      </c>
      <c r="G1530">
        <v>25</v>
      </c>
      <c r="H1530">
        <v>26.85</v>
      </c>
      <c r="I1530">
        <v>25</v>
      </c>
      <c r="J1530" s="1">
        <v>26</v>
      </c>
      <c r="K1530">
        <v>104179.7</v>
      </c>
      <c r="L1530">
        <v>3981</v>
      </c>
      <c r="M1530" t="s">
        <v>78</v>
      </c>
      <c r="N1530" t="s">
        <v>17</v>
      </c>
      <c r="O1530">
        <v>31</v>
      </c>
      <c r="P1530">
        <v>44.7</v>
      </c>
      <c r="Q1530">
        <v>22.45</v>
      </c>
    </row>
    <row r="1531" spans="2:17" x14ac:dyDescent="0.25">
      <c r="B1531" t="s">
        <v>78</v>
      </c>
      <c r="C1531" t="s">
        <v>2961</v>
      </c>
      <c r="D1531" t="s">
        <v>3012</v>
      </c>
      <c r="E1531" t="s">
        <v>3013</v>
      </c>
      <c r="F1531">
        <v>91.75</v>
      </c>
      <c r="G1531">
        <v>91.75</v>
      </c>
      <c r="H1531">
        <v>93.9</v>
      </c>
      <c r="I1531">
        <v>91.7</v>
      </c>
      <c r="J1531" s="1">
        <v>92</v>
      </c>
      <c r="K1531">
        <v>6764754.6500000004</v>
      </c>
      <c r="L1531">
        <v>73139</v>
      </c>
      <c r="M1531" t="s">
        <v>78</v>
      </c>
      <c r="N1531" t="s">
        <v>17</v>
      </c>
      <c r="O1531">
        <v>224</v>
      </c>
      <c r="P1531">
        <v>106</v>
      </c>
      <c r="Q1531">
        <v>19.75</v>
      </c>
    </row>
    <row r="1532" spans="2:17" x14ac:dyDescent="0.25">
      <c r="B1532" t="s">
        <v>78</v>
      </c>
      <c r="C1532" t="s">
        <v>2961</v>
      </c>
      <c r="D1532" t="s">
        <v>3014</v>
      </c>
      <c r="E1532" t="s">
        <v>3015</v>
      </c>
      <c r="F1532">
        <v>155.65</v>
      </c>
      <c r="G1532">
        <v>152</v>
      </c>
      <c r="H1532">
        <v>157</v>
      </c>
      <c r="I1532">
        <v>152</v>
      </c>
      <c r="J1532" s="1">
        <v>155</v>
      </c>
      <c r="K1532">
        <v>395596.45</v>
      </c>
      <c r="L1532">
        <v>2553</v>
      </c>
      <c r="M1532" t="s">
        <v>78</v>
      </c>
      <c r="N1532" t="s">
        <v>17</v>
      </c>
      <c r="O1532">
        <v>68</v>
      </c>
      <c r="P1532">
        <v>183</v>
      </c>
      <c r="Q1532">
        <v>39</v>
      </c>
    </row>
    <row r="1533" spans="2:17" x14ac:dyDescent="0.25">
      <c r="B1533" t="s">
        <v>78</v>
      </c>
      <c r="C1533" t="s">
        <v>2961</v>
      </c>
      <c r="D1533" t="s">
        <v>3016</v>
      </c>
      <c r="E1533" t="s">
        <v>3017</v>
      </c>
      <c r="F1533">
        <v>34.4</v>
      </c>
      <c r="G1533">
        <v>34</v>
      </c>
      <c r="H1533">
        <v>35</v>
      </c>
      <c r="I1533">
        <v>32.75</v>
      </c>
      <c r="J1533" s="1">
        <v>34.75</v>
      </c>
      <c r="K1533">
        <v>733774.5</v>
      </c>
      <c r="L1533">
        <v>21601</v>
      </c>
      <c r="M1533" t="s">
        <v>78</v>
      </c>
      <c r="N1533" t="s">
        <v>17</v>
      </c>
      <c r="O1533">
        <v>122</v>
      </c>
      <c r="P1533">
        <v>36.85</v>
      </c>
      <c r="Q1533">
        <v>10.65</v>
      </c>
    </row>
    <row r="1534" spans="2:17" x14ac:dyDescent="0.25">
      <c r="B1534" t="s">
        <v>78</v>
      </c>
      <c r="C1534" t="s">
        <v>2961</v>
      </c>
      <c r="D1534" t="s">
        <v>3018</v>
      </c>
      <c r="E1534" t="s">
        <v>3019</v>
      </c>
      <c r="F1534">
        <v>359.95</v>
      </c>
      <c r="G1534">
        <v>359.95</v>
      </c>
      <c r="H1534">
        <v>370</v>
      </c>
      <c r="I1534">
        <v>350.15</v>
      </c>
      <c r="J1534" s="1">
        <v>364.6</v>
      </c>
      <c r="K1534">
        <v>1014610.45</v>
      </c>
      <c r="L1534">
        <v>2793</v>
      </c>
      <c r="M1534" t="s">
        <v>78</v>
      </c>
      <c r="N1534" t="s">
        <v>17</v>
      </c>
      <c r="O1534">
        <v>49</v>
      </c>
      <c r="P1534">
        <v>386</v>
      </c>
      <c r="Q1534">
        <v>204</v>
      </c>
    </row>
    <row r="1535" spans="2:17" x14ac:dyDescent="0.25">
      <c r="B1535" t="s">
        <v>78</v>
      </c>
      <c r="C1535" t="s">
        <v>2961</v>
      </c>
      <c r="D1535" t="s">
        <v>3020</v>
      </c>
      <c r="E1535" t="s">
        <v>3021</v>
      </c>
      <c r="F1535">
        <v>108</v>
      </c>
      <c r="G1535">
        <v>112</v>
      </c>
      <c r="H1535">
        <v>113</v>
      </c>
      <c r="I1535">
        <v>102.6</v>
      </c>
      <c r="J1535" s="1">
        <v>106</v>
      </c>
      <c r="K1535">
        <v>160174</v>
      </c>
      <c r="L1535">
        <v>1494</v>
      </c>
      <c r="M1535" t="s">
        <v>78</v>
      </c>
      <c r="N1535" t="s">
        <v>17</v>
      </c>
      <c r="O1535">
        <v>41</v>
      </c>
      <c r="P1535">
        <v>215.95</v>
      </c>
      <c r="Q1535">
        <v>70.599999999999994</v>
      </c>
    </row>
    <row r="1536" spans="2:17" x14ac:dyDescent="0.25">
      <c r="B1536" t="s">
        <v>78</v>
      </c>
      <c r="C1536" t="s">
        <v>2961</v>
      </c>
      <c r="D1536" t="s">
        <v>3022</v>
      </c>
      <c r="E1536" t="s">
        <v>3023</v>
      </c>
      <c r="F1536">
        <v>67.650000000000006</v>
      </c>
      <c r="G1536">
        <v>68.2</v>
      </c>
      <c r="H1536">
        <v>68.45</v>
      </c>
      <c r="I1536">
        <v>66</v>
      </c>
      <c r="J1536" s="1">
        <v>66.349999999999994</v>
      </c>
      <c r="K1536">
        <v>1369027.1</v>
      </c>
      <c r="L1536">
        <v>20517</v>
      </c>
      <c r="M1536" t="s">
        <v>78</v>
      </c>
      <c r="N1536" t="s">
        <v>17</v>
      </c>
      <c r="O1536">
        <v>158</v>
      </c>
      <c r="P1536">
        <v>82.3</v>
      </c>
      <c r="Q1536">
        <v>30.25</v>
      </c>
    </row>
    <row r="1537" spans="2:17" x14ac:dyDescent="0.25">
      <c r="B1537" t="s">
        <v>78</v>
      </c>
      <c r="C1537" t="s">
        <v>2961</v>
      </c>
      <c r="D1537" t="s">
        <v>3024</v>
      </c>
      <c r="E1537" t="s">
        <v>3025</v>
      </c>
      <c r="F1537">
        <v>144.1</v>
      </c>
      <c r="G1537">
        <v>142</v>
      </c>
      <c r="H1537">
        <v>143</v>
      </c>
      <c r="I1537">
        <v>140.5</v>
      </c>
      <c r="J1537" s="1">
        <v>142.05000000000001</v>
      </c>
      <c r="K1537">
        <v>7309813.7999999998</v>
      </c>
      <c r="L1537">
        <v>51681</v>
      </c>
      <c r="M1537" t="s">
        <v>78</v>
      </c>
      <c r="N1537" t="s">
        <v>17</v>
      </c>
      <c r="O1537">
        <v>542</v>
      </c>
      <c r="P1537">
        <v>170.7</v>
      </c>
      <c r="Q1537">
        <v>19.45</v>
      </c>
    </row>
    <row r="1538" spans="2:17" x14ac:dyDescent="0.25">
      <c r="B1538" t="s">
        <v>78</v>
      </c>
      <c r="C1538" t="s">
        <v>2961</v>
      </c>
      <c r="D1538" t="s">
        <v>3026</v>
      </c>
      <c r="E1538" t="s">
        <v>3027</v>
      </c>
      <c r="F1538">
        <v>19.600000000000001</v>
      </c>
      <c r="G1538">
        <v>19.899999999999999</v>
      </c>
      <c r="H1538">
        <v>20.2</v>
      </c>
      <c r="I1538">
        <v>19.5</v>
      </c>
      <c r="J1538" s="1">
        <v>19.95</v>
      </c>
      <c r="K1538">
        <v>2259912.65</v>
      </c>
      <c r="L1538">
        <v>113205</v>
      </c>
      <c r="M1538" t="s">
        <v>78</v>
      </c>
      <c r="N1538" t="s">
        <v>17</v>
      </c>
      <c r="O1538">
        <v>137</v>
      </c>
      <c r="P1538">
        <v>21.4</v>
      </c>
      <c r="Q1538">
        <v>6.5</v>
      </c>
    </row>
    <row r="1539" spans="2:17" x14ac:dyDescent="0.25">
      <c r="B1539" t="s">
        <v>78</v>
      </c>
      <c r="C1539" t="s">
        <v>2961</v>
      </c>
      <c r="D1539" t="s">
        <v>3028</v>
      </c>
      <c r="E1539" t="s">
        <v>3029</v>
      </c>
      <c r="F1539">
        <v>896.55</v>
      </c>
      <c r="G1539">
        <v>898.8</v>
      </c>
      <c r="H1539">
        <v>906</v>
      </c>
      <c r="I1539">
        <v>851.75</v>
      </c>
      <c r="J1539" s="1">
        <v>855</v>
      </c>
      <c r="K1539">
        <v>293000165.80000001</v>
      </c>
      <c r="L1539">
        <v>337925</v>
      </c>
      <c r="M1539" t="s">
        <v>78</v>
      </c>
      <c r="N1539" t="s">
        <v>17</v>
      </c>
      <c r="O1539">
        <v>13306</v>
      </c>
      <c r="P1539">
        <v>1650</v>
      </c>
      <c r="Q1539">
        <v>72</v>
      </c>
    </row>
    <row r="1540" spans="2:17" x14ac:dyDescent="0.25">
      <c r="B1540" t="s">
        <v>78</v>
      </c>
      <c r="C1540" t="s">
        <v>2961</v>
      </c>
      <c r="D1540" t="s">
        <v>3030</v>
      </c>
      <c r="E1540" t="s">
        <v>3031</v>
      </c>
      <c r="F1540">
        <v>17.600000000000001</v>
      </c>
      <c r="G1540">
        <v>17.5</v>
      </c>
      <c r="H1540">
        <v>18.2</v>
      </c>
      <c r="I1540">
        <v>16.899999999999999</v>
      </c>
      <c r="J1540" s="1">
        <v>17.3</v>
      </c>
      <c r="K1540">
        <v>466451.8</v>
      </c>
      <c r="L1540">
        <v>27014</v>
      </c>
      <c r="M1540" t="s">
        <v>78</v>
      </c>
      <c r="N1540" t="s">
        <v>17</v>
      </c>
      <c r="O1540">
        <v>185</v>
      </c>
      <c r="P1540">
        <v>19.2</v>
      </c>
      <c r="Q1540">
        <v>5.7</v>
      </c>
    </row>
    <row r="1541" spans="2:17" x14ac:dyDescent="0.25">
      <c r="B1541" t="s">
        <v>78</v>
      </c>
      <c r="C1541" t="s">
        <v>2961</v>
      </c>
      <c r="D1541" t="s">
        <v>3032</v>
      </c>
      <c r="E1541" t="s">
        <v>3033</v>
      </c>
      <c r="F1541">
        <v>47.95</v>
      </c>
      <c r="G1541">
        <v>48.5</v>
      </c>
      <c r="H1541">
        <v>48.5</v>
      </c>
      <c r="I1541">
        <v>46.1</v>
      </c>
      <c r="J1541" s="1">
        <v>47.05</v>
      </c>
      <c r="K1541">
        <v>1248516.6499999999</v>
      </c>
      <c r="L1541">
        <v>26393</v>
      </c>
      <c r="M1541" t="s">
        <v>78</v>
      </c>
      <c r="N1541" t="s">
        <v>17</v>
      </c>
      <c r="O1541">
        <v>300</v>
      </c>
      <c r="P1541">
        <v>50.1</v>
      </c>
      <c r="Q1541">
        <v>12.65</v>
      </c>
    </row>
    <row r="1542" spans="2:17" x14ac:dyDescent="0.25">
      <c r="B1542" t="s">
        <v>78</v>
      </c>
      <c r="C1542" t="s">
        <v>2961</v>
      </c>
      <c r="D1542" t="s">
        <v>3034</v>
      </c>
      <c r="E1542" t="s">
        <v>3035</v>
      </c>
      <c r="F1542">
        <v>97.35</v>
      </c>
      <c r="G1542">
        <v>97</v>
      </c>
      <c r="H1542">
        <v>101</v>
      </c>
      <c r="I1542">
        <v>94.5</v>
      </c>
      <c r="J1542" s="1">
        <v>96.55</v>
      </c>
      <c r="K1542">
        <v>9157801.5999999996</v>
      </c>
      <c r="L1542">
        <v>93560</v>
      </c>
      <c r="M1542" t="s">
        <v>78</v>
      </c>
      <c r="N1542" t="s">
        <v>17</v>
      </c>
      <c r="O1542">
        <v>561</v>
      </c>
      <c r="P1542">
        <v>106.1</v>
      </c>
      <c r="Q1542">
        <v>48</v>
      </c>
    </row>
    <row r="1543" spans="2:17" x14ac:dyDescent="0.25">
      <c r="B1543" t="s">
        <v>78</v>
      </c>
      <c r="C1543" t="s">
        <v>2961</v>
      </c>
      <c r="D1543" t="s">
        <v>3036</v>
      </c>
      <c r="E1543" t="s">
        <v>3037</v>
      </c>
      <c r="F1543">
        <v>3.7</v>
      </c>
      <c r="G1543">
        <v>3.55</v>
      </c>
      <c r="H1543">
        <v>3.7</v>
      </c>
      <c r="I1543">
        <v>3.55</v>
      </c>
      <c r="J1543" s="1">
        <v>3.7</v>
      </c>
      <c r="K1543">
        <v>430288.75</v>
      </c>
      <c r="L1543">
        <v>118617</v>
      </c>
      <c r="M1543" t="s">
        <v>78</v>
      </c>
      <c r="N1543" t="s">
        <v>17</v>
      </c>
      <c r="O1543">
        <v>206</v>
      </c>
      <c r="P1543">
        <v>4.3</v>
      </c>
      <c r="Q1543">
        <v>2.1</v>
      </c>
    </row>
    <row r="1544" spans="2:17" x14ac:dyDescent="0.25">
      <c r="B1544" t="s">
        <v>78</v>
      </c>
      <c r="C1544" t="s">
        <v>2961</v>
      </c>
      <c r="D1544" t="s">
        <v>3038</v>
      </c>
      <c r="E1544" t="s">
        <v>3039</v>
      </c>
      <c r="F1544">
        <v>19.149999999999999</v>
      </c>
      <c r="G1544">
        <v>18.2</v>
      </c>
      <c r="H1544">
        <v>20.100000000000001</v>
      </c>
      <c r="I1544">
        <v>18.2</v>
      </c>
      <c r="J1544" s="1">
        <v>20.100000000000001</v>
      </c>
      <c r="K1544">
        <v>537951328.95000005</v>
      </c>
      <c r="L1544">
        <v>29297217</v>
      </c>
      <c r="M1544" t="s">
        <v>78</v>
      </c>
      <c r="N1544" t="s">
        <v>17</v>
      </c>
      <c r="O1544">
        <v>9018</v>
      </c>
      <c r="P1544">
        <v>24.3</v>
      </c>
      <c r="Q1544">
        <v>5.6</v>
      </c>
    </row>
    <row r="1545" spans="2:17" x14ac:dyDescent="0.25">
      <c r="B1545" t="s">
        <v>78</v>
      </c>
      <c r="C1545" t="s">
        <v>2961</v>
      </c>
      <c r="D1545" t="s">
        <v>3040</v>
      </c>
      <c r="E1545" t="s">
        <v>3041</v>
      </c>
      <c r="F1545">
        <v>101.85</v>
      </c>
      <c r="G1545">
        <v>102</v>
      </c>
      <c r="H1545">
        <v>104.4</v>
      </c>
      <c r="I1545">
        <v>100</v>
      </c>
      <c r="J1545" s="1">
        <v>101.4</v>
      </c>
      <c r="K1545">
        <v>5459083</v>
      </c>
      <c r="L1545">
        <v>53277</v>
      </c>
      <c r="M1545" t="s">
        <v>78</v>
      </c>
      <c r="N1545" t="s">
        <v>17</v>
      </c>
      <c r="O1545">
        <v>573</v>
      </c>
      <c r="P1545">
        <v>114</v>
      </c>
      <c r="Q1545">
        <v>50</v>
      </c>
    </row>
    <row r="1546" spans="2:17" x14ac:dyDescent="0.25">
      <c r="B1546" t="s">
        <v>78</v>
      </c>
      <c r="C1546" t="s">
        <v>2961</v>
      </c>
      <c r="D1546" t="s">
        <v>3042</v>
      </c>
      <c r="E1546" t="s">
        <v>3043</v>
      </c>
      <c r="F1546">
        <v>200.65</v>
      </c>
      <c r="G1546">
        <v>205.5</v>
      </c>
      <c r="H1546">
        <v>210.65</v>
      </c>
      <c r="I1546">
        <v>205</v>
      </c>
      <c r="J1546" s="1">
        <v>210.65</v>
      </c>
      <c r="K1546">
        <v>3446783.1</v>
      </c>
      <c r="L1546">
        <v>16420</v>
      </c>
      <c r="M1546" t="s">
        <v>78</v>
      </c>
      <c r="N1546" t="s">
        <v>17</v>
      </c>
      <c r="O1546">
        <v>221</v>
      </c>
      <c r="P1546">
        <v>210.65</v>
      </c>
      <c r="Q1546">
        <v>105.2</v>
      </c>
    </row>
    <row r="1547" spans="2:17" x14ac:dyDescent="0.25">
      <c r="B1547" t="s">
        <v>78</v>
      </c>
      <c r="C1547" t="s">
        <v>2961</v>
      </c>
      <c r="D1547" t="s">
        <v>3044</v>
      </c>
      <c r="E1547" t="s">
        <v>3045</v>
      </c>
      <c r="F1547">
        <v>86</v>
      </c>
      <c r="G1547">
        <v>89.5</v>
      </c>
      <c r="H1547">
        <v>90.3</v>
      </c>
      <c r="I1547">
        <v>86</v>
      </c>
      <c r="J1547" s="1">
        <v>90.15</v>
      </c>
      <c r="K1547">
        <v>24571136.550000001</v>
      </c>
      <c r="L1547">
        <v>273929</v>
      </c>
      <c r="M1547" t="s">
        <v>78</v>
      </c>
      <c r="N1547" t="s">
        <v>17</v>
      </c>
      <c r="O1547">
        <v>1314</v>
      </c>
      <c r="P1547">
        <v>164.75</v>
      </c>
      <c r="Q1547">
        <v>70.2</v>
      </c>
    </row>
    <row r="1548" spans="2:17" x14ac:dyDescent="0.25">
      <c r="B1548" t="s">
        <v>78</v>
      </c>
      <c r="C1548" t="s">
        <v>2961</v>
      </c>
      <c r="D1548" t="s">
        <v>3046</v>
      </c>
      <c r="E1548" t="s">
        <v>3047</v>
      </c>
      <c r="F1548">
        <v>3.85</v>
      </c>
      <c r="G1548">
        <v>4</v>
      </c>
      <c r="H1548">
        <v>4</v>
      </c>
      <c r="I1548">
        <v>3.8</v>
      </c>
      <c r="J1548" s="1">
        <v>3.85</v>
      </c>
      <c r="K1548">
        <v>838745.5</v>
      </c>
      <c r="L1548">
        <v>216019</v>
      </c>
      <c r="M1548" t="s">
        <v>78</v>
      </c>
      <c r="N1548" t="s">
        <v>17</v>
      </c>
      <c r="O1548">
        <v>445</v>
      </c>
      <c r="P1548">
        <v>7.6</v>
      </c>
      <c r="Q1548">
        <v>3.6</v>
      </c>
    </row>
    <row r="1549" spans="2:17" x14ac:dyDescent="0.25">
      <c r="B1549" t="s">
        <v>78</v>
      </c>
      <c r="C1549" t="s">
        <v>2961</v>
      </c>
      <c r="D1549" t="s">
        <v>3048</v>
      </c>
      <c r="E1549" t="s">
        <v>3049</v>
      </c>
      <c r="F1549">
        <v>14.1</v>
      </c>
      <c r="G1549">
        <v>14.2</v>
      </c>
      <c r="H1549">
        <v>14.2</v>
      </c>
      <c r="I1549">
        <v>13.5</v>
      </c>
      <c r="J1549" s="1">
        <v>13.9</v>
      </c>
      <c r="K1549">
        <v>156715.54999999999</v>
      </c>
      <c r="L1549">
        <v>11364</v>
      </c>
      <c r="M1549" t="s">
        <v>78</v>
      </c>
      <c r="N1549" t="s">
        <v>17</v>
      </c>
      <c r="O1549">
        <v>44</v>
      </c>
      <c r="P1549">
        <v>15.3</v>
      </c>
      <c r="Q1549">
        <v>7.2</v>
      </c>
    </row>
    <row r="1550" spans="2:17" x14ac:dyDescent="0.25">
      <c r="B1550" t="s">
        <v>78</v>
      </c>
      <c r="C1550" t="s">
        <v>2961</v>
      </c>
      <c r="D1550" t="s">
        <v>3050</v>
      </c>
      <c r="E1550" t="s">
        <v>3051</v>
      </c>
      <c r="F1550">
        <v>34.950000000000003</v>
      </c>
      <c r="G1550">
        <v>33.549999999999997</v>
      </c>
      <c r="H1550">
        <v>35.85</v>
      </c>
      <c r="I1550">
        <v>33.549999999999997</v>
      </c>
      <c r="J1550" s="1">
        <v>35.4</v>
      </c>
      <c r="K1550">
        <v>999378.45</v>
      </c>
      <c r="L1550">
        <v>28211</v>
      </c>
      <c r="M1550" t="s">
        <v>78</v>
      </c>
      <c r="N1550" t="s">
        <v>17</v>
      </c>
      <c r="O1550">
        <v>79</v>
      </c>
      <c r="P1550">
        <v>37.700000000000003</v>
      </c>
      <c r="Q1550">
        <v>17.100000000000001</v>
      </c>
    </row>
    <row r="1551" spans="2:17" x14ac:dyDescent="0.25">
      <c r="B1551" t="s">
        <v>78</v>
      </c>
      <c r="C1551" t="s">
        <v>2961</v>
      </c>
      <c r="D1551" t="s">
        <v>3052</v>
      </c>
      <c r="E1551" t="s">
        <v>3053</v>
      </c>
      <c r="F1551">
        <v>1.7</v>
      </c>
      <c r="G1551">
        <v>1.75</v>
      </c>
      <c r="H1551">
        <v>1.75</v>
      </c>
      <c r="I1551">
        <v>1.75</v>
      </c>
      <c r="J1551" s="1">
        <v>1.75</v>
      </c>
      <c r="K1551">
        <v>43993.25</v>
      </c>
      <c r="L1551">
        <v>25139</v>
      </c>
      <c r="M1551" t="s">
        <v>78</v>
      </c>
      <c r="N1551" t="s">
        <v>17</v>
      </c>
      <c r="O1551">
        <v>16</v>
      </c>
      <c r="P1551">
        <v>2.2000000000000002</v>
      </c>
      <c r="Q1551">
        <v>0.95</v>
      </c>
    </row>
    <row r="1552" spans="2:17" x14ac:dyDescent="0.25">
      <c r="B1552" t="s">
        <v>78</v>
      </c>
      <c r="C1552" t="s">
        <v>2961</v>
      </c>
      <c r="D1552" t="s">
        <v>3054</v>
      </c>
      <c r="E1552" t="s">
        <v>3055</v>
      </c>
      <c r="F1552">
        <v>244.95</v>
      </c>
      <c r="G1552">
        <v>245</v>
      </c>
      <c r="H1552">
        <v>249.85</v>
      </c>
      <c r="I1552">
        <v>240</v>
      </c>
      <c r="J1552" s="1">
        <v>243.1</v>
      </c>
      <c r="K1552">
        <v>329325.59999999998</v>
      </c>
      <c r="L1552">
        <v>1354</v>
      </c>
      <c r="M1552" t="s">
        <v>78</v>
      </c>
      <c r="N1552" t="s">
        <v>17</v>
      </c>
      <c r="O1552">
        <v>49</v>
      </c>
      <c r="P1552">
        <v>264.89999999999998</v>
      </c>
      <c r="Q1552">
        <v>127.35</v>
      </c>
    </row>
    <row r="1553" spans="2:17" x14ac:dyDescent="0.25">
      <c r="B1553" t="s">
        <v>78</v>
      </c>
      <c r="C1553" t="s">
        <v>2961</v>
      </c>
      <c r="D1553" t="s">
        <v>3056</v>
      </c>
      <c r="E1553" t="s">
        <v>3057</v>
      </c>
      <c r="F1553">
        <v>110.8</v>
      </c>
      <c r="G1553">
        <v>108.6</v>
      </c>
      <c r="H1553">
        <v>116.2</v>
      </c>
      <c r="I1553">
        <v>108.6</v>
      </c>
      <c r="J1553" s="1">
        <v>112.55</v>
      </c>
      <c r="K1553">
        <v>13093740.199999999</v>
      </c>
      <c r="L1553">
        <v>114665</v>
      </c>
      <c r="M1553" t="s">
        <v>78</v>
      </c>
      <c r="N1553" t="s">
        <v>17</v>
      </c>
      <c r="O1553">
        <v>1340</v>
      </c>
      <c r="P1553">
        <v>229.4</v>
      </c>
      <c r="Q1553">
        <v>74.349999999999994</v>
      </c>
    </row>
    <row r="1554" spans="2:17" x14ac:dyDescent="0.25">
      <c r="B1554" t="s">
        <v>78</v>
      </c>
      <c r="C1554" t="s">
        <v>2961</v>
      </c>
      <c r="D1554" t="s">
        <v>3058</v>
      </c>
      <c r="E1554" t="s">
        <v>3059</v>
      </c>
      <c r="F1554">
        <v>1.1000000000000001</v>
      </c>
      <c r="G1554">
        <v>1.1499999999999999</v>
      </c>
      <c r="H1554">
        <v>1.1499999999999999</v>
      </c>
      <c r="I1554">
        <v>1.1000000000000001</v>
      </c>
      <c r="J1554" s="1">
        <v>1.1499999999999999</v>
      </c>
      <c r="K1554">
        <v>341993.85</v>
      </c>
      <c r="L1554">
        <v>298330</v>
      </c>
      <c r="M1554" t="s">
        <v>78</v>
      </c>
      <c r="N1554" t="s">
        <v>17</v>
      </c>
      <c r="O1554">
        <v>324</v>
      </c>
      <c r="P1554">
        <v>1.45</v>
      </c>
      <c r="Q1554">
        <v>0.85</v>
      </c>
    </row>
    <row r="1555" spans="2:17" x14ac:dyDescent="0.25">
      <c r="B1555" t="s">
        <v>78</v>
      </c>
      <c r="C1555" t="s">
        <v>2961</v>
      </c>
      <c r="D1555" t="s">
        <v>3060</v>
      </c>
      <c r="E1555" t="s">
        <v>3061</v>
      </c>
      <c r="F1555">
        <v>0.35</v>
      </c>
      <c r="G1555">
        <v>0.35</v>
      </c>
      <c r="H1555">
        <v>0.35</v>
      </c>
      <c r="I1555">
        <v>0.3</v>
      </c>
      <c r="J1555" s="1">
        <v>0.35</v>
      </c>
      <c r="K1555">
        <v>18196.3</v>
      </c>
      <c r="L1555">
        <v>52118</v>
      </c>
      <c r="M1555" t="s">
        <v>78</v>
      </c>
      <c r="N1555" t="s">
        <v>17</v>
      </c>
      <c r="O1555">
        <v>30</v>
      </c>
      <c r="P1555">
        <v>0.45</v>
      </c>
      <c r="Q1555">
        <v>0.1</v>
      </c>
    </row>
    <row r="1556" spans="2:17" x14ac:dyDescent="0.25">
      <c r="B1556" t="s">
        <v>78</v>
      </c>
      <c r="C1556" t="s">
        <v>2961</v>
      </c>
      <c r="D1556" t="s">
        <v>3062</v>
      </c>
      <c r="E1556" t="s">
        <v>3063</v>
      </c>
      <c r="F1556">
        <v>289.10000000000002</v>
      </c>
      <c r="G1556">
        <v>285.05</v>
      </c>
      <c r="H1556">
        <v>290</v>
      </c>
      <c r="I1556">
        <v>281.05</v>
      </c>
      <c r="J1556" s="1">
        <v>285.89999999999998</v>
      </c>
      <c r="K1556">
        <v>60904041.350000001</v>
      </c>
      <c r="L1556">
        <v>212798</v>
      </c>
      <c r="M1556" t="s">
        <v>78</v>
      </c>
      <c r="N1556" t="s">
        <v>17</v>
      </c>
      <c r="O1556">
        <v>4971</v>
      </c>
      <c r="P1556">
        <v>297.39999999999998</v>
      </c>
      <c r="Q1556">
        <v>38.35</v>
      </c>
    </row>
    <row r="1557" spans="2:17" x14ac:dyDescent="0.25">
      <c r="B1557" t="s">
        <v>78</v>
      </c>
      <c r="C1557" t="s">
        <v>2961</v>
      </c>
      <c r="D1557" t="s">
        <v>3064</v>
      </c>
      <c r="E1557" t="s">
        <v>3065</v>
      </c>
      <c r="F1557">
        <v>10.45</v>
      </c>
      <c r="G1557">
        <v>10.3</v>
      </c>
      <c r="H1557">
        <v>10.6</v>
      </c>
      <c r="I1557">
        <v>10.050000000000001</v>
      </c>
      <c r="J1557" s="1">
        <v>10.199999999999999</v>
      </c>
      <c r="K1557">
        <v>2737272.75</v>
      </c>
      <c r="L1557">
        <v>266605</v>
      </c>
      <c r="M1557" t="s">
        <v>78</v>
      </c>
      <c r="N1557" t="s">
        <v>17</v>
      </c>
      <c r="O1557">
        <v>682</v>
      </c>
      <c r="P1557">
        <v>12.95</v>
      </c>
      <c r="Q1557">
        <v>3.55</v>
      </c>
    </row>
    <row r="1558" spans="2:17" x14ac:dyDescent="0.25">
      <c r="B1558" t="s">
        <v>78</v>
      </c>
      <c r="C1558" t="s">
        <v>2961</v>
      </c>
      <c r="D1558" t="s">
        <v>3066</v>
      </c>
      <c r="E1558" t="s">
        <v>3067</v>
      </c>
      <c r="F1558">
        <v>2.4</v>
      </c>
      <c r="G1558">
        <v>2.2999999999999998</v>
      </c>
      <c r="H1558">
        <v>2.2999999999999998</v>
      </c>
      <c r="I1558">
        <v>2.2999999999999998</v>
      </c>
      <c r="J1558" s="1">
        <v>2.2999999999999998</v>
      </c>
      <c r="K1558">
        <v>101165.5</v>
      </c>
      <c r="L1558">
        <v>43985</v>
      </c>
      <c r="M1558" t="s">
        <v>78</v>
      </c>
      <c r="N1558" t="s">
        <v>17</v>
      </c>
      <c r="O1558">
        <v>35</v>
      </c>
      <c r="P1558">
        <v>3.8</v>
      </c>
      <c r="Q1558">
        <v>1.1499999999999999</v>
      </c>
    </row>
    <row r="1559" spans="2:17" x14ac:dyDescent="0.25">
      <c r="B1559" t="s">
        <v>78</v>
      </c>
      <c r="C1559" t="s">
        <v>2961</v>
      </c>
      <c r="D1559" t="s">
        <v>3068</v>
      </c>
      <c r="E1559" t="s">
        <v>3069</v>
      </c>
      <c r="F1559">
        <v>764.45</v>
      </c>
      <c r="G1559">
        <v>748.05</v>
      </c>
      <c r="H1559">
        <v>786</v>
      </c>
      <c r="I1559">
        <v>730</v>
      </c>
      <c r="J1559" s="1">
        <v>753.95</v>
      </c>
      <c r="K1559">
        <v>15604317.35</v>
      </c>
      <c r="L1559">
        <v>20710</v>
      </c>
      <c r="M1559" t="s">
        <v>78</v>
      </c>
      <c r="N1559" t="s">
        <v>17</v>
      </c>
      <c r="O1559">
        <v>1778</v>
      </c>
      <c r="P1559">
        <v>825</v>
      </c>
      <c r="Q1559">
        <v>270.2</v>
      </c>
    </row>
    <row r="1560" spans="2:17" x14ac:dyDescent="0.25">
      <c r="B1560" t="s">
        <v>78</v>
      </c>
      <c r="C1560" t="s">
        <v>2961</v>
      </c>
      <c r="D1560" t="s">
        <v>3070</v>
      </c>
      <c r="E1560" t="s">
        <v>3071</v>
      </c>
      <c r="F1560">
        <v>23.1</v>
      </c>
      <c r="G1560">
        <v>22.6</v>
      </c>
      <c r="H1560">
        <v>23.15</v>
      </c>
      <c r="I1560">
        <v>22.4</v>
      </c>
      <c r="J1560" s="1">
        <v>23.15</v>
      </c>
      <c r="K1560">
        <v>190292.5</v>
      </c>
      <c r="L1560">
        <v>8412</v>
      </c>
      <c r="M1560" t="s">
        <v>78</v>
      </c>
      <c r="N1560" t="s">
        <v>17</v>
      </c>
      <c r="O1560">
        <v>64</v>
      </c>
      <c r="P1560">
        <v>25.7</v>
      </c>
      <c r="Q1560">
        <v>11.8</v>
      </c>
    </row>
    <row r="1561" spans="2:17" x14ac:dyDescent="0.25">
      <c r="B1561" t="s">
        <v>78</v>
      </c>
      <c r="C1561" t="s">
        <v>2961</v>
      </c>
      <c r="D1561" t="s">
        <v>3072</v>
      </c>
      <c r="E1561" t="s">
        <v>3073</v>
      </c>
      <c r="F1561">
        <v>29.95</v>
      </c>
      <c r="G1561">
        <v>30.45</v>
      </c>
      <c r="H1561">
        <v>30.6</v>
      </c>
      <c r="I1561">
        <v>29.15</v>
      </c>
      <c r="J1561" s="1">
        <v>29.8</v>
      </c>
      <c r="K1561">
        <v>1295502.7</v>
      </c>
      <c r="L1561">
        <v>43590</v>
      </c>
      <c r="M1561" t="s">
        <v>78</v>
      </c>
      <c r="N1561" t="s">
        <v>17</v>
      </c>
      <c r="O1561">
        <v>207</v>
      </c>
      <c r="P1561">
        <v>32.549999999999997</v>
      </c>
      <c r="Q1561">
        <v>18.55</v>
      </c>
    </row>
    <row r="1562" spans="2:17" x14ac:dyDescent="0.25">
      <c r="B1562" t="s">
        <v>78</v>
      </c>
      <c r="C1562" t="s">
        <v>2961</v>
      </c>
      <c r="D1562" t="s">
        <v>3074</v>
      </c>
      <c r="E1562" t="s">
        <v>3075</v>
      </c>
      <c r="F1562">
        <v>9.8000000000000007</v>
      </c>
      <c r="G1562">
        <v>9.6</v>
      </c>
      <c r="H1562">
        <v>10.25</v>
      </c>
      <c r="I1562">
        <v>9.35</v>
      </c>
      <c r="J1562" s="1">
        <v>10.25</v>
      </c>
      <c r="K1562">
        <v>999308.35</v>
      </c>
      <c r="L1562">
        <v>103473</v>
      </c>
      <c r="M1562" t="s">
        <v>78</v>
      </c>
      <c r="N1562" t="s">
        <v>17</v>
      </c>
      <c r="O1562">
        <v>104</v>
      </c>
      <c r="P1562">
        <v>18.3</v>
      </c>
      <c r="Q1562">
        <v>6.65</v>
      </c>
    </row>
    <row r="1563" spans="2:17" x14ac:dyDescent="0.25">
      <c r="B1563" t="s">
        <v>78</v>
      </c>
      <c r="C1563" t="s">
        <v>2961</v>
      </c>
      <c r="D1563" t="s">
        <v>3076</v>
      </c>
      <c r="E1563" t="s">
        <v>3077</v>
      </c>
      <c r="F1563">
        <v>0.7</v>
      </c>
      <c r="G1563">
        <v>0.75</v>
      </c>
      <c r="H1563">
        <v>0.75</v>
      </c>
      <c r="I1563">
        <v>0.75</v>
      </c>
      <c r="J1563" s="1">
        <v>0.75</v>
      </c>
      <c r="K1563">
        <v>220968.75</v>
      </c>
      <c r="L1563">
        <v>294625</v>
      </c>
      <c r="M1563" t="s">
        <v>78</v>
      </c>
      <c r="N1563" t="s">
        <v>17</v>
      </c>
      <c r="O1563">
        <v>125</v>
      </c>
      <c r="P1563">
        <v>0.9</v>
      </c>
      <c r="Q1563">
        <v>0.2</v>
      </c>
    </row>
    <row r="1564" spans="2:17" x14ac:dyDescent="0.25">
      <c r="B1564" t="s">
        <v>78</v>
      </c>
      <c r="C1564" t="s">
        <v>2961</v>
      </c>
      <c r="D1564" t="s">
        <v>3078</v>
      </c>
      <c r="E1564" t="s">
        <v>3079</v>
      </c>
      <c r="F1564">
        <v>0.65</v>
      </c>
      <c r="G1564">
        <v>0.7</v>
      </c>
      <c r="H1564">
        <v>0.7</v>
      </c>
      <c r="I1564">
        <v>0.65</v>
      </c>
      <c r="J1564" s="1">
        <v>0.7</v>
      </c>
      <c r="K1564">
        <v>296490.09999999998</v>
      </c>
      <c r="L1564">
        <v>424700</v>
      </c>
      <c r="M1564" t="s">
        <v>78</v>
      </c>
      <c r="N1564" t="s">
        <v>17</v>
      </c>
      <c r="O1564">
        <v>440</v>
      </c>
      <c r="P1564">
        <v>0.75</v>
      </c>
      <c r="Q1564">
        <v>0.15</v>
      </c>
    </row>
    <row r="1565" spans="2:17" x14ac:dyDescent="0.25">
      <c r="B1565" t="s">
        <v>78</v>
      </c>
      <c r="C1565" t="s">
        <v>2961</v>
      </c>
      <c r="D1565" t="s">
        <v>3080</v>
      </c>
      <c r="E1565" t="s">
        <v>3081</v>
      </c>
      <c r="F1565">
        <v>6.95</v>
      </c>
      <c r="G1565">
        <v>7.15</v>
      </c>
      <c r="H1565">
        <v>7.25</v>
      </c>
      <c r="I1565">
        <v>6.85</v>
      </c>
      <c r="J1565" s="1">
        <v>7.25</v>
      </c>
      <c r="K1565">
        <v>1357395.7</v>
      </c>
      <c r="L1565">
        <v>190125</v>
      </c>
      <c r="M1565" t="s">
        <v>78</v>
      </c>
      <c r="N1565" t="s">
        <v>17</v>
      </c>
      <c r="O1565">
        <v>342</v>
      </c>
      <c r="P1565">
        <v>7.45</v>
      </c>
      <c r="Q1565">
        <v>2.65</v>
      </c>
    </row>
    <row r="1566" spans="2:17" x14ac:dyDescent="0.25">
      <c r="B1566" t="s">
        <v>78</v>
      </c>
      <c r="C1566" t="s">
        <v>2961</v>
      </c>
      <c r="D1566" t="s">
        <v>3082</v>
      </c>
      <c r="E1566" t="s">
        <v>3083</v>
      </c>
      <c r="F1566">
        <v>77</v>
      </c>
      <c r="G1566">
        <v>76.25</v>
      </c>
      <c r="H1566">
        <v>76.75</v>
      </c>
      <c r="I1566">
        <v>74.099999999999994</v>
      </c>
      <c r="J1566" s="1">
        <v>75.45</v>
      </c>
      <c r="K1566">
        <v>123029528.25</v>
      </c>
      <c r="L1566">
        <v>1631365</v>
      </c>
      <c r="M1566" t="s">
        <v>78</v>
      </c>
      <c r="N1566" t="s">
        <v>17</v>
      </c>
      <c r="O1566">
        <v>3735</v>
      </c>
      <c r="P1566">
        <v>89.8</v>
      </c>
      <c r="Q1566">
        <v>20.25</v>
      </c>
    </row>
    <row r="1567" spans="2:17" x14ac:dyDescent="0.25">
      <c r="B1567" t="s">
        <v>78</v>
      </c>
      <c r="C1567" t="s">
        <v>2961</v>
      </c>
      <c r="D1567" t="s">
        <v>3084</v>
      </c>
      <c r="E1567" t="s">
        <v>3085</v>
      </c>
      <c r="F1567">
        <v>17.850000000000001</v>
      </c>
      <c r="G1567">
        <v>17.95</v>
      </c>
      <c r="H1567">
        <v>17.95</v>
      </c>
      <c r="I1567">
        <v>17</v>
      </c>
      <c r="J1567" s="1">
        <v>17.2</v>
      </c>
      <c r="K1567">
        <v>299748.15000000002</v>
      </c>
      <c r="L1567">
        <v>17468</v>
      </c>
      <c r="M1567" t="s">
        <v>78</v>
      </c>
      <c r="N1567" t="s">
        <v>17</v>
      </c>
      <c r="O1567">
        <v>118</v>
      </c>
      <c r="P1567">
        <v>18.8</v>
      </c>
      <c r="Q1567">
        <v>5.45</v>
      </c>
    </row>
    <row r="1568" spans="2:17" x14ac:dyDescent="0.25">
      <c r="B1568" t="s">
        <v>78</v>
      </c>
      <c r="C1568" t="s">
        <v>2961</v>
      </c>
      <c r="D1568" t="s">
        <v>3086</v>
      </c>
      <c r="E1568" t="s">
        <v>3087</v>
      </c>
      <c r="F1568">
        <v>15.9</v>
      </c>
      <c r="G1568">
        <v>15.3</v>
      </c>
      <c r="H1568">
        <v>16.45</v>
      </c>
      <c r="I1568">
        <v>15.25</v>
      </c>
      <c r="J1568" s="1">
        <v>16.2</v>
      </c>
      <c r="K1568">
        <v>4821818.7</v>
      </c>
      <c r="L1568">
        <v>297087</v>
      </c>
      <c r="M1568" t="s">
        <v>78</v>
      </c>
      <c r="N1568" t="s">
        <v>17</v>
      </c>
      <c r="O1568">
        <v>1038</v>
      </c>
      <c r="P1568">
        <v>16.45</v>
      </c>
      <c r="Q1568">
        <v>7.75</v>
      </c>
    </row>
    <row r="1569" spans="2:17" x14ac:dyDescent="0.25">
      <c r="B1569" t="s">
        <v>78</v>
      </c>
      <c r="C1569" t="s">
        <v>2961</v>
      </c>
      <c r="D1569" t="s">
        <v>3088</v>
      </c>
      <c r="E1569" t="s">
        <v>3089</v>
      </c>
      <c r="F1569">
        <v>2.95</v>
      </c>
      <c r="G1569">
        <v>2.9</v>
      </c>
      <c r="H1569">
        <v>2.95</v>
      </c>
      <c r="I1569">
        <v>2.85</v>
      </c>
      <c r="J1569" s="1">
        <v>2.9</v>
      </c>
      <c r="K1569">
        <v>133270.79999999999</v>
      </c>
      <c r="L1569">
        <v>45815</v>
      </c>
      <c r="M1569" t="s">
        <v>78</v>
      </c>
      <c r="N1569" t="s">
        <v>17</v>
      </c>
      <c r="O1569">
        <v>129</v>
      </c>
      <c r="P1569">
        <v>4.8</v>
      </c>
      <c r="Q1569">
        <v>1.85</v>
      </c>
    </row>
    <row r="1570" spans="2:17" x14ac:dyDescent="0.25">
      <c r="B1570" t="s">
        <v>78</v>
      </c>
      <c r="C1570" t="s">
        <v>2961</v>
      </c>
      <c r="D1570" t="s">
        <v>3090</v>
      </c>
      <c r="E1570" t="s">
        <v>3091</v>
      </c>
      <c r="F1570">
        <v>30</v>
      </c>
      <c r="G1570">
        <v>30</v>
      </c>
      <c r="H1570">
        <v>31</v>
      </c>
      <c r="I1570">
        <v>28.6</v>
      </c>
      <c r="J1570" s="1">
        <v>30.5</v>
      </c>
      <c r="K1570">
        <v>263572.5</v>
      </c>
      <c r="L1570">
        <v>8780</v>
      </c>
      <c r="M1570" t="s">
        <v>78</v>
      </c>
      <c r="N1570" t="s">
        <v>17</v>
      </c>
      <c r="O1570">
        <v>70</v>
      </c>
      <c r="P1570">
        <v>35.25</v>
      </c>
      <c r="Q1570">
        <v>16.5</v>
      </c>
    </row>
    <row r="1571" spans="2:17" x14ac:dyDescent="0.25">
      <c r="B1571" t="s">
        <v>78</v>
      </c>
      <c r="C1571" t="s">
        <v>2961</v>
      </c>
      <c r="D1571" t="s">
        <v>3092</v>
      </c>
      <c r="E1571" t="s">
        <v>3093</v>
      </c>
      <c r="F1571">
        <v>1.6</v>
      </c>
      <c r="G1571">
        <v>1.55</v>
      </c>
      <c r="H1571">
        <v>1.55</v>
      </c>
      <c r="I1571">
        <v>1.55</v>
      </c>
      <c r="J1571" s="1">
        <v>1.55</v>
      </c>
      <c r="K1571">
        <v>4867</v>
      </c>
      <c r="L1571">
        <v>3140</v>
      </c>
      <c r="M1571" t="s">
        <v>78</v>
      </c>
      <c r="N1571" t="s">
        <v>17</v>
      </c>
      <c r="O1571">
        <v>5</v>
      </c>
      <c r="P1571">
        <v>1.65</v>
      </c>
      <c r="Q1571">
        <v>0.65</v>
      </c>
    </row>
    <row r="1572" spans="2:17" x14ac:dyDescent="0.25">
      <c r="B1572" t="s">
        <v>78</v>
      </c>
      <c r="C1572" t="s">
        <v>2961</v>
      </c>
      <c r="D1572" t="s">
        <v>3094</v>
      </c>
      <c r="E1572" t="s">
        <v>3095</v>
      </c>
      <c r="F1572">
        <v>183.1</v>
      </c>
      <c r="G1572">
        <v>188.95</v>
      </c>
      <c r="H1572">
        <v>188.95</v>
      </c>
      <c r="I1572">
        <v>181</v>
      </c>
      <c r="J1572" s="1">
        <v>183.45</v>
      </c>
      <c r="K1572">
        <v>772430.05</v>
      </c>
      <c r="L1572">
        <v>4229</v>
      </c>
      <c r="M1572" t="s">
        <v>78</v>
      </c>
      <c r="N1572" t="s">
        <v>17</v>
      </c>
      <c r="O1572">
        <v>15</v>
      </c>
      <c r="P1572">
        <v>192.5</v>
      </c>
      <c r="Q1572">
        <v>145.6</v>
      </c>
    </row>
    <row r="1573" spans="2:17" x14ac:dyDescent="0.25">
      <c r="B1573" t="s">
        <v>78</v>
      </c>
      <c r="C1573" t="s">
        <v>2961</v>
      </c>
      <c r="D1573" t="s">
        <v>3096</v>
      </c>
      <c r="E1573" t="s">
        <v>3097</v>
      </c>
      <c r="F1573">
        <v>15.35</v>
      </c>
      <c r="G1573">
        <v>15.65</v>
      </c>
      <c r="H1573">
        <v>15.65</v>
      </c>
      <c r="I1573">
        <v>14.6</v>
      </c>
      <c r="J1573" s="1">
        <v>14.85</v>
      </c>
      <c r="K1573">
        <v>81059.350000000006</v>
      </c>
      <c r="L1573">
        <v>5480</v>
      </c>
      <c r="M1573" t="s">
        <v>78</v>
      </c>
      <c r="N1573" t="s">
        <v>17</v>
      </c>
      <c r="O1573">
        <v>33</v>
      </c>
      <c r="P1573">
        <v>20.05</v>
      </c>
      <c r="Q1573">
        <v>7.35</v>
      </c>
    </row>
    <row r="1574" spans="2:17" x14ac:dyDescent="0.25">
      <c r="B1574" t="s">
        <v>78</v>
      </c>
      <c r="C1574" t="s">
        <v>2961</v>
      </c>
      <c r="D1574" t="s">
        <v>3098</v>
      </c>
      <c r="E1574" t="s">
        <v>3099</v>
      </c>
      <c r="F1574">
        <v>41.35</v>
      </c>
      <c r="G1574">
        <v>41.7</v>
      </c>
      <c r="H1574">
        <v>42.35</v>
      </c>
      <c r="I1574">
        <v>40.549999999999997</v>
      </c>
      <c r="J1574" s="1">
        <v>40.799999999999997</v>
      </c>
      <c r="K1574">
        <v>609502.94999999995</v>
      </c>
      <c r="L1574">
        <v>14735</v>
      </c>
      <c r="M1574" t="s">
        <v>78</v>
      </c>
      <c r="N1574" t="s">
        <v>17</v>
      </c>
      <c r="O1574">
        <v>148</v>
      </c>
      <c r="P1574">
        <v>43.25</v>
      </c>
      <c r="Q1574">
        <v>25.45</v>
      </c>
    </row>
    <row r="1575" spans="2:17" x14ac:dyDescent="0.25">
      <c r="B1575" t="s">
        <v>78</v>
      </c>
      <c r="C1575" t="s">
        <v>2961</v>
      </c>
      <c r="D1575" t="s">
        <v>3100</v>
      </c>
      <c r="E1575" t="s">
        <v>3101</v>
      </c>
      <c r="F1575">
        <v>415.4</v>
      </c>
      <c r="G1575">
        <v>414.3</v>
      </c>
      <c r="H1575">
        <v>417.05</v>
      </c>
      <c r="I1575">
        <v>405.55</v>
      </c>
      <c r="J1575" s="1">
        <v>414.85</v>
      </c>
      <c r="K1575">
        <v>55886192.850000001</v>
      </c>
      <c r="L1575">
        <v>135746</v>
      </c>
      <c r="M1575" t="s">
        <v>78</v>
      </c>
      <c r="N1575" t="s">
        <v>17</v>
      </c>
      <c r="O1575">
        <v>2791</v>
      </c>
      <c r="P1575">
        <v>453.8</v>
      </c>
      <c r="Q1575">
        <v>104.25</v>
      </c>
    </row>
    <row r="1576" spans="2:17" x14ac:dyDescent="0.25">
      <c r="B1576" t="s">
        <v>78</v>
      </c>
      <c r="C1576" t="s">
        <v>2961</v>
      </c>
      <c r="D1576" t="s">
        <v>3102</v>
      </c>
      <c r="E1576" t="s">
        <v>3103</v>
      </c>
      <c r="F1576">
        <v>55.45</v>
      </c>
      <c r="G1576">
        <v>54.55</v>
      </c>
      <c r="H1576">
        <v>57.3</v>
      </c>
      <c r="I1576">
        <v>52.7</v>
      </c>
      <c r="J1576" s="1">
        <v>55</v>
      </c>
      <c r="K1576">
        <v>146358.5</v>
      </c>
      <c r="L1576">
        <v>2681</v>
      </c>
      <c r="M1576" t="s">
        <v>78</v>
      </c>
      <c r="N1576" t="s">
        <v>17</v>
      </c>
      <c r="O1576">
        <v>27</v>
      </c>
      <c r="P1576">
        <v>60.9</v>
      </c>
      <c r="Q1576">
        <v>23.1</v>
      </c>
    </row>
    <row r="1577" spans="2:17" x14ac:dyDescent="0.25">
      <c r="B1577" t="s">
        <v>78</v>
      </c>
      <c r="C1577" t="s">
        <v>2961</v>
      </c>
      <c r="D1577" t="s">
        <v>3104</v>
      </c>
      <c r="E1577" t="s">
        <v>3105</v>
      </c>
      <c r="F1577">
        <v>14.55</v>
      </c>
      <c r="G1577">
        <v>13.85</v>
      </c>
      <c r="H1577">
        <v>15.25</v>
      </c>
      <c r="I1577">
        <v>13.85</v>
      </c>
      <c r="J1577" s="1">
        <v>14.5</v>
      </c>
      <c r="K1577">
        <v>1499304.95</v>
      </c>
      <c r="L1577">
        <v>104066</v>
      </c>
      <c r="M1577" t="s">
        <v>78</v>
      </c>
      <c r="N1577" t="s">
        <v>17</v>
      </c>
      <c r="O1577">
        <v>185</v>
      </c>
      <c r="P1577">
        <v>21.6</v>
      </c>
      <c r="Q1577">
        <v>5.05</v>
      </c>
    </row>
    <row r="1578" spans="2:17" x14ac:dyDescent="0.25">
      <c r="B1578" t="s">
        <v>78</v>
      </c>
      <c r="C1578" t="s">
        <v>2961</v>
      </c>
      <c r="D1578" t="s">
        <v>3106</v>
      </c>
      <c r="E1578" t="s">
        <v>3107</v>
      </c>
      <c r="F1578">
        <v>52.4</v>
      </c>
      <c r="G1578">
        <v>54</v>
      </c>
      <c r="H1578">
        <v>55</v>
      </c>
      <c r="I1578">
        <v>52.5</v>
      </c>
      <c r="J1578" s="1">
        <v>55</v>
      </c>
      <c r="K1578">
        <v>19569034.550000001</v>
      </c>
      <c r="L1578">
        <v>356947</v>
      </c>
      <c r="M1578" t="s">
        <v>78</v>
      </c>
      <c r="N1578" t="s">
        <v>17</v>
      </c>
      <c r="O1578">
        <v>1052</v>
      </c>
      <c r="P1578">
        <v>114.7</v>
      </c>
      <c r="Q1578">
        <v>5.6</v>
      </c>
    </row>
    <row r="1579" spans="2:17" x14ac:dyDescent="0.25">
      <c r="B1579" t="s">
        <v>78</v>
      </c>
      <c r="C1579" t="s">
        <v>2961</v>
      </c>
      <c r="D1579" t="s">
        <v>3108</v>
      </c>
      <c r="E1579" t="s">
        <v>3109</v>
      </c>
      <c r="F1579">
        <v>282</v>
      </c>
      <c r="G1579">
        <v>282</v>
      </c>
      <c r="H1579">
        <v>282</v>
      </c>
      <c r="I1579">
        <v>271.2</v>
      </c>
      <c r="J1579" s="1">
        <v>273.3</v>
      </c>
      <c r="K1579">
        <v>104662.45</v>
      </c>
      <c r="L1579">
        <v>376</v>
      </c>
      <c r="M1579" t="s">
        <v>78</v>
      </c>
      <c r="N1579" t="s">
        <v>17</v>
      </c>
      <c r="O1579">
        <v>27</v>
      </c>
      <c r="P1579">
        <v>373.35</v>
      </c>
      <c r="Q1579">
        <v>128.80000000000001</v>
      </c>
    </row>
    <row r="1580" spans="2:17" x14ac:dyDescent="0.25">
      <c r="B1580" t="s">
        <v>78</v>
      </c>
      <c r="C1580" t="s">
        <v>2961</v>
      </c>
      <c r="D1580" t="s">
        <v>3110</v>
      </c>
      <c r="E1580" t="s">
        <v>3111</v>
      </c>
      <c r="F1580">
        <v>17.149999999999999</v>
      </c>
      <c r="G1580">
        <v>17.149999999999999</v>
      </c>
      <c r="H1580">
        <v>17.149999999999999</v>
      </c>
      <c r="I1580">
        <v>16.3</v>
      </c>
      <c r="J1580" s="1">
        <v>16.5</v>
      </c>
      <c r="K1580">
        <v>2389256.15</v>
      </c>
      <c r="L1580">
        <v>144881</v>
      </c>
      <c r="M1580" t="s">
        <v>78</v>
      </c>
      <c r="N1580" t="s">
        <v>17</v>
      </c>
      <c r="O1580">
        <v>561</v>
      </c>
      <c r="P1580">
        <v>18.45</v>
      </c>
      <c r="Q1580">
        <v>5.9</v>
      </c>
    </row>
    <row r="1581" spans="2:17" x14ac:dyDescent="0.25">
      <c r="B1581" t="s">
        <v>78</v>
      </c>
      <c r="C1581" t="s">
        <v>2961</v>
      </c>
      <c r="D1581" t="s">
        <v>3112</v>
      </c>
      <c r="E1581" t="s">
        <v>3113</v>
      </c>
      <c r="F1581">
        <v>4</v>
      </c>
      <c r="G1581">
        <v>4.0999999999999996</v>
      </c>
      <c r="H1581">
        <v>4.0999999999999996</v>
      </c>
      <c r="I1581">
        <v>3.8</v>
      </c>
      <c r="J1581" s="1">
        <v>4.05</v>
      </c>
      <c r="K1581">
        <v>334637.25</v>
      </c>
      <c r="L1581">
        <v>83332</v>
      </c>
      <c r="M1581" t="s">
        <v>78</v>
      </c>
      <c r="N1581" t="s">
        <v>17</v>
      </c>
      <c r="O1581">
        <v>165</v>
      </c>
      <c r="P1581">
        <v>5.15</v>
      </c>
      <c r="Q1581">
        <v>1</v>
      </c>
    </row>
    <row r="1582" spans="2:17" x14ac:dyDescent="0.25">
      <c r="B1582" t="s">
        <v>78</v>
      </c>
      <c r="C1582" t="s">
        <v>2961</v>
      </c>
      <c r="D1582" t="s">
        <v>3114</v>
      </c>
      <c r="E1582" t="s">
        <v>3115</v>
      </c>
      <c r="F1582">
        <v>2229</v>
      </c>
      <c r="G1582">
        <v>2240</v>
      </c>
      <c r="H1582">
        <v>2279.8000000000002</v>
      </c>
      <c r="I1582">
        <v>2220.0500000000002</v>
      </c>
      <c r="J1582" s="1">
        <v>2252.1999999999998</v>
      </c>
      <c r="K1582">
        <v>62881131.850000001</v>
      </c>
      <c r="L1582">
        <v>28109</v>
      </c>
      <c r="M1582" t="s">
        <v>78</v>
      </c>
      <c r="N1582" t="s">
        <v>17</v>
      </c>
      <c r="O1582">
        <v>1634</v>
      </c>
      <c r="P1582">
        <v>2279.8000000000002</v>
      </c>
      <c r="Q1582">
        <v>976</v>
      </c>
    </row>
    <row r="1583" spans="2:17" x14ac:dyDescent="0.25">
      <c r="B1583" t="s">
        <v>78</v>
      </c>
      <c r="C1583" t="s">
        <v>2961</v>
      </c>
      <c r="D1583" t="s">
        <v>3116</v>
      </c>
      <c r="E1583" t="s">
        <v>3117</v>
      </c>
      <c r="F1583">
        <v>100.35</v>
      </c>
      <c r="G1583">
        <v>96.4</v>
      </c>
      <c r="H1583">
        <v>103.9</v>
      </c>
      <c r="I1583">
        <v>96.4</v>
      </c>
      <c r="J1583" s="1">
        <v>99.05</v>
      </c>
      <c r="K1583">
        <v>14374040.6</v>
      </c>
      <c r="L1583">
        <v>144566</v>
      </c>
      <c r="M1583" t="s">
        <v>78</v>
      </c>
      <c r="N1583" t="s">
        <v>17</v>
      </c>
      <c r="O1583">
        <v>973</v>
      </c>
      <c r="P1583">
        <v>107.7</v>
      </c>
      <c r="Q1583">
        <v>26.75</v>
      </c>
    </row>
    <row r="1584" spans="2:17" x14ac:dyDescent="0.25">
      <c r="B1584" t="s">
        <v>78</v>
      </c>
      <c r="C1584" t="s">
        <v>2961</v>
      </c>
      <c r="D1584" t="s">
        <v>3118</v>
      </c>
      <c r="E1584" t="s">
        <v>3119</v>
      </c>
      <c r="F1584">
        <v>11.75</v>
      </c>
      <c r="G1584">
        <v>11.7</v>
      </c>
      <c r="H1584">
        <v>11.75</v>
      </c>
      <c r="I1584">
        <v>11.2</v>
      </c>
      <c r="J1584" s="1">
        <v>11.2</v>
      </c>
      <c r="K1584">
        <v>1079294.1499999999</v>
      </c>
      <c r="L1584">
        <v>94690</v>
      </c>
      <c r="M1584" t="s">
        <v>78</v>
      </c>
      <c r="N1584" t="s">
        <v>17</v>
      </c>
      <c r="O1584">
        <v>404</v>
      </c>
      <c r="P1584">
        <v>12.3</v>
      </c>
      <c r="Q1584">
        <v>6.75</v>
      </c>
    </row>
    <row r="1585" spans="2:17" x14ac:dyDescent="0.25">
      <c r="B1585" t="s">
        <v>78</v>
      </c>
      <c r="C1585" t="s">
        <v>2961</v>
      </c>
      <c r="D1585" t="s">
        <v>3120</v>
      </c>
      <c r="E1585" t="s">
        <v>3121</v>
      </c>
      <c r="F1585">
        <v>8.4499999999999993</v>
      </c>
      <c r="G1585">
        <v>8.85</v>
      </c>
      <c r="H1585">
        <v>8.85</v>
      </c>
      <c r="I1585">
        <v>8.85</v>
      </c>
      <c r="J1585" s="1">
        <v>8.85</v>
      </c>
      <c r="K1585">
        <v>4504.6499999999996</v>
      </c>
      <c r="L1585">
        <v>509</v>
      </c>
      <c r="M1585" t="s">
        <v>78</v>
      </c>
      <c r="N1585" t="s">
        <v>17</v>
      </c>
      <c r="O1585">
        <v>3</v>
      </c>
      <c r="P1585">
        <v>8.9499999999999993</v>
      </c>
      <c r="Q1585">
        <v>7.05</v>
      </c>
    </row>
    <row r="1586" spans="2:17" x14ac:dyDescent="0.25">
      <c r="B1586" t="s">
        <v>78</v>
      </c>
      <c r="C1586" t="s">
        <v>2961</v>
      </c>
      <c r="D1586" t="s">
        <v>3122</v>
      </c>
      <c r="E1586" t="s">
        <v>3123</v>
      </c>
      <c r="F1586">
        <v>3.65</v>
      </c>
      <c r="G1586">
        <v>3.7</v>
      </c>
      <c r="H1586">
        <v>3.8</v>
      </c>
      <c r="I1586">
        <v>3.5</v>
      </c>
      <c r="J1586" s="1">
        <v>3.7</v>
      </c>
      <c r="K1586">
        <v>481535.5</v>
      </c>
      <c r="L1586">
        <v>130991</v>
      </c>
      <c r="M1586" t="s">
        <v>78</v>
      </c>
      <c r="N1586" t="s">
        <v>17</v>
      </c>
      <c r="O1586">
        <v>235</v>
      </c>
      <c r="P1586">
        <v>4.4000000000000004</v>
      </c>
      <c r="Q1586">
        <v>2.0499999999999998</v>
      </c>
    </row>
    <row r="1587" spans="2:17" x14ac:dyDescent="0.25">
      <c r="B1587" t="s">
        <v>78</v>
      </c>
      <c r="C1587" t="s">
        <v>2961</v>
      </c>
      <c r="D1587" t="s">
        <v>3124</v>
      </c>
      <c r="E1587" t="s">
        <v>3125</v>
      </c>
      <c r="F1587">
        <v>1264.1500000000001</v>
      </c>
      <c r="G1587">
        <v>1261</v>
      </c>
      <c r="H1587">
        <v>1261</v>
      </c>
      <c r="I1587">
        <v>1200.95</v>
      </c>
      <c r="J1587" s="1">
        <v>1200.95</v>
      </c>
      <c r="K1587">
        <v>38001623.25</v>
      </c>
      <c r="L1587">
        <v>31405</v>
      </c>
      <c r="M1587" t="s">
        <v>78</v>
      </c>
      <c r="N1587" t="s">
        <v>17</v>
      </c>
      <c r="O1587">
        <v>1614</v>
      </c>
      <c r="P1587">
        <v>1261</v>
      </c>
      <c r="Q1587">
        <v>377</v>
      </c>
    </row>
    <row r="1588" spans="2:17" x14ac:dyDescent="0.25">
      <c r="B1588" t="s">
        <v>78</v>
      </c>
      <c r="C1588" t="s">
        <v>2961</v>
      </c>
      <c r="D1588" t="s">
        <v>3126</v>
      </c>
      <c r="E1588" t="s">
        <v>3127</v>
      </c>
      <c r="F1588">
        <v>2.1</v>
      </c>
      <c r="G1588">
        <v>2.2000000000000002</v>
      </c>
      <c r="H1588">
        <v>2.2000000000000002</v>
      </c>
      <c r="I1588">
        <v>2.2000000000000002</v>
      </c>
      <c r="J1588" s="1">
        <v>2.2000000000000002</v>
      </c>
      <c r="K1588">
        <v>5414591.5999999996</v>
      </c>
      <c r="L1588">
        <v>2461178</v>
      </c>
      <c r="M1588" t="s">
        <v>78</v>
      </c>
      <c r="N1588" t="s">
        <v>17</v>
      </c>
      <c r="O1588">
        <v>2511</v>
      </c>
      <c r="P1588">
        <v>2.2999999999999998</v>
      </c>
      <c r="Q1588">
        <v>0.55000000000000004</v>
      </c>
    </row>
    <row r="1589" spans="2:17" x14ac:dyDescent="0.25">
      <c r="B1589" t="s">
        <v>78</v>
      </c>
      <c r="C1589" t="s">
        <v>2961</v>
      </c>
      <c r="D1589" t="s">
        <v>3128</v>
      </c>
      <c r="E1589" t="s">
        <v>3129</v>
      </c>
      <c r="F1589">
        <v>25.25</v>
      </c>
      <c r="G1589">
        <v>26.25</v>
      </c>
      <c r="H1589">
        <v>26.25</v>
      </c>
      <c r="I1589">
        <v>24</v>
      </c>
      <c r="J1589" s="1">
        <v>24.15</v>
      </c>
      <c r="K1589">
        <v>493869.3</v>
      </c>
      <c r="L1589">
        <v>20236</v>
      </c>
      <c r="M1589" t="s">
        <v>78</v>
      </c>
      <c r="N1589" t="s">
        <v>17</v>
      </c>
      <c r="O1589">
        <v>90</v>
      </c>
      <c r="P1589">
        <v>28.55</v>
      </c>
      <c r="Q1589">
        <v>6.1</v>
      </c>
    </row>
    <row r="1590" spans="2:17" x14ac:dyDescent="0.25">
      <c r="B1590" t="s">
        <v>78</v>
      </c>
      <c r="C1590" t="s">
        <v>2961</v>
      </c>
      <c r="D1590" t="s">
        <v>3130</v>
      </c>
      <c r="E1590" t="s">
        <v>3131</v>
      </c>
      <c r="F1590">
        <v>91.25</v>
      </c>
      <c r="G1590">
        <v>90</v>
      </c>
      <c r="H1590">
        <v>92</v>
      </c>
      <c r="I1590">
        <v>89</v>
      </c>
      <c r="J1590" s="1">
        <v>91.35</v>
      </c>
      <c r="K1590">
        <v>2103906.35</v>
      </c>
      <c r="L1590">
        <v>23296</v>
      </c>
      <c r="M1590" t="s">
        <v>78</v>
      </c>
      <c r="N1590" t="s">
        <v>17</v>
      </c>
      <c r="O1590">
        <v>293</v>
      </c>
      <c r="P1590">
        <v>699</v>
      </c>
      <c r="Q1590">
        <v>89</v>
      </c>
    </row>
    <row r="1591" spans="2:17" x14ac:dyDescent="0.25">
      <c r="B1591" t="s">
        <v>78</v>
      </c>
      <c r="C1591" t="s">
        <v>2961</v>
      </c>
      <c r="D1591" t="s">
        <v>3132</v>
      </c>
      <c r="E1591" t="s">
        <v>3133</v>
      </c>
      <c r="F1591">
        <v>2.5</v>
      </c>
      <c r="G1591">
        <v>2.5499999999999998</v>
      </c>
      <c r="H1591">
        <v>2.5499999999999998</v>
      </c>
      <c r="I1591">
        <v>2.4</v>
      </c>
      <c r="J1591" s="1">
        <v>2.4</v>
      </c>
      <c r="K1591">
        <v>2119957</v>
      </c>
      <c r="L1591">
        <v>864222</v>
      </c>
      <c r="M1591" t="s">
        <v>78</v>
      </c>
      <c r="N1591" t="s">
        <v>17</v>
      </c>
      <c r="O1591">
        <v>1128</v>
      </c>
      <c r="P1591">
        <v>3.7</v>
      </c>
      <c r="Q1591">
        <v>2.0499999999999998</v>
      </c>
    </row>
    <row r="1592" spans="2:17" x14ac:dyDescent="0.25">
      <c r="B1592" t="s">
        <v>78</v>
      </c>
      <c r="C1592" t="s">
        <v>2961</v>
      </c>
      <c r="D1592" t="s">
        <v>3134</v>
      </c>
      <c r="E1592" t="s">
        <v>3135</v>
      </c>
      <c r="F1592">
        <v>130.85</v>
      </c>
      <c r="G1592">
        <v>130.69999999999999</v>
      </c>
      <c r="H1592">
        <v>130.69999999999999</v>
      </c>
      <c r="I1592">
        <v>124.35</v>
      </c>
      <c r="J1592" s="1">
        <v>125.5</v>
      </c>
      <c r="K1592">
        <v>7921685.4000000004</v>
      </c>
      <c r="L1592">
        <v>62923</v>
      </c>
      <c r="M1592" t="s">
        <v>78</v>
      </c>
      <c r="N1592" t="s">
        <v>17</v>
      </c>
      <c r="O1592">
        <v>410</v>
      </c>
      <c r="P1592">
        <v>130.94999999999999</v>
      </c>
      <c r="Q1592">
        <v>22.1</v>
      </c>
    </row>
    <row r="1593" spans="2:17" x14ac:dyDescent="0.25">
      <c r="B1593" t="s">
        <v>78</v>
      </c>
      <c r="C1593" t="s">
        <v>2961</v>
      </c>
      <c r="D1593" t="s">
        <v>3136</v>
      </c>
      <c r="E1593" t="s">
        <v>3137</v>
      </c>
      <c r="F1593">
        <v>1.1000000000000001</v>
      </c>
      <c r="G1593">
        <v>1.1499999999999999</v>
      </c>
      <c r="H1593">
        <v>1.1499999999999999</v>
      </c>
      <c r="I1593">
        <v>1.1000000000000001</v>
      </c>
      <c r="J1593" s="1">
        <v>1.1499999999999999</v>
      </c>
      <c r="K1593">
        <v>112042.65</v>
      </c>
      <c r="L1593">
        <v>97691</v>
      </c>
      <c r="M1593" t="s">
        <v>78</v>
      </c>
      <c r="N1593" t="s">
        <v>17</v>
      </c>
      <c r="O1593">
        <v>150</v>
      </c>
      <c r="P1593">
        <v>5.8</v>
      </c>
      <c r="Q1593">
        <v>0.5</v>
      </c>
    </row>
    <row r="1594" spans="2:17" x14ac:dyDescent="0.25">
      <c r="B1594" t="s">
        <v>78</v>
      </c>
      <c r="C1594" t="s">
        <v>2961</v>
      </c>
      <c r="D1594" t="s">
        <v>3138</v>
      </c>
      <c r="E1594" t="s">
        <v>3139</v>
      </c>
      <c r="F1594">
        <v>1.1499999999999999</v>
      </c>
      <c r="G1594">
        <v>1.2</v>
      </c>
      <c r="H1594">
        <v>1.2</v>
      </c>
      <c r="I1594">
        <v>1.1499999999999999</v>
      </c>
      <c r="J1594" s="1">
        <v>1.2</v>
      </c>
      <c r="K1594">
        <v>1286498.8500000001</v>
      </c>
      <c r="L1594">
        <v>1076076</v>
      </c>
      <c r="M1594" t="s">
        <v>78</v>
      </c>
      <c r="N1594" t="s">
        <v>17</v>
      </c>
      <c r="O1594">
        <v>458</v>
      </c>
      <c r="P1594">
        <v>1.2</v>
      </c>
      <c r="Q1594">
        <v>0.35</v>
      </c>
    </row>
    <row r="1595" spans="2:17" x14ac:dyDescent="0.25">
      <c r="B1595" t="s">
        <v>78</v>
      </c>
      <c r="C1595" t="s">
        <v>2961</v>
      </c>
      <c r="D1595" t="s">
        <v>3140</v>
      </c>
      <c r="E1595" t="s">
        <v>3141</v>
      </c>
      <c r="F1595">
        <v>283.05</v>
      </c>
      <c r="G1595">
        <v>283.10000000000002</v>
      </c>
      <c r="H1595">
        <v>290</v>
      </c>
      <c r="I1595">
        <v>282</v>
      </c>
      <c r="J1595" s="1">
        <v>284.45</v>
      </c>
      <c r="K1595">
        <v>9997561.9499999993</v>
      </c>
      <c r="L1595">
        <v>35038</v>
      </c>
      <c r="M1595" t="s">
        <v>78</v>
      </c>
      <c r="N1595" t="s">
        <v>17</v>
      </c>
      <c r="O1595">
        <v>1518</v>
      </c>
      <c r="P1595">
        <v>314.5</v>
      </c>
      <c r="Q1595">
        <v>96.15</v>
      </c>
    </row>
    <row r="1596" spans="2:17" x14ac:dyDescent="0.25">
      <c r="B1596" t="s">
        <v>78</v>
      </c>
      <c r="C1596" t="s">
        <v>2961</v>
      </c>
      <c r="D1596" t="s">
        <v>3142</v>
      </c>
      <c r="E1596" t="s">
        <v>3143</v>
      </c>
      <c r="F1596">
        <v>3</v>
      </c>
      <c r="G1596">
        <v>3.15</v>
      </c>
      <c r="H1596">
        <v>3.15</v>
      </c>
      <c r="I1596">
        <v>3.15</v>
      </c>
      <c r="J1596" s="1">
        <v>3.15</v>
      </c>
      <c r="K1596">
        <v>311.85000000000002</v>
      </c>
      <c r="L1596">
        <v>99</v>
      </c>
      <c r="M1596" t="s">
        <v>78</v>
      </c>
      <c r="N1596" t="s">
        <v>17</v>
      </c>
      <c r="O1596">
        <v>1</v>
      </c>
      <c r="P1596">
        <v>3.8</v>
      </c>
      <c r="Q1596">
        <v>1.2</v>
      </c>
    </row>
    <row r="1597" spans="2:17" x14ac:dyDescent="0.25">
      <c r="B1597" t="s">
        <v>78</v>
      </c>
      <c r="C1597" t="s">
        <v>2961</v>
      </c>
      <c r="D1597" t="s">
        <v>3144</v>
      </c>
      <c r="E1597" t="s">
        <v>3145</v>
      </c>
      <c r="F1597">
        <v>175.4</v>
      </c>
      <c r="G1597">
        <v>166.65</v>
      </c>
      <c r="H1597">
        <v>166.65</v>
      </c>
      <c r="I1597">
        <v>166.65</v>
      </c>
      <c r="J1597" s="1">
        <v>166.65</v>
      </c>
      <c r="K1597">
        <v>2234443.2000000002</v>
      </c>
      <c r="L1597">
        <v>13408</v>
      </c>
      <c r="M1597" t="s">
        <v>78</v>
      </c>
      <c r="N1597" t="s">
        <v>17</v>
      </c>
      <c r="O1597">
        <v>373</v>
      </c>
      <c r="P1597">
        <v>204.5</v>
      </c>
      <c r="Q1597">
        <v>42.6</v>
      </c>
    </row>
    <row r="1598" spans="2:17" x14ac:dyDescent="0.25">
      <c r="B1598" t="s">
        <v>78</v>
      </c>
      <c r="C1598" t="s">
        <v>2961</v>
      </c>
      <c r="D1598" t="s">
        <v>3146</v>
      </c>
      <c r="E1598" t="s">
        <v>3147</v>
      </c>
      <c r="F1598">
        <v>675.3</v>
      </c>
      <c r="G1598">
        <v>675.3</v>
      </c>
      <c r="H1598">
        <v>696</v>
      </c>
      <c r="I1598">
        <v>663</v>
      </c>
      <c r="J1598" s="1">
        <v>680.85</v>
      </c>
      <c r="K1598">
        <v>41952533.549999997</v>
      </c>
      <c r="L1598">
        <v>61232</v>
      </c>
      <c r="M1598" t="s">
        <v>78</v>
      </c>
      <c r="N1598" t="s">
        <v>17</v>
      </c>
      <c r="O1598">
        <v>1890</v>
      </c>
      <c r="P1598">
        <v>774.95</v>
      </c>
      <c r="Q1598">
        <v>108</v>
      </c>
    </row>
    <row r="1599" spans="2:17" x14ac:dyDescent="0.25">
      <c r="B1599" t="s">
        <v>78</v>
      </c>
      <c r="C1599" t="s">
        <v>2961</v>
      </c>
      <c r="D1599" t="s">
        <v>3148</v>
      </c>
      <c r="E1599" t="s">
        <v>3149</v>
      </c>
      <c r="F1599">
        <v>395.25</v>
      </c>
      <c r="G1599">
        <v>390</v>
      </c>
      <c r="H1599">
        <v>395</v>
      </c>
      <c r="I1599">
        <v>378</v>
      </c>
      <c r="J1599" s="1">
        <v>388.9</v>
      </c>
      <c r="K1599">
        <v>4616942.5</v>
      </c>
      <c r="L1599">
        <v>11907</v>
      </c>
      <c r="M1599" t="s">
        <v>78</v>
      </c>
      <c r="N1599" t="s">
        <v>17</v>
      </c>
      <c r="O1599">
        <v>400</v>
      </c>
      <c r="P1599">
        <v>429.35</v>
      </c>
      <c r="Q1599">
        <v>234.3</v>
      </c>
    </row>
    <row r="1600" spans="2:17" x14ac:dyDescent="0.25">
      <c r="B1600" t="s">
        <v>78</v>
      </c>
      <c r="C1600" t="s">
        <v>2961</v>
      </c>
      <c r="D1600" t="s">
        <v>3150</v>
      </c>
      <c r="E1600" t="s">
        <v>3151</v>
      </c>
      <c r="F1600">
        <v>42</v>
      </c>
      <c r="G1600">
        <v>41</v>
      </c>
      <c r="H1600">
        <v>43.9</v>
      </c>
      <c r="I1600">
        <v>40.85</v>
      </c>
      <c r="J1600" s="1">
        <v>43.4</v>
      </c>
      <c r="K1600">
        <v>3888.6</v>
      </c>
      <c r="L1600">
        <v>91</v>
      </c>
      <c r="M1600" t="s">
        <v>78</v>
      </c>
      <c r="N1600" t="s">
        <v>17</v>
      </c>
      <c r="O1600">
        <v>8</v>
      </c>
      <c r="P1600">
        <v>45.1</v>
      </c>
      <c r="Q1600">
        <v>36.6</v>
      </c>
    </row>
    <row r="1601" spans="2:17" x14ac:dyDescent="0.25">
      <c r="B1601" t="s">
        <v>78</v>
      </c>
      <c r="C1601" t="s">
        <v>2961</v>
      </c>
      <c r="D1601" t="s">
        <v>3152</v>
      </c>
      <c r="E1601" t="s">
        <v>3153</v>
      </c>
      <c r="F1601">
        <v>45.75</v>
      </c>
      <c r="G1601">
        <v>45</v>
      </c>
      <c r="H1601">
        <v>47.9</v>
      </c>
      <c r="I1601">
        <v>43.5</v>
      </c>
      <c r="J1601" s="1">
        <v>47.9</v>
      </c>
      <c r="K1601">
        <v>393662.45</v>
      </c>
      <c r="L1601">
        <v>8397</v>
      </c>
      <c r="M1601" t="s">
        <v>78</v>
      </c>
      <c r="N1601" t="s">
        <v>17</v>
      </c>
      <c r="O1601">
        <v>43</v>
      </c>
      <c r="P1601">
        <v>70.7</v>
      </c>
      <c r="Q1601">
        <v>26.6</v>
      </c>
    </row>
    <row r="1602" spans="2:17" x14ac:dyDescent="0.25">
      <c r="B1602" t="s">
        <v>78</v>
      </c>
      <c r="C1602" t="s">
        <v>2961</v>
      </c>
      <c r="D1602" t="s">
        <v>3154</v>
      </c>
      <c r="E1602" t="s">
        <v>3155</v>
      </c>
      <c r="F1602">
        <v>1409.65</v>
      </c>
      <c r="G1602">
        <v>1429</v>
      </c>
      <c r="H1602">
        <v>1480.1</v>
      </c>
      <c r="I1602">
        <v>1420</v>
      </c>
      <c r="J1602" s="1">
        <v>1480.1</v>
      </c>
      <c r="K1602">
        <v>83012055.700000003</v>
      </c>
      <c r="L1602">
        <v>56420</v>
      </c>
      <c r="M1602" t="s">
        <v>78</v>
      </c>
      <c r="N1602" t="s">
        <v>17</v>
      </c>
      <c r="O1602">
        <v>2540</v>
      </c>
      <c r="P1602">
        <v>1503</v>
      </c>
      <c r="Q1602">
        <v>191.45</v>
      </c>
    </row>
    <row r="1603" spans="2:17" x14ac:dyDescent="0.25">
      <c r="B1603" t="s">
        <v>78</v>
      </c>
      <c r="C1603" t="s">
        <v>2961</v>
      </c>
      <c r="D1603" t="s">
        <v>3156</v>
      </c>
      <c r="E1603" t="s">
        <v>3157</v>
      </c>
      <c r="F1603">
        <v>246.85</v>
      </c>
      <c r="G1603">
        <v>249</v>
      </c>
      <c r="H1603">
        <v>250</v>
      </c>
      <c r="I1603">
        <v>239</v>
      </c>
      <c r="J1603" s="1">
        <v>242.2</v>
      </c>
      <c r="K1603">
        <v>13577477.65</v>
      </c>
      <c r="L1603">
        <v>55397</v>
      </c>
      <c r="M1603" t="s">
        <v>78</v>
      </c>
      <c r="N1603" t="s">
        <v>17</v>
      </c>
      <c r="O1603">
        <v>929</v>
      </c>
      <c r="P1603">
        <v>259</v>
      </c>
      <c r="Q1603">
        <v>35.9</v>
      </c>
    </row>
    <row r="1604" spans="2:17" x14ac:dyDescent="0.25">
      <c r="B1604" t="s">
        <v>78</v>
      </c>
      <c r="C1604" t="s">
        <v>2961</v>
      </c>
      <c r="D1604" t="s">
        <v>3158</v>
      </c>
      <c r="E1604" t="s">
        <v>3159</v>
      </c>
      <c r="F1604">
        <v>52.7</v>
      </c>
      <c r="G1604">
        <v>50.1</v>
      </c>
      <c r="H1604">
        <v>50.1</v>
      </c>
      <c r="I1604">
        <v>50.1</v>
      </c>
      <c r="J1604" s="1">
        <v>50.1</v>
      </c>
      <c r="K1604">
        <v>237924.9</v>
      </c>
      <c r="L1604">
        <v>4749</v>
      </c>
      <c r="M1604" t="s">
        <v>78</v>
      </c>
      <c r="N1604" t="s">
        <v>17</v>
      </c>
      <c r="O1604">
        <v>49</v>
      </c>
      <c r="P1604">
        <v>84.95</v>
      </c>
      <c r="Q1604">
        <v>9.5</v>
      </c>
    </row>
    <row r="1605" spans="2:17" x14ac:dyDescent="0.25">
      <c r="B1605" t="s">
        <v>78</v>
      </c>
      <c r="C1605" t="s">
        <v>2961</v>
      </c>
      <c r="D1605" t="s">
        <v>3160</v>
      </c>
      <c r="E1605" t="s">
        <v>3161</v>
      </c>
      <c r="F1605">
        <v>234.2</v>
      </c>
      <c r="G1605">
        <v>239</v>
      </c>
      <c r="H1605">
        <v>239.9</v>
      </c>
      <c r="I1605">
        <v>226.75</v>
      </c>
      <c r="J1605" s="1">
        <v>236.25</v>
      </c>
      <c r="K1605">
        <v>17486478.699999999</v>
      </c>
      <c r="L1605">
        <v>74427</v>
      </c>
      <c r="M1605" t="s">
        <v>78</v>
      </c>
      <c r="N1605" t="s">
        <v>17</v>
      </c>
      <c r="O1605">
        <v>759</v>
      </c>
      <c r="P1605">
        <v>242.75</v>
      </c>
      <c r="Q1605">
        <v>36.4</v>
      </c>
    </row>
    <row r="1606" spans="2:17" x14ac:dyDescent="0.25">
      <c r="B1606" t="s">
        <v>78</v>
      </c>
      <c r="C1606" t="s">
        <v>2961</v>
      </c>
      <c r="D1606" t="s">
        <v>3162</v>
      </c>
      <c r="E1606" t="s">
        <v>3163</v>
      </c>
      <c r="F1606">
        <v>1.9</v>
      </c>
      <c r="G1606">
        <v>1.85</v>
      </c>
      <c r="H1606">
        <v>1.85</v>
      </c>
      <c r="I1606">
        <v>1.85</v>
      </c>
      <c r="J1606" s="1">
        <v>1.85</v>
      </c>
      <c r="K1606">
        <v>224479</v>
      </c>
      <c r="L1606">
        <v>121340</v>
      </c>
      <c r="M1606" t="s">
        <v>78</v>
      </c>
      <c r="N1606" t="s">
        <v>17</v>
      </c>
      <c r="O1606">
        <v>147</v>
      </c>
      <c r="P1606">
        <v>2.7</v>
      </c>
      <c r="Q1606">
        <v>0.55000000000000004</v>
      </c>
    </row>
    <row r="1607" spans="2:17" x14ac:dyDescent="0.25">
      <c r="B1607" t="s">
        <v>78</v>
      </c>
      <c r="C1607" t="s">
        <v>2961</v>
      </c>
      <c r="D1607" t="s">
        <v>3164</v>
      </c>
      <c r="E1607" t="s">
        <v>3165</v>
      </c>
      <c r="F1607">
        <v>80.25</v>
      </c>
      <c r="G1607">
        <v>79</v>
      </c>
      <c r="H1607">
        <v>84</v>
      </c>
      <c r="I1607">
        <v>78</v>
      </c>
      <c r="J1607" s="1">
        <v>81.8</v>
      </c>
      <c r="K1607">
        <v>447352850.55000001</v>
      </c>
      <c r="L1607">
        <v>5490652</v>
      </c>
      <c r="M1607" t="s">
        <v>78</v>
      </c>
      <c r="N1607" t="s">
        <v>17</v>
      </c>
      <c r="O1607">
        <v>29436</v>
      </c>
      <c r="P1607">
        <v>93</v>
      </c>
      <c r="Q1607">
        <v>17</v>
      </c>
    </row>
    <row r="1608" spans="2:17" x14ac:dyDescent="0.25">
      <c r="B1608" t="s">
        <v>78</v>
      </c>
      <c r="C1608" t="s">
        <v>2961</v>
      </c>
      <c r="D1608" t="s">
        <v>3166</v>
      </c>
      <c r="E1608" t="s">
        <v>3167</v>
      </c>
      <c r="F1608">
        <v>3107.5</v>
      </c>
      <c r="G1608">
        <v>3188</v>
      </c>
      <c r="H1608">
        <v>3262.85</v>
      </c>
      <c r="I1608">
        <v>2977</v>
      </c>
      <c r="J1608" s="1">
        <v>3123.95</v>
      </c>
      <c r="K1608">
        <v>304514860.35000002</v>
      </c>
      <c r="L1608">
        <v>97231</v>
      </c>
      <c r="M1608" t="s">
        <v>78</v>
      </c>
      <c r="N1608" t="s">
        <v>17</v>
      </c>
      <c r="O1608">
        <v>4388</v>
      </c>
      <c r="P1608">
        <v>3262.85</v>
      </c>
      <c r="Q1608">
        <v>561.85</v>
      </c>
    </row>
    <row r="1609" spans="2:17" x14ac:dyDescent="0.25">
      <c r="B1609" t="s">
        <v>78</v>
      </c>
      <c r="C1609" t="s">
        <v>2961</v>
      </c>
      <c r="D1609" t="s">
        <v>3168</v>
      </c>
      <c r="E1609" t="s">
        <v>3169</v>
      </c>
      <c r="F1609">
        <v>11.85</v>
      </c>
      <c r="G1609">
        <v>12</v>
      </c>
      <c r="H1609">
        <v>12</v>
      </c>
      <c r="I1609">
        <v>11.5</v>
      </c>
      <c r="J1609" s="1">
        <v>11.95</v>
      </c>
      <c r="K1609">
        <v>165682.45000000001</v>
      </c>
      <c r="L1609">
        <v>13947</v>
      </c>
      <c r="M1609" t="s">
        <v>78</v>
      </c>
      <c r="N1609" t="s">
        <v>17</v>
      </c>
      <c r="O1609">
        <v>39</v>
      </c>
      <c r="P1609">
        <v>13.4</v>
      </c>
      <c r="Q1609">
        <v>10.199999999999999</v>
      </c>
    </row>
    <row r="1610" spans="2:17" x14ac:dyDescent="0.25">
      <c r="B1610" t="s">
        <v>78</v>
      </c>
      <c r="C1610" t="s">
        <v>2961</v>
      </c>
      <c r="D1610" t="s">
        <v>3170</v>
      </c>
      <c r="E1610" t="s">
        <v>3171</v>
      </c>
      <c r="F1610">
        <v>48.3</v>
      </c>
      <c r="G1610">
        <v>47.75</v>
      </c>
      <c r="H1610">
        <v>50</v>
      </c>
      <c r="I1610">
        <v>47.75</v>
      </c>
      <c r="J1610" s="1">
        <v>49.05</v>
      </c>
      <c r="K1610">
        <v>1630264.2</v>
      </c>
      <c r="L1610">
        <v>33238</v>
      </c>
      <c r="M1610" t="s">
        <v>78</v>
      </c>
      <c r="N1610" t="s">
        <v>17</v>
      </c>
      <c r="O1610">
        <v>200</v>
      </c>
      <c r="P1610">
        <v>51.65</v>
      </c>
      <c r="Q1610">
        <v>27.25</v>
      </c>
    </row>
    <row r="1611" spans="2:17" x14ac:dyDescent="0.25">
      <c r="B1611" t="s">
        <v>78</v>
      </c>
      <c r="C1611" t="s">
        <v>2961</v>
      </c>
      <c r="D1611" t="s">
        <v>3172</v>
      </c>
      <c r="E1611" t="s">
        <v>3173</v>
      </c>
      <c r="F1611">
        <v>1985.2</v>
      </c>
      <c r="G1611">
        <v>1985.2</v>
      </c>
      <c r="H1611">
        <v>2000</v>
      </c>
      <c r="I1611">
        <v>1975</v>
      </c>
      <c r="J1611" s="1">
        <v>1982.95</v>
      </c>
      <c r="K1611">
        <v>6511335.7000000002</v>
      </c>
      <c r="L1611">
        <v>3277</v>
      </c>
      <c r="M1611" t="s">
        <v>78</v>
      </c>
      <c r="N1611" t="s">
        <v>17</v>
      </c>
      <c r="O1611">
        <v>884</v>
      </c>
      <c r="P1611">
        <v>2169</v>
      </c>
      <c r="Q1611">
        <v>446.5</v>
      </c>
    </row>
    <row r="1612" spans="2:17" x14ac:dyDescent="0.25">
      <c r="B1612" t="s">
        <v>78</v>
      </c>
      <c r="C1612" t="s">
        <v>2961</v>
      </c>
      <c r="D1612" t="s">
        <v>3174</v>
      </c>
      <c r="E1612" t="s">
        <v>3175</v>
      </c>
      <c r="F1612">
        <v>3.3</v>
      </c>
      <c r="G1612">
        <v>3.45</v>
      </c>
      <c r="H1612">
        <v>3.45</v>
      </c>
      <c r="I1612">
        <v>3.45</v>
      </c>
      <c r="J1612" s="1">
        <v>3.45</v>
      </c>
      <c r="K1612">
        <v>4950.75</v>
      </c>
      <c r="L1612">
        <v>1435</v>
      </c>
      <c r="M1612" t="s">
        <v>78</v>
      </c>
      <c r="N1612" t="s">
        <v>17</v>
      </c>
      <c r="O1612">
        <v>3</v>
      </c>
      <c r="P1612">
        <v>3.45</v>
      </c>
      <c r="Q1612">
        <v>0.9</v>
      </c>
    </row>
    <row r="1613" spans="2:17" x14ac:dyDescent="0.25">
      <c r="B1613" t="s">
        <v>78</v>
      </c>
      <c r="C1613" t="s">
        <v>2961</v>
      </c>
      <c r="D1613" t="s">
        <v>3176</v>
      </c>
      <c r="E1613" t="s">
        <v>3177</v>
      </c>
      <c r="F1613">
        <v>26.7</v>
      </c>
      <c r="G1613">
        <v>27.5</v>
      </c>
      <c r="H1613">
        <v>27.5</v>
      </c>
      <c r="I1613">
        <v>26.25</v>
      </c>
      <c r="J1613" s="1">
        <v>26.95</v>
      </c>
      <c r="K1613">
        <v>1163263.3999999999</v>
      </c>
      <c r="L1613">
        <v>43175</v>
      </c>
      <c r="M1613" t="s">
        <v>78</v>
      </c>
      <c r="N1613" t="s">
        <v>17</v>
      </c>
      <c r="O1613">
        <v>160</v>
      </c>
      <c r="P1613">
        <v>32.4</v>
      </c>
      <c r="Q1613">
        <v>14.45</v>
      </c>
    </row>
    <row r="1614" spans="2:17" x14ac:dyDescent="0.25">
      <c r="B1614" t="s">
        <v>78</v>
      </c>
      <c r="C1614" t="s">
        <v>2961</v>
      </c>
      <c r="D1614" t="s">
        <v>3178</v>
      </c>
      <c r="E1614" t="s">
        <v>3178</v>
      </c>
      <c r="F1614">
        <v>25.25</v>
      </c>
      <c r="G1614">
        <v>26.5</v>
      </c>
      <c r="H1614">
        <v>26.5</v>
      </c>
      <c r="I1614">
        <v>26.5</v>
      </c>
      <c r="J1614" s="1">
        <v>26.5</v>
      </c>
      <c r="K1614">
        <v>2120</v>
      </c>
      <c r="L1614">
        <v>80</v>
      </c>
      <c r="M1614" t="s">
        <v>78</v>
      </c>
      <c r="N1614" t="s">
        <v>17</v>
      </c>
      <c r="O1614">
        <v>1</v>
      </c>
      <c r="P1614">
        <v>26.5</v>
      </c>
      <c r="Q1614">
        <v>17.25</v>
      </c>
    </row>
    <row r="1615" spans="2:17" x14ac:dyDescent="0.25">
      <c r="B1615" t="s">
        <v>78</v>
      </c>
      <c r="C1615" t="s">
        <v>2961</v>
      </c>
      <c r="D1615" t="s">
        <v>3179</v>
      </c>
      <c r="E1615" t="s">
        <v>3180</v>
      </c>
      <c r="F1615">
        <v>270.5</v>
      </c>
      <c r="G1615">
        <v>268</v>
      </c>
      <c r="H1615">
        <v>270.35000000000002</v>
      </c>
      <c r="I1615">
        <v>257</v>
      </c>
      <c r="J1615" s="1">
        <v>265.39999999999998</v>
      </c>
      <c r="K1615">
        <v>33233358.550000001</v>
      </c>
      <c r="L1615">
        <v>125604</v>
      </c>
      <c r="M1615" t="s">
        <v>78</v>
      </c>
      <c r="N1615" t="s">
        <v>17</v>
      </c>
      <c r="O1615">
        <v>1514</v>
      </c>
      <c r="P1615">
        <v>514</v>
      </c>
      <c r="Q1615">
        <v>144.94999999999999</v>
      </c>
    </row>
    <row r="1616" spans="2:17" x14ac:dyDescent="0.25">
      <c r="B1616" t="s">
        <v>78</v>
      </c>
      <c r="C1616" t="s">
        <v>2961</v>
      </c>
      <c r="D1616" t="s">
        <v>3181</v>
      </c>
      <c r="E1616" t="s">
        <v>3182</v>
      </c>
      <c r="F1616">
        <v>8.5</v>
      </c>
      <c r="G1616">
        <v>8.5</v>
      </c>
      <c r="H1616">
        <v>8.9</v>
      </c>
      <c r="I1616">
        <v>8.5</v>
      </c>
      <c r="J1616" s="1">
        <v>8.6999999999999993</v>
      </c>
      <c r="K1616">
        <v>3042321.35</v>
      </c>
      <c r="L1616">
        <v>348124</v>
      </c>
      <c r="M1616" t="s">
        <v>78</v>
      </c>
      <c r="N1616" t="s">
        <v>17</v>
      </c>
      <c r="O1616">
        <v>457</v>
      </c>
      <c r="P1616">
        <v>9.4499999999999993</v>
      </c>
      <c r="Q1616">
        <v>4.25</v>
      </c>
    </row>
    <row r="1617" spans="2:17" x14ac:dyDescent="0.25">
      <c r="B1617" t="s">
        <v>78</v>
      </c>
      <c r="C1617" t="s">
        <v>2961</v>
      </c>
      <c r="D1617" t="s">
        <v>3183</v>
      </c>
      <c r="E1617" t="s">
        <v>3184</v>
      </c>
      <c r="F1617">
        <v>1.1000000000000001</v>
      </c>
      <c r="G1617">
        <v>1.1000000000000001</v>
      </c>
      <c r="H1617">
        <v>1.1000000000000001</v>
      </c>
      <c r="I1617">
        <v>1.1000000000000001</v>
      </c>
      <c r="J1617" s="1">
        <v>1.1000000000000001</v>
      </c>
      <c r="K1617">
        <v>19974.900000000001</v>
      </c>
      <c r="L1617">
        <v>18159</v>
      </c>
      <c r="M1617" t="s">
        <v>78</v>
      </c>
      <c r="N1617" t="s">
        <v>17</v>
      </c>
      <c r="O1617">
        <v>17</v>
      </c>
      <c r="P1617">
        <v>1.25</v>
      </c>
      <c r="Q1617">
        <v>0.35</v>
      </c>
    </row>
    <row r="1618" spans="2:17" x14ac:dyDescent="0.25">
      <c r="B1618" t="s">
        <v>78</v>
      </c>
      <c r="C1618" t="s">
        <v>2961</v>
      </c>
      <c r="D1618" t="s">
        <v>3185</v>
      </c>
      <c r="E1618" t="s">
        <v>3186</v>
      </c>
      <c r="F1618">
        <v>59.85</v>
      </c>
      <c r="G1618">
        <v>59.85</v>
      </c>
      <c r="H1618">
        <v>62.35</v>
      </c>
      <c r="I1618">
        <v>58.05</v>
      </c>
      <c r="J1618" s="1">
        <v>60.4</v>
      </c>
      <c r="K1618">
        <v>8833376.5999999996</v>
      </c>
      <c r="L1618">
        <v>144972</v>
      </c>
      <c r="M1618" t="s">
        <v>78</v>
      </c>
      <c r="N1618" t="s">
        <v>17</v>
      </c>
      <c r="O1618">
        <v>1039</v>
      </c>
      <c r="P1618">
        <v>62.35</v>
      </c>
      <c r="Q1618">
        <v>16.8</v>
      </c>
    </row>
    <row r="1619" spans="2:17" x14ac:dyDescent="0.25">
      <c r="B1619" t="s">
        <v>78</v>
      </c>
      <c r="C1619" t="s">
        <v>2961</v>
      </c>
      <c r="D1619" t="s">
        <v>3187</v>
      </c>
      <c r="E1619" t="s">
        <v>3188</v>
      </c>
      <c r="F1619">
        <v>62.75</v>
      </c>
      <c r="G1619">
        <v>65.75</v>
      </c>
      <c r="H1619">
        <v>65.849999999999994</v>
      </c>
      <c r="I1619">
        <v>62.75</v>
      </c>
      <c r="J1619" s="1">
        <v>65.849999999999994</v>
      </c>
      <c r="K1619">
        <v>2242313.5499999998</v>
      </c>
      <c r="L1619">
        <v>34568</v>
      </c>
      <c r="M1619" t="s">
        <v>78</v>
      </c>
      <c r="N1619" t="s">
        <v>17</v>
      </c>
      <c r="O1619">
        <v>139</v>
      </c>
      <c r="P1619">
        <v>65.849999999999994</v>
      </c>
      <c r="Q1619">
        <v>38.4</v>
      </c>
    </row>
    <row r="1620" spans="2:17" x14ac:dyDescent="0.25">
      <c r="B1620" t="s">
        <v>78</v>
      </c>
      <c r="C1620" t="s">
        <v>2961</v>
      </c>
      <c r="D1620" t="s">
        <v>3189</v>
      </c>
      <c r="E1620" t="s">
        <v>3190</v>
      </c>
      <c r="F1620">
        <v>4.8499999999999996</v>
      </c>
      <c r="G1620">
        <v>5.05</v>
      </c>
      <c r="H1620">
        <v>5.05</v>
      </c>
      <c r="I1620">
        <v>5.05</v>
      </c>
      <c r="J1620" s="1">
        <v>5.05</v>
      </c>
      <c r="K1620">
        <v>19957.599999999999</v>
      </c>
      <c r="L1620">
        <v>3952</v>
      </c>
      <c r="M1620" t="s">
        <v>78</v>
      </c>
      <c r="N1620" t="s">
        <v>17</v>
      </c>
      <c r="O1620">
        <v>9</v>
      </c>
      <c r="P1620">
        <v>5.25</v>
      </c>
      <c r="Q1620">
        <v>2.25</v>
      </c>
    </row>
    <row r="1621" spans="2:17" x14ac:dyDescent="0.25">
      <c r="B1621" t="s">
        <v>78</v>
      </c>
      <c r="C1621" t="s">
        <v>2961</v>
      </c>
      <c r="D1621" t="s">
        <v>3191</v>
      </c>
      <c r="E1621" t="s">
        <v>3192</v>
      </c>
      <c r="F1621">
        <v>489.35</v>
      </c>
      <c r="G1621">
        <v>513.79999999999995</v>
      </c>
      <c r="H1621">
        <v>513.79999999999995</v>
      </c>
      <c r="I1621">
        <v>464.9</v>
      </c>
      <c r="J1621" s="1">
        <v>498.8</v>
      </c>
      <c r="K1621">
        <v>42437054.149999999</v>
      </c>
      <c r="L1621">
        <v>84875</v>
      </c>
      <c r="M1621" t="s">
        <v>78</v>
      </c>
      <c r="N1621" t="s">
        <v>17</v>
      </c>
      <c r="O1621">
        <v>3240</v>
      </c>
      <c r="P1621">
        <v>513.79999999999995</v>
      </c>
      <c r="Q1621">
        <v>55.5</v>
      </c>
    </row>
    <row r="1622" spans="2:17" x14ac:dyDescent="0.25">
      <c r="B1622" t="s">
        <v>78</v>
      </c>
      <c r="C1622" t="s">
        <v>2961</v>
      </c>
      <c r="D1622" t="s">
        <v>3193</v>
      </c>
      <c r="E1622" t="s">
        <v>3194</v>
      </c>
      <c r="F1622">
        <v>4.25</v>
      </c>
      <c r="G1622">
        <v>4.45</v>
      </c>
      <c r="H1622">
        <v>4.45</v>
      </c>
      <c r="I1622">
        <v>4.45</v>
      </c>
      <c r="J1622" s="1">
        <v>4.45</v>
      </c>
      <c r="K1622">
        <v>100952.7</v>
      </c>
      <c r="L1622">
        <v>22686</v>
      </c>
      <c r="M1622" t="s">
        <v>78</v>
      </c>
      <c r="N1622" t="s">
        <v>17</v>
      </c>
      <c r="O1622">
        <v>13</v>
      </c>
      <c r="P1622">
        <v>4.5999999999999996</v>
      </c>
      <c r="Q1622">
        <v>1.2</v>
      </c>
    </row>
    <row r="1623" spans="2:17" x14ac:dyDescent="0.25">
      <c r="B1623" t="s">
        <v>78</v>
      </c>
      <c r="C1623" t="s">
        <v>2961</v>
      </c>
      <c r="D1623" t="s">
        <v>3195</v>
      </c>
      <c r="E1623" t="s">
        <v>3196</v>
      </c>
      <c r="F1623">
        <v>23.7</v>
      </c>
      <c r="G1623">
        <v>22.55</v>
      </c>
      <c r="H1623">
        <v>24.85</v>
      </c>
      <c r="I1623">
        <v>22.55</v>
      </c>
      <c r="J1623" s="1">
        <v>24.85</v>
      </c>
      <c r="K1623">
        <v>3554978.4</v>
      </c>
      <c r="L1623">
        <v>148987</v>
      </c>
      <c r="M1623" t="s">
        <v>78</v>
      </c>
      <c r="N1623" t="s">
        <v>17</v>
      </c>
      <c r="O1623">
        <v>380</v>
      </c>
      <c r="P1623">
        <v>32.450000000000003</v>
      </c>
      <c r="Q1623">
        <v>6.4</v>
      </c>
    </row>
    <row r="1624" spans="2:17" x14ac:dyDescent="0.25">
      <c r="B1624" t="s">
        <v>78</v>
      </c>
      <c r="C1624" t="s">
        <v>2961</v>
      </c>
      <c r="D1624" t="s">
        <v>3197</v>
      </c>
      <c r="E1624" t="s">
        <v>3198</v>
      </c>
      <c r="F1624">
        <v>6.5</v>
      </c>
      <c r="G1624">
        <v>6.5</v>
      </c>
      <c r="H1624">
        <v>6.8</v>
      </c>
      <c r="I1624">
        <v>6.45</v>
      </c>
      <c r="J1624" s="1">
        <v>6.8</v>
      </c>
      <c r="K1624">
        <v>3626093.1</v>
      </c>
      <c r="L1624">
        <v>537252</v>
      </c>
      <c r="M1624" t="s">
        <v>78</v>
      </c>
      <c r="N1624" t="s">
        <v>17</v>
      </c>
      <c r="O1624">
        <v>573</v>
      </c>
      <c r="P1624">
        <v>6.8</v>
      </c>
      <c r="Q1624">
        <v>3.65</v>
      </c>
    </row>
    <row r="1625" spans="2:17" x14ac:dyDescent="0.25">
      <c r="B1625" t="s">
        <v>78</v>
      </c>
      <c r="C1625" t="s">
        <v>2961</v>
      </c>
      <c r="D1625" t="s">
        <v>3199</v>
      </c>
      <c r="E1625" t="s">
        <v>3200</v>
      </c>
      <c r="F1625">
        <v>773.35</v>
      </c>
      <c r="G1625">
        <v>780</v>
      </c>
      <c r="H1625">
        <v>809</v>
      </c>
      <c r="I1625">
        <v>735</v>
      </c>
      <c r="J1625" s="1">
        <v>755.3</v>
      </c>
      <c r="K1625">
        <v>10160831.75</v>
      </c>
      <c r="L1625">
        <v>13276</v>
      </c>
      <c r="M1625" t="s">
        <v>78</v>
      </c>
      <c r="N1625" t="s">
        <v>17</v>
      </c>
      <c r="O1625">
        <v>865</v>
      </c>
      <c r="P1625">
        <v>809</v>
      </c>
      <c r="Q1625">
        <v>189.6</v>
      </c>
    </row>
    <row r="1626" spans="2:17" x14ac:dyDescent="0.25">
      <c r="B1626" t="s">
        <v>78</v>
      </c>
      <c r="C1626" t="s">
        <v>2961</v>
      </c>
      <c r="D1626" t="s">
        <v>3201</v>
      </c>
      <c r="E1626" t="s">
        <v>3202</v>
      </c>
      <c r="F1626">
        <v>25.1</v>
      </c>
      <c r="G1626">
        <v>24.5</v>
      </c>
      <c r="H1626">
        <v>25.9</v>
      </c>
      <c r="I1626">
        <v>24</v>
      </c>
      <c r="J1626" s="1">
        <v>24.75</v>
      </c>
      <c r="K1626">
        <v>3676513.45</v>
      </c>
      <c r="L1626">
        <v>149014</v>
      </c>
      <c r="M1626" t="s">
        <v>78</v>
      </c>
      <c r="N1626" t="s">
        <v>17</v>
      </c>
      <c r="O1626">
        <v>364</v>
      </c>
      <c r="P1626">
        <v>27.15</v>
      </c>
      <c r="Q1626">
        <v>2.65</v>
      </c>
    </row>
    <row r="1627" spans="2:17" x14ac:dyDescent="0.25">
      <c r="B1627" t="s">
        <v>78</v>
      </c>
      <c r="C1627" t="s">
        <v>2961</v>
      </c>
      <c r="D1627" t="s">
        <v>3203</v>
      </c>
      <c r="E1627" t="s">
        <v>3204</v>
      </c>
      <c r="F1627">
        <v>37</v>
      </c>
      <c r="G1627">
        <v>36.950000000000003</v>
      </c>
      <c r="H1627">
        <v>38.700000000000003</v>
      </c>
      <c r="I1627">
        <v>36.9</v>
      </c>
      <c r="J1627" s="1">
        <v>38.35</v>
      </c>
      <c r="K1627">
        <v>13733353.449999999</v>
      </c>
      <c r="L1627">
        <v>361925</v>
      </c>
      <c r="M1627" t="s">
        <v>78</v>
      </c>
      <c r="N1627" t="s">
        <v>17</v>
      </c>
      <c r="O1627">
        <v>913</v>
      </c>
      <c r="P1627">
        <v>50.3</v>
      </c>
      <c r="Q1627">
        <v>8.8000000000000007</v>
      </c>
    </row>
    <row r="1628" spans="2:17" x14ac:dyDescent="0.25">
      <c r="B1628" t="s">
        <v>78</v>
      </c>
      <c r="C1628" t="s">
        <v>2961</v>
      </c>
      <c r="D1628" t="s">
        <v>3205</v>
      </c>
      <c r="E1628" t="s">
        <v>3206</v>
      </c>
      <c r="F1628">
        <v>0.65</v>
      </c>
      <c r="G1628">
        <v>0.6</v>
      </c>
      <c r="H1628">
        <v>0.65</v>
      </c>
      <c r="I1628">
        <v>0.6</v>
      </c>
      <c r="J1628" s="1">
        <v>0.65</v>
      </c>
      <c r="K1628">
        <v>115606.85</v>
      </c>
      <c r="L1628">
        <v>190758</v>
      </c>
      <c r="M1628" t="s">
        <v>78</v>
      </c>
      <c r="N1628" t="s">
        <v>17</v>
      </c>
      <c r="O1628">
        <v>227</v>
      </c>
      <c r="P1628">
        <v>1</v>
      </c>
      <c r="Q1628">
        <v>0.25</v>
      </c>
    </row>
    <row r="1629" spans="2:17" x14ac:dyDescent="0.25">
      <c r="B1629" t="s">
        <v>78</v>
      </c>
      <c r="C1629" t="s">
        <v>2961</v>
      </c>
      <c r="D1629" t="s">
        <v>3207</v>
      </c>
      <c r="E1629" t="s">
        <v>3208</v>
      </c>
      <c r="F1629">
        <v>73.55</v>
      </c>
      <c r="G1629">
        <v>75.05</v>
      </c>
      <c r="H1629">
        <v>75.05</v>
      </c>
      <c r="I1629">
        <v>72.5</v>
      </c>
      <c r="J1629" s="1">
        <v>73.75</v>
      </c>
      <c r="K1629">
        <v>796190.2</v>
      </c>
      <c r="L1629">
        <v>10703</v>
      </c>
      <c r="M1629" t="s">
        <v>78</v>
      </c>
      <c r="N1629" t="s">
        <v>17</v>
      </c>
      <c r="O1629">
        <v>55</v>
      </c>
      <c r="P1629">
        <v>90.4</v>
      </c>
      <c r="Q1629">
        <v>21.6</v>
      </c>
    </row>
    <row r="1630" spans="2:17" x14ac:dyDescent="0.25">
      <c r="B1630" t="s">
        <v>78</v>
      </c>
      <c r="C1630" t="s">
        <v>2961</v>
      </c>
      <c r="D1630" t="s">
        <v>3209</v>
      </c>
      <c r="E1630" t="s">
        <v>3210</v>
      </c>
      <c r="F1630">
        <v>2.7</v>
      </c>
      <c r="G1630">
        <v>2.8</v>
      </c>
      <c r="H1630">
        <v>2.8</v>
      </c>
      <c r="I1630">
        <v>2.8</v>
      </c>
      <c r="J1630" s="1">
        <v>2.8</v>
      </c>
      <c r="K1630">
        <v>39071.199999999997</v>
      </c>
      <c r="L1630">
        <v>13954</v>
      </c>
      <c r="M1630" t="s">
        <v>78</v>
      </c>
      <c r="N1630" t="s">
        <v>17</v>
      </c>
      <c r="O1630">
        <v>7</v>
      </c>
      <c r="P1630">
        <v>2.85</v>
      </c>
      <c r="Q1630">
        <v>1.4</v>
      </c>
    </row>
    <row r="1631" spans="2:17" x14ac:dyDescent="0.25">
      <c r="B1631" t="s">
        <v>78</v>
      </c>
      <c r="C1631" t="s">
        <v>2961</v>
      </c>
      <c r="D1631" t="s">
        <v>3211</v>
      </c>
      <c r="E1631" t="s">
        <v>3212</v>
      </c>
      <c r="F1631">
        <v>22.15</v>
      </c>
      <c r="G1631">
        <v>21.8</v>
      </c>
      <c r="H1631">
        <v>23.25</v>
      </c>
      <c r="I1631">
        <v>21.1</v>
      </c>
      <c r="J1631" s="1">
        <v>22.05</v>
      </c>
      <c r="K1631">
        <v>1258713.05</v>
      </c>
      <c r="L1631">
        <v>56734</v>
      </c>
      <c r="M1631" t="s">
        <v>78</v>
      </c>
      <c r="N1631" t="s">
        <v>17</v>
      </c>
      <c r="O1631">
        <v>215</v>
      </c>
      <c r="P1631">
        <v>23.25</v>
      </c>
      <c r="Q1631">
        <v>10.8</v>
      </c>
    </row>
    <row r="1632" spans="2:17" x14ac:dyDescent="0.25">
      <c r="B1632" t="s">
        <v>78</v>
      </c>
      <c r="C1632" t="s">
        <v>2961</v>
      </c>
      <c r="D1632" t="s">
        <v>3213</v>
      </c>
      <c r="E1632" t="s">
        <v>3214</v>
      </c>
      <c r="F1632">
        <v>18.75</v>
      </c>
      <c r="G1632">
        <v>18.95</v>
      </c>
      <c r="H1632">
        <v>19.649999999999999</v>
      </c>
      <c r="I1632">
        <v>17.899999999999999</v>
      </c>
      <c r="J1632" s="1">
        <v>19.649999999999999</v>
      </c>
      <c r="K1632">
        <v>987197.35</v>
      </c>
      <c r="L1632">
        <v>51492</v>
      </c>
      <c r="M1632" t="s">
        <v>78</v>
      </c>
      <c r="N1632" t="s">
        <v>17</v>
      </c>
      <c r="O1632">
        <v>157</v>
      </c>
      <c r="P1632">
        <v>21.75</v>
      </c>
      <c r="Q1632">
        <v>5.35</v>
      </c>
    </row>
    <row r="1633" spans="2:17" x14ac:dyDescent="0.25">
      <c r="B1633" t="s">
        <v>78</v>
      </c>
      <c r="C1633" t="s">
        <v>2961</v>
      </c>
      <c r="D1633" t="s">
        <v>3215</v>
      </c>
      <c r="E1633" t="s">
        <v>3216</v>
      </c>
      <c r="F1633">
        <v>5.95</v>
      </c>
      <c r="G1633">
        <v>5.9</v>
      </c>
      <c r="H1633">
        <v>6.1</v>
      </c>
      <c r="I1633">
        <v>5.9</v>
      </c>
      <c r="J1633" s="1">
        <v>5.95</v>
      </c>
      <c r="K1633">
        <v>312326.3</v>
      </c>
      <c r="L1633">
        <v>52030</v>
      </c>
      <c r="M1633" t="s">
        <v>78</v>
      </c>
      <c r="N1633" t="s">
        <v>17</v>
      </c>
      <c r="O1633">
        <v>163</v>
      </c>
      <c r="P1633">
        <v>7.45</v>
      </c>
      <c r="Q1633">
        <v>4.55</v>
      </c>
    </row>
    <row r="1634" spans="2:17" x14ac:dyDescent="0.25">
      <c r="B1634" t="s">
        <v>78</v>
      </c>
      <c r="C1634" t="s">
        <v>2961</v>
      </c>
      <c r="D1634" t="s">
        <v>3217</v>
      </c>
      <c r="E1634" t="s">
        <v>3218</v>
      </c>
      <c r="F1634">
        <v>12.3</v>
      </c>
      <c r="G1634">
        <v>12.05</v>
      </c>
      <c r="H1634">
        <v>12.4</v>
      </c>
      <c r="I1634">
        <v>12.05</v>
      </c>
      <c r="J1634" s="1">
        <v>12.2</v>
      </c>
      <c r="K1634">
        <v>60290190.299999997</v>
      </c>
      <c r="L1634">
        <v>4942451</v>
      </c>
      <c r="M1634" t="s">
        <v>78</v>
      </c>
      <c r="N1634" t="s">
        <v>17</v>
      </c>
      <c r="O1634">
        <v>9380</v>
      </c>
      <c r="P1634">
        <v>15.65</v>
      </c>
      <c r="Q1634">
        <v>4.7</v>
      </c>
    </row>
    <row r="1635" spans="2:17" x14ac:dyDescent="0.25">
      <c r="B1635" t="s">
        <v>78</v>
      </c>
      <c r="C1635" t="s">
        <v>2961</v>
      </c>
      <c r="D1635" t="s">
        <v>3219</v>
      </c>
      <c r="E1635" t="s">
        <v>3220</v>
      </c>
      <c r="F1635">
        <v>2.5</v>
      </c>
      <c r="G1635">
        <v>2.4</v>
      </c>
      <c r="H1635">
        <v>2.4</v>
      </c>
      <c r="I1635">
        <v>2.4</v>
      </c>
      <c r="J1635" s="1">
        <v>2.4</v>
      </c>
      <c r="K1635">
        <v>2779221.6</v>
      </c>
      <c r="L1635">
        <v>1158009</v>
      </c>
      <c r="M1635" t="s">
        <v>78</v>
      </c>
      <c r="N1635" t="s">
        <v>17</v>
      </c>
      <c r="O1635">
        <v>1704</v>
      </c>
      <c r="P1635">
        <v>3.9</v>
      </c>
      <c r="Q1635">
        <v>1.35</v>
      </c>
    </row>
    <row r="1636" spans="2:17" x14ac:dyDescent="0.25">
      <c r="B1636" t="s">
        <v>78</v>
      </c>
      <c r="C1636" t="s">
        <v>2961</v>
      </c>
      <c r="D1636" t="s">
        <v>3221</v>
      </c>
      <c r="E1636" t="s">
        <v>3222</v>
      </c>
      <c r="F1636">
        <v>39.049999999999997</v>
      </c>
      <c r="G1636">
        <v>39.049999999999997</v>
      </c>
      <c r="H1636">
        <v>39.049999999999997</v>
      </c>
      <c r="I1636">
        <v>39.049999999999997</v>
      </c>
      <c r="J1636" s="1">
        <v>39.049999999999997</v>
      </c>
      <c r="K1636">
        <v>44243.65</v>
      </c>
      <c r="L1636">
        <v>1133</v>
      </c>
      <c r="M1636" t="s">
        <v>78</v>
      </c>
      <c r="N1636" t="s">
        <v>17</v>
      </c>
      <c r="O1636">
        <v>10</v>
      </c>
      <c r="P1636">
        <v>39.049999999999997</v>
      </c>
      <c r="Q1636">
        <v>14.5</v>
      </c>
    </row>
    <row r="1637" spans="2:17" x14ac:dyDescent="0.25">
      <c r="B1637" t="s">
        <v>78</v>
      </c>
      <c r="C1637" t="s">
        <v>2961</v>
      </c>
      <c r="D1637" t="s">
        <v>3223</v>
      </c>
      <c r="E1637" t="s">
        <v>3224</v>
      </c>
      <c r="F1637">
        <v>40.75</v>
      </c>
      <c r="G1637">
        <v>40.5</v>
      </c>
      <c r="H1637">
        <v>42.5</v>
      </c>
      <c r="I1637">
        <v>40.299999999999997</v>
      </c>
      <c r="J1637" s="1">
        <v>41</v>
      </c>
      <c r="K1637">
        <v>227090534.15000001</v>
      </c>
      <c r="L1637">
        <v>5483653</v>
      </c>
      <c r="M1637" t="s">
        <v>78</v>
      </c>
      <c r="N1637" t="s">
        <v>17</v>
      </c>
      <c r="O1637">
        <v>5103</v>
      </c>
      <c r="P1637">
        <v>60.65</v>
      </c>
      <c r="Q1637">
        <v>10.45</v>
      </c>
    </row>
    <row r="1638" spans="2:17" x14ac:dyDescent="0.25">
      <c r="B1638" t="s">
        <v>78</v>
      </c>
      <c r="C1638" t="s">
        <v>2961</v>
      </c>
      <c r="D1638" t="s">
        <v>3225</v>
      </c>
      <c r="E1638" t="s">
        <v>3226</v>
      </c>
      <c r="F1638">
        <v>208.5</v>
      </c>
      <c r="G1638">
        <v>208.9</v>
      </c>
      <c r="H1638">
        <v>218.9</v>
      </c>
      <c r="I1638">
        <v>207.1</v>
      </c>
      <c r="J1638" s="1">
        <v>218.3</v>
      </c>
      <c r="K1638">
        <v>860920.45</v>
      </c>
      <c r="L1638">
        <v>3978</v>
      </c>
      <c r="M1638" t="s">
        <v>78</v>
      </c>
      <c r="N1638" t="s">
        <v>17</v>
      </c>
      <c r="O1638">
        <v>93</v>
      </c>
      <c r="P1638">
        <v>239.65</v>
      </c>
      <c r="Q1638">
        <v>122.55</v>
      </c>
    </row>
    <row r="1639" spans="2:17" x14ac:dyDescent="0.25">
      <c r="B1639" t="s">
        <v>78</v>
      </c>
      <c r="C1639" t="s">
        <v>2961</v>
      </c>
      <c r="D1639" t="s">
        <v>3227</v>
      </c>
      <c r="E1639" t="s">
        <v>3228</v>
      </c>
      <c r="F1639">
        <v>50.25</v>
      </c>
      <c r="G1639">
        <v>50</v>
      </c>
      <c r="H1639">
        <v>51.4</v>
      </c>
      <c r="I1639">
        <v>48.5</v>
      </c>
      <c r="J1639" s="1">
        <v>49.6</v>
      </c>
      <c r="K1639">
        <v>1551749.2</v>
      </c>
      <c r="L1639">
        <v>31414</v>
      </c>
      <c r="M1639" t="s">
        <v>78</v>
      </c>
      <c r="N1639" t="s">
        <v>17</v>
      </c>
      <c r="O1639">
        <v>289</v>
      </c>
      <c r="P1639">
        <v>57.1</v>
      </c>
      <c r="Q1639">
        <v>37.450000000000003</v>
      </c>
    </row>
    <row r="1640" spans="2:17" x14ac:dyDescent="0.25">
      <c r="B1640" t="s">
        <v>78</v>
      </c>
      <c r="C1640" t="s">
        <v>2961</v>
      </c>
      <c r="D1640" t="s">
        <v>3229</v>
      </c>
      <c r="E1640" t="s">
        <v>3230</v>
      </c>
      <c r="F1640">
        <v>11.55</v>
      </c>
      <c r="G1640">
        <v>11.8</v>
      </c>
      <c r="H1640">
        <v>12.1</v>
      </c>
      <c r="I1640">
        <v>11</v>
      </c>
      <c r="J1640" s="1">
        <v>12.1</v>
      </c>
      <c r="K1640">
        <v>841719.5</v>
      </c>
      <c r="L1640">
        <v>70338</v>
      </c>
      <c r="M1640" t="s">
        <v>78</v>
      </c>
      <c r="N1640" t="s">
        <v>17</v>
      </c>
      <c r="O1640">
        <v>276</v>
      </c>
      <c r="P1640">
        <v>14.85</v>
      </c>
      <c r="Q1640">
        <v>2</v>
      </c>
    </row>
    <row r="1641" spans="2:17" x14ac:dyDescent="0.25">
      <c r="B1641" t="s">
        <v>78</v>
      </c>
      <c r="C1641" t="s">
        <v>2961</v>
      </c>
      <c r="D1641" t="s">
        <v>3231</v>
      </c>
      <c r="E1641" t="s">
        <v>3232</v>
      </c>
      <c r="F1641">
        <v>89.25</v>
      </c>
      <c r="G1641">
        <v>89.25</v>
      </c>
      <c r="H1641">
        <v>89.25</v>
      </c>
      <c r="I1641">
        <v>88.05</v>
      </c>
      <c r="J1641" s="1">
        <v>88.1</v>
      </c>
      <c r="K1641">
        <v>36125.5</v>
      </c>
      <c r="L1641">
        <v>410</v>
      </c>
      <c r="M1641" t="s">
        <v>78</v>
      </c>
      <c r="N1641" t="s">
        <v>17</v>
      </c>
      <c r="O1641">
        <v>8</v>
      </c>
      <c r="P1641">
        <v>113.9</v>
      </c>
      <c r="Q1641">
        <v>85</v>
      </c>
    </row>
    <row r="1642" spans="2:17" x14ac:dyDescent="0.25">
      <c r="B1642" t="s">
        <v>78</v>
      </c>
      <c r="C1642" t="s">
        <v>2961</v>
      </c>
      <c r="D1642" t="s">
        <v>3233</v>
      </c>
      <c r="E1642" t="s">
        <v>3234</v>
      </c>
      <c r="F1642">
        <v>182.9</v>
      </c>
      <c r="G1642">
        <v>183.5</v>
      </c>
      <c r="H1642">
        <v>187.5</v>
      </c>
      <c r="I1642">
        <v>182.5</v>
      </c>
      <c r="J1642" s="1">
        <v>185.15</v>
      </c>
      <c r="K1642">
        <v>26019668.25</v>
      </c>
      <c r="L1642">
        <v>140545</v>
      </c>
      <c r="M1642" t="s">
        <v>78</v>
      </c>
      <c r="N1642" t="s">
        <v>17</v>
      </c>
      <c r="O1642">
        <v>3610</v>
      </c>
      <c r="P1642">
        <v>187.5</v>
      </c>
      <c r="Q1642">
        <v>81</v>
      </c>
    </row>
    <row r="1643" spans="2:17" x14ac:dyDescent="0.25">
      <c r="B1643" t="s">
        <v>78</v>
      </c>
      <c r="C1643" t="s">
        <v>2961</v>
      </c>
      <c r="D1643" t="s">
        <v>3235</v>
      </c>
      <c r="E1643" t="s">
        <v>3236</v>
      </c>
      <c r="F1643">
        <v>19.55</v>
      </c>
      <c r="G1643">
        <v>20.149999999999999</v>
      </c>
      <c r="H1643">
        <v>20.5</v>
      </c>
      <c r="I1643">
        <v>18.600000000000001</v>
      </c>
      <c r="J1643" s="1">
        <v>20.5</v>
      </c>
      <c r="K1643">
        <v>585118.65</v>
      </c>
      <c r="L1643">
        <v>29169</v>
      </c>
      <c r="M1643" t="s">
        <v>78</v>
      </c>
      <c r="N1643" t="s">
        <v>17</v>
      </c>
      <c r="O1643">
        <v>111</v>
      </c>
      <c r="P1643">
        <v>20.5</v>
      </c>
      <c r="Q1643">
        <v>12.45</v>
      </c>
    </row>
    <row r="1644" spans="2:17" x14ac:dyDescent="0.25">
      <c r="B1644" t="s">
        <v>78</v>
      </c>
      <c r="C1644" t="s">
        <v>2961</v>
      </c>
      <c r="D1644" t="s">
        <v>3237</v>
      </c>
      <c r="E1644" t="s">
        <v>3238</v>
      </c>
      <c r="F1644">
        <v>2.5</v>
      </c>
      <c r="G1644">
        <v>2.4</v>
      </c>
      <c r="H1644">
        <v>2.6</v>
      </c>
      <c r="I1644">
        <v>2.4</v>
      </c>
      <c r="J1644" s="1">
        <v>2.4500000000000002</v>
      </c>
      <c r="K1644">
        <v>89616.15</v>
      </c>
      <c r="L1644">
        <v>35549</v>
      </c>
      <c r="M1644" t="s">
        <v>78</v>
      </c>
      <c r="N1644" t="s">
        <v>17</v>
      </c>
      <c r="O1644">
        <v>78</v>
      </c>
      <c r="P1644">
        <v>2.7</v>
      </c>
      <c r="Q1644">
        <v>0.65</v>
      </c>
    </row>
    <row r="1645" spans="2:17" x14ac:dyDescent="0.25">
      <c r="B1645" t="s">
        <v>78</v>
      </c>
      <c r="C1645" t="s">
        <v>2961</v>
      </c>
      <c r="D1645" t="s">
        <v>3239</v>
      </c>
      <c r="E1645" t="s">
        <v>3240</v>
      </c>
      <c r="F1645">
        <v>1.8</v>
      </c>
      <c r="G1645">
        <v>1.85</v>
      </c>
      <c r="H1645">
        <v>1.85</v>
      </c>
      <c r="I1645">
        <v>1.85</v>
      </c>
      <c r="J1645" s="1">
        <v>1.85</v>
      </c>
      <c r="K1645">
        <v>44137.3</v>
      </c>
      <c r="L1645">
        <v>23858</v>
      </c>
      <c r="M1645" t="s">
        <v>78</v>
      </c>
      <c r="N1645" t="s">
        <v>17</v>
      </c>
      <c r="O1645">
        <v>17</v>
      </c>
      <c r="P1645">
        <v>2.9</v>
      </c>
      <c r="Q1645">
        <v>1.65</v>
      </c>
    </row>
    <row r="1646" spans="2:17" x14ac:dyDescent="0.25">
      <c r="B1646" t="s">
        <v>78</v>
      </c>
      <c r="C1646" t="s">
        <v>2961</v>
      </c>
      <c r="D1646" t="s">
        <v>3241</v>
      </c>
      <c r="E1646" t="s">
        <v>3242</v>
      </c>
      <c r="F1646">
        <v>345.35</v>
      </c>
      <c r="G1646">
        <v>330.5</v>
      </c>
      <c r="H1646">
        <v>350</v>
      </c>
      <c r="I1646">
        <v>330.5</v>
      </c>
      <c r="J1646" s="1">
        <v>345</v>
      </c>
      <c r="K1646">
        <v>965324.65</v>
      </c>
      <c r="L1646">
        <v>2814</v>
      </c>
      <c r="M1646" t="s">
        <v>78</v>
      </c>
      <c r="N1646" t="s">
        <v>17</v>
      </c>
      <c r="O1646">
        <v>54</v>
      </c>
      <c r="P1646">
        <v>389.65</v>
      </c>
      <c r="Q1646">
        <v>118</v>
      </c>
    </row>
    <row r="1647" spans="2:17" x14ac:dyDescent="0.25">
      <c r="B1647" t="s">
        <v>78</v>
      </c>
      <c r="C1647" t="s">
        <v>2961</v>
      </c>
      <c r="D1647" t="s">
        <v>3243</v>
      </c>
      <c r="E1647" t="s">
        <v>3244</v>
      </c>
      <c r="F1647">
        <v>20.9</v>
      </c>
      <c r="G1647">
        <v>21.3</v>
      </c>
      <c r="H1647">
        <v>21.9</v>
      </c>
      <c r="I1647">
        <v>21</v>
      </c>
      <c r="J1647" s="1">
        <v>21.85</v>
      </c>
      <c r="K1647">
        <v>5805695.9500000002</v>
      </c>
      <c r="L1647">
        <v>267690</v>
      </c>
      <c r="M1647" t="s">
        <v>78</v>
      </c>
      <c r="N1647" t="s">
        <v>17</v>
      </c>
      <c r="O1647">
        <v>1097</v>
      </c>
      <c r="P1647">
        <v>21.95</v>
      </c>
      <c r="Q1647">
        <v>9.6999999999999993</v>
      </c>
    </row>
    <row r="1648" spans="2:17" x14ac:dyDescent="0.25">
      <c r="B1648" t="s">
        <v>78</v>
      </c>
      <c r="C1648" t="s">
        <v>2961</v>
      </c>
      <c r="D1648" t="s">
        <v>3245</v>
      </c>
      <c r="E1648" t="s">
        <v>3246</v>
      </c>
      <c r="F1648">
        <v>74.95</v>
      </c>
      <c r="G1648">
        <v>72</v>
      </c>
      <c r="H1648">
        <v>74.5</v>
      </c>
      <c r="I1648">
        <v>71.25</v>
      </c>
      <c r="J1648" s="1">
        <v>71.8</v>
      </c>
      <c r="K1648">
        <v>701409.35</v>
      </c>
      <c r="L1648">
        <v>9624</v>
      </c>
      <c r="M1648" t="s">
        <v>78</v>
      </c>
      <c r="N1648" t="s">
        <v>17</v>
      </c>
      <c r="O1648">
        <v>110</v>
      </c>
      <c r="P1648">
        <v>94</v>
      </c>
      <c r="Q1648">
        <v>16.3</v>
      </c>
    </row>
    <row r="1649" spans="2:17" x14ac:dyDescent="0.25">
      <c r="B1649" t="s">
        <v>78</v>
      </c>
      <c r="C1649" t="s">
        <v>2961</v>
      </c>
      <c r="D1649" t="s">
        <v>3247</v>
      </c>
      <c r="E1649" t="s">
        <v>3248</v>
      </c>
      <c r="F1649">
        <v>20.95</v>
      </c>
      <c r="G1649">
        <v>20.85</v>
      </c>
      <c r="H1649">
        <v>21.95</v>
      </c>
      <c r="I1649">
        <v>20</v>
      </c>
      <c r="J1649" s="1">
        <v>21.9</v>
      </c>
      <c r="K1649">
        <v>189072.5</v>
      </c>
      <c r="L1649">
        <v>8890</v>
      </c>
      <c r="M1649" t="s">
        <v>78</v>
      </c>
      <c r="N1649" t="s">
        <v>17</v>
      </c>
      <c r="O1649">
        <v>56</v>
      </c>
      <c r="P1649">
        <v>24.55</v>
      </c>
      <c r="Q1649">
        <v>13.6</v>
      </c>
    </row>
    <row r="1650" spans="2:17" x14ac:dyDescent="0.25">
      <c r="B1650" t="s">
        <v>78</v>
      </c>
      <c r="C1650" t="s">
        <v>2961</v>
      </c>
      <c r="D1650" t="s">
        <v>3249</v>
      </c>
      <c r="E1650" t="s">
        <v>3250</v>
      </c>
      <c r="F1650">
        <v>161.9</v>
      </c>
      <c r="G1650">
        <v>162.5</v>
      </c>
      <c r="H1650">
        <v>169.95</v>
      </c>
      <c r="I1650">
        <v>162.5</v>
      </c>
      <c r="J1650" s="1">
        <v>169.95</v>
      </c>
      <c r="K1650">
        <v>6781498.4000000004</v>
      </c>
      <c r="L1650">
        <v>40363</v>
      </c>
      <c r="M1650" t="s">
        <v>78</v>
      </c>
      <c r="N1650" t="s">
        <v>17</v>
      </c>
      <c r="O1650">
        <v>266</v>
      </c>
      <c r="P1650">
        <v>185</v>
      </c>
      <c r="Q1650">
        <v>87</v>
      </c>
    </row>
    <row r="1651" spans="2:17" x14ac:dyDescent="0.25">
      <c r="B1651" t="s">
        <v>78</v>
      </c>
      <c r="C1651" t="s">
        <v>2961</v>
      </c>
      <c r="D1651" t="s">
        <v>3251</v>
      </c>
      <c r="E1651" t="s">
        <v>3252</v>
      </c>
      <c r="F1651">
        <v>478.35</v>
      </c>
      <c r="G1651">
        <v>478</v>
      </c>
      <c r="H1651">
        <v>499.2</v>
      </c>
      <c r="I1651">
        <v>471</v>
      </c>
      <c r="J1651" s="1">
        <v>488.55</v>
      </c>
      <c r="K1651">
        <v>17865921.600000001</v>
      </c>
      <c r="L1651">
        <v>36779</v>
      </c>
      <c r="M1651" t="s">
        <v>78</v>
      </c>
      <c r="N1651" t="s">
        <v>17</v>
      </c>
      <c r="O1651">
        <v>521</v>
      </c>
      <c r="P1651">
        <v>499.2</v>
      </c>
      <c r="Q1651">
        <v>134.15</v>
      </c>
    </row>
    <row r="1652" spans="2:17" x14ac:dyDescent="0.25">
      <c r="B1652" t="s">
        <v>78</v>
      </c>
      <c r="C1652" t="s">
        <v>2961</v>
      </c>
      <c r="D1652" t="s">
        <v>3253</v>
      </c>
      <c r="E1652" t="s">
        <v>3254</v>
      </c>
      <c r="F1652">
        <v>230.75</v>
      </c>
      <c r="G1652">
        <v>234.4</v>
      </c>
      <c r="H1652">
        <v>234.4</v>
      </c>
      <c r="I1652">
        <v>226</v>
      </c>
      <c r="J1652" s="1">
        <v>230.85</v>
      </c>
      <c r="K1652">
        <v>17178967.300000001</v>
      </c>
      <c r="L1652">
        <v>74485</v>
      </c>
      <c r="M1652" t="s">
        <v>78</v>
      </c>
      <c r="N1652" t="s">
        <v>17</v>
      </c>
      <c r="O1652">
        <v>812</v>
      </c>
      <c r="P1652">
        <v>254</v>
      </c>
      <c r="Q1652">
        <v>32.6</v>
      </c>
    </row>
    <row r="1653" spans="2:17" x14ac:dyDescent="0.25">
      <c r="B1653" t="s">
        <v>78</v>
      </c>
      <c r="C1653" t="s">
        <v>2961</v>
      </c>
      <c r="D1653" t="s">
        <v>3255</v>
      </c>
      <c r="E1653" t="s">
        <v>3256</v>
      </c>
      <c r="F1653">
        <v>6.4</v>
      </c>
      <c r="G1653">
        <v>6.55</v>
      </c>
      <c r="H1653">
        <v>6.7</v>
      </c>
      <c r="I1653">
        <v>6.45</v>
      </c>
      <c r="J1653" s="1">
        <v>6.65</v>
      </c>
      <c r="K1653">
        <v>1253516.8999999999</v>
      </c>
      <c r="L1653">
        <v>190471</v>
      </c>
      <c r="M1653" t="s">
        <v>78</v>
      </c>
      <c r="N1653" t="s">
        <v>17</v>
      </c>
      <c r="O1653">
        <v>314</v>
      </c>
      <c r="P1653">
        <v>7.85</v>
      </c>
      <c r="Q1653">
        <v>2.9</v>
      </c>
    </row>
    <row r="1654" spans="2:17" x14ac:dyDescent="0.25">
      <c r="B1654" t="s">
        <v>78</v>
      </c>
      <c r="C1654" t="s">
        <v>2961</v>
      </c>
      <c r="D1654" t="s">
        <v>3257</v>
      </c>
      <c r="E1654" t="s">
        <v>3258</v>
      </c>
      <c r="F1654">
        <v>1.9</v>
      </c>
      <c r="G1654">
        <v>1.9</v>
      </c>
      <c r="H1654">
        <v>1.95</v>
      </c>
      <c r="I1654">
        <v>1.9</v>
      </c>
      <c r="J1654" s="1">
        <v>1.95</v>
      </c>
      <c r="K1654">
        <v>359351.65</v>
      </c>
      <c r="L1654">
        <v>186684</v>
      </c>
      <c r="M1654" t="s">
        <v>78</v>
      </c>
      <c r="N1654" t="s">
        <v>17</v>
      </c>
      <c r="O1654">
        <v>185</v>
      </c>
      <c r="P1654">
        <v>5.7</v>
      </c>
      <c r="Q1654">
        <v>0.25</v>
      </c>
    </row>
    <row r="1655" spans="2:17" x14ac:dyDescent="0.25">
      <c r="B1655" t="s">
        <v>78</v>
      </c>
      <c r="C1655" t="s">
        <v>2961</v>
      </c>
      <c r="D1655" t="s">
        <v>3259</v>
      </c>
      <c r="E1655" t="s">
        <v>3260</v>
      </c>
      <c r="F1655">
        <v>8.0500000000000007</v>
      </c>
      <c r="G1655">
        <v>8.0500000000000007</v>
      </c>
      <c r="H1655">
        <v>8.15</v>
      </c>
      <c r="I1655">
        <v>7.7</v>
      </c>
      <c r="J1655" s="1">
        <v>7.8</v>
      </c>
      <c r="K1655">
        <v>1502655</v>
      </c>
      <c r="L1655">
        <v>191421</v>
      </c>
      <c r="M1655" t="s">
        <v>78</v>
      </c>
      <c r="N1655" t="s">
        <v>17</v>
      </c>
      <c r="O1655">
        <v>353</v>
      </c>
      <c r="P1655">
        <v>8.75</v>
      </c>
      <c r="Q1655">
        <v>2.2000000000000002</v>
      </c>
    </row>
    <row r="1656" spans="2:17" x14ac:dyDescent="0.25">
      <c r="B1656" t="s">
        <v>78</v>
      </c>
      <c r="C1656" t="s">
        <v>2961</v>
      </c>
      <c r="D1656" t="s">
        <v>3261</v>
      </c>
      <c r="E1656" t="s">
        <v>3262</v>
      </c>
      <c r="F1656">
        <v>203.45</v>
      </c>
      <c r="G1656">
        <v>205.8</v>
      </c>
      <c r="H1656">
        <v>206</v>
      </c>
      <c r="I1656">
        <v>198.25</v>
      </c>
      <c r="J1656" s="1">
        <v>204.3</v>
      </c>
      <c r="K1656">
        <v>1447257.45</v>
      </c>
      <c r="L1656">
        <v>7067</v>
      </c>
      <c r="M1656" t="s">
        <v>78</v>
      </c>
      <c r="N1656" t="s">
        <v>17</v>
      </c>
      <c r="O1656">
        <v>89</v>
      </c>
      <c r="P1656">
        <v>293.35000000000002</v>
      </c>
      <c r="Q1656">
        <v>186</v>
      </c>
    </row>
    <row r="1657" spans="2:17" x14ac:dyDescent="0.25">
      <c r="B1657" t="s">
        <v>78</v>
      </c>
      <c r="C1657" t="s">
        <v>2961</v>
      </c>
      <c r="D1657" t="s">
        <v>3263</v>
      </c>
      <c r="E1657" t="s">
        <v>3264</v>
      </c>
      <c r="F1657">
        <v>47.4</v>
      </c>
      <c r="G1657">
        <v>47.5</v>
      </c>
      <c r="H1657">
        <v>47.5</v>
      </c>
      <c r="I1657">
        <v>45.6</v>
      </c>
      <c r="J1657" s="1">
        <v>46.25</v>
      </c>
      <c r="K1657">
        <v>1132877.05</v>
      </c>
      <c r="L1657">
        <v>24133</v>
      </c>
      <c r="M1657" t="s">
        <v>78</v>
      </c>
      <c r="N1657" t="s">
        <v>17</v>
      </c>
      <c r="O1657">
        <v>155</v>
      </c>
      <c r="P1657">
        <v>55.4</v>
      </c>
      <c r="Q1657">
        <v>40.85</v>
      </c>
    </row>
    <row r="1658" spans="2:17" x14ac:dyDescent="0.25">
      <c r="B1658" t="s">
        <v>78</v>
      </c>
      <c r="C1658" t="s">
        <v>2961</v>
      </c>
      <c r="D1658" t="s">
        <v>3265</v>
      </c>
      <c r="E1658" t="s">
        <v>3266</v>
      </c>
      <c r="F1658">
        <v>47.8</v>
      </c>
      <c r="G1658">
        <v>49</v>
      </c>
      <c r="H1658">
        <v>49</v>
      </c>
      <c r="I1658">
        <v>46.7</v>
      </c>
      <c r="J1658" s="1">
        <v>48.85</v>
      </c>
      <c r="K1658">
        <v>292825.7</v>
      </c>
      <c r="L1658">
        <v>6088</v>
      </c>
      <c r="M1658" t="s">
        <v>78</v>
      </c>
      <c r="N1658" t="s">
        <v>17</v>
      </c>
      <c r="O1658">
        <v>80</v>
      </c>
      <c r="P1658">
        <v>54.45</v>
      </c>
      <c r="Q1658">
        <v>20.149999999999999</v>
      </c>
    </row>
    <row r="1659" spans="2:17" x14ac:dyDescent="0.25">
      <c r="B1659" t="s">
        <v>78</v>
      </c>
      <c r="C1659" t="s">
        <v>2961</v>
      </c>
      <c r="D1659" t="s">
        <v>3267</v>
      </c>
      <c r="E1659" t="s">
        <v>3268</v>
      </c>
      <c r="F1659">
        <v>122.5</v>
      </c>
      <c r="G1659">
        <v>123</v>
      </c>
      <c r="H1659">
        <v>123</v>
      </c>
      <c r="I1659">
        <v>119.05</v>
      </c>
      <c r="J1659" s="1">
        <v>120.75</v>
      </c>
      <c r="K1659">
        <v>2229103.15</v>
      </c>
      <c r="L1659">
        <v>18442</v>
      </c>
      <c r="M1659" t="s">
        <v>78</v>
      </c>
      <c r="N1659" t="s">
        <v>17</v>
      </c>
      <c r="O1659">
        <v>210</v>
      </c>
      <c r="P1659">
        <v>137.25</v>
      </c>
      <c r="Q1659">
        <v>74.2</v>
      </c>
    </row>
    <row r="1660" spans="2:17" x14ac:dyDescent="0.25">
      <c r="B1660" t="s">
        <v>78</v>
      </c>
      <c r="C1660" t="s">
        <v>2961</v>
      </c>
      <c r="D1660" t="s">
        <v>3269</v>
      </c>
      <c r="E1660" t="s">
        <v>3270</v>
      </c>
      <c r="F1660">
        <v>5.7</v>
      </c>
      <c r="G1660">
        <v>5.45</v>
      </c>
      <c r="H1660">
        <v>5.45</v>
      </c>
      <c r="I1660">
        <v>5.45</v>
      </c>
      <c r="J1660" s="1">
        <v>5.45</v>
      </c>
      <c r="K1660">
        <v>1228391.8500000001</v>
      </c>
      <c r="L1660">
        <v>225393</v>
      </c>
      <c r="M1660" t="s">
        <v>78</v>
      </c>
      <c r="N1660" t="s">
        <v>17</v>
      </c>
      <c r="O1660">
        <v>590</v>
      </c>
      <c r="P1660">
        <v>8.3000000000000007</v>
      </c>
      <c r="Q1660">
        <v>1.1499999999999999</v>
      </c>
    </row>
    <row r="1661" spans="2:17" x14ac:dyDescent="0.25">
      <c r="B1661" t="s">
        <v>78</v>
      </c>
      <c r="C1661" t="s">
        <v>2961</v>
      </c>
      <c r="D1661" t="s">
        <v>3271</v>
      </c>
      <c r="E1661" t="s">
        <v>3272</v>
      </c>
      <c r="F1661">
        <v>3.5</v>
      </c>
      <c r="G1661">
        <v>3.5</v>
      </c>
      <c r="H1661">
        <v>3.65</v>
      </c>
      <c r="I1661">
        <v>3.4</v>
      </c>
      <c r="J1661" s="1">
        <v>3.6</v>
      </c>
      <c r="K1661">
        <v>9637822.1500000004</v>
      </c>
      <c r="L1661">
        <v>2742185</v>
      </c>
      <c r="M1661" t="s">
        <v>78</v>
      </c>
      <c r="N1661" t="s">
        <v>17</v>
      </c>
      <c r="O1661">
        <v>4429</v>
      </c>
      <c r="P1661">
        <v>3.9</v>
      </c>
      <c r="Q1661">
        <v>1.05</v>
      </c>
    </row>
    <row r="1662" spans="2:17" x14ac:dyDescent="0.25">
      <c r="B1662" t="s">
        <v>78</v>
      </c>
      <c r="C1662" t="s">
        <v>2961</v>
      </c>
      <c r="D1662" t="s">
        <v>3273</v>
      </c>
      <c r="E1662" t="s">
        <v>3274</v>
      </c>
      <c r="F1662">
        <v>61.45</v>
      </c>
      <c r="G1662">
        <v>61.5</v>
      </c>
      <c r="H1662">
        <v>62.85</v>
      </c>
      <c r="I1662">
        <v>58.55</v>
      </c>
      <c r="J1662" s="1">
        <v>59.95</v>
      </c>
      <c r="K1662">
        <v>5895144.5</v>
      </c>
      <c r="L1662">
        <v>95739</v>
      </c>
      <c r="M1662" t="s">
        <v>78</v>
      </c>
      <c r="N1662" t="s">
        <v>17</v>
      </c>
      <c r="O1662">
        <v>366</v>
      </c>
      <c r="P1662">
        <v>69.95</v>
      </c>
      <c r="Q1662">
        <v>21.75</v>
      </c>
    </row>
    <row r="1663" spans="2:17" x14ac:dyDescent="0.25">
      <c r="B1663" t="s">
        <v>78</v>
      </c>
      <c r="C1663" t="s">
        <v>2961</v>
      </c>
      <c r="D1663" t="s">
        <v>3275</v>
      </c>
      <c r="E1663" t="s">
        <v>3276</v>
      </c>
      <c r="F1663">
        <v>154.85</v>
      </c>
      <c r="G1663">
        <v>152</v>
      </c>
      <c r="H1663">
        <v>155.80000000000001</v>
      </c>
      <c r="I1663">
        <v>149.30000000000001</v>
      </c>
      <c r="J1663" s="1">
        <v>152.05000000000001</v>
      </c>
      <c r="K1663">
        <v>33005287.899999999</v>
      </c>
      <c r="L1663">
        <v>216883</v>
      </c>
      <c r="M1663" t="s">
        <v>78</v>
      </c>
      <c r="N1663" t="s">
        <v>17</v>
      </c>
      <c r="O1663">
        <v>2091</v>
      </c>
      <c r="P1663">
        <v>169.4</v>
      </c>
      <c r="Q1663">
        <v>80.650000000000006</v>
      </c>
    </row>
    <row r="1664" spans="2:17" x14ac:dyDescent="0.25">
      <c r="B1664" t="s">
        <v>78</v>
      </c>
      <c r="C1664" t="s">
        <v>2961</v>
      </c>
      <c r="D1664" t="s">
        <v>3277</v>
      </c>
      <c r="E1664" t="s">
        <v>3278</v>
      </c>
      <c r="F1664">
        <v>116.7</v>
      </c>
      <c r="G1664">
        <v>114.4</v>
      </c>
      <c r="H1664">
        <v>120</v>
      </c>
      <c r="I1664">
        <v>112.8</v>
      </c>
      <c r="J1664" s="1">
        <v>120</v>
      </c>
      <c r="K1664">
        <v>504627.3</v>
      </c>
      <c r="L1664">
        <v>4287</v>
      </c>
      <c r="M1664" t="s">
        <v>78</v>
      </c>
      <c r="N1664" t="s">
        <v>17</v>
      </c>
      <c r="O1664">
        <v>40</v>
      </c>
      <c r="P1664">
        <v>120.95</v>
      </c>
      <c r="Q1664">
        <v>47.4</v>
      </c>
    </row>
    <row r="1665" spans="2:17" x14ac:dyDescent="0.25">
      <c r="B1665" t="s">
        <v>78</v>
      </c>
      <c r="C1665" t="s">
        <v>2961</v>
      </c>
      <c r="D1665" t="s">
        <v>3279</v>
      </c>
      <c r="E1665" t="s">
        <v>3280</v>
      </c>
      <c r="F1665">
        <v>18.3</v>
      </c>
      <c r="G1665">
        <v>18.399999999999999</v>
      </c>
      <c r="H1665">
        <v>18.899999999999999</v>
      </c>
      <c r="I1665">
        <v>18.100000000000001</v>
      </c>
      <c r="J1665" s="1">
        <v>18.350000000000001</v>
      </c>
      <c r="K1665">
        <v>589096.4</v>
      </c>
      <c r="L1665">
        <v>32006</v>
      </c>
      <c r="M1665" t="s">
        <v>78</v>
      </c>
      <c r="N1665" t="s">
        <v>17</v>
      </c>
      <c r="O1665">
        <v>140</v>
      </c>
      <c r="P1665">
        <v>23.95</v>
      </c>
      <c r="Q1665">
        <v>5.95</v>
      </c>
    </row>
    <row r="1666" spans="2:17" x14ac:dyDescent="0.25">
      <c r="B1666" t="s">
        <v>78</v>
      </c>
      <c r="C1666" t="s">
        <v>2961</v>
      </c>
      <c r="D1666" t="s">
        <v>3281</v>
      </c>
      <c r="E1666" t="s">
        <v>3282</v>
      </c>
      <c r="F1666">
        <v>82.85</v>
      </c>
      <c r="G1666">
        <v>82</v>
      </c>
      <c r="H1666">
        <v>83.05</v>
      </c>
      <c r="I1666">
        <v>81.2</v>
      </c>
      <c r="J1666" s="1">
        <v>82.05</v>
      </c>
      <c r="K1666">
        <v>21687002</v>
      </c>
      <c r="L1666">
        <v>263960</v>
      </c>
      <c r="M1666" t="s">
        <v>78</v>
      </c>
      <c r="N1666" t="s">
        <v>17</v>
      </c>
      <c r="O1666">
        <v>1978</v>
      </c>
      <c r="P1666">
        <v>89.6</v>
      </c>
      <c r="Q1666">
        <v>21.1</v>
      </c>
    </row>
    <row r="1667" spans="2:17" x14ac:dyDescent="0.25">
      <c r="B1667" t="s">
        <v>78</v>
      </c>
      <c r="C1667" t="s">
        <v>2961</v>
      </c>
      <c r="D1667" t="s">
        <v>3283</v>
      </c>
      <c r="E1667" t="s">
        <v>3284</v>
      </c>
      <c r="F1667">
        <v>15.85</v>
      </c>
      <c r="G1667">
        <v>15.75</v>
      </c>
      <c r="H1667">
        <v>16</v>
      </c>
      <c r="I1667">
        <v>15.1</v>
      </c>
      <c r="J1667" s="1">
        <v>15.35</v>
      </c>
      <c r="K1667">
        <v>371925.3</v>
      </c>
      <c r="L1667">
        <v>24202</v>
      </c>
      <c r="M1667" t="s">
        <v>78</v>
      </c>
      <c r="N1667" t="s">
        <v>17</v>
      </c>
      <c r="O1667">
        <v>48</v>
      </c>
      <c r="P1667">
        <v>16</v>
      </c>
      <c r="Q1667">
        <v>4.8</v>
      </c>
    </row>
    <row r="1668" spans="2:17" x14ac:dyDescent="0.25">
      <c r="B1668" t="s">
        <v>78</v>
      </c>
      <c r="C1668" t="s">
        <v>2961</v>
      </c>
      <c r="D1668" t="s">
        <v>3285</v>
      </c>
      <c r="E1668" t="s">
        <v>3286</v>
      </c>
      <c r="F1668">
        <v>14.45</v>
      </c>
      <c r="G1668">
        <v>15</v>
      </c>
      <c r="H1668">
        <v>15</v>
      </c>
      <c r="I1668">
        <v>14</v>
      </c>
      <c r="J1668" s="1">
        <v>14.75</v>
      </c>
      <c r="K1668">
        <v>163504.29999999999</v>
      </c>
      <c r="L1668">
        <v>11511</v>
      </c>
      <c r="M1668" t="s">
        <v>78</v>
      </c>
      <c r="N1668" t="s">
        <v>17</v>
      </c>
      <c r="O1668">
        <v>37</v>
      </c>
      <c r="P1668">
        <v>15.9</v>
      </c>
      <c r="Q1668">
        <v>7.95</v>
      </c>
    </row>
    <row r="1669" spans="2:17" x14ac:dyDescent="0.25">
      <c r="B1669" t="s">
        <v>78</v>
      </c>
      <c r="C1669" t="s">
        <v>2961</v>
      </c>
      <c r="D1669" t="s">
        <v>3287</v>
      </c>
      <c r="E1669" t="s">
        <v>3288</v>
      </c>
      <c r="F1669">
        <v>36.6</v>
      </c>
      <c r="G1669">
        <v>34.799999999999997</v>
      </c>
      <c r="H1669">
        <v>34.799999999999997</v>
      </c>
      <c r="I1669">
        <v>34.799999999999997</v>
      </c>
      <c r="J1669" s="1">
        <v>34.799999999999997</v>
      </c>
      <c r="K1669">
        <v>3932.4</v>
      </c>
      <c r="L1669">
        <v>113</v>
      </c>
      <c r="M1669" t="s">
        <v>78</v>
      </c>
      <c r="N1669" t="s">
        <v>17</v>
      </c>
      <c r="O1669">
        <v>6</v>
      </c>
      <c r="P1669">
        <v>60.35</v>
      </c>
      <c r="Q1669">
        <v>21.3</v>
      </c>
    </row>
    <row r="1670" spans="2:17" x14ac:dyDescent="0.25">
      <c r="B1670" t="s">
        <v>78</v>
      </c>
      <c r="C1670" t="s">
        <v>2961</v>
      </c>
      <c r="D1670" t="s">
        <v>3289</v>
      </c>
      <c r="E1670" t="s">
        <v>3290</v>
      </c>
      <c r="F1670">
        <v>100.7</v>
      </c>
      <c r="G1670">
        <v>95.7</v>
      </c>
      <c r="H1670">
        <v>105.7</v>
      </c>
      <c r="I1670">
        <v>95.7</v>
      </c>
      <c r="J1670" s="1">
        <v>105.7</v>
      </c>
      <c r="K1670">
        <v>30412279.149999999</v>
      </c>
      <c r="L1670">
        <v>304418</v>
      </c>
      <c r="M1670" t="s">
        <v>78</v>
      </c>
      <c r="N1670" t="s">
        <v>17</v>
      </c>
      <c r="O1670">
        <v>1292</v>
      </c>
      <c r="P1670">
        <v>120</v>
      </c>
      <c r="Q1670">
        <v>29.6</v>
      </c>
    </row>
    <row r="1671" spans="2:17" x14ac:dyDescent="0.25">
      <c r="B1671" t="s">
        <v>78</v>
      </c>
      <c r="C1671" t="s">
        <v>2961</v>
      </c>
      <c r="D1671" t="s">
        <v>3291</v>
      </c>
      <c r="E1671" t="s">
        <v>3292</v>
      </c>
      <c r="F1671">
        <v>12.35</v>
      </c>
      <c r="G1671">
        <v>12.95</v>
      </c>
      <c r="H1671">
        <v>12.95</v>
      </c>
      <c r="I1671">
        <v>11.9</v>
      </c>
      <c r="J1671" s="1">
        <v>12.85</v>
      </c>
      <c r="K1671">
        <v>4025272.5</v>
      </c>
      <c r="L1671">
        <v>314348</v>
      </c>
      <c r="M1671" t="s">
        <v>78</v>
      </c>
      <c r="N1671" t="s">
        <v>17</v>
      </c>
      <c r="O1671">
        <v>407</v>
      </c>
      <c r="P1671">
        <v>12.95</v>
      </c>
      <c r="Q1671">
        <v>4.4000000000000004</v>
      </c>
    </row>
    <row r="1672" spans="2:17" x14ac:dyDescent="0.25">
      <c r="B1672" t="s">
        <v>78</v>
      </c>
      <c r="C1672" t="s">
        <v>2961</v>
      </c>
      <c r="D1672" t="s">
        <v>3293</v>
      </c>
      <c r="E1672" t="s">
        <v>3294</v>
      </c>
      <c r="F1672">
        <v>59.05</v>
      </c>
      <c r="G1672">
        <v>59.15</v>
      </c>
      <c r="H1672">
        <v>59.9</v>
      </c>
      <c r="I1672">
        <v>57</v>
      </c>
      <c r="J1672" s="1">
        <v>58.55</v>
      </c>
      <c r="K1672">
        <v>1542113</v>
      </c>
      <c r="L1672">
        <v>26292</v>
      </c>
      <c r="M1672" t="s">
        <v>78</v>
      </c>
      <c r="N1672" t="s">
        <v>17</v>
      </c>
      <c r="O1672">
        <v>522</v>
      </c>
      <c r="P1672">
        <v>71.05</v>
      </c>
      <c r="Q1672">
        <v>29.25</v>
      </c>
    </row>
    <row r="1673" spans="2:17" x14ac:dyDescent="0.25">
      <c r="B1673" t="s">
        <v>78</v>
      </c>
      <c r="C1673" t="s">
        <v>2961</v>
      </c>
      <c r="D1673" t="s">
        <v>3295</v>
      </c>
      <c r="E1673" t="s">
        <v>3296</v>
      </c>
      <c r="F1673">
        <v>35.1</v>
      </c>
      <c r="G1673">
        <v>35.5</v>
      </c>
      <c r="H1673">
        <v>35.5</v>
      </c>
      <c r="I1673">
        <v>33.75</v>
      </c>
      <c r="J1673" s="1">
        <v>34.700000000000003</v>
      </c>
      <c r="K1673">
        <v>10608676.300000001</v>
      </c>
      <c r="L1673">
        <v>309915</v>
      </c>
      <c r="M1673" t="s">
        <v>78</v>
      </c>
      <c r="N1673" t="s">
        <v>17</v>
      </c>
      <c r="O1673">
        <v>682</v>
      </c>
      <c r="P1673">
        <v>41</v>
      </c>
      <c r="Q1673">
        <v>7.1</v>
      </c>
    </row>
    <row r="1674" spans="2:17" x14ac:dyDescent="0.25">
      <c r="B1674" t="s">
        <v>78</v>
      </c>
      <c r="C1674" t="s">
        <v>2961</v>
      </c>
      <c r="D1674" t="s">
        <v>3297</v>
      </c>
      <c r="E1674" t="s">
        <v>3298</v>
      </c>
      <c r="F1674">
        <v>15.25</v>
      </c>
      <c r="G1674">
        <v>15.7</v>
      </c>
      <c r="H1674">
        <v>16</v>
      </c>
      <c r="I1674">
        <v>14.9</v>
      </c>
      <c r="J1674" s="1">
        <v>15.9</v>
      </c>
      <c r="K1674">
        <v>4723603</v>
      </c>
      <c r="L1674">
        <v>301820</v>
      </c>
      <c r="M1674" t="s">
        <v>78</v>
      </c>
      <c r="N1674" t="s">
        <v>17</v>
      </c>
      <c r="O1674">
        <v>847</v>
      </c>
      <c r="P1674">
        <v>16.350000000000001</v>
      </c>
      <c r="Q1674">
        <v>7.1</v>
      </c>
    </row>
    <row r="1675" spans="2:17" x14ac:dyDescent="0.25">
      <c r="B1675" t="s">
        <v>78</v>
      </c>
      <c r="C1675" t="s">
        <v>2961</v>
      </c>
      <c r="D1675" t="s">
        <v>3299</v>
      </c>
      <c r="E1675" t="s">
        <v>3300</v>
      </c>
      <c r="F1675">
        <v>2.8</v>
      </c>
      <c r="G1675">
        <v>2.9</v>
      </c>
      <c r="H1675">
        <v>2.9</v>
      </c>
      <c r="I1675">
        <v>2.9</v>
      </c>
      <c r="J1675" s="1">
        <v>2.9</v>
      </c>
      <c r="K1675">
        <v>1240071.8999999999</v>
      </c>
      <c r="L1675">
        <v>427611</v>
      </c>
      <c r="M1675" t="s">
        <v>78</v>
      </c>
      <c r="N1675" t="s">
        <v>17</v>
      </c>
      <c r="O1675">
        <v>270</v>
      </c>
      <c r="P1675">
        <v>2.9</v>
      </c>
      <c r="Q1675">
        <v>0.75</v>
      </c>
    </row>
    <row r="1676" spans="2:17" x14ac:dyDescent="0.25">
      <c r="B1676" t="s">
        <v>78</v>
      </c>
      <c r="C1676" t="s">
        <v>2961</v>
      </c>
      <c r="D1676" t="s">
        <v>3301</v>
      </c>
      <c r="E1676" t="s">
        <v>3302</v>
      </c>
      <c r="F1676">
        <v>72.650000000000006</v>
      </c>
      <c r="G1676">
        <v>72.599999999999994</v>
      </c>
      <c r="H1676">
        <v>72.95</v>
      </c>
      <c r="I1676">
        <v>69.25</v>
      </c>
      <c r="J1676" s="1">
        <v>72.7</v>
      </c>
      <c r="K1676">
        <v>269301.3</v>
      </c>
      <c r="L1676">
        <v>3754</v>
      </c>
      <c r="M1676" t="s">
        <v>78</v>
      </c>
      <c r="N1676" t="s">
        <v>17</v>
      </c>
      <c r="O1676">
        <v>74</v>
      </c>
      <c r="P1676">
        <v>216.05</v>
      </c>
      <c r="Q1676">
        <v>25</v>
      </c>
    </row>
    <row r="1677" spans="2:17" x14ac:dyDescent="0.25">
      <c r="B1677" t="s">
        <v>78</v>
      </c>
      <c r="C1677" t="s">
        <v>2961</v>
      </c>
      <c r="D1677" t="s">
        <v>3303</v>
      </c>
      <c r="E1677" t="s">
        <v>3304</v>
      </c>
      <c r="F1677">
        <v>15.15</v>
      </c>
      <c r="G1677">
        <v>15</v>
      </c>
      <c r="H1677">
        <v>15.8</v>
      </c>
      <c r="I1677">
        <v>14.45</v>
      </c>
      <c r="J1677" s="1">
        <v>15.2</v>
      </c>
      <c r="K1677">
        <v>310589.05</v>
      </c>
      <c r="L1677">
        <v>20706</v>
      </c>
      <c r="M1677" t="s">
        <v>78</v>
      </c>
      <c r="N1677" t="s">
        <v>17</v>
      </c>
      <c r="O1677">
        <v>118</v>
      </c>
      <c r="P1677">
        <v>22.05</v>
      </c>
      <c r="Q1677">
        <v>5.55</v>
      </c>
    </row>
    <row r="1678" spans="2:17" x14ac:dyDescent="0.25">
      <c r="B1678" t="s">
        <v>78</v>
      </c>
      <c r="C1678" t="s">
        <v>2961</v>
      </c>
      <c r="D1678" t="s">
        <v>3305</v>
      </c>
      <c r="E1678" t="s">
        <v>3306</v>
      </c>
      <c r="F1678">
        <v>10.8</v>
      </c>
      <c r="G1678">
        <v>10.8</v>
      </c>
      <c r="H1678">
        <v>11.05</v>
      </c>
      <c r="I1678">
        <v>10.55</v>
      </c>
      <c r="J1678" s="1">
        <v>10.6</v>
      </c>
      <c r="K1678">
        <v>3592372.6</v>
      </c>
      <c r="L1678">
        <v>333656</v>
      </c>
      <c r="M1678" t="s">
        <v>78</v>
      </c>
      <c r="N1678" t="s">
        <v>17</v>
      </c>
      <c r="O1678">
        <v>454</v>
      </c>
      <c r="P1678">
        <v>13.3</v>
      </c>
      <c r="Q1678">
        <v>5.95</v>
      </c>
    </row>
    <row r="1679" spans="2:17" x14ac:dyDescent="0.25">
      <c r="B1679" t="s">
        <v>78</v>
      </c>
      <c r="C1679" t="s">
        <v>2961</v>
      </c>
      <c r="D1679" t="s">
        <v>3307</v>
      </c>
      <c r="E1679" t="s">
        <v>3308</v>
      </c>
      <c r="F1679">
        <v>9.65</v>
      </c>
      <c r="G1679">
        <v>9.65</v>
      </c>
      <c r="H1679">
        <v>9.6999999999999993</v>
      </c>
      <c r="I1679">
        <v>9.1999999999999993</v>
      </c>
      <c r="J1679" s="1">
        <v>9.5500000000000007</v>
      </c>
      <c r="K1679">
        <v>878611.55</v>
      </c>
      <c r="L1679">
        <v>92025</v>
      </c>
      <c r="M1679" t="s">
        <v>78</v>
      </c>
      <c r="N1679" t="s">
        <v>17</v>
      </c>
      <c r="O1679">
        <v>244</v>
      </c>
      <c r="P1679">
        <v>74.599999999999994</v>
      </c>
      <c r="Q1679">
        <v>9.1999999999999993</v>
      </c>
    </row>
    <row r="1680" spans="2:17" x14ac:dyDescent="0.25">
      <c r="B1680" t="s">
        <v>78</v>
      </c>
      <c r="C1680" t="s">
        <v>2961</v>
      </c>
      <c r="D1680" t="s">
        <v>3309</v>
      </c>
      <c r="E1680" t="s">
        <v>3310</v>
      </c>
      <c r="F1680">
        <v>23.15</v>
      </c>
      <c r="G1680">
        <v>23.15</v>
      </c>
      <c r="H1680">
        <v>23.15</v>
      </c>
      <c r="I1680">
        <v>23.15</v>
      </c>
      <c r="J1680" s="1">
        <v>23.15</v>
      </c>
      <c r="K1680">
        <v>189667.95</v>
      </c>
      <c r="L1680">
        <v>8193</v>
      </c>
      <c r="M1680" t="s">
        <v>78</v>
      </c>
      <c r="N1680" t="s">
        <v>17</v>
      </c>
      <c r="O1680">
        <v>16</v>
      </c>
      <c r="P1680">
        <v>23.15</v>
      </c>
      <c r="Q1680">
        <v>7.5</v>
      </c>
    </row>
    <row r="1681" spans="2:17" x14ac:dyDescent="0.25">
      <c r="B1681" t="s">
        <v>78</v>
      </c>
      <c r="C1681" t="s">
        <v>2961</v>
      </c>
      <c r="D1681" t="s">
        <v>3311</v>
      </c>
      <c r="E1681" t="s">
        <v>3312</v>
      </c>
      <c r="F1681">
        <v>139.80000000000001</v>
      </c>
      <c r="G1681">
        <v>140.80000000000001</v>
      </c>
      <c r="H1681">
        <v>145.9</v>
      </c>
      <c r="I1681">
        <v>136.05000000000001</v>
      </c>
      <c r="J1681" s="1">
        <v>143</v>
      </c>
      <c r="K1681">
        <v>12652163.199999999</v>
      </c>
      <c r="L1681">
        <v>88745</v>
      </c>
      <c r="M1681" t="s">
        <v>78</v>
      </c>
      <c r="N1681" t="s">
        <v>17</v>
      </c>
      <c r="O1681">
        <v>575</v>
      </c>
      <c r="P1681">
        <v>148.80000000000001</v>
      </c>
      <c r="Q1681">
        <v>108.5</v>
      </c>
    </row>
    <row r="1682" spans="2:17" x14ac:dyDescent="0.25">
      <c r="B1682" t="s">
        <v>78</v>
      </c>
      <c r="C1682" t="s">
        <v>2961</v>
      </c>
      <c r="D1682" t="s">
        <v>3313</v>
      </c>
      <c r="E1682" t="s">
        <v>3314</v>
      </c>
      <c r="F1682">
        <v>18.899999999999999</v>
      </c>
      <c r="G1682">
        <v>18.05</v>
      </c>
      <c r="H1682">
        <v>18.850000000000001</v>
      </c>
      <c r="I1682">
        <v>18</v>
      </c>
      <c r="J1682" s="1">
        <v>18</v>
      </c>
      <c r="K1682">
        <v>19508547.699999999</v>
      </c>
      <c r="L1682">
        <v>1068979</v>
      </c>
      <c r="M1682" t="s">
        <v>78</v>
      </c>
      <c r="N1682" t="s">
        <v>17</v>
      </c>
      <c r="O1682">
        <v>1909</v>
      </c>
      <c r="P1682">
        <v>20.55</v>
      </c>
      <c r="Q1682">
        <v>3.6</v>
      </c>
    </row>
    <row r="1683" spans="2:17" x14ac:dyDescent="0.25">
      <c r="B1683" t="s">
        <v>78</v>
      </c>
      <c r="C1683" t="s">
        <v>2961</v>
      </c>
      <c r="D1683" t="s">
        <v>3315</v>
      </c>
      <c r="E1683" t="s">
        <v>3316</v>
      </c>
      <c r="F1683">
        <v>307.14999999999998</v>
      </c>
      <c r="G1683">
        <v>320</v>
      </c>
      <c r="H1683">
        <v>322.5</v>
      </c>
      <c r="I1683">
        <v>307.14999999999998</v>
      </c>
      <c r="J1683" s="1">
        <v>322.10000000000002</v>
      </c>
      <c r="K1683">
        <v>28556540.199999999</v>
      </c>
      <c r="L1683">
        <v>89905</v>
      </c>
      <c r="M1683" t="s">
        <v>78</v>
      </c>
      <c r="N1683" t="s">
        <v>17</v>
      </c>
      <c r="O1683">
        <v>1311</v>
      </c>
      <c r="P1683">
        <v>322.5</v>
      </c>
      <c r="Q1683">
        <v>70</v>
      </c>
    </row>
    <row r="1684" spans="2:17" x14ac:dyDescent="0.25">
      <c r="B1684" t="s">
        <v>78</v>
      </c>
      <c r="C1684" t="s">
        <v>2961</v>
      </c>
      <c r="D1684" t="s">
        <v>3317</v>
      </c>
      <c r="E1684" t="s">
        <v>3318</v>
      </c>
      <c r="F1684">
        <v>3.7</v>
      </c>
      <c r="G1684">
        <v>3.55</v>
      </c>
      <c r="H1684">
        <v>3.85</v>
      </c>
      <c r="I1684">
        <v>3.55</v>
      </c>
      <c r="J1684" s="1">
        <v>3.8</v>
      </c>
      <c r="K1684">
        <v>81470.05</v>
      </c>
      <c r="L1684">
        <v>22757</v>
      </c>
      <c r="M1684" t="s">
        <v>78</v>
      </c>
      <c r="N1684" t="s">
        <v>17</v>
      </c>
      <c r="O1684">
        <v>21</v>
      </c>
      <c r="P1684">
        <v>5.8</v>
      </c>
      <c r="Q1684">
        <v>2</v>
      </c>
    </row>
    <row r="1685" spans="2:17" x14ac:dyDescent="0.25">
      <c r="B1685" t="s">
        <v>78</v>
      </c>
      <c r="C1685" t="s">
        <v>2961</v>
      </c>
      <c r="D1685" t="s">
        <v>3319</v>
      </c>
      <c r="E1685" t="s">
        <v>3320</v>
      </c>
      <c r="F1685">
        <v>63.8</v>
      </c>
      <c r="G1685">
        <v>63.8</v>
      </c>
      <c r="H1685">
        <v>66.95</v>
      </c>
      <c r="I1685">
        <v>61.7</v>
      </c>
      <c r="J1685" s="1">
        <v>66.95</v>
      </c>
      <c r="K1685">
        <v>7893982.3499999996</v>
      </c>
      <c r="L1685">
        <v>120751</v>
      </c>
      <c r="M1685" t="s">
        <v>78</v>
      </c>
      <c r="N1685" t="s">
        <v>17</v>
      </c>
      <c r="O1685">
        <v>537</v>
      </c>
      <c r="P1685">
        <v>66.95</v>
      </c>
      <c r="Q1685">
        <v>18.600000000000001</v>
      </c>
    </row>
    <row r="1686" spans="2:17" x14ac:dyDescent="0.25">
      <c r="B1686" t="s">
        <v>78</v>
      </c>
      <c r="C1686" t="s">
        <v>2961</v>
      </c>
      <c r="D1686" t="s">
        <v>3321</v>
      </c>
      <c r="E1686" t="s">
        <v>3322</v>
      </c>
      <c r="F1686">
        <v>2198.6</v>
      </c>
      <c r="G1686">
        <v>2180</v>
      </c>
      <c r="H1686">
        <v>2222</v>
      </c>
      <c r="I1686">
        <v>2165</v>
      </c>
      <c r="J1686" s="1">
        <v>2175.8000000000002</v>
      </c>
      <c r="K1686">
        <v>36953306.649999999</v>
      </c>
      <c r="L1686">
        <v>16917</v>
      </c>
      <c r="M1686" t="s">
        <v>78</v>
      </c>
      <c r="N1686" t="s">
        <v>17</v>
      </c>
      <c r="O1686">
        <v>795</v>
      </c>
      <c r="P1686">
        <v>2273.15</v>
      </c>
      <c r="Q1686">
        <v>425</v>
      </c>
    </row>
    <row r="1687" spans="2:17" x14ac:dyDescent="0.25">
      <c r="B1687" t="s">
        <v>78</v>
      </c>
      <c r="C1687" t="s">
        <v>2961</v>
      </c>
      <c r="D1687" t="s">
        <v>3323</v>
      </c>
      <c r="E1687" t="s">
        <v>3324</v>
      </c>
      <c r="F1687">
        <v>696.15</v>
      </c>
      <c r="G1687">
        <v>699</v>
      </c>
      <c r="H1687">
        <v>700</v>
      </c>
      <c r="I1687">
        <v>680</v>
      </c>
      <c r="J1687" s="1">
        <v>699.55</v>
      </c>
      <c r="K1687">
        <v>59064154.399999999</v>
      </c>
      <c r="L1687">
        <v>84812</v>
      </c>
      <c r="M1687" t="s">
        <v>78</v>
      </c>
      <c r="N1687" t="s">
        <v>17</v>
      </c>
      <c r="O1687">
        <v>4601</v>
      </c>
      <c r="P1687">
        <v>715.3</v>
      </c>
      <c r="Q1687">
        <v>201</v>
      </c>
    </row>
    <row r="1688" spans="2:17" x14ac:dyDescent="0.25">
      <c r="B1688" t="s">
        <v>78</v>
      </c>
      <c r="C1688" t="s">
        <v>2961</v>
      </c>
      <c r="D1688" t="s">
        <v>3325</v>
      </c>
      <c r="E1688" t="s">
        <v>3326</v>
      </c>
      <c r="F1688">
        <v>18.649999999999999</v>
      </c>
      <c r="G1688">
        <v>19</v>
      </c>
      <c r="H1688">
        <v>19.350000000000001</v>
      </c>
      <c r="I1688">
        <v>17.8</v>
      </c>
      <c r="J1688" s="1">
        <v>19</v>
      </c>
      <c r="K1688">
        <v>412368.3</v>
      </c>
      <c r="L1688">
        <v>22023</v>
      </c>
      <c r="M1688" t="s">
        <v>78</v>
      </c>
      <c r="N1688" t="s">
        <v>17</v>
      </c>
      <c r="O1688">
        <v>91</v>
      </c>
      <c r="P1688">
        <v>24.35</v>
      </c>
      <c r="Q1688">
        <v>4.8</v>
      </c>
    </row>
    <row r="1689" spans="2:17" x14ac:dyDescent="0.25">
      <c r="B1689" t="s">
        <v>78</v>
      </c>
      <c r="C1689" t="s">
        <v>2961</v>
      </c>
      <c r="D1689" t="s">
        <v>3327</v>
      </c>
      <c r="E1689" t="s">
        <v>3328</v>
      </c>
      <c r="F1689">
        <v>2.15</v>
      </c>
      <c r="G1689">
        <v>2.25</v>
      </c>
      <c r="H1689">
        <v>2.25</v>
      </c>
      <c r="I1689">
        <v>2.0499999999999998</v>
      </c>
      <c r="J1689" s="1">
        <v>2.2000000000000002</v>
      </c>
      <c r="K1689">
        <v>428524.85</v>
      </c>
      <c r="L1689">
        <v>199108</v>
      </c>
      <c r="M1689" t="s">
        <v>78</v>
      </c>
      <c r="N1689" t="s">
        <v>17</v>
      </c>
      <c r="O1689">
        <v>311</v>
      </c>
      <c r="P1689">
        <v>2.35</v>
      </c>
      <c r="Q1689">
        <v>1.25</v>
      </c>
    </row>
    <row r="1690" spans="2:17" x14ac:dyDescent="0.25">
      <c r="B1690" t="s">
        <v>78</v>
      </c>
      <c r="C1690" t="s">
        <v>2961</v>
      </c>
      <c r="D1690" t="s">
        <v>3329</v>
      </c>
      <c r="E1690" t="s">
        <v>3330</v>
      </c>
      <c r="F1690">
        <v>27.15</v>
      </c>
      <c r="G1690">
        <v>25.85</v>
      </c>
      <c r="H1690">
        <v>28.45</v>
      </c>
      <c r="I1690">
        <v>25.85</v>
      </c>
      <c r="J1690" s="1">
        <v>28.4</v>
      </c>
      <c r="K1690">
        <v>23517.25</v>
      </c>
      <c r="L1690">
        <v>856</v>
      </c>
      <c r="M1690" t="s">
        <v>78</v>
      </c>
      <c r="N1690" t="s">
        <v>17</v>
      </c>
      <c r="O1690">
        <v>14</v>
      </c>
      <c r="P1690">
        <v>31.9</v>
      </c>
      <c r="Q1690">
        <v>16.25</v>
      </c>
    </row>
    <row r="1691" spans="2:17" x14ac:dyDescent="0.25">
      <c r="B1691" t="s">
        <v>78</v>
      </c>
      <c r="C1691" t="s">
        <v>2961</v>
      </c>
      <c r="D1691" t="s">
        <v>3331</v>
      </c>
      <c r="E1691" t="s">
        <v>3332</v>
      </c>
      <c r="F1691">
        <v>1.55</v>
      </c>
      <c r="G1691">
        <v>1.6</v>
      </c>
      <c r="H1691">
        <v>1.6</v>
      </c>
      <c r="I1691">
        <v>1.6</v>
      </c>
      <c r="J1691" s="1">
        <v>1.6</v>
      </c>
      <c r="K1691">
        <v>10008</v>
      </c>
      <c r="L1691">
        <v>6255</v>
      </c>
      <c r="M1691" t="s">
        <v>78</v>
      </c>
      <c r="N1691" t="s">
        <v>17</v>
      </c>
      <c r="O1691">
        <v>7</v>
      </c>
      <c r="P1691">
        <v>1.9</v>
      </c>
      <c r="Q1691">
        <v>0.45</v>
      </c>
    </row>
    <row r="1692" spans="2:17" x14ac:dyDescent="0.25">
      <c r="B1692" t="s">
        <v>78</v>
      </c>
      <c r="C1692" t="s">
        <v>2961</v>
      </c>
      <c r="D1692" t="s">
        <v>3333</v>
      </c>
      <c r="E1692" t="s">
        <v>3334</v>
      </c>
      <c r="F1692">
        <v>7.4</v>
      </c>
      <c r="G1692">
        <v>7.55</v>
      </c>
      <c r="H1692">
        <v>7.75</v>
      </c>
      <c r="I1692">
        <v>7.4</v>
      </c>
      <c r="J1692" s="1">
        <v>7.75</v>
      </c>
      <c r="K1692">
        <v>141592.70000000001</v>
      </c>
      <c r="L1692">
        <v>18387</v>
      </c>
      <c r="M1692" t="s">
        <v>78</v>
      </c>
      <c r="N1692" t="s">
        <v>17</v>
      </c>
      <c r="O1692">
        <v>81</v>
      </c>
      <c r="P1692">
        <v>10</v>
      </c>
      <c r="Q1692">
        <v>3.5</v>
      </c>
    </row>
    <row r="1693" spans="2:17" x14ac:dyDescent="0.25">
      <c r="B1693" t="s">
        <v>78</v>
      </c>
      <c r="C1693" t="s">
        <v>2961</v>
      </c>
      <c r="D1693" t="s">
        <v>3335</v>
      </c>
      <c r="E1693" t="s">
        <v>3336</v>
      </c>
      <c r="F1693">
        <v>244.4</v>
      </c>
      <c r="G1693">
        <v>245</v>
      </c>
      <c r="H1693">
        <v>248</v>
      </c>
      <c r="I1693">
        <v>236</v>
      </c>
      <c r="J1693" s="1">
        <v>242</v>
      </c>
      <c r="K1693">
        <v>41616542.799999997</v>
      </c>
      <c r="L1693">
        <v>173627</v>
      </c>
      <c r="M1693" t="s">
        <v>78</v>
      </c>
      <c r="N1693" t="s">
        <v>17</v>
      </c>
      <c r="O1693">
        <v>1864</v>
      </c>
      <c r="P1693">
        <v>279.8</v>
      </c>
      <c r="Q1693">
        <v>132.69999999999999</v>
      </c>
    </row>
    <row r="1694" spans="2:17" x14ac:dyDescent="0.25">
      <c r="B1694" t="s">
        <v>78</v>
      </c>
      <c r="C1694" t="s">
        <v>2961</v>
      </c>
      <c r="D1694" t="s">
        <v>3337</v>
      </c>
      <c r="E1694" t="s">
        <v>3338</v>
      </c>
      <c r="F1694">
        <v>49.9</v>
      </c>
      <c r="G1694">
        <v>47.45</v>
      </c>
      <c r="H1694">
        <v>47.45</v>
      </c>
      <c r="I1694">
        <v>47.45</v>
      </c>
      <c r="J1694" s="1">
        <v>47.45</v>
      </c>
      <c r="K1694">
        <v>303774.90000000002</v>
      </c>
      <c r="L1694">
        <v>6402</v>
      </c>
      <c r="M1694" t="s">
        <v>78</v>
      </c>
      <c r="N1694" t="s">
        <v>17</v>
      </c>
      <c r="O1694">
        <v>81</v>
      </c>
      <c r="P1694">
        <v>55.1</v>
      </c>
      <c r="Q1694">
        <v>12.1</v>
      </c>
    </row>
    <row r="1695" spans="2:17" x14ac:dyDescent="0.25">
      <c r="B1695" t="s">
        <v>78</v>
      </c>
      <c r="C1695" t="s">
        <v>2961</v>
      </c>
      <c r="D1695" t="s">
        <v>3339</v>
      </c>
      <c r="E1695" t="s">
        <v>3340</v>
      </c>
      <c r="F1695">
        <v>257.75</v>
      </c>
      <c r="G1695">
        <v>260</v>
      </c>
      <c r="H1695">
        <v>270.60000000000002</v>
      </c>
      <c r="I1695">
        <v>257.8</v>
      </c>
      <c r="J1695" s="1">
        <v>270.60000000000002</v>
      </c>
      <c r="K1695">
        <v>22314810.5</v>
      </c>
      <c r="L1695">
        <v>83418</v>
      </c>
      <c r="M1695" t="s">
        <v>78</v>
      </c>
      <c r="N1695" t="s">
        <v>17</v>
      </c>
      <c r="O1695">
        <v>885</v>
      </c>
      <c r="P1695">
        <v>270.60000000000002</v>
      </c>
      <c r="Q1695">
        <v>51.2</v>
      </c>
    </row>
    <row r="1696" spans="2:17" x14ac:dyDescent="0.25">
      <c r="B1696" t="s">
        <v>78</v>
      </c>
      <c r="C1696" t="s">
        <v>2961</v>
      </c>
      <c r="D1696" t="s">
        <v>3341</v>
      </c>
      <c r="E1696" t="s">
        <v>3342</v>
      </c>
      <c r="F1696">
        <v>167.9</v>
      </c>
      <c r="G1696">
        <v>168</v>
      </c>
      <c r="H1696">
        <v>172</v>
      </c>
      <c r="I1696">
        <v>166.25</v>
      </c>
      <c r="J1696" s="1">
        <v>169.6</v>
      </c>
      <c r="K1696">
        <v>13950392</v>
      </c>
      <c r="L1696">
        <v>82108</v>
      </c>
      <c r="M1696" t="s">
        <v>78</v>
      </c>
      <c r="N1696" t="s">
        <v>17</v>
      </c>
      <c r="O1696">
        <v>632</v>
      </c>
      <c r="P1696">
        <v>190.75</v>
      </c>
      <c r="Q1696">
        <v>18.100000000000001</v>
      </c>
    </row>
    <row r="1697" spans="2:17" x14ac:dyDescent="0.25">
      <c r="B1697" t="s">
        <v>78</v>
      </c>
      <c r="C1697" t="s">
        <v>2961</v>
      </c>
      <c r="D1697" t="s">
        <v>3343</v>
      </c>
      <c r="E1697" t="s">
        <v>3344</v>
      </c>
      <c r="F1697">
        <v>4.55</v>
      </c>
      <c r="G1697">
        <v>4.55</v>
      </c>
      <c r="H1697">
        <v>4.5999999999999996</v>
      </c>
      <c r="I1697">
        <v>4.45</v>
      </c>
      <c r="J1697" s="1">
        <v>4.5</v>
      </c>
      <c r="K1697">
        <v>1715729.25</v>
      </c>
      <c r="L1697">
        <v>379036</v>
      </c>
      <c r="M1697" t="s">
        <v>78</v>
      </c>
      <c r="N1697" t="s">
        <v>17</v>
      </c>
      <c r="O1697">
        <v>381</v>
      </c>
      <c r="P1697">
        <v>7.65</v>
      </c>
      <c r="Q1697">
        <v>2.8</v>
      </c>
    </row>
    <row r="1698" spans="2:17" x14ac:dyDescent="0.25">
      <c r="B1698" t="s">
        <v>78</v>
      </c>
      <c r="C1698" t="s">
        <v>2961</v>
      </c>
      <c r="D1698" t="s">
        <v>3345</v>
      </c>
      <c r="E1698" t="s">
        <v>3346</v>
      </c>
      <c r="F1698">
        <v>545.85</v>
      </c>
      <c r="G1698">
        <v>518.6</v>
      </c>
      <c r="H1698">
        <v>550.25</v>
      </c>
      <c r="I1698">
        <v>518.6</v>
      </c>
      <c r="J1698" s="1">
        <v>526.1</v>
      </c>
      <c r="K1698">
        <v>73141959.799999997</v>
      </c>
      <c r="L1698">
        <v>139368</v>
      </c>
      <c r="M1698" t="s">
        <v>78</v>
      </c>
      <c r="N1698" t="s">
        <v>17</v>
      </c>
      <c r="O1698">
        <v>1779</v>
      </c>
      <c r="P1698">
        <v>2654.25</v>
      </c>
      <c r="Q1698">
        <v>111.85</v>
      </c>
    </row>
    <row r="1699" spans="2:17" x14ac:dyDescent="0.25">
      <c r="B1699" t="s">
        <v>78</v>
      </c>
      <c r="C1699" t="s">
        <v>2961</v>
      </c>
      <c r="D1699" t="s">
        <v>3347</v>
      </c>
      <c r="E1699" t="s">
        <v>3348</v>
      </c>
      <c r="F1699">
        <v>75</v>
      </c>
      <c r="G1699">
        <v>71.3</v>
      </c>
      <c r="H1699">
        <v>78.75</v>
      </c>
      <c r="I1699">
        <v>71.3</v>
      </c>
      <c r="J1699" s="1">
        <v>75.05</v>
      </c>
      <c r="K1699">
        <v>471936.85</v>
      </c>
      <c r="L1699">
        <v>6105</v>
      </c>
      <c r="M1699" t="s">
        <v>78</v>
      </c>
      <c r="N1699" t="s">
        <v>17</v>
      </c>
      <c r="O1699">
        <v>51</v>
      </c>
      <c r="P1699">
        <v>93.5</v>
      </c>
      <c r="Q1699">
        <v>24.35</v>
      </c>
    </row>
    <row r="1700" spans="2:17" x14ac:dyDescent="0.25">
      <c r="B1700" t="s">
        <v>78</v>
      </c>
      <c r="C1700" t="s">
        <v>2961</v>
      </c>
      <c r="D1700" t="s">
        <v>3349</v>
      </c>
      <c r="E1700" t="s">
        <v>3350</v>
      </c>
      <c r="F1700">
        <v>8.25</v>
      </c>
      <c r="G1700">
        <v>8.65</v>
      </c>
      <c r="H1700">
        <v>8.65</v>
      </c>
      <c r="I1700">
        <v>8.65</v>
      </c>
      <c r="J1700" s="1">
        <v>8.65</v>
      </c>
      <c r="K1700">
        <v>99042.5</v>
      </c>
      <c r="L1700">
        <v>11450</v>
      </c>
      <c r="M1700" t="s">
        <v>78</v>
      </c>
      <c r="N1700" t="s">
        <v>17</v>
      </c>
      <c r="O1700">
        <v>40</v>
      </c>
      <c r="P1700">
        <v>8.65</v>
      </c>
      <c r="Q1700">
        <v>4.55</v>
      </c>
    </row>
    <row r="1701" spans="2:17" x14ac:dyDescent="0.25">
      <c r="B1701" t="s">
        <v>78</v>
      </c>
      <c r="C1701" t="s">
        <v>2961</v>
      </c>
      <c r="D1701" t="s">
        <v>3351</v>
      </c>
      <c r="E1701" t="s">
        <v>3352</v>
      </c>
      <c r="F1701">
        <v>4.6500000000000004</v>
      </c>
      <c r="G1701">
        <v>4.6500000000000004</v>
      </c>
      <c r="H1701">
        <v>4.6500000000000004</v>
      </c>
      <c r="I1701">
        <v>4.6500000000000004</v>
      </c>
      <c r="J1701" s="1">
        <v>4.6500000000000004</v>
      </c>
      <c r="K1701">
        <v>12043.5</v>
      </c>
      <c r="L1701">
        <v>2590</v>
      </c>
      <c r="M1701" t="s">
        <v>78</v>
      </c>
      <c r="N1701" t="s">
        <v>17</v>
      </c>
      <c r="O1701">
        <v>8</v>
      </c>
      <c r="P1701">
        <v>4.6500000000000004</v>
      </c>
      <c r="Q1701">
        <v>2.2000000000000002</v>
      </c>
    </row>
    <row r="1702" spans="2:17" x14ac:dyDescent="0.25">
      <c r="B1702" t="s">
        <v>78</v>
      </c>
      <c r="C1702" t="s">
        <v>2961</v>
      </c>
      <c r="D1702" t="s">
        <v>3353</v>
      </c>
      <c r="E1702" t="s">
        <v>3354</v>
      </c>
      <c r="F1702">
        <v>15.7</v>
      </c>
      <c r="G1702">
        <v>15.5</v>
      </c>
      <c r="H1702">
        <v>16.45</v>
      </c>
      <c r="I1702">
        <v>15.1</v>
      </c>
      <c r="J1702" s="1">
        <v>16.45</v>
      </c>
      <c r="K1702">
        <v>7604201</v>
      </c>
      <c r="L1702">
        <v>472542</v>
      </c>
      <c r="M1702" t="s">
        <v>78</v>
      </c>
      <c r="N1702" t="s">
        <v>17</v>
      </c>
      <c r="O1702">
        <v>1017</v>
      </c>
      <c r="P1702">
        <v>16.45</v>
      </c>
      <c r="Q1702">
        <v>6.65</v>
      </c>
    </row>
    <row r="1703" spans="2:17" x14ac:dyDescent="0.25">
      <c r="B1703" t="s">
        <v>78</v>
      </c>
      <c r="C1703" t="s">
        <v>2961</v>
      </c>
      <c r="D1703" t="s">
        <v>3355</v>
      </c>
      <c r="E1703" t="s">
        <v>3356</v>
      </c>
      <c r="F1703">
        <v>60.15</v>
      </c>
      <c r="G1703">
        <v>61.9</v>
      </c>
      <c r="H1703">
        <v>62.7</v>
      </c>
      <c r="I1703">
        <v>59.5</v>
      </c>
      <c r="J1703" s="1">
        <v>61.3</v>
      </c>
      <c r="K1703">
        <v>2632106.65</v>
      </c>
      <c r="L1703">
        <v>42742</v>
      </c>
      <c r="M1703" t="s">
        <v>78</v>
      </c>
      <c r="N1703" t="s">
        <v>17</v>
      </c>
      <c r="O1703">
        <v>320</v>
      </c>
      <c r="P1703">
        <v>69.5</v>
      </c>
      <c r="Q1703">
        <v>55.5</v>
      </c>
    </row>
    <row r="1704" spans="2:17" x14ac:dyDescent="0.25">
      <c r="B1704" t="s">
        <v>78</v>
      </c>
      <c r="C1704" t="s">
        <v>2961</v>
      </c>
      <c r="D1704" t="s">
        <v>3357</v>
      </c>
      <c r="E1704" t="s">
        <v>3358</v>
      </c>
      <c r="F1704">
        <v>327.60000000000002</v>
      </c>
      <c r="G1704">
        <v>330</v>
      </c>
      <c r="H1704">
        <v>336.6</v>
      </c>
      <c r="I1704">
        <v>327.2</v>
      </c>
      <c r="J1704" s="1">
        <v>333.2</v>
      </c>
      <c r="K1704">
        <v>662822.85</v>
      </c>
      <c r="L1704">
        <v>1991</v>
      </c>
      <c r="M1704" t="s">
        <v>78</v>
      </c>
      <c r="N1704" t="s">
        <v>17</v>
      </c>
      <c r="O1704">
        <v>70</v>
      </c>
      <c r="P1704">
        <v>384.9</v>
      </c>
      <c r="Q1704">
        <v>109.6</v>
      </c>
    </row>
    <row r="1705" spans="2:17" x14ac:dyDescent="0.25">
      <c r="B1705" t="s">
        <v>78</v>
      </c>
      <c r="C1705" t="s">
        <v>2961</v>
      </c>
      <c r="D1705" t="s">
        <v>3359</v>
      </c>
      <c r="E1705" t="s">
        <v>3360</v>
      </c>
      <c r="F1705">
        <v>720.95</v>
      </c>
      <c r="G1705">
        <v>721</v>
      </c>
      <c r="H1705">
        <v>727.9</v>
      </c>
      <c r="I1705">
        <v>697</v>
      </c>
      <c r="J1705" s="1">
        <v>701.8</v>
      </c>
      <c r="K1705">
        <v>44211447.850000001</v>
      </c>
      <c r="L1705">
        <v>62768</v>
      </c>
      <c r="M1705" t="s">
        <v>78</v>
      </c>
      <c r="N1705" t="s">
        <v>17</v>
      </c>
      <c r="O1705">
        <v>2483</v>
      </c>
      <c r="P1705">
        <v>1315.9</v>
      </c>
      <c r="Q1705">
        <v>664.25</v>
      </c>
    </row>
    <row r="1706" spans="2:17" x14ac:dyDescent="0.25">
      <c r="B1706" t="s">
        <v>78</v>
      </c>
      <c r="C1706" t="s">
        <v>2961</v>
      </c>
      <c r="D1706" t="s">
        <v>3361</v>
      </c>
      <c r="E1706" t="s">
        <v>3362</v>
      </c>
      <c r="F1706">
        <v>41.55</v>
      </c>
      <c r="G1706">
        <v>41.9</v>
      </c>
      <c r="H1706">
        <v>43.2</v>
      </c>
      <c r="I1706">
        <v>40.1</v>
      </c>
      <c r="J1706" s="1">
        <v>40.6</v>
      </c>
      <c r="K1706">
        <v>1374657.75</v>
      </c>
      <c r="L1706">
        <v>32968</v>
      </c>
      <c r="M1706" t="s">
        <v>78</v>
      </c>
      <c r="N1706" t="s">
        <v>17</v>
      </c>
      <c r="O1706">
        <v>184</v>
      </c>
      <c r="P1706">
        <v>47.7</v>
      </c>
      <c r="Q1706">
        <v>37.799999999999997</v>
      </c>
    </row>
    <row r="1707" spans="2:17" x14ac:dyDescent="0.25">
      <c r="B1707" t="s">
        <v>78</v>
      </c>
      <c r="C1707" t="s">
        <v>2961</v>
      </c>
      <c r="D1707" t="s">
        <v>3363</v>
      </c>
      <c r="E1707" t="s">
        <v>3364</v>
      </c>
      <c r="F1707">
        <v>1.1000000000000001</v>
      </c>
      <c r="G1707">
        <v>1.1000000000000001</v>
      </c>
      <c r="H1707">
        <v>1.1000000000000001</v>
      </c>
      <c r="I1707">
        <v>1.05</v>
      </c>
      <c r="J1707" s="1">
        <v>1.05</v>
      </c>
      <c r="K1707">
        <v>2692.5</v>
      </c>
      <c r="L1707">
        <v>2450</v>
      </c>
      <c r="M1707" t="s">
        <v>78</v>
      </c>
      <c r="N1707" t="s">
        <v>17</v>
      </c>
      <c r="O1707">
        <v>2</v>
      </c>
      <c r="P1707">
        <v>1.2</v>
      </c>
      <c r="Q1707">
        <v>0.65</v>
      </c>
    </row>
    <row r="1708" spans="2:17" x14ac:dyDescent="0.25">
      <c r="B1708" t="s">
        <v>78</v>
      </c>
      <c r="C1708" t="s">
        <v>2961</v>
      </c>
      <c r="D1708" t="s">
        <v>3365</v>
      </c>
      <c r="E1708" t="s">
        <v>3366</v>
      </c>
      <c r="F1708">
        <v>363.85</v>
      </c>
      <c r="G1708">
        <v>362</v>
      </c>
      <c r="H1708">
        <v>380</v>
      </c>
      <c r="I1708">
        <v>361.5</v>
      </c>
      <c r="J1708" s="1">
        <v>374</v>
      </c>
      <c r="K1708">
        <v>341254281.44999999</v>
      </c>
      <c r="L1708">
        <v>908284</v>
      </c>
      <c r="M1708" t="s">
        <v>78</v>
      </c>
      <c r="N1708" t="s">
        <v>17</v>
      </c>
      <c r="O1708">
        <v>20160</v>
      </c>
      <c r="P1708">
        <v>403.6</v>
      </c>
      <c r="Q1708">
        <v>82.3</v>
      </c>
    </row>
    <row r="1709" spans="2:17" x14ac:dyDescent="0.25">
      <c r="B1709" t="s">
        <v>78</v>
      </c>
      <c r="C1709" t="s">
        <v>2961</v>
      </c>
      <c r="D1709" t="s">
        <v>3367</v>
      </c>
      <c r="E1709" t="s">
        <v>3368</v>
      </c>
      <c r="F1709">
        <v>1.4</v>
      </c>
      <c r="G1709">
        <v>1.4</v>
      </c>
      <c r="H1709">
        <v>1.45</v>
      </c>
      <c r="I1709">
        <v>1.35</v>
      </c>
      <c r="J1709" s="1">
        <v>1.45</v>
      </c>
      <c r="K1709">
        <v>998563.9</v>
      </c>
      <c r="L1709">
        <v>701022</v>
      </c>
      <c r="M1709" t="s">
        <v>78</v>
      </c>
      <c r="N1709" t="s">
        <v>17</v>
      </c>
      <c r="O1709">
        <v>394</v>
      </c>
      <c r="P1709">
        <v>1.65</v>
      </c>
      <c r="Q1709">
        <v>0.7</v>
      </c>
    </row>
    <row r="1710" spans="2:17" x14ac:dyDescent="0.25">
      <c r="B1710" t="s">
        <v>78</v>
      </c>
      <c r="C1710" t="s">
        <v>2961</v>
      </c>
      <c r="D1710" t="s">
        <v>3369</v>
      </c>
      <c r="E1710" t="s">
        <v>3370</v>
      </c>
      <c r="F1710">
        <v>3.95</v>
      </c>
      <c r="G1710">
        <v>4.0999999999999996</v>
      </c>
      <c r="H1710">
        <v>4.0999999999999996</v>
      </c>
      <c r="I1710">
        <v>3.8</v>
      </c>
      <c r="J1710" s="1">
        <v>4.0999999999999996</v>
      </c>
      <c r="K1710">
        <v>70762.95</v>
      </c>
      <c r="L1710">
        <v>18150</v>
      </c>
      <c r="M1710" t="s">
        <v>78</v>
      </c>
      <c r="N1710" t="s">
        <v>17</v>
      </c>
      <c r="O1710">
        <v>32</v>
      </c>
      <c r="P1710">
        <v>5.3</v>
      </c>
      <c r="Q1710">
        <v>1.75</v>
      </c>
    </row>
    <row r="1711" spans="2:17" x14ac:dyDescent="0.25">
      <c r="B1711" t="s">
        <v>78</v>
      </c>
      <c r="C1711" t="s">
        <v>2961</v>
      </c>
      <c r="D1711" t="s">
        <v>3371</v>
      </c>
      <c r="E1711" t="s">
        <v>3372</v>
      </c>
      <c r="F1711">
        <v>8.4499999999999993</v>
      </c>
      <c r="G1711">
        <v>8.85</v>
      </c>
      <c r="H1711">
        <v>8.85</v>
      </c>
      <c r="I1711">
        <v>8.85</v>
      </c>
      <c r="J1711" s="1">
        <v>8.85</v>
      </c>
      <c r="K1711">
        <v>14168.85</v>
      </c>
      <c r="L1711">
        <v>1601</v>
      </c>
      <c r="M1711" t="s">
        <v>78</v>
      </c>
      <c r="N1711" t="s">
        <v>17</v>
      </c>
      <c r="O1711">
        <v>11</v>
      </c>
      <c r="P1711">
        <v>8.85</v>
      </c>
      <c r="Q1711">
        <v>1.4</v>
      </c>
    </row>
    <row r="1712" spans="2:17" x14ac:dyDescent="0.25">
      <c r="B1712" t="s">
        <v>78</v>
      </c>
      <c r="C1712" t="s">
        <v>2961</v>
      </c>
      <c r="D1712" t="s">
        <v>3373</v>
      </c>
      <c r="E1712" t="s">
        <v>3374</v>
      </c>
      <c r="F1712">
        <v>33.85</v>
      </c>
      <c r="G1712">
        <v>32.5</v>
      </c>
      <c r="H1712">
        <v>35.5</v>
      </c>
      <c r="I1712">
        <v>32.5</v>
      </c>
      <c r="J1712" s="1">
        <v>35.5</v>
      </c>
      <c r="K1712">
        <v>22829504.25</v>
      </c>
      <c r="L1712">
        <v>654145</v>
      </c>
      <c r="M1712" t="s">
        <v>78</v>
      </c>
      <c r="N1712" t="s">
        <v>17</v>
      </c>
      <c r="O1712">
        <v>3441</v>
      </c>
      <c r="P1712">
        <v>56.35</v>
      </c>
      <c r="Q1712">
        <v>9.9499999999999993</v>
      </c>
    </row>
    <row r="1713" spans="2:17" x14ac:dyDescent="0.25">
      <c r="B1713" t="s">
        <v>78</v>
      </c>
      <c r="C1713" t="s">
        <v>2961</v>
      </c>
      <c r="D1713" t="s">
        <v>3375</v>
      </c>
      <c r="E1713" t="s">
        <v>3376</v>
      </c>
      <c r="F1713">
        <v>1.25</v>
      </c>
      <c r="G1713">
        <v>1.3</v>
      </c>
      <c r="H1713">
        <v>1.3</v>
      </c>
      <c r="I1713">
        <v>1.3</v>
      </c>
      <c r="J1713" s="1">
        <v>1.3</v>
      </c>
      <c r="K1713">
        <v>36043.800000000003</v>
      </c>
      <c r="L1713">
        <v>27726</v>
      </c>
      <c r="M1713" t="s">
        <v>78</v>
      </c>
      <c r="N1713" t="s">
        <v>17</v>
      </c>
      <c r="O1713">
        <v>43</v>
      </c>
      <c r="P1713">
        <v>1.3</v>
      </c>
      <c r="Q1713">
        <v>0.2</v>
      </c>
    </row>
    <row r="1714" spans="2:17" x14ac:dyDescent="0.25">
      <c r="B1714" t="s">
        <v>78</v>
      </c>
      <c r="C1714" t="s">
        <v>2961</v>
      </c>
      <c r="D1714" t="s">
        <v>3377</v>
      </c>
      <c r="E1714" t="s">
        <v>3378</v>
      </c>
      <c r="F1714">
        <v>1</v>
      </c>
      <c r="G1714">
        <v>0.95</v>
      </c>
      <c r="H1714">
        <v>1.05</v>
      </c>
      <c r="I1714">
        <v>0.95</v>
      </c>
      <c r="J1714" s="1">
        <v>1.05</v>
      </c>
      <c r="K1714">
        <v>48940.9</v>
      </c>
      <c r="L1714">
        <v>51122</v>
      </c>
      <c r="M1714" t="s">
        <v>78</v>
      </c>
      <c r="N1714" t="s">
        <v>17</v>
      </c>
      <c r="O1714">
        <v>37</v>
      </c>
      <c r="P1714">
        <v>1.8</v>
      </c>
      <c r="Q1714">
        <v>0.7</v>
      </c>
    </row>
    <row r="1715" spans="2:17" x14ac:dyDescent="0.25">
      <c r="B1715" t="s">
        <v>78</v>
      </c>
      <c r="C1715" t="s">
        <v>2961</v>
      </c>
      <c r="D1715" t="s">
        <v>3379</v>
      </c>
      <c r="E1715" t="s">
        <v>3380</v>
      </c>
      <c r="F1715">
        <v>154</v>
      </c>
      <c r="G1715">
        <v>153.80000000000001</v>
      </c>
      <c r="H1715">
        <v>161.69999999999999</v>
      </c>
      <c r="I1715">
        <v>152.5</v>
      </c>
      <c r="J1715" s="1">
        <v>161.69999999999999</v>
      </c>
      <c r="K1715">
        <v>1295990.7</v>
      </c>
      <c r="L1715">
        <v>8130</v>
      </c>
      <c r="M1715" t="s">
        <v>78</v>
      </c>
      <c r="N1715" t="s">
        <v>17</v>
      </c>
      <c r="O1715">
        <v>112</v>
      </c>
      <c r="P1715">
        <v>161.69999999999999</v>
      </c>
      <c r="Q1715">
        <v>82</v>
      </c>
    </row>
    <row r="1716" spans="2:17" x14ac:dyDescent="0.25">
      <c r="B1716" t="s">
        <v>78</v>
      </c>
      <c r="C1716" t="s">
        <v>2961</v>
      </c>
      <c r="D1716" t="s">
        <v>3381</v>
      </c>
      <c r="E1716" t="s">
        <v>3382</v>
      </c>
      <c r="F1716">
        <v>1745.65</v>
      </c>
      <c r="G1716">
        <v>1730</v>
      </c>
      <c r="H1716">
        <v>1749</v>
      </c>
      <c r="I1716">
        <v>1700</v>
      </c>
      <c r="J1716" s="1">
        <v>1714.85</v>
      </c>
      <c r="K1716">
        <v>15840885.5</v>
      </c>
      <c r="L1716">
        <v>9215</v>
      </c>
      <c r="M1716" t="s">
        <v>78</v>
      </c>
      <c r="N1716" t="s">
        <v>17</v>
      </c>
      <c r="O1716">
        <v>1024</v>
      </c>
      <c r="P1716">
        <v>1749</v>
      </c>
      <c r="Q1716">
        <v>1625.05</v>
      </c>
    </row>
    <row r="1717" spans="2:17" x14ac:dyDescent="0.25">
      <c r="B1717" t="s">
        <v>78</v>
      </c>
      <c r="C1717" t="s">
        <v>2961</v>
      </c>
      <c r="D1717" t="s">
        <v>3383</v>
      </c>
      <c r="E1717" t="s">
        <v>3384</v>
      </c>
      <c r="F1717">
        <v>31.2</v>
      </c>
      <c r="G1717">
        <v>30</v>
      </c>
      <c r="H1717">
        <v>32.75</v>
      </c>
      <c r="I1717">
        <v>29.65</v>
      </c>
      <c r="J1717" s="1">
        <v>32.75</v>
      </c>
      <c r="K1717">
        <v>1219863.3500000001</v>
      </c>
      <c r="L1717">
        <v>38688</v>
      </c>
      <c r="M1717" t="s">
        <v>78</v>
      </c>
      <c r="N1717" t="s">
        <v>17</v>
      </c>
      <c r="O1717">
        <v>209</v>
      </c>
      <c r="P1717">
        <v>38.200000000000003</v>
      </c>
      <c r="Q1717">
        <v>13.15</v>
      </c>
    </row>
    <row r="1718" spans="2:17" x14ac:dyDescent="0.25">
      <c r="B1718" t="s">
        <v>78</v>
      </c>
      <c r="C1718" t="s">
        <v>2961</v>
      </c>
      <c r="D1718" t="s">
        <v>3385</v>
      </c>
      <c r="E1718" t="s">
        <v>3386</v>
      </c>
      <c r="F1718">
        <v>8</v>
      </c>
      <c r="G1718">
        <v>8</v>
      </c>
      <c r="H1718">
        <v>8.25</v>
      </c>
      <c r="I1718">
        <v>7.6</v>
      </c>
      <c r="J1718" s="1">
        <v>7.6</v>
      </c>
      <c r="K1718">
        <v>30607.599999999999</v>
      </c>
      <c r="L1718">
        <v>3937</v>
      </c>
      <c r="M1718" t="s">
        <v>78</v>
      </c>
      <c r="N1718" t="s">
        <v>17</v>
      </c>
      <c r="O1718">
        <v>15</v>
      </c>
      <c r="P1718">
        <v>19.95</v>
      </c>
      <c r="Q1718">
        <v>7.4</v>
      </c>
    </row>
    <row r="1719" spans="2:17" x14ac:dyDescent="0.25">
      <c r="B1719" t="s">
        <v>78</v>
      </c>
      <c r="C1719" t="s">
        <v>2961</v>
      </c>
      <c r="D1719" t="s">
        <v>3387</v>
      </c>
      <c r="E1719" t="s">
        <v>3388</v>
      </c>
      <c r="F1719">
        <v>189.4</v>
      </c>
      <c r="G1719">
        <v>193.2</v>
      </c>
      <c r="H1719">
        <v>198.85</v>
      </c>
      <c r="I1719">
        <v>189.4</v>
      </c>
      <c r="J1719" s="1">
        <v>198.85</v>
      </c>
      <c r="K1719">
        <v>14454773.15</v>
      </c>
      <c r="L1719">
        <v>73028</v>
      </c>
      <c r="M1719" t="s">
        <v>78</v>
      </c>
      <c r="N1719" t="s">
        <v>17</v>
      </c>
      <c r="O1719">
        <v>581</v>
      </c>
      <c r="P1719">
        <v>210.45</v>
      </c>
      <c r="Q1719">
        <v>41.3</v>
      </c>
    </row>
    <row r="1720" spans="2:17" x14ac:dyDescent="0.25">
      <c r="B1720" t="s">
        <v>78</v>
      </c>
      <c r="C1720" t="s">
        <v>2961</v>
      </c>
      <c r="D1720" t="s">
        <v>3389</v>
      </c>
      <c r="E1720" t="s">
        <v>3390</v>
      </c>
      <c r="F1720">
        <v>1.45</v>
      </c>
      <c r="G1720">
        <v>1.4</v>
      </c>
      <c r="H1720">
        <v>1.4</v>
      </c>
      <c r="I1720">
        <v>1.4</v>
      </c>
      <c r="J1720" s="1">
        <v>1.4</v>
      </c>
      <c r="K1720">
        <v>1561</v>
      </c>
      <c r="L1720">
        <v>1115</v>
      </c>
      <c r="M1720" t="s">
        <v>78</v>
      </c>
      <c r="N1720" t="s">
        <v>17</v>
      </c>
      <c r="O1720">
        <v>5</v>
      </c>
      <c r="P1720">
        <v>2.1</v>
      </c>
      <c r="Q1720">
        <v>0.9</v>
      </c>
    </row>
    <row r="1721" spans="2:17" x14ac:dyDescent="0.25">
      <c r="B1721" t="s">
        <v>78</v>
      </c>
      <c r="C1721" t="s">
        <v>2961</v>
      </c>
      <c r="D1721" t="s">
        <v>3391</v>
      </c>
      <c r="E1721" t="s">
        <v>3392</v>
      </c>
      <c r="F1721">
        <v>80</v>
      </c>
      <c r="G1721">
        <v>77.55</v>
      </c>
      <c r="H1721">
        <v>82</v>
      </c>
      <c r="I1721">
        <v>77.400000000000006</v>
      </c>
      <c r="J1721" s="1">
        <v>78.900000000000006</v>
      </c>
      <c r="K1721">
        <v>89755019</v>
      </c>
      <c r="L1721">
        <v>1131996</v>
      </c>
      <c r="M1721" t="s">
        <v>78</v>
      </c>
      <c r="N1721" t="s">
        <v>17</v>
      </c>
      <c r="O1721">
        <v>7598</v>
      </c>
      <c r="P1721">
        <v>325</v>
      </c>
      <c r="Q1721">
        <v>15.8</v>
      </c>
    </row>
    <row r="1722" spans="2:17" x14ac:dyDescent="0.25">
      <c r="B1722" t="s">
        <v>78</v>
      </c>
      <c r="C1722" t="s">
        <v>2961</v>
      </c>
      <c r="D1722" t="s">
        <v>3393</v>
      </c>
      <c r="E1722" t="s">
        <v>3394</v>
      </c>
      <c r="F1722">
        <v>33.200000000000003</v>
      </c>
      <c r="G1722">
        <v>31.55</v>
      </c>
      <c r="H1722">
        <v>34.85</v>
      </c>
      <c r="I1722">
        <v>31.55</v>
      </c>
      <c r="J1722" s="1">
        <v>34.85</v>
      </c>
      <c r="K1722">
        <v>446512649.75</v>
      </c>
      <c r="L1722">
        <v>13217522</v>
      </c>
      <c r="M1722" t="s">
        <v>78</v>
      </c>
      <c r="N1722" t="s">
        <v>17</v>
      </c>
      <c r="O1722">
        <v>20888</v>
      </c>
      <c r="P1722">
        <v>47.75</v>
      </c>
      <c r="Q1722">
        <v>9.6</v>
      </c>
    </row>
    <row r="1723" spans="2:17" x14ac:dyDescent="0.25">
      <c r="B1723" t="s">
        <v>78</v>
      </c>
      <c r="C1723" t="s">
        <v>2961</v>
      </c>
      <c r="D1723" t="s">
        <v>3395</v>
      </c>
      <c r="E1723" t="s">
        <v>3396</v>
      </c>
      <c r="F1723">
        <v>4.55</v>
      </c>
      <c r="G1723">
        <v>4.3499999999999996</v>
      </c>
      <c r="H1723">
        <v>4.75</v>
      </c>
      <c r="I1723">
        <v>4.3499999999999996</v>
      </c>
      <c r="J1723" s="1">
        <v>4.75</v>
      </c>
      <c r="K1723">
        <v>7302469.0499999998</v>
      </c>
      <c r="L1723">
        <v>1583603</v>
      </c>
      <c r="M1723" t="s">
        <v>78</v>
      </c>
      <c r="N1723" t="s">
        <v>17</v>
      </c>
      <c r="O1723">
        <v>2402</v>
      </c>
      <c r="P1723">
        <v>6.65</v>
      </c>
      <c r="Q1723">
        <v>1.9</v>
      </c>
    </row>
    <row r="1724" spans="2:17" x14ac:dyDescent="0.25">
      <c r="B1724" t="s">
        <v>78</v>
      </c>
      <c r="C1724" t="s">
        <v>2961</v>
      </c>
      <c r="D1724" t="s">
        <v>3397</v>
      </c>
      <c r="E1724" t="s">
        <v>3398</v>
      </c>
      <c r="F1724">
        <v>3.3</v>
      </c>
      <c r="G1724">
        <v>3.3</v>
      </c>
      <c r="H1724">
        <v>3.3</v>
      </c>
      <c r="I1724">
        <v>3.3</v>
      </c>
      <c r="J1724" s="1">
        <v>3.3</v>
      </c>
      <c r="K1724">
        <v>27033.599999999999</v>
      </c>
      <c r="L1724">
        <v>8192</v>
      </c>
      <c r="M1724" t="s">
        <v>78</v>
      </c>
      <c r="N1724" t="s">
        <v>17</v>
      </c>
      <c r="O1724">
        <v>11</v>
      </c>
      <c r="P1724">
        <v>3.3</v>
      </c>
      <c r="Q1724">
        <v>0.7</v>
      </c>
    </row>
    <row r="1725" spans="2:17" x14ac:dyDescent="0.25">
      <c r="B1725" t="s">
        <v>78</v>
      </c>
      <c r="C1725" t="s">
        <v>2961</v>
      </c>
      <c r="D1725" t="s">
        <v>3399</v>
      </c>
      <c r="E1725" t="s">
        <v>3400</v>
      </c>
      <c r="F1725">
        <v>13</v>
      </c>
      <c r="G1725">
        <v>12.5</v>
      </c>
      <c r="H1725">
        <v>13.65</v>
      </c>
      <c r="I1725">
        <v>12.4</v>
      </c>
      <c r="J1725" s="1">
        <v>13.35</v>
      </c>
      <c r="K1725">
        <v>259725837.05000001</v>
      </c>
      <c r="L1725">
        <v>19645291</v>
      </c>
      <c r="M1725" t="s">
        <v>78</v>
      </c>
      <c r="N1725" t="s">
        <v>17</v>
      </c>
      <c r="O1725">
        <v>29836</v>
      </c>
      <c r="P1725">
        <v>18.25</v>
      </c>
      <c r="Q1725">
        <v>3.15</v>
      </c>
    </row>
    <row r="1726" spans="2:17" x14ac:dyDescent="0.25">
      <c r="B1726" t="s">
        <v>78</v>
      </c>
      <c r="C1726" t="s">
        <v>2961</v>
      </c>
      <c r="D1726" t="s">
        <v>3401</v>
      </c>
      <c r="E1726" t="s">
        <v>3402</v>
      </c>
      <c r="F1726">
        <v>37.950000000000003</v>
      </c>
      <c r="G1726">
        <v>38.5</v>
      </c>
      <c r="H1726">
        <v>39</v>
      </c>
      <c r="I1726">
        <v>36.299999999999997</v>
      </c>
      <c r="J1726" s="1">
        <v>37.450000000000003</v>
      </c>
      <c r="K1726">
        <v>2709982.95</v>
      </c>
      <c r="L1726">
        <v>71033</v>
      </c>
      <c r="M1726" t="s">
        <v>78</v>
      </c>
      <c r="N1726" t="s">
        <v>17</v>
      </c>
      <c r="O1726">
        <v>436</v>
      </c>
      <c r="P1726">
        <v>42.15</v>
      </c>
      <c r="Q1726">
        <v>18.2</v>
      </c>
    </row>
    <row r="1727" spans="2:17" x14ac:dyDescent="0.25">
      <c r="B1727" t="s">
        <v>78</v>
      </c>
      <c r="C1727" t="s">
        <v>2961</v>
      </c>
      <c r="D1727" t="s">
        <v>3403</v>
      </c>
      <c r="E1727" t="s">
        <v>3404</v>
      </c>
      <c r="F1727">
        <v>52.7</v>
      </c>
      <c r="G1727">
        <v>54.85</v>
      </c>
      <c r="H1727">
        <v>55.3</v>
      </c>
      <c r="I1727">
        <v>53</v>
      </c>
      <c r="J1727" s="1">
        <v>55.3</v>
      </c>
      <c r="K1727">
        <v>70018173.75</v>
      </c>
      <c r="L1727">
        <v>1273940</v>
      </c>
      <c r="M1727" t="s">
        <v>78</v>
      </c>
      <c r="N1727" t="s">
        <v>17</v>
      </c>
      <c r="O1727">
        <v>3894</v>
      </c>
      <c r="P1727">
        <v>55.3</v>
      </c>
      <c r="Q1727">
        <v>1.5</v>
      </c>
    </row>
    <row r="1728" spans="2:17" x14ac:dyDescent="0.25">
      <c r="B1728" t="s">
        <v>78</v>
      </c>
      <c r="C1728" t="s">
        <v>2961</v>
      </c>
      <c r="D1728" t="s">
        <v>3405</v>
      </c>
      <c r="E1728" t="s">
        <v>3406</v>
      </c>
      <c r="F1728">
        <v>7.65</v>
      </c>
      <c r="G1728">
        <v>7.9</v>
      </c>
      <c r="H1728">
        <v>8</v>
      </c>
      <c r="I1728">
        <v>7.75</v>
      </c>
      <c r="J1728" s="1">
        <v>8</v>
      </c>
      <c r="K1728">
        <v>78364083.450000003</v>
      </c>
      <c r="L1728">
        <v>9903150</v>
      </c>
      <c r="M1728" t="s">
        <v>78</v>
      </c>
      <c r="N1728" t="s">
        <v>17</v>
      </c>
      <c r="O1728">
        <v>13200</v>
      </c>
      <c r="P1728">
        <v>8.5</v>
      </c>
      <c r="Q1728">
        <v>1.2</v>
      </c>
    </row>
    <row r="1729" spans="2:17" x14ac:dyDescent="0.25">
      <c r="B1729" t="s">
        <v>78</v>
      </c>
      <c r="C1729" t="s">
        <v>2961</v>
      </c>
      <c r="D1729" t="s">
        <v>3407</v>
      </c>
      <c r="E1729" t="s">
        <v>3408</v>
      </c>
      <c r="F1729">
        <v>8.65</v>
      </c>
      <c r="G1729">
        <v>8.8000000000000007</v>
      </c>
      <c r="H1729">
        <v>9.0500000000000007</v>
      </c>
      <c r="I1729">
        <v>8.25</v>
      </c>
      <c r="J1729" s="1">
        <v>8.5500000000000007</v>
      </c>
      <c r="K1729">
        <v>2538621.1</v>
      </c>
      <c r="L1729">
        <v>295889</v>
      </c>
      <c r="M1729" t="s">
        <v>78</v>
      </c>
      <c r="N1729" t="s">
        <v>17</v>
      </c>
      <c r="O1729">
        <v>494</v>
      </c>
      <c r="P1729">
        <v>19.05</v>
      </c>
      <c r="Q1729">
        <v>5.5</v>
      </c>
    </row>
    <row r="1730" spans="2:17" x14ac:dyDescent="0.25">
      <c r="B1730" t="s">
        <v>78</v>
      </c>
      <c r="C1730" t="s">
        <v>2961</v>
      </c>
      <c r="D1730" t="s">
        <v>3409</v>
      </c>
      <c r="E1730" t="s">
        <v>3410</v>
      </c>
      <c r="F1730">
        <v>292.2</v>
      </c>
      <c r="G1730">
        <v>279</v>
      </c>
      <c r="H1730">
        <v>291</v>
      </c>
      <c r="I1730">
        <v>279</v>
      </c>
      <c r="J1730" s="1">
        <v>286.3</v>
      </c>
      <c r="K1730">
        <v>2222253.9</v>
      </c>
      <c r="L1730">
        <v>7743</v>
      </c>
      <c r="M1730" t="s">
        <v>78</v>
      </c>
      <c r="N1730" t="s">
        <v>17</v>
      </c>
      <c r="O1730">
        <v>148</v>
      </c>
      <c r="P1730">
        <v>670</v>
      </c>
      <c r="Q1730">
        <v>228.25</v>
      </c>
    </row>
    <row r="1731" spans="2:17" x14ac:dyDescent="0.25">
      <c r="B1731" t="s">
        <v>78</v>
      </c>
      <c r="C1731" t="s">
        <v>2961</v>
      </c>
      <c r="D1731" t="s">
        <v>3411</v>
      </c>
      <c r="E1731" t="s">
        <v>3412</v>
      </c>
      <c r="F1731">
        <v>20.8</v>
      </c>
      <c r="G1731">
        <v>20.8</v>
      </c>
      <c r="H1731">
        <v>21.05</v>
      </c>
      <c r="I1731">
        <v>20.5</v>
      </c>
      <c r="J1731" s="1">
        <v>21</v>
      </c>
      <c r="K1731">
        <v>57029.15</v>
      </c>
      <c r="L1731">
        <v>2732</v>
      </c>
      <c r="M1731" t="s">
        <v>78</v>
      </c>
      <c r="N1731" t="s">
        <v>17</v>
      </c>
      <c r="O1731">
        <v>25</v>
      </c>
      <c r="P1731">
        <v>24.45</v>
      </c>
      <c r="Q1731">
        <v>18.399999999999999</v>
      </c>
    </row>
    <row r="1732" spans="2:17" x14ac:dyDescent="0.25">
      <c r="B1732" t="s">
        <v>78</v>
      </c>
      <c r="C1732" t="s">
        <v>2961</v>
      </c>
      <c r="D1732" t="s">
        <v>3413</v>
      </c>
      <c r="E1732" t="s">
        <v>3414</v>
      </c>
      <c r="F1732">
        <v>2.7</v>
      </c>
      <c r="G1732">
        <v>2.8</v>
      </c>
      <c r="H1732">
        <v>2.8</v>
      </c>
      <c r="I1732">
        <v>2.6</v>
      </c>
      <c r="J1732" s="1">
        <v>2.8</v>
      </c>
      <c r="K1732">
        <v>42407.55</v>
      </c>
      <c r="L1732">
        <v>15232</v>
      </c>
      <c r="M1732" t="s">
        <v>78</v>
      </c>
      <c r="N1732" t="s">
        <v>17</v>
      </c>
      <c r="O1732">
        <v>45</v>
      </c>
      <c r="P1732">
        <v>3.3</v>
      </c>
      <c r="Q1732">
        <v>1</v>
      </c>
    </row>
    <row r="1733" spans="2:17" x14ac:dyDescent="0.25">
      <c r="B1733" t="s">
        <v>78</v>
      </c>
      <c r="C1733" t="s">
        <v>2961</v>
      </c>
      <c r="D1733" t="s">
        <v>3415</v>
      </c>
      <c r="E1733" t="s">
        <v>3416</v>
      </c>
      <c r="F1733">
        <v>2.2999999999999998</v>
      </c>
      <c r="G1733">
        <v>2.2999999999999998</v>
      </c>
      <c r="H1733">
        <v>2.4</v>
      </c>
      <c r="I1733">
        <v>2.25</v>
      </c>
      <c r="J1733" s="1">
        <v>2.35</v>
      </c>
      <c r="K1733">
        <v>17045.150000000001</v>
      </c>
      <c r="L1733">
        <v>7250</v>
      </c>
      <c r="M1733" t="s">
        <v>78</v>
      </c>
      <c r="N1733" t="s">
        <v>17</v>
      </c>
      <c r="O1733">
        <v>14</v>
      </c>
      <c r="P1733">
        <v>2.6</v>
      </c>
      <c r="Q1733">
        <v>1.05</v>
      </c>
    </row>
    <row r="1734" spans="2:17" x14ac:dyDescent="0.25">
      <c r="B1734" t="s">
        <v>78</v>
      </c>
      <c r="C1734" t="s">
        <v>2961</v>
      </c>
      <c r="D1734" t="s">
        <v>3417</v>
      </c>
      <c r="E1734" t="s">
        <v>3418</v>
      </c>
      <c r="F1734">
        <v>67.8</v>
      </c>
      <c r="G1734">
        <v>68</v>
      </c>
      <c r="H1734">
        <v>68.5</v>
      </c>
      <c r="I1734">
        <v>64.75</v>
      </c>
      <c r="J1734" s="1">
        <v>67.3</v>
      </c>
      <c r="K1734">
        <v>2951863.55</v>
      </c>
      <c r="L1734">
        <v>44031</v>
      </c>
      <c r="M1734" t="s">
        <v>78</v>
      </c>
      <c r="N1734" t="s">
        <v>17</v>
      </c>
      <c r="O1734">
        <v>651</v>
      </c>
      <c r="P1734">
        <v>70.8</v>
      </c>
      <c r="Q1734">
        <v>31.6</v>
      </c>
    </row>
    <row r="1735" spans="2:17" x14ac:dyDescent="0.25">
      <c r="B1735" t="s">
        <v>78</v>
      </c>
      <c r="C1735" t="s">
        <v>2961</v>
      </c>
      <c r="D1735" t="s">
        <v>3419</v>
      </c>
      <c r="E1735" t="s">
        <v>3420</v>
      </c>
      <c r="F1735">
        <v>19.149999999999999</v>
      </c>
      <c r="G1735">
        <v>18.899999999999999</v>
      </c>
      <c r="H1735">
        <v>20.100000000000001</v>
      </c>
      <c r="I1735">
        <v>18.2</v>
      </c>
      <c r="J1735" s="1">
        <v>20.100000000000001</v>
      </c>
      <c r="K1735">
        <v>6259876.5499999998</v>
      </c>
      <c r="L1735">
        <v>322617</v>
      </c>
      <c r="M1735" t="s">
        <v>78</v>
      </c>
      <c r="N1735" t="s">
        <v>17</v>
      </c>
      <c r="O1735">
        <v>1017</v>
      </c>
      <c r="P1735">
        <v>22.95</v>
      </c>
      <c r="Q1735">
        <v>8.4499999999999993</v>
      </c>
    </row>
    <row r="1736" spans="2:17" x14ac:dyDescent="0.25">
      <c r="B1736" t="s">
        <v>78</v>
      </c>
      <c r="C1736" t="s">
        <v>2961</v>
      </c>
      <c r="D1736" t="s">
        <v>3421</v>
      </c>
      <c r="E1736" t="s">
        <v>3422</v>
      </c>
      <c r="F1736">
        <v>10.5</v>
      </c>
      <c r="G1736">
        <v>11</v>
      </c>
      <c r="H1736">
        <v>11</v>
      </c>
      <c r="I1736">
        <v>11</v>
      </c>
      <c r="J1736" s="1">
        <v>11</v>
      </c>
      <c r="K1736">
        <v>913110</v>
      </c>
      <c r="L1736">
        <v>83010</v>
      </c>
      <c r="M1736" t="s">
        <v>78</v>
      </c>
      <c r="N1736" t="s">
        <v>17</v>
      </c>
      <c r="O1736">
        <v>83</v>
      </c>
      <c r="P1736">
        <v>11</v>
      </c>
      <c r="Q1736">
        <v>2.5499999999999998</v>
      </c>
    </row>
    <row r="1737" spans="2:17" x14ac:dyDescent="0.25">
      <c r="B1737" t="s">
        <v>78</v>
      </c>
      <c r="C1737" t="s">
        <v>2961</v>
      </c>
      <c r="D1737" t="s">
        <v>3423</v>
      </c>
      <c r="E1737" t="s">
        <v>3424</v>
      </c>
      <c r="F1737">
        <v>3.9</v>
      </c>
      <c r="G1737">
        <v>3.9</v>
      </c>
      <c r="H1737">
        <v>4.05</v>
      </c>
      <c r="I1737">
        <v>3.75</v>
      </c>
      <c r="J1737" s="1">
        <v>3.8</v>
      </c>
      <c r="K1737">
        <v>433056.75</v>
      </c>
      <c r="L1737">
        <v>109868</v>
      </c>
      <c r="M1737" t="s">
        <v>78</v>
      </c>
      <c r="N1737" t="s">
        <v>17</v>
      </c>
      <c r="O1737">
        <v>130</v>
      </c>
      <c r="P1737">
        <v>5.25</v>
      </c>
      <c r="Q1737">
        <v>2.5</v>
      </c>
    </row>
    <row r="1738" spans="2:17" x14ac:dyDescent="0.25">
      <c r="B1738" t="s">
        <v>78</v>
      </c>
      <c r="C1738" t="s">
        <v>2961</v>
      </c>
      <c r="D1738" t="s">
        <v>3425</v>
      </c>
      <c r="E1738" t="s">
        <v>3426</v>
      </c>
      <c r="F1738">
        <v>10.25</v>
      </c>
      <c r="G1738">
        <v>9.9</v>
      </c>
      <c r="H1738">
        <v>10.45</v>
      </c>
      <c r="I1738">
        <v>9.8000000000000007</v>
      </c>
      <c r="J1738" s="1">
        <v>9.85</v>
      </c>
      <c r="K1738">
        <v>223836.3</v>
      </c>
      <c r="L1738">
        <v>22534</v>
      </c>
      <c r="M1738" t="s">
        <v>78</v>
      </c>
      <c r="N1738" t="s">
        <v>17</v>
      </c>
      <c r="O1738">
        <v>87</v>
      </c>
      <c r="P1738">
        <v>23.6</v>
      </c>
      <c r="Q1738">
        <v>9.8000000000000007</v>
      </c>
    </row>
    <row r="1739" spans="2:17" x14ac:dyDescent="0.25">
      <c r="B1739" t="s">
        <v>78</v>
      </c>
      <c r="C1739" t="s">
        <v>2961</v>
      </c>
      <c r="D1739" t="s">
        <v>3427</v>
      </c>
      <c r="E1739" t="s">
        <v>3428</v>
      </c>
      <c r="F1739">
        <v>646.15</v>
      </c>
      <c r="G1739">
        <v>649.95000000000005</v>
      </c>
      <c r="H1739">
        <v>658</v>
      </c>
      <c r="I1739">
        <v>640.1</v>
      </c>
      <c r="J1739" s="1">
        <v>648.95000000000005</v>
      </c>
      <c r="K1739">
        <v>28462215.300000001</v>
      </c>
      <c r="L1739">
        <v>43859</v>
      </c>
      <c r="M1739" t="s">
        <v>78</v>
      </c>
      <c r="N1739" t="s">
        <v>17</v>
      </c>
      <c r="O1739">
        <v>720</v>
      </c>
      <c r="P1739">
        <v>688.9</v>
      </c>
      <c r="Q1739">
        <v>226.65</v>
      </c>
    </row>
    <row r="1740" spans="2:17" x14ac:dyDescent="0.25">
      <c r="B1740" t="s">
        <v>78</v>
      </c>
      <c r="C1740" t="s">
        <v>2961</v>
      </c>
      <c r="D1740" t="s">
        <v>3429</v>
      </c>
      <c r="E1740" t="s">
        <v>3430</v>
      </c>
      <c r="F1740">
        <v>3323.05</v>
      </c>
      <c r="G1740">
        <v>3322</v>
      </c>
      <c r="H1740">
        <v>3410</v>
      </c>
      <c r="I1740">
        <v>3230</v>
      </c>
      <c r="J1740" s="1">
        <v>3297.7</v>
      </c>
      <c r="K1740">
        <v>31931395.649999999</v>
      </c>
      <c r="L1740">
        <v>9539</v>
      </c>
      <c r="M1740" t="s">
        <v>78</v>
      </c>
      <c r="N1740" t="s">
        <v>17</v>
      </c>
      <c r="O1740">
        <v>1520</v>
      </c>
      <c r="P1740">
        <v>3629</v>
      </c>
      <c r="Q1740">
        <v>463.25</v>
      </c>
    </row>
    <row r="1741" spans="2:17" x14ac:dyDescent="0.25">
      <c r="B1741" t="s">
        <v>78</v>
      </c>
      <c r="C1741" t="s">
        <v>2961</v>
      </c>
      <c r="D1741" t="s">
        <v>3431</v>
      </c>
      <c r="E1741" t="s">
        <v>3432</v>
      </c>
      <c r="F1741">
        <v>330.15</v>
      </c>
      <c r="G1741">
        <v>335</v>
      </c>
      <c r="H1741">
        <v>335</v>
      </c>
      <c r="I1741">
        <v>313.64999999999998</v>
      </c>
      <c r="J1741" s="1">
        <v>316.10000000000002</v>
      </c>
      <c r="K1741">
        <v>19573633.149999999</v>
      </c>
      <c r="L1741">
        <v>61345</v>
      </c>
      <c r="M1741" t="s">
        <v>78</v>
      </c>
      <c r="N1741" t="s">
        <v>17</v>
      </c>
      <c r="O1741">
        <v>674</v>
      </c>
      <c r="P1741">
        <v>370</v>
      </c>
      <c r="Q1741">
        <v>50.5</v>
      </c>
    </row>
    <row r="1742" spans="2:17" x14ac:dyDescent="0.25">
      <c r="B1742" t="s">
        <v>78</v>
      </c>
      <c r="C1742" t="s">
        <v>2961</v>
      </c>
      <c r="D1742" t="s">
        <v>3433</v>
      </c>
      <c r="E1742" t="s">
        <v>3434</v>
      </c>
      <c r="F1742">
        <v>3.5</v>
      </c>
      <c r="G1742">
        <v>3.5</v>
      </c>
      <c r="H1742">
        <v>3.5</v>
      </c>
      <c r="I1742">
        <v>3.5</v>
      </c>
      <c r="J1742" s="1">
        <v>3.5</v>
      </c>
      <c r="K1742">
        <v>52584</v>
      </c>
      <c r="L1742">
        <v>15024</v>
      </c>
      <c r="M1742" t="s">
        <v>78</v>
      </c>
      <c r="N1742" t="s">
        <v>17</v>
      </c>
      <c r="O1742">
        <v>8</v>
      </c>
      <c r="P1742">
        <v>3.5</v>
      </c>
      <c r="Q1742">
        <v>1.9</v>
      </c>
    </row>
    <row r="1743" spans="2:17" x14ac:dyDescent="0.25">
      <c r="B1743" t="s">
        <v>78</v>
      </c>
      <c r="C1743" t="s">
        <v>2961</v>
      </c>
      <c r="D1743" t="s">
        <v>3435</v>
      </c>
      <c r="E1743" t="s">
        <v>3436</v>
      </c>
      <c r="F1743">
        <v>47.15</v>
      </c>
      <c r="G1743">
        <v>46.45</v>
      </c>
      <c r="H1743">
        <v>49.5</v>
      </c>
      <c r="I1743">
        <v>45.15</v>
      </c>
      <c r="J1743" s="1">
        <v>49.5</v>
      </c>
      <c r="K1743">
        <v>31911593.850000001</v>
      </c>
      <c r="L1743">
        <v>647953</v>
      </c>
      <c r="M1743" t="s">
        <v>78</v>
      </c>
      <c r="N1743" t="s">
        <v>17</v>
      </c>
      <c r="O1743">
        <v>1823</v>
      </c>
      <c r="P1743">
        <v>109.85</v>
      </c>
      <c r="Q1743">
        <v>42.75</v>
      </c>
    </row>
    <row r="1744" spans="2:17" x14ac:dyDescent="0.25">
      <c r="B1744" t="s">
        <v>78</v>
      </c>
      <c r="C1744" t="s">
        <v>2961</v>
      </c>
      <c r="D1744" t="s">
        <v>3437</v>
      </c>
      <c r="E1744" t="s">
        <v>3438</v>
      </c>
      <c r="F1744">
        <v>8.6</v>
      </c>
      <c r="G1744">
        <v>9</v>
      </c>
      <c r="H1744">
        <v>9</v>
      </c>
      <c r="I1744">
        <v>8.9499999999999993</v>
      </c>
      <c r="J1744" s="1">
        <v>9</v>
      </c>
      <c r="K1744">
        <v>761371</v>
      </c>
      <c r="L1744">
        <v>84599</v>
      </c>
      <c r="M1744" t="s">
        <v>78</v>
      </c>
      <c r="N1744" t="s">
        <v>17</v>
      </c>
      <c r="O1744">
        <v>74</v>
      </c>
      <c r="P1744">
        <v>9</v>
      </c>
      <c r="Q1744">
        <v>2.65</v>
      </c>
    </row>
    <row r="1745" spans="2:17" x14ac:dyDescent="0.25">
      <c r="B1745" t="s">
        <v>78</v>
      </c>
      <c r="C1745" t="s">
        <v>2961</v>
      </c>
      <c r="D1745" t="s">
        <v>3439</v>
      </c>
      <c r="E1745" t="s">
        <v>3440</v>
      </c>
      <c r="F1745">
        <v>1.8</v>
      </c>
      <c r="G1745">
        <v>1.85</v>
      </c>
      <c r="H1745">
        <v>1.85</v>
      </c>
      <c r="I1745">
        <v>1.75</v>
      </c>
      <c r="J1745" s="1">
        <v>1.85</v>
      </c>
      <c r="K1745">
        <v>483353.65</v>
      </c>
      <c r="L1745">
        <v>264089</v>
      </c>
      <c r="M1745" t="s">
        <v>78</v>
      </c>
      <c r="N1745" t="s">
        <v>17</v>
      </c>
      <c r="O1745">
        <v>212</v>
      </c>
      <c r="P1745">
        <v>2</v>
      </c>
      <c r="Q1745">
        <v>0.65</v>
      </c>
    </row>
    <row r="1746" spans="2:17" x14ac:dyDescent="0.25">
      <c r="B1746" t="s">
        <v>78</v>
      </c>
      <c r="C1746" t="s">
        <v>2961</v>
      </c>
      <c r="D1746" t="s">
        <v>3441</v>
      </c>
      <c r="E1746" t="s">
        <v>3442</v>
      </c>
      <c r="F1746">
        <v>14.2</v>
      </c>
      <c r="G1746">
        <v>14.15</v>
      </c>
      <c r="H1746">
        <v>14.2</v>
      </c>
      <c r="I1746">
        <v>14.15</v>
      </c>
      <c r="J1746" s="1">
        <v>14.2</v>
      </c>
      <c r="K1746">
        <v>10024.950000000001</v>
      </c>
      <c r="L1746">
        <v>706</v>
      </c>
      <c r="M1746" t="s">
        <v>78</v>
      </c>
      <c r="N1746" t="s">
        <v>17</v>
      </c>
      <c r="O1746">
        <v>8</v>
      </c>
      <c r="P1746">
        <v>14.5</v>
      </c>
      <c r="Q1746">
        <v>6.8</v>
      </c>
    </row>
    <row r="1747" spans="2:17" x14ac:dyDescent="0.25">
      <c r="B1747" t="s">
        <v>78</v>
      </c>
      <c r="C1747" t="s">
        <v>2961</v>
      </c>
      <c r="D1747" t="s">
        <v>3443</v>
      </c>
      <c r="E1747" t="s">
        <v>3444</v>
      </c>
      <c r="F1747">
        <v>628.54999999999995</v>
      </c>
      <c r="G1747">
        <v>628</v>
      </c>
      <c r="H1747">
        <v>635</v>
      </c>
      <c r="I1747">
        <v>603.1</v>
      </c>
      <c r="J1747" s="1">
        <v>615.25</v>
      </c>
      <c r="K1747">
        <v>10049988.050000001</v>
      </c>
      <c r="L1747">
        <v>16343</v>
      </c>
      <c r="M1747" t="s">
        <v>78</v>
      </c>
      <c r="N1747" t="s">
        <v>17</v>
      </c>
      <c r="O1747">
        <v>764</v>
      </c>
      <c r="P1747">
        <v>2340</v>
      </c>
      <c r="Q1747">
        <v>531.35</v>
      </c>
    </row>
    <row r="1748" spans="2:17" x14ac:dyDescent="0.25">
      <c r="B1748" t="s">
        <v>78</v>
      </c>
      <c r="C1748" t="s">
        <v>2961</v>
      </c>
      <c r="D1748" t="s">
        <v>3445</v>
      </c>
      <c r="E1748" t="s">
        <v>3446</v>
      </c>
      <c r="F1748">
        <v>143.35</v>
      </c>
      <c r="G1748">
        <v>136.19999999999999</v>
      </c>
      <c r="H1748">
        <v>142.4</v>
      </c>
      <c r="I1748">
        <v>136.19999999999999</v>
      </c>
      <c r="J1748" s="1">
        <v>136.65</v>
      </c>
      <c r="K1748">
        <v>30929731.75</v>
      </c>
      <c r="L1748">
        <v>224148</v>
      </c>
      <c r="M1748" t="s">
        <v>78</v>
      </c>
      <c r="N1748" t="s">
        <v>17</v>
      </c>
      <c r="O1748">
        <v>1876</v>
      </c>
      <c r="P1748">
        <v>150.85</v>
      </c>
      <c r="Q1748">
        <v>64.5</v>
      </c>
    </row>
    <row r="1749" spans="2:17" x14ac:dyDescent="0.25">
      <c r="B1749" t="s">
        <v>78</v>
      </c>
      <c r="C1749" t="s">
        <v>2961</v>
      </c>
      <c r="D1749" t="s">
        <v>3447</v>
      </c>
      <c r="E1749" t="s">
        <v>3448</v>
      </c>
      <c r="F1749">
        <v>396.6</v>
      </c>
      <c r="G1749">
        <v>399.4</v>
      </c>
      <c r="H1749">
        <v>399.4</v>
      </c>
      <c r="I1749">
        <v>376.8</v>
      </c>
      <c r="J1749" s="1">
        <v>376.8</v>
      </c>
      <c r="K1749">
        <v>14527385.550000001</v>
      </c>
      <c r="L1749">
        <v>37857</v>
      </c>
      <c r="M1749" t="s">
        <v>78</v>
      </c>
      <c r="N1749" t="s">
        <v>17</v>
      </c>
      <c r="O1749">
        <v>830</v>
      </c>
      <c r="P1749">
        <v>399.4</v>
      </c>
      <c r="Q1749">
        <v>128.80000000000001</v>
      </c>
    </row>
    <row r="1750" spans="2:17" x14ac:dyDescent="0.25">
      <c r="B1750" t="s">
        <v>78</v>
      </c>
      <c r="C1750" t="s">
        <v>2961</v>
      </c>
      <c r="D1750" t="s">
        <v>3449</v>
      </c>
      <c r="E1750" t="s">
        <v>3450</v>
      </c>
      <c r="F1750">
        <v>26.7</v>
      </c>
      <c r="G1750">
        <v>26.5</v>
      </c>
      <c r="H1750">
        <v>28</v>
      </c>
      <c r="I1750">
        <v>26.05</v>
      </c>
      <c r="J1750" s="1">
        <v>26.65</v>
      </c>
      <c r="K1750">
        <v>4278217</v>
      </c>
      <c r="L1750">
        <v>156225</v>
      </c>
      <c r="M1750" t="s">
        <v>78</v>
      </c>
      <c r="N1750" t="s">
        <v>17</v>
      </c>
      <c r="O1750">
        <v>794</v>
      </c>
      <c r="P1750">
        <v>28</v>
      </c>
      <c r="Q1750">
        <v>12.55</v>
      </c>
    </row>
    <row r="1751" spans="2:17" x14ac:dyDescent="0.25">
      <c r="B1751" t="s">
        <v>78</v>
      </c>
      <c r="C1751" t="s">
        <v>2961</v>
      </c>
      <c r="D1751" t="s">
        <v>3451</v>
      </c>
      <c r="E1751" t="s">
        <v>3452</v>
      </c>
      <c r="F1751">
        <v>2.1</v>
      </c>
      <c r="G1751">
        <v>2.1</v>
      </c>
      <c r="H1751">
        <v>2.1</v>
      </c>
      <c r="I1751">
        <v>2.0499999999999998</v>
      </c>
      <c r="J1751" s="1">
        <v>2.1</v>
      </c>
      <c r="K1751">
        <v>2340379.35</v>
      </c>
      <c r="L1751">
        <v>1131749</v>
      </c>
      <c r="M1751" t="s">
        <v>78</v>
      </c>
      <c r="N1751" t="s">
        <v>17</v>
      </c>
      <c r="O1751">
        <v>877</v>
      </c>
      <c r="P1751">
        <v>45.4</v>
      </c>
      <c r="Q1751">
        <v>1.8</v>
      </c>
    </row>
    <row r="1752" spans="2:17" x14ac:dyDescent="0.25">
      <c r="B1752" t="s">
        <v>78</v>
      </c>
      <c r="C1752" t="s">
        <v>2961</v>
      </c>
      <c r="D1752" t="s">
        <v>3453</v>
      </c>
      <c r="E1752" t="s">
        <v>3454</v>
      </c>
      <c r="F1752">
        <v>917.95</v>
      </c>
      <c r="G1752">
        <v>898</v>
      </c>
      <c r="H1752">
        <v>900</v>
      </c>
      <c r="I1752">
        <v>878</v>
      </c>
      <c r="J1752" s="1">
        <v>898</v>
      </c>
      <c r="K1752">
        <v>4079241.1</v>
      </c>
      <c r="L1752">
        <v>4562</v>
      </c>
      <c r="M1752" t="s">
        <v>78</v>
      </c>
      <c r="N1752" t="s">
        <v>17</v>
      </c>
      <c r="O1752">
        <v>68</v>
      </c>
      <c r="P1752">
        <v>1048.8</v>
      </c>
      <c r="Q1752">
        <v>495</v>
      </c>
    </row>
    <row r="1753" spans="2:17" x14ac:dyDescent="0.25">
      <c r="B1753" t="s">
        <v>78</v>
      </c>
      <c r="C1753" t="s">
        <v>2961</v>
      </c>
      <c r="D1753" t="s">
        <v>3455</v>
      </c>
      <c r="E1753" t="s">
        <v>3456</v>
      </c>
      <c r="F1753">
        <v>15.6</v>
      </c>
      <c r="G1753">
        <v>14.85</v>
      </c>
      <c r="H1753">
        <v>14.85</v>
      </c>
      <c r="I1753">
        <v>14.85</v>
      </c>
      <c r="J1753" s="1">
        <v>14.85</v>
      </c>
      <c r="K1753">
        <v>22275</v>
      </c>
      <c r="L1753">
        <v>1500</v>
      </c>
      <c r="M1753" t="s">
        <v>78</v>
      </c>
      <c r="N1753" t="s">
        <v>17</v>
      </c>
      <c r="O1753">
        <v>4</v>
      </c>
      <c r="P1753">
        <v>17.2</v>
      </c>
      <c r="Q1753">
        <v>5.7</v>
      </c>
    </row>
    <row r="1754" spans="2:17" x14ac:dyDescent="0.25">
      <c r="B1754" t="s">
        <v>78</v>
      </c>
      <c r="C1754" t="s">
        <v>2961</v>
      </c>
      <c r="D1754" t="s">
        <v>3457</v>
      </c>
      <c r="E1754" t="s">
        <v>3458</v>
      </c>
      <c r="F1754">
        <v>24.4</v>
      </c>
      <c r="G1754">
        <v>24.2</v>
      </c>
      <c r="H1754">
        <v>25.25</v>
      </c>
      <c r="I1754">
        <v>24.1</v>
      </c>
      <c r="J1754" s="1">
        <v>24.7</v>
      </c>
      <c r="K1754">
        <v>374606.25</v>
      </c>
      <c r="L1754">
        <v>15061</v>
      </c>
      <c r="M1754" t="s">
        <v>78</v>
      </c>
      <c r="N1754" t="s">
        <v>17</v>
      </c>
      <c r="O1754">
        <v>94</v>
      </c>
      <c r="P1754">
        <v>27.6</v>
      </c>
      <c r="Q1754">
        <v>15.85</v>
      </c>
    </row>
    <row r="1755" spans="2:17" x14ac:dyDescent="0.25">
      <c r="B1755" t="s">
        <v>78</v>
      </c>
      <c r="C1755" t="s">
        <v>2961</v>
      </c>
      <c r="D1755" t="s">
        <v>3459</v>
      </c>
      <c r="E1755" t="s">
        <v>3460</v>
      </c>
      <c r="F1755">
        <v>17.3</v>
      </c>
      <c r="G1755">
        <v>17.55</v>
      </c>
      <c r="H1755">
        <v>17.600000000000001</v>
      </c>
      <c r="I1755">
        <v>16.75</v>
      </c>
      <c r="J1755" s="1">
        <v>17.149999999999999</v>
      </c>
      <c r="K1755">
        <v>350859.75</v>
      </c>
      <c r="L1755">
        <v>20451</v>
      </c>
      <c r="M1755" t="s">
        <v>78</v>
      </c>
      <c r="N1755" t="s">
        <v>17</v>
      </c>
      <c r="O1755">
        <v>61</v>
      </c>
      <c r="P1755">
        <v>21.45</v>
      </c>
      <c r="Q1755">
        <v>7.85</v>
      </c>
    </row>
    <row r="1756" spans="2:17" x14ac:dyDescent="0.25">
      <c r="B1756" t="s">
        <v>78</v>
      </c>
      <c r="C1756" t="s">
        <v>2961</v>
      </c>
      <c r="D1756" t="s">
        <v>3461</v>
      </c>
      <c r="E1756" t="s">
        <v>3462</v>
      </c>
      <c r="F1756">
        <v>21.7</v>
      </c>
      <c r="G1756">
        <v>22.35</v>
      </c>
      <c r="H1756">
        <v>22.7</v>
      </c>
      <c r="I1756">
        <v>20.75</v>
      </c>
      <c r="J1756" s="1">
        <v>20.85</v>
      </c>
      <c r="K1756">
        <v>29855.05</v>
      </c>
      <c r="L1756">
        <v>1397</v>
      </c>
      <c r="M1756" t="s">
        <v>78</v>
      </c>
      <c r="N1756" t="s">
        <v>17</v>
      </c>
      <c r="O1756">
        <v>15</v>
      </c>
      <c r="P1756">
        <v>30.05</v>
      </c>
      <c r="Q1756">
        <v>18</v>
      </c>
    </row>
    <row r="1757" spans="2:17" x14ac:dyDescent="0.25">
      <c r="B1757" t="s">
        <v>78</v>
      </c>
      <c r="C1757" t="s">
        <v>2961</v>
      </c>
      <c r="D1757" t="s">
        <v>3463</v>
      </c>
      <c r="E1757" t="s">
        <v>3464</v>
      </c>
      <c r="F1757">
        <v>36.75</v>
      </c>
      <c r="G1757">
        <v>34.950000000000003</v>
      </c>
      <c r="H1757">
        <v>38.549999999999997</v>
      </c>
      <c r="I1757">
        <v>34.950000000000003</v>
      </c>
      <c r="J1757" s="1">
        <v>38.450000000000003</v>
      </c>
      <c r="K1757">
        <v>12579841.9</v>
      </c>
      <c r="L1757">
        <v>340586</v>
      </c>
      <c r="M1757" t="s">
        <v>78</v>
      </c>
      <c r="N1757" t="s">
        <v>17</v>
      </c>
      <c r="O1757">
        <v>1057</v>
      </c>
      <c r="P1757">
        <v>44.45</v>
      </c>
      <c r="Q1757">
        <v>6</v>
      </c>
    </row>
    <row r="1758" spans="2:17" x14ac:dyDescent="0.25">
      <c r="B1758" t="s">
        <v>78</v>
      </c>
      <c r="C1758" t="s">
        <v>2961</v>
      </c>
      <c r="D1758" t="s">
        <v>3465</v>
      </c>
      <c r="E1758" t="s">
        <v>3466</v>
      </c>
      <c r="F1758">
        <v>4.8</v>
      </c>
      <c r="G1758">
        <v>4.8499999999999996</v>
      </c>
      <c r="H1758">
        <v>4.8499999999999996</v>
      </c>
      <c r="I1758">
        <v>4.6500000000000004</v>
      </c>
      <c r="J1758" s="1">
        <v>4.7</v>
      </c>
      <c r="K1758">
        <v>7129369.5</v>
      </c>
      <c r="L1758">
        <v>1501225</v>
      </c>
      <c r="M1758" t="s">
        <v>78</v>
      </c>
      <c r="N1758" t="s">
        <v>17</v>
      </c>
      <c r="O1758">
        <v>1664</v>
      </c>
      <c r="P1758">
        <v>5.6</v>
      </c>
      <c r="Q1758">
        <v>1.6</v>
      </c>
    </row>
    <row r="1759" spans="2:17" x14ac:dyDescent="0.25">
      <c r="B1759" t="s">
        <v>78</v>
      </c>
      <c r="C1759" t="s">
        <v>2961</v>
      </c>
      <c r="D1759" t="s">
        <v>3467</v>
      </c>
      <c r="E1759" t="s">
        <v>3468</v>
      </c>
      <c r="F1759">
        <v>1.5</v>
      </c>
      <c r="G1759">
        <v>1.45</v>
      </c>
      <c r="H1759">
        <v>1.55</v>
      </c>
      <c r="I1759">
        <v>1.45</v>
      </c>
      <c r="J1759" s="1">
        <v>1.55</v>
      </c>
      <c r="K1759">
        <v>5779536.0999999996</v>
      </c>
      <c r="L1759">
        <v>3882353</v>
      </c>
      <c r="M1759" t="s">
        <v>78</v>
      </c>
      <c r="N1759" t="s">
        <v>17</v>
      </c>
      <c r="O1759">
        <v>1323</v>
      </c>
      <c r="P1759">
        <v>1.9</v>
      </c>
      <c r="Q1759">
        <v>0.8</v>
      </c>
    </row>
    <row r="1760" spans="2:17" x14ac:dyDescent="0.25">
      <c r="B1760" t="s">
        <v>78</v>
      </c>
      <c r="C1760" t="s">
        <v>2961</v>
      </c>
      <c r="D1760" t="s">
        <v>3469</v>
      </c>
      <c r="E1760" t="s">
        <v>3470</v>
      </c>
      <c r="F1760">
        <v>3.65</v>
      </c>
      <c r="G1760">
        <v>3.5</v>
      </c>
      <c r="H1760">
        <v>3.8</v>
      </c>
      <c r="I1760">
        <v>3.5</v>
      </c>
      <c r="J1760" s="1">
        <v>3.5</v>
      </c>
      <c r="K1760">
        <v>1803024.85</v>
      </c>
      <c r="L1760">
        <v>499271</v>
      </c>
      <c r="M1760" t="s">
        <v>78</v>
      </c>
      <c r="N1760" t="s">
        <v>17</v>
      </c>
      <c r="O1760">
        <v>265</v>
      </c>
      <c r="P1760">
        <v>5.6</v>
      </c>
      <c r="Q1760">
        <v>2.25</v>
      </c>
    </row>
    <row r="1761" spans="2:17" x14ac:dyDescent="0.25">
      <c r="B1761" t="s">
        <v>78</v>
      </c>
      <c r="C1761" t="s">
        <v>2961</v>
      </c>
      <c r="D1761" t="s">
        <v>3471</v>
      </c>
      <c r="E1761" t="s">
        <v>3472</v>
      </c>
      <c r="F1761">
        <v>673.6</v>
      </c>
      <c r="G1761">
        <v>680</v>
      </c>
      <c r="H1761">
        <v>700</v>
      </c>
      <c r="I1761">
        <v>680</v>
      </c>
      <c r="J1761" s="1">
        <v>694.65</v>
      </c>
      <c r="K1761">
        <v>47772202.850000001</v>
      </c>
      <c r="L1761">
        <v>68967</v>
      </c>
      <c r="M1761" t="s">
        <v>78</v>
      </c>
      <c r="N1761" t="s">
        <v>17</v>
      </c>
      <c r="O1761">
        <v>2683</v>
      </c>
      <c r="P1761">
        <v>700</v>
      </c>
      <c r="Q1761">
        <v>270.10000000000002</v>
      </c>
    </row>
    <row r="1762" spans="2:17" x14ac:dyDescent="0.25">
      <c r="B1762" t="s">
        <v>78</v>
      </c>
      <c r="C1762" t="s">
        <v>2961</v>
      </c>
      <c r="D1762" t="s">
        <v>3473</v>
      </c>
      <c r="E1762" t="s">
        <v>3474</v>
      </c>
      <c r="F1762">
        <v>7.1</v>
      </c>
      <c r="G1762">
        <v>6.85</v>
      </c>
      <c r="H1762">
        <v>7.1</v>
      </c>
      <c r="I1762">
        <v>6.85</v>
      </c>
      <c r="J1762" s="1">
        <v>6.95</v>
      </c>
      <c r="K1762">
        <v>62853.75</v>
      </c>
      <c r="L1762">
        <v>9054</v>
      </c>
      <c r="M1762" t="s">
        <v>78</v>
      </c>
      <c r="N1762" t="s">
        <v>17</v>
      </c>
      <c r="O1762">
        <v>24</v>
      </c>
      <c r="P1762">
        <v>10.25</v>
      </c>
      <c r="Q1762">
        <v>2.5</v>
      </c>
    </row>
    <row r="1763" spans="2:17" x14ac:dyDescent="0.25">
      <c r="B1763" t="s">
        <v>78</v>
      </c>
      <c r="C1763" t="s">
        <v>2961</v>
      </c>
      <c r="D1763" t="s">
        <v>3475</v>
      </c>
      <c r="E1763" t="s">
        <v>3476</v>
      </c>
      <c r="F1763">
        <v>1.9</v>
      </c>
      <c r="G1763">
        <v>1.95</v>
      </c>
      <c r="H1763">
        <v>1.95</v>
      </c>
      <c r="I1763">
        <v>1.95</v>
      </c>
      <c r="J1763" s="1">
        <v>1.95</v>
      </c>
      <c r="K1763">
        <v>6240</v>
      </c>
      <c r="L1763">
        <v>3200</v>
      </c>
      <c r="M1763" t="s">
        <v>78</v>
      </c>
      <c r="N1763" t="s">
        <v>17</v>
      </c>
      <c r="O1763">
        <v>5</v>
      </c>
      <c r="P1763">
        <v>1.95</v>
      </c>
      <c r="Q1763">
        <v>0.55000000000000004</v>
      </c>
    </row>
    <row r="1764" spans="2:17" x14ac:dyDescent="0.25">
      <c r="B1764" t="s">
        <v>78</v>
      </c>
      <c r="C1764" t="s">
        <v>2961</v>
      </c>
      <c r="D1764" t="s">
        <v>3477</v>
      </c>
      <c r="E1764" t="s">
        <v>3478</v>
      </c>
      <c r="F1764">
        <v>11.85</v>
      </c>
      <c r="G1764">
        <v>11.85</v>
      </c>
      <c r="H1764">
        <v>11.95</v>
      </c>
      <c r="I1764">
        <v>11.4</v>
      </c>
      <c r="J1764" s="1">
        <v>11.65</v>
      </c>
      <c r="K1764">
        <v>66085.399999999994</v>
      </c>
      <c r="L1764">
        <v>5733</v>
      </c>
      <c r="M1764" t="s">
        <v>78</v>
      </c>
      <c r="N1764" t="s">
        <v>17</v>
      </c>
      <c r="O1764">
        <v>45</v>
      </c>
      <c r="P1764">
        <v>16.600000000000001</v>
      </c>
      <c r="Q1764">
        <v>10.7</v>
      </c>
    </row>
    <row r="1765" spans="2:17" x14ac:dyDescent="0.25">
      <c r="B1765" t="s">
        <v>78</v>
      </c>
      <c r="C1765" t="s">
        <v>2961</v>
      </c>
      <c r="D1765" t="s">
        <v>3479</v>
      </c>
      <c r="E1765" t="s">
        <v>3480</v>
      </c>
      <c r="F1765">
        <v>5.9</v>
      </c>
      <c r="G1765">
        <v>5.65</v>
      </c>
      <c r="H1765">
        <v>6.15</v>
      </c>
      <c r="I1765">
        <v>5.65</v>
      </c>
      <c r="J1765" s="1">
        <v>6.05</v>
      </c>
      <c r="K1765">
        <v>8919436.6999999993</v>
      </c>
      <c r="L1765">
        <v>1517308</v>
      </c>
      <c r="M1765" t="s">
        <v>78</v>
      </c>
      <c r="N1765" t="s">
        <v>17</v>
      </c>
      <c r="O1765">
        <v>1499</v>
      </c>
      <c r="P1765">
        <v>7.3</v>
      </c>
      <c r="Q1765">
        <v>2.25</v>
      </c>
    </row>
    <row r="1766" spans="2:17" x14ac:dyDescent="0.25">
      <c r="B1766" t="s">
        <v>78</v>
      </c>
      <c r="C1766" t="s">
        <v>2961</v>
      </c>
      <c r="D1766" t="s">
        <v>3481</v>
      </c>
      <c r="E1766" t="s">
        <v>3482</v>
      </c>
      <c r="F1766">
        <v>0.7</v>
      </c>
      <c r="G1766">
        <v>0.7</v>
      </c>
      <c r="H1766">
        <v>0.7</v>
      </c>
      <c r="I1766">
        <v>0.7</v>
      </c>
      <c r="J1766" s="1">
        <v>0.7</v>
      </c>
      <c r="K1766">
        <v>884709.7</v>
      </c>
      <c r="L1766">
        <v>1263871</v>
      </c>
      <c r="M1766" t="s">
        <v>78</v>
      </c>
      <c r="N1766" t="s">
        <v>17</v>
      </c>
      <c r="O1766">
        <v>59</v>
      </c>
      <c r="P1766">
        <v>0.75</v>
      </c>
      <c r="Q1766">
        <v>0.25</v>
      </c>
    </row>
    <row r="1767" spans="2:17" x14ac:dyDescent="0.25">
      <c r="B1767" t="s">
        <v>78</v>
      </c>
      <c r="C1767" t="s">
        <v>2961</v>
      </c>
      <c r="D1767" t="s">
        <v>3483</v>
      </c>
      <c r="E1767" t="s">
        <v>3484</v>
      </c>
      <c r="F1767">
        <v>38.9</v>
      </c>
      <c r="G1767">
        <v>38</v>
      </c>
      <c r="H1767">
        <v>39.4</v>
      </c>
      <c r="I1767">
        <v>37</v>
      </c>
      <c r="J1767" s="1">
        <v>37.75</v>
      </c>
      <c r="K1767">
        <v>53420.85</v>
      </c>
      <c r="L1767">
        <v>1406</v>
      </c>
      <c r="M1767" t="s">
        <v>78</v>
      </c>
      <c r="N1767" t="s">
        <v>17</v>
      </c>
      <c r="O1767">
        <v>33</v>
      </c>
      <c r="P1767">
        <v>45.25</v>
      </c>
      <c r="Q1767">
        <v>25.75</v>
      </c>
    </row>
    <row r="1768" spans="2:17" x14ac:dyDescent="0.25">
      <c r="B1768" t="s">
        <v>78</v>
      </c>
      <c r="C1768" t="s">
        <v>2961</v>
      </c>
      <c r="D1768" t="s">
        <v>3485</v>
      </c>
      <c r="E1768" t="s">
        <v>3486</v>
      </c>
      <c r="F1768">
        <v>0.8</v>
      </c>
      <c r="G1768">
        <v>0.75</v>
      </c>
      <c r="H1768">
        <v>0.8</v>
      </c>
      <c r="I1768">
        <v>0.75</v>
      </c>
      <c r="J1768" s="1">
        <v>0.75</v>
      </c>
      <c r="K1768">
        <v>624055.55000000005</v>
      </c>
      <c r="L1768">
        <v>828394</v>
      </c>
      <c r="M1768" t="s">
        <v>78</v>
      </c>
      <c r="N1768" t="s">
        <v>17</v>
      </c>
      <c r="O1768">
        <v>46</v>
      </c>
      <c r="P1768">
        <v>0.8</v>
      </c>
      <c r="Q1768">
        <v>0.4</v>
      </c>
    </row>
    <row r="1769" spans="2:17" x14ac:dyDescent="0.25">
      <c r="B1769" t="s">
        <v>78</v>
      </c>
      <c r="C1769" t="s">
        <v>2961</v>
      </c>
      <c r="D1769" t="s">
        <v>3487</v>
      </c>
      <c r="E1769" t="s">
        <v>3488</v>
      </c>
      <c r="F1769">
        <v>23.85</v>
      </c>
      <c r="G1769">
        <v>25</v>
      </c>
      <c r="H1769">
        <v>25</v>
      </c>
      <c r="I1769">
        <v>24</v>
      </c>
      <c r="J1769" s="1">
        <v>24</v>
      </c>
      <c r="K1769">
        <v>7164</v>
      </c>
      <c r="L1769">
        <v>298</v>
      </c>
      <c r="M1769" t="s">
        <v>78</v>
      </c>
      <c r="N1769" t="s">
        <v>17</v>
      </c>
      <c r="O1769">
        <v>8</v>
      </c>
      <c r="P1769">
        <v>44.95</v>
      </c>
      <c r="Q1769">
        <v>9.9499999999999993</v>
      </c>
    </row>
    <row r="1770" spans="2:17" x14ac:dyDescent="0.25">
      <c r="B1770" t="s">
        <v>78</v>
      </c>
      <c r="C1770" t="s">
        <v>2961</v>
      </c>
      <c r="D1770" t="s">
        <v>3489</v>
      </c>
      <c r="E1770" t="s">
        <v>3490</v>
      </c>
      <c r="F1770">
        <v>12.2</v>
      </c>
      <c r="G1770">
        <v>12.8</v>
      </c>
      <c r="H1770">
        <v>12.8</v>
      </c>
      <c r="I1770">
        <v>11.6</v>
      </c>
      <c r="J1770" s="1">
        <v>11.6</v>
      </c>
      <c r="K1770">
        <v>12936015.15</v>
      </c>
      <c r="L1770">
        <v>1093946</v>
      </c>
      <c r="M1770" t="s">
        <v>78</v>
      </c>
      <c r="N1770" t="s">
        <v>17</v>
      </c>
      <c r="O1770">
        <v>1361</v>
      </c>
      <c r="P1770">
        <v>12.8</v>
      </c>
      <c r="Q1770">
        <v>1.6</v>
      </c>
    </row>
    <row r="1771" spans="2:17" x14ac:dyDescent="0.25">
      <c r="B1771" t="s">
        <v>78</v>
      </c>
      <c r="C1771" t="s">
        <v>2961</v>
      </c>
      <c r="D1771" t="s">
        <v>3491</v>
      </c>
      <c r="E1771" t="s">
        <v>3492</v>
      </c>
      <c r="F1771">
        <v>2.25</v>
      </c>
      <c r="G1771">
        <v>2.25</v>
      </c>
      <c r="H1771">
        <v>2.35</v>
      </c>
      <c r="I1771">
        <v>2.15</v>
      </c>
      <c r="J1771" s="1">
        <v>2.35</v>
      </c>
      <c r="K1771">
        <v>1104982.1000000001</v>
      </c>
      <c r="L1771">
        <v>479142</v>
      </c>
      <c r="M1771" t="s">
        <v>78</v>
      </c>
      <c r="N1771" t="s">
        <v>17</v>
      </c>
      <c r="O1771">
        <v>368</v>
      </c>
      <c r="P1771">
        <v>2.7</v>
      </c>
      <c r="Q1771">
        <v>1.3</v>
      </c>
    </row>
    <row r="1772" spans="2:17" x14ac:dyDescent="0.25">
      <c r="B1772" t="s">
        <v>78</v>
      </c>
      <c r="C1772" t="s">
        <v>2961</v>
      </c>
      <c r="D1772" t="s">
        <v>3493</v>
      </c>
      <c r="E1772" t="s">
        <v>3494</v>
      </c>
      <c r="F1772">
        <v>11.6</v>
      </c>
      <c r="G1772">
        <v>12.15</v>
      </c>
      <c r="H1772">
        <v>12.15</v>
      </c>
      <c r="I1772">
        <v>12</v>
      </c>
      <c r="J1772" s="1">
        <v>12.1</v>
      </c>
      <c r="K1772">
        <v>1738022.5</v>
      </c>
      <c r="L1772">
        <v>143098</v>
      </c>
      <c r="M1772" t="s">
        <v>78</v>
      </c>
      <c r="N1772" t="s">
        <v>17</v>
      </c>
      <c r="O1772">
        <v>388</v>
      </c>
      <c r="P1772">
        <v>12.15</v>
      </c>
      <c r="Q1772">
        <v>3.85</v>
      </c>
    </row>
    <row r="1773" spans="2:17" x14ac:dyDescent="0.25">
      <c r="B1773" t="s">
        <v>78</v>
      </c>
      <c r="C1773" t="s">
        <v>2961</v>
      </c>
      <c r="D1773" t="s">
        <v>3495</v>
      </c>
      <c r="E1773" t="s">
        <v>3496</v>
      </c>
      <c r="F1773">
        <v>749.15</v>
      </c>
      <c r="G1773">
        <v>757.5</v>
      </c>
      <c r="H1773">
        <v>757.5</v>
      </c>
      <c r="I1773">
        <v>750</v>
      </c>
      <c r="J1773" s="1">
        <v>753</v>
      </c>
      <c r="K1773">
        <v>59172538.799999997</v>
      </c>
      <c r="L1773">
        <v>78368</v>
      </c>
      <c r="M1773" t="s">
        <v>78</v>
      </c>
      <c r="N1773" t="s">
        <v>17</v>
      </c>
      <c r="O1773">
        <v>1607</v>
      </c>
      <c r="P1773">
        <v>784.75</v>
      </c>
      <c r="Q1773">
        <v>175</v>
      </c>
    </row>
    <row r="1774" spans="2:17" x14ac:dyDescent="0.25">
      <c r="B1774" t="s">
        <v>78</v>
      </c>
      <c r="C1774" t="s">
        <v>2961</v>
      </c>
      <c r="D1774" t="s">
        <v>3497</v>
      </c>
      <c r="E1774" t="s">
        <v>3498</v>
      </c>
      <c r="F1774">
        <v>34.6</v>
      </c>
      <c r="G1774">
        <v>34</v>
      </c>
      <c r="H1774">
        <v>35</v>
      </c>
      <c r="I1774">
        <v>33.35</v>
      </c>
      <c r="J1774" s="1">
        <v>33.950000000000003</v>
      </c>
      <c r="K1774">
        <v>416697.55</v>
      </c>
      <c r="L1774">
        <v>12225</v>
      </c>
      <c r="M1774" t="s">
        <v>78</v>
      </c>
      <c r="N1774" t="s">
        <v>17</v>
      </c>
      <c r="O1774">
        <v>71</v>
      </c>
      <c r="P1774">
        <v>42.9</v>
      </c>
      <c r="Q1774">
        <v>32.200000000000003</v>
      </c>
    </row>
    <row r="1775" spans="2:17" x14ac:dyDescent="0.25">
      <c r="B1775" t="s">
        <v>78</v>
      </c>
      <c r="C1775" t="s">
        <v>2961</v>
      </c>
      <c r="D1775" t="s">
        <v>3499</v>
      </c>
      <c r="E1775" t="s">
        <v>3500</v>
      </c>
      <c r="F1775">
        <v>68.5</v>
      </c>
      <c r="G1775">
        <v>71.900000000000006</v>
      </c>
      <c r="H1775">
        <v>71.900000000000006</v>
      </c>
      <c r="I1775">
        <v>70</v>
      </c>
      <c r="J1775" s="1">
        <v>71.900000000000006</v>
      </c>
      <c r="K1775">
        <v>2113247.7999999998</v>
      </c>
      <c r="L1775">
        <v>29403</v>
      </c>
      <c r="M1775" t="s">
        <v>78</v>
      </c>
      <c r="N1775" t="s">
        <v>17</v>
      </c>
      <c r="O1775">
        <v>140</v>
      </c>
      <c r="P1775">
        <v>71.900000000000006</v>
      </c>
      <c r="Q1775">
        <v>16.649999999999999</v>
      </c>
    </row>
    <row r="1776" spans="2:17" x14ac:dyDescent="0.25">
      <c r="B1776" t="s">
        <v>78</v>
      </c>
      <c r="C1776" t="s">
        <v>2961</v>
      </c>
      <c r="D1776" t="s">
        <v>3501</v>
      </c>
      <c r="E1776" t="s">
        <v>3502</v>
      </c>
      <c r="F1776">
        <v>927.55</v>
      </c>
      <c r="G1776">
        <v>925</v>
      </c>
      <c r="H1776">
        <v>944</v>
      </c>
      <c r="I1776">
        <v>909</v>
      </c>
      <c r="J1776" s="1">
        <v>932.35</v>
      </c>
      <c r="K1776">
        <v>58282726.5</v>
      </c>
      <c r="L1776">
        <v>62802</v>
      </c>
      <c r="M1776" t="s">
        <v>78</v>
      </c>
      <c r="N1776" t="s">
        <v>17</v>
      </c>
      <c r="O1776">
        <v>2142</v>
      </c>
      <c r="P1776">
        <v>967</v>
      </c>
      <c r="Q1776">
        <v>28</v>
      </c>
    </row>
    <row r="1777" spans="2:17" x14ac:dyDescent="0.25">
      <c r="B1777" t="s">
        <v>78</v>
      </c>
      <c r="C1777" t="s">
        <v>2961</v>
      </c>
      <c r="D1777" t="s">
        <v>3503</v>
      </c>
      <c r="E1777" t="s">
        <v>3504</v>
      </c>
      <c r="F1777">
        <v>5.25</v>
      </c>
      <c r="G1777">
        <v>5.45</v>
      </c>
      <c r="H1777">
        <v>5.45</v>
      </c>
      <c r="I1777">
        <v>5</v>
      </c>
      <c r="J1777" s="1">
        <v>5.35</v>
      </c>
      <c r="K1777">
        <v>213955.20000000001</v>
      </c>
      <c r="L1777">
        <v>40450</v>
      </c>
      <c r="M1777" t="s">
        <v>78</v>
      </c>
      <c r="N1777" t="s">
        <v>17</v>
      </c>
      <c r="O1777">
        <v>67</v>
      </c>
      <c r="P1777">
        <v>6.8</v>
      </c>
      <c r="Q1777">
        <v>2.75</v>
      </c>
    </row>
    <row r="1778" spans="2:17" x14ac:dyDescent="0.25">
      <c r="B1778" t="s">
        <v>78</v>
      </c>
      <c r="C1778" t="s">
        <v>2961</v>
      </c>
      <c r="D1778" t="s">
        <v>3505</v>
      </c>
      <c r="E1778" t="s">
        <v>3506</v>
      </c>
      <c r="F1778">
        <v>1105.55</v>
      </c>
      <c r="G1778">
        <v>1099</v>
      </c>
      <c r="H1778">
        <v>1144</v>
      </c>
      <c r="I1778">
        <v>1068</v>
      </c>
      <c r="J1778" s="1">
        <v>1101.2</v>
      </c>
      <c r="K1778">
        <v>82292769.900000006</v>
      </c>
      <c r="L1778">
        <v>73782</v>
      </c>
      <c r="M1778" t="s">
        <v>78</v>
      </c>
      <c r="N1778" t="s">
        <v>17</v>
      </c>
      <c r="O1778">
        <v>3221</v>
      </c>
      <c r="P1778">
        <v>1173</v>
      </c>
      <c r="Q1778">
        <v>661.3</v>
      </c>
    </row>
    <row r="1779" spans="2:17" x14ac:dyDescent="0.25">
      <c r="B1779" t="s">
        <v>78</v>
      </c>
      <c r="C1779" t="s">
        <v>2961</v>
      </c>
      <c r="D1779" t="s">
        <v>3507</v>
      </c>
      <c r="E1779" t="s">
        <v>3508</v>
      </c>
      <c r="F1779">
        <v>5.15</v>
      </c>
      <c r="G1779">
        <v>5.25</v>
      </c>
      <c r="H1779">
        <v>5.4</v>
      </c>
      <c r="I1779">
        <v>4.9000000000000004</v>
      </c>
      <c r="J1779" s="1">
        <v>5.2</v>
      </c>
      <c r="K1779">
        <v>59091.45</v>
      </c>
      <c r="L1779">
        <v>11399</v>
      </c>
      <c r="M1779" t="s">
        <v>78</v>
      </c>
      <c r="N1779" t="s">
        <v>17</v>
      </c>
      <c r="O1779">
        <v>52</v>
      </c>
      <c r="P1779">
        <v>6.75</v>
      </c>
      <c r="Q1779">
        <v>2.5</v>
      </c>
    </row>
    <row r="1780" spans="2:17" x14ac:dyDescent="0.25">
      <c r="B1780" t="s">
        <v>78</v>
      </c>
      <c r="C1780" t="s">
        <v>2961</v>
      </c>
      <c r="D1780" t="s">
        <v>3509</v>
      </c>
      <c r="E1780" t="s">
        <v>3510</v>
      </c>
      <c r="F1780">
        <v>184.1</v>
      </c>
      <c r="G1780">
        <v>182.1</v>
      </c>
      <c r="H1780">
        <v>188.9</v>
      </c>
      <c r="I1780">
        <v>182.1</v>
      </c>
      <c r="J1780" s="1">
        <v>186.05</v>
      </c>
      <c r="K1780">
        <v>17985632.300000001</v>
      </c>
      <c r="L1780">
        <v>97042</v>
      </c>
      <c r="M1780" t="s">
        <v>78</v>
      </c>
      <c r="N1780" t="s">
        <v>17</v>
      </c>
      <c r="O1780">
        <v>2671</v>
      </c>
      <c r="P1780">
        <v>199</v>
      </c>
      <c r="Q1780">
        <v>53.35</v>
      </c>
    </row>
    <row r="1781" spans="2:17" x14ac:dyDescent="0.25">
      <c r="B1781" t="s">
        <v>78</v>
      </c>
      <c r="C1781" t="s">
        <v>2961</v>
      </c>
      <c r="D1781" t="s">
        <v>3511</v>
      </c>
      <c r="E1781" t="s">
        <v>3512</v>
      </c>
      <c r="F1781">
        <v>217.8</v>
      </c>
      <c r="G1781">
        <v>227.9</v>
      </c>
      <c r="H1781">
        <v>227.9</v>
      </c>
      <c r="I1781">
        <v>215.1</v>
      </c>
      <c r="J1781" s="1">
        <v>223.05</v>
      </c>
      <c r="K1781">
        <v>6336847.5999999996</v>
      </c>
      <c r="L1781">
        <v>28569</v>
      </c>
      <c r="M1781" t="s">
        <v>78</v>
      </c>
      <c r="N1781" t="s">
        <v>17</v>
      </c>
      <c r="O1781">
        <v>226</v>
      </c>
      <c r="P1781">
        <v>227.9</v>
      </c>
      <c r="Q1781">
        <v>173.65</v>
      </c>
    </row>
    <row r="1782" spans="2:17" x14ac:dyDescent="0.25">
      <c r="B1782" t="s">
        <v>78</v>
      </c>
      <c r="C1782" t="s">
        <v>2961</v>
      </c>
      <c r="D1782" t="s">
        <v>3513</v>
      </c>
      <c r="E1782" t="s">
        <v>3514</v>
      </c>
      <c r="F1782">
        <v>6.75</v>
      </c>
      <c r="G1782">
        <v>7</v>
      </c>
      <c r="H1782">
        <v>7</v>
      </c>
      <c r="I1782">
        <v>6.45</v>
      </c>
      <c r="J1782" s="1">
        <v>6.45</v>
      </c>
      <c r="K1782">
        <v>117195.85</v>
      </c>
      <c r="L1782">
        <v>17610</v>
      </c>
      <c r="M1782" t="s">
        <v>78</v>
      </c>
      <c r="N1782" t="s">
        <v>17</v>
      </c>
      <c r="O1782">
        <v>48</v>
      </c>
      <c r="P1782">
        <v>7</v>
      </c>
      <c r="Q1782">
        <v>2.2000000000000002</v>
      </c>
    </row>
    <row r="1783" spans="2:17" x14ac:dyDescent="0.25">
      <c r="B1783" t="s">
        <v>78</v>
      </c>
      <c r="C1783" t="s">
        <v>2961</v>
      </c>
      <c r="D1783" t="s">
        <v>3515</v>
      </c>
      <c r="E1783" t="s">
        <v>3516</v>
      </c>
      <c r="F1783">
        <v>8.9</v>
      </c>
      <c r="G1783">
        <v>9.1999999999999993</v>
      </c>
      <c r="H1783">
        <v>9.1999999999999993</v>
      </c>
      <c r="I1783">
        <v>8.5</v>
      </c>
      <c r="J1783" s="1">
        <v>8.6999999999999993</v>
      </c>
      <c r="K1783">
        <v>144979.29999999999</v>
      </c>
      <c r="L1783">
        <v>16435</v>
      </c>
      <c r="M1783" t="s">
        <v>78</v>
      </c>
      <c r="N1783" t="s">
        <v>17</v>
      </c>
      <c r="O1783">
        <v>79</v>
      </c>
      <c r="P1783">
        <v>10</v>
      </c>
      <c r="Q1783">
        <v>5</v>
      </c>
    </row>
    <row r="1784" spans="2:17" x14ac:dyDescent="0.25">
      <c r="B1784" t="s">
        <v>78</v>
      </c>
      <c r="C1784" t="s">
        <v>2961</v>
      </c>
      <c r="D1784" t="s">
        <v>3517</v>
      </c>
      <c r="E1784" t="s">
        <v>3518</v>
      </c>
      <c r="F1784">
        <v>17.850000000000001</v>
      </c>
      <c r="G1784">
        <v>18.7</v>
      </c>
      <c r="H1784">
        <v>18.7</v>
      </c>
      <c r="I1784">
        <v>17.850000000000001</v>
      </c>
      <c r="J1784" s="1">
        <v>18.7</v>
      </c>
      <c r="K1784">
        <v>131441.45000000001</v>
      </c>
      <c r="L1784">
        <v>7029</v>
      </c>
      <c r="M1784" t="s">
        <v>78</v>
      </c>
      <c r="N1784" t="s">
        <v>17</v>
      </c>
      <c r="O1784">
        <v>30</v>
      </c>
      <c r="P1784">
        <v>20.45</v>
      </c>
      <c r="Q1784">
        <v>4.05</v>
      </c>
    </row>
    <row r="1785" spans="2:17" x14ac:dyDescent="0.25">
      <c r="B1785" t="s">
        <v>78</v>
      </c>
      <c r="C1785" t="s">
        <v>2961</v>
      </c>
      <c r="D1785" t="s">
        <v>3519</v>
      </c>
      <c r="E1785" t="s">
        <v>3520</v>
      </c>
      <c r="F1785">
        <v>15842.9</v>
      </c>
      <c r="G1785">
        <v>16100</v>
      </c>
      <c r="H1785">
        <v>16425</v>
      </c>
      <c r="I1785">
        <v>15900</v>
      </c>
      <c r="J1785" s="1">
        <v>16425</v>
      </c>
      <c r="K1785">
        <v>87626107.650000006</v>
      </c>
      <c r="L1785">
        <v>5353</v>
      </c>
      <c r="M1785" t="s">
        <v>78</v>
      </c>
      <c r="N1785" t="s">
        <v>17</v>
      </c>
      <c r="O1785">
        <v>1552</v>
      </c>
      <c r="P1785">
        <v>16425</v>
      </c>
      <c r="Q1785">
        <v>4800</v>
      </c>
    </row>
    <row r="1786" spans="2:17" x14ac:dyDescent="0.25">
      <c r="B1786" t="s">
        <v>78</v>
      </c>
      <c r="C1786" t="s">
        <v>2961</v>
      </c>
      <c r="D1786" t="s">
        <v>3521</v>
      </c>
      <c r="E1786" t="s">
        <v>3522</v>
      </c>
      <c r="F1786">
        <v>190.6</v>
      </c>
      <c r="G1786">
        <v>190</v>
      </c>
      <c r="H1786">
        <v>190.9</v>
      </c>
      <c r="I1786">
        <v>185.2</v>
      </c>
      <c r="J1786" s="1">
        <v>190.5</v>
      </c>
      <c r="K1786">
        <v>1205313.55</v>
      </c>
      <c r="L1786">
        <v>6426</v>
      </c>
      <c r="M1786" t="s">
        <v>78</v>
      </c>
      <c r="N1786" t="s">
        <v>17</v>
      </c>
      <c r="O1786">
        <v>73</v>
      </c>
      <c r="P1786">
        <v>279.75</v>
      </c>
      <c r="Q1786">
        <v>171</v>
      </c>
    </row>
    <row r="1787" spans="2:17" x14ac:dyDescent="0.25">
      <c r="B1787" t="s">
        <v>78</v>
      </c>
      <c r="C1787" t="s">
        <v>2961</v>
      </c>
      <c r="D1787" t="s">
        <v>3523</v>
      </c>
      <c r="E1787" t="s">
        <v>3524</v>
      </c>
      <c r="F1787">
        <v>1272.3</v>
      </c>
      <c r="G1787">
        <v>1289.9000000000001</v>
      </c>
      <c r="H1787">
        <v>1289.9000000000001</v>
      </c>
      <c r="I1787">
        <v>1210</v>
      </c>
      <c r="J1787" s="1">
        <v>1249.3</v>
      </c>
      <c r="K1787">
        <v>11810384.65</v>
      </c>
      <c r="L1787">
        <v>9585</v>
      </c>
      <c r="M1787" t="s">
        <v>78</v>
      </c>
      <c r="N1787" t="s">
        <v>17</v>
      </c>
      <c r="O1787">
        <v>719</v>
      </c>
      <c r="P1787">
        <v>1508</v>
      </c>
      <c r="Q1787">
        <v>430.05</v>
      </c>
    </row>
    <row r="1788" spans="2:17" x14ac:dyDescent="0.25">
      <c r="B1788" t="s">
        <v>78</v>
      </c>
      <c r="C1788" t="s">
        <v>2961</v>
      </c>
      <c r="D1788" t="s">
        <v>3525</v>
      </c>
      <c r="E1788" t="s">
        <v>3526</v>
      </c>
      <c r="F1788">
        <v>47.75</v>
      </c>
      <c r="G1788">
        <v>50.1</v>
      </c>
      <c r="H1788">
        <v>50.1</v>
      </c>
      <c r="I1788">
        <v>50.1</v>
      </c>
      <c r="J1788" s="1">
        <v>50.1</v>
      </c>
      <c r="K1788">
        <v>184368</v>
      </c>
      <c r="L1788">
        <v>3680</v>
      </c>
      <c r="M1788" t="s">
        <v>78</v>
      </c>
      <c r="N1788" t="s">
        <v>17</v>
      </c>
      <c r="O1788">
        <v>10</v>
      </c>
      <c r="P1788">
        <v>50.1</v>
      </c>
      <c r="Q1788">
        <v>20.25</v>
      </c>
    </row>
    <row r="1789" spans="2:17" x14ac:dyDescent="0.25">
      <c r="B1789" t="s">
        <v>78</v>
      </c>
      <c r="C1789" t="s">
        <v>2961</v>
      </c>
      <c r="D1789" t="s">
        <v>3527</v>
      </c>
      <c r="E1789" t="s">
        <v>3528</v>
      </c>
      <c r="F1789">
        <v>18</v>
      </c>
      <c r="G1789">
        <v>18</v>
      </c>
      <c r="H1789">
        <v>18.5</v>
      </c>
      <c r="I1789">
        <v>17.5</v>
      </c>
      <c r="J1789" s="1">
        <v>18.149999999999999</v>
      </c>
      <c r="K1789">
        <v>911344.6</v>
      </c>
      <c r="L1789">
        <v>50104</v>
      </c>
      <c r="M1789" t="s">
        <v>78</v>
      </c>
      <c r="N1789" t="s">
        <v>17</v>
      </c>
      <c r="O1789">
        <v>358</v>
      </c>
      <c r="P1789">
        <v>25.6</v>
      </c>
      <c r="Q1789">
        <v>6.25</v>
      </c>
    </row>
    <row r="1790" spans="2:17" x14ac:dyDescent="0.25">
      <c r="B1790" t="s">
        <v>78</v>
      </c>
      <c r="C1790" t="s">
        <v>2961</v>
      </c>
      <c r="D1790" t="s">
        <v>3529</v>
      </c>
      <c r="E1790" t="s">
        <v>3530</v>
      </c>
      <c r="F1790">
        <v>11.35</v>
      </c>
      <c r="G1790">
        <v>11.9</v>
      </c>
      <c r="H1790">
        <v>11.9</v>
      </c>
      <c r="I1790">
        <v>10.8</v>
      </c>
      <c r="J1790" s="1">
        <v>11.9</v>
      </c>
      <c r="K1790">
        <v>419634.2</v>
      </c>
      <c r="L1790">
        <v>35764</v>
      </c>
      <c r="M1790" t="s">
        <v>78</v>
      </c>
      <c r="N1790" t="s">
        <v>17</v>
      </c>
      <c r="O1790">
        <v>155</v>
      </c>
      <c r="P1790">
        <v>11.9</v>
      </c>
      <c r="Q1790">
        <v>1.45</v>
      </c>
    </row>
    <row r="1791" spans="2:17" x14ac:dyDescent="0.25">
      <c r="B1791" t="s">
        <v>78</v>
      </c>
      <c r="C1791" t="s">
        <v>2961</v>
      </c>
      <c r="D1791" t="s">
        <v>3531</v>
      </c>
      <c r="E1791" t="s">
        <v>3532</v>
      </c>
      <c r="F1791">
        <v>10.8</v>
      </c>
      <c r="G1791">
        <v>11.05</v>
      </c>
      <c r="H1791">
        <v>11.1</v>
      </c>
      <c r="I1791">
        <v>10.55</v>
      </c>
      <c r="J1791" s="1">
        <v>10.85</v>
      </c>
      <c r="K1791">
        <v>424094.05</v>
      </c>
      <c r="L1791">
        <v>38771</v>
      </c>
      <c r="M1791" t="s">
        <v>78</v>
      </c>
      <c r="N1791" t="s">
        <v>17</v>
      </c>
      <c r="O1791">
        <v>103</v>
      </c>
      <c r="P1791">
        <v>13.75</v>
      </c>
      <c r="Q1791">
        <v>7.6</v>
      </c>
    </row>
    <row r="1792" spans="2:17" x14ac:dyDescent="0.25">
      <c r="B1792" t="s">
        <v>78</v>
      </c>
      <c r="C1792" t="s">
        <v>2961</v>
      </c>
      <c r="D1792" t="s">
        <v>3533</v>
      </c>
      <c r="E1792" t="s">
        <v>3534</v>
      </c>
      <c r="F1792">
        <v>131.75</v>
      </c>
      <c r="G1792">
        <v>137</v>
      </c>
      <c r="H1792">
        <v>137.5</v>
      </c>
      <c r="I1792">
        <v>126.5</v>
      </c>
      <c r="J1792" s="1">
        <v>129.75</v>
      </c>
      <c r="K1792">
        <v>1329360.6499999999</v>
      </c>
      <c r="L1792">
        <v>10201</v>
      </c>
      <c r="M1792" t="s">
        <v>78</v>
      </c>
      <c r="N1792" t="s">
        <v>17</v>
      </c>
      <c r="O1792">
        <v>175</v>
      </c>
      <c r="P1792">
        <v>155</v>
      </c>
      <c r="Q1792">
        <v>77</v>
      </c>
    </row>
    <row r="1793" spans="2:17" x14ac:dyDescent="0.25">
      <c r="B1793" t="s">
        <v>78</v>
      </c>
      <c r="C1793" t="s">
        <v>2961</v>
      </c>
      <c r="D1793" t="s">
        <v>3535</v>
      </c>
      <c r="E1793" t="s">
        <v>3536</v>
      </c>
      <c r="F1793">
        <v>64.7</v>
      </c>
      <c r="G1793">
        <v>64.7</v>
      </c>
      <c r="H1793">
        <v>65.5</v>
      </c>
      <c r="I1793">
        <v>63.05</v>
      </c>
      <c r="J1793" s="1">
        <v>65.45</v>
      </c>
      <c r="K1793">
        <v>1393713.75</v>
      </c>
      <c r="L1793">
        <v>21454</v>
      </c>
      <c r="M1793" t="s">
        <v>78</v>
      </c>
      <c r="N1793" t="s">
        <v>17</v>
      </c>
      <c r="O1793">
        <v>95</v>
      </c>
      <c r="P1793">
        <v>72</v>
      </c>
      <c r="Q1793">
        <v>49.1</v>
      </c>
    </row>
    <row r="1794" spans="2:17" x14ac:dyDescent="0.25">
      <c r="B1794" t="s">
        <v>78</v>
      </c>
      <c r="C1794" t="s">
        <v>2961</v>
      </c>
      <c r="D1794" t="s">
        <v>3537</v>
      </c>
      <c r="E1794" t="s">
        <v>3538</v>
      </c>
      <c r="F1794">
        <v>43.9</v>
      </c>
      <c r="G1794">
        <v>43.4</v>
      </c>
      <c r="H1794">
        <v>45.8</v>
      </c>
      <c r="I1794">
        <v>41.75</v>
      </c>
      <c r="J1794" s="1">
        <v>43.85</v>
      </c>
      <c r="K1794">
        <v>182003476.05000001</v>
      </c>
      <c r="L1794">
        <v>4135570</v>
      </c>
      <c r="M1794" t="s">
        <v>78</v>
      </c>
      <c r="N1794" t="s">
        <v>17</v>
      </c>
      <c r="O1794">
        <v>21961</v>
      </c>
      <c r="P1794">
        <v>54.1</v>
      </c>
      <c r="Q1794">
        <v>6.6</v>
      </c>
    </row>
    <row r="1795" spans="2:17" x14ac:dyDescent="0.25">
      <c r="B1795" t="s">
        <v>78</v>
      </c>
      <c r="C1795" t="s">
        <v>2961</v>
      </c>
      <c r="D1795" t="s">
        <v>3539</v>
      </c>
      <c r="E1795" t="s">
        <v>3540</v>
      </c>
      <c r="F1795">
        <v>2</v>
      </c>
      <c r="G1795">
        <v>2.1</v>
      </c>
      <c r="H1795">
        <v>2.1</v>
      </c>
      <c r="I1795">
        <v>2.1</v>
      </c>
      <c r="J1795" s="1">
        <v>2.1</v>
      </c>
      <c r="K1795">
        <v>11241.3</v>
      </c>
      <c r="L1795">
        <v>5353</v>
      </c>
      <c r="M1795" t="s">
        <v>78</v>
      </c>
      <c r="N1795" t="s">
        <v>17</v>
      </c>
      <c r="O1795">
        <v>4</v>
      </c>
      <c r="P1795">
        <v>3.15</v>
      </c>
      <c r="Q1795">
        <v>1.4</v>
      </c>
    </row>
    <row r="1796" spans="2:17" x14ac:dyDescent="0.25">
      <c r="B1796" t="s">
        <v>78</v>
      </c>
      <c r="C1796" t="s">
        <v>2961</v>
      </c>
      <c r="D1796" t="s">
        <v>3541</v>
      </c>
      <c r="E1796" t="s">
        <v>3542</v>
      </c>
      <c r="F1796">
        <v>2.95</v>
      </c>
      <c r="G1796">
        <v>3</v>
      </c>
      <c r="H1796">
        <v>3</v>
      </c>
      <c r="I1796">
        <v>2.9</v>
      </c>
      <c r="J1796" s="1">
        <v>2.95</v>
      </c>
      <c r="K1796">
        <v>2501301.9500000002</v>
      </c>
      <c r="L1796">
        <v>850166</v>
      </c>
      <c r="M1796" t="s">
        <v>78</v>
      </c>
      <c r="N1796" t="s">
        <v>17</v>
      </c>
      <c r="O1796">
        <v>1071</v>
      </c>
      <c r="P1796">
        <v>3.45</v>
      </c>
      <c r="Q1796">
        <v>2.2999999999999998</v>
      </c>
    </row>
    <row r="1797" spans="2:17" x14ac:dyDescent="0.25">
      <c r="B1797" t="s">
        <v>78</v>
      </c>
      <c r="C1797" t="s">
        <v>2961</v>
      </c>
      <c r="D1797" t="s">
        <v>3543</v>
      </c>
      <c r="E1797" t="s">
        <v>3544</v>
      </c>
      <c r="F1797">
        <v>4.5</v>
      </c>
      <c r="G1797">
        <v>4.6500000000000004</v>
      </c>
      <c r="H1797">
        <v>4.7</v>
      </c>
      <c r="I1797">
        <v>4.4000000000000004</v>
      </c>
      <c r="J1797" s="1">
        <v>4.45</v>
      </c>
      <c r="K1797">
        <v>62587.75</v>
      </c>
      <c r="L1797">
        <v>13829</v>
      </c>
      <c r="M1797" t="s">
        <v>78</v>
      </c>
      <c r="N1797" t="s">
        <v>17</v>
      </c>
      <c r="O1797">
        <v>55</v>
      </c>
      <c r="P1797">
        <v>7.95</v>
      </c>
      <c r="Q1797">
        <v>1.05</v>
      </c>
    </row>
    <row r="1798" spans="2:17" x14ac:dyDescent="0.25">
      <c r="B1798" t="s">
        <v>78</v>
      </c>
      <c r="C1798" t="s">
        <v>2961</v>
      </c>
      <c r="D1798" t="s">
        <v>3545</v>
      </c>
      <c r="E1798" t="s">
        <v>3546</v>
      </c>
      <c r="F1798">
        <v>214.75</v>
      </c>
      <c r="G1798">
        <v>210</v>
      </c>
      <c r="H1798">
        <v>225.45</v>
      </c>
      <c r="I1798">
        <v>204.05</v>
      </c>
      <c r="J1798" s="1">
        <v>225.45</v>
      </c>
      <c r="K1798">
        <v>12165831.15</v>
      </c>
      <c r="L1798">
        <v>56441</v>
      </c>
      <c r="M1798" t="s">
        <v>78</v>
      </c>
      <c r="N1798" t="s">
        <v>17</v>
      </c>
      <c r="O1798">
        <v>1374</v>
      </c>
      <c r="P1798">
        <v>265.89999999999998</v>
      </c>
      <c r="Q1798">
        <v>61.9</v>
      </c>
    </row>
    <row r="1799" spans="2:17" x14ac:dyDescent="0.25">
      <c r="B1799" t="s">
        <v>78</v>
      </c>
      <c r="C1799" t="s">
        <v>2961</v>
      </c>
      <c r="D1799" t="s">
        <v>3547</v>
      </c>
      <c r="E1799" t="s">
        <v>3548</v>
      </c>
      <c r="F1799">
        <v>1.45</v>
      </c>
      <c r="G1799">
        <v>1.5</v>
      </c>
      <c r="H1799">
        <v>1.5</v>
      </c>
      <c r="I1799">
        <v>1.5</v>
      </c>
      <c r="J1799" s="1">
        <v>1.5</v>
      </c>
      <c r="K1799">
        <v>253807.5</v>
      </c>
      <c r="L1799">
        <v>169205</v>
      </c>
      <c r="M1799" t="s">
        <v>78</v>
      </c>
      <c r="N1799" t="s">
        <v>17</v>
      </c>
      <c r="O1799">
        <v>135</v>
      </c>
      <c r="P1799">
        <v>1.8</v>
      </c>
      <c r="Q1799">
        <v>0.65</v>
      </c>
    </row>
    <row r="1800" spans="2:17" x14ac:dyDescent="0.25">
      <c r="B1800" t="s">
        <v>78</v>
      </c>
      <c r="C1800" t="s">
        <v>2961</v>
      </c>
      <c r="D1800" t="s">
        <v>3549</v>
      </c>
      <c r="E1800" t="s">
        <v>3550</v>
      </c>
      <c r="F1800">
        <v>1.85</v>
      </c>
      <c r="G1800">
        <v>1.8</v>
      </c>
      <c r="H1800">
        <v>1.9</v>
      </c>
      <c r="I1800">
        <v>1.8</v>
      </c>
      <c r="J1800" s="1">
        <v>1.9</v>
      </c>
      <c r="K1800">
        <v>33373689.25</v>
      </c>
      <c r="L1800">
        <v>18236955</v>
      </c>
      <c r="M1800" t="s">
        <v>78</v>
      </c>
      <c r="N1800" t="s">
        <v>17</v>
      </c>
      <c r="O1800">
        <v>1805</v>
      </c>
      <c r="P1800">
        <v>5.25</v>
      </c>
      <c r="Q1800">
        <v>1.8</v>
      </c>
    </row>
    <row r="1801" spans="2:17" x14ac:dyDescent="0.25">
      <c r="B1801" t="s">
        <v>78</v>
      </c>
      <c r="C1801" t="s">
        <v>2961</v>
      </c>
      <c r="D1801" t="s">
        <v>3551</v>
      </c>
      <c r="E1801" t="s">
        <v>3552</v>
      </c>
      <c r="F1801">
        <v>34.85</v>
      </c>
      <c r="G1801">
        <v>36.35</v>
      </c>
      <c r="H1801">
        <v>36.549999999999997</v>
      </c>
      <c r="I1801">
        <v>33.15</v>
      </c>
      <c r="J1801" s="1">
        <v>36.450000000000003</v>
      </c>
      <c r="K1801">
        <v>3001159.45</v>
      </c>
      <c r="L1801">
        <v>84858</v>
      </c>
      <c r="M1801" t="s">
        <v>78</v>
      </c>
      <c r="N1801" t="s">
        <v>17</v>
      </c>
      <c r="O1801">
        <v>232</v>
      </c>
      <c r="P1801">
        <v>37.85</v>
      </c>
      <c r="Q1801">
        <v>17.55</v>
      </c>
    </row>
    <row r="1802" spans="2:17" x14ac:dyDescent="0.25">
      <c r="B1802" t="s">
        <v>78</v>
      </c>
      <c r="C1802" t="s">
        <v>2961</v>
      </c>
      <c r="D1802" t="s">
        <v>3553</v>
      </c>
      <c r="E1802" t="s">
        <v>3554</v>
      </c>
      <c r="F1802">
        <v>10</v>
      </c>
      <c r="G1802">
        <v>10.199999999999999</v>
      </c>
      <c r="H1802">
        <v>10.199999999999999</v>
      </c>
      <c r="I1802">
        <v>9.8000000000000007</v>
      </c>
      <c r="J1802" s="1">
        <v>9.9</v>
      </c>
      <c r="K1802">
        <v>186923.65</v>
      </c>
      <c r="L1802">
        <v>18718</v>
      </c>
      <c r="M1802" t="s">
        <v>78</v>
      </c>
      <c r="N1802" t="s">
        <v>17</v>
      </c>
      <c r="O1802">
        <v>133</v>
      </c>
      <c r="P1802">
        <v>11.9</v>
      </c>
      <c r="Q1802">
        <v>4.95</v>
      </c>
    </row>
    <row r="1803" spans="2:17" x14ac:dyDescent="0.25">
      <c r="B1803" t="s">
        <v>78</v>
      </c>
      <c r="C1803" t="s">
        <v>2961</v>
      </c>
      <c r="D1803" t="s">
        <v>3555</v>
      </c>
      <c r="E1803" t="s">
        <v>3556</v>
      </c>
      <c r="F1803">
        <v>0.2</v>
      </c>
      <c r="G1803">
        <v>0.2</v>
      </c>
      <c r="H1803">
        <v>0.25</v>
      </c>
      <c r="I1803">
        <v>0.2</v>
      </c>
      <c r="J1803" s="1">
        <v>0.2</v>
      </c>
      <c r="K1803">
        <v>21421161.100000001</v>
      </c>
      <c r="L1803">
        <v>95590426</v>
      </c>
      <c r="M1803" t="s">
        <v>78</v>
      </c>
      <c r="N1803" t="s">
        <v>17</v>
      </c>
      <c r="O1803">
        <v>8307</v>
      </c>
      <c r="P1803">
        <v>0.25</v>
      </c>
      <c r="Q1803">
        <v>0.05</v>
      </c>
    </row>
    <row r="1804" spans="2:17" x14ac:dyDescent="0.25">
      <c r="B1804" t="s">
        <v>78</v>
      </c>
      <c r="C1804" t="s">
        <v>2961</v>
      </c>
      <c r="D1804" t="s">
        <v>3557</v>
      </c>
      <c r="E1804" t="s">
        <v>3558</v>
      </c>
      <c r="F1804">
        <v>0.95</v>
      </c>
      <c r="G1804">
        <v>1</v>
      </c>
      <c r="H1804">
        <v>1</v>
      </c>
      <c r="I1804">
        <v>0.9</v>
      </c>
      <c r="J1804" s="1">
        <v>0.95</v>
      </c>
      <c r="K1804">
        <v>2034419.5</v>
      </c>
      <c r="L1804">
        <v>2114964</v>
      </c>
      <c r="M1804" t="s">
        <v>78</v>
      </c>
      <c r="N1804" t="s">
        <v>17</v>
      </c>
      <c r="O1804">
        <v>920</v>
      </c>
      <c r="P1804">
        <v>2</v>
      </c>
      <c r="Q1804">
        <v>0.3</v>
      </c>
    </row>
    <row r="1805" spans="2:17" x14ac:dyDescent="0.25">
      <c r="B1805" t="s">
        <v>78</v>
      </c>
      <c r="C1805" t="s">
        <v>2961</v>
      </c>
      <c r="D1805" t="s">
        <v>3559</v>
      </c>
      <c r="E1805" t="s">
        <v>3560</v>
      </c>
      <c r="F1805">
        <v>24.6</v>
      </c>
      <c r="G1805">
        <v>24.4</v>
      </c>
      <c r="H1805">
        <v>24.6</v>
      </c>
      <c r="I1805">
        <v>23.6</v>
      </c>
      <c r="J1805" s="1">
        <v>24.15</v>
      </c>
      <c r="K1805">
        <v>4018463.25</v>
      </c>
      <c r="L1805">
        <v>166065</v>
      </c>
      <c r="M1805" t="s">
        <v>78</v>
      </c>
      <c r="N1805" t="s">
        <v>17</v>
      </c>
      <c r="O1805">
        <v>1491</v>
      </c>
      <c r="P1805">
        <v>33.6</v>
      </c>
      <c r="Q1805">
        <v>17</v>
      </c>
    </row>
    <row r="1806" spans="2:17" x14ac:dyDescent="0.25">
      <c r="B1806" t="s">
        <v>78</v>
      </c>
      <c r="C1806" t="s">
        <v>2961</v>
      </c>
      <c r="D1806" t="s">
        <v>3561</v>
      </c>
      <c r="E1806" t="s">
        <v>3562</v>
      </c>
      <c r="F1806">
        <v>86.95</v>
      </c>
      <c r="G1806">
        <v>87.7</v>
      </c>
      <c r="H1806">
        <v>87.7</v>
      </c>
      <c r="I1806">
        <v>82.7</v>
      </c>
      <c r="J1806" s="1">
        <v>85.9</v>
      </c>
      <c r="K1806">
        <v>1527714.7</v>
      </c>
      <c r="L1806">
        <v>18106</v>
      </c>
      <c r="M1806" t="s">
        <v>78</v>
      </c>
      <c r="N1806" t="s">
        <v>17</v>
      </c>
      <c r="O1806">
        <v>113</v>
      </c>
      <c r="P1806">
        <v>114</v>
      </c>
      <c r="Q1806">
        <v>27.3</v>
      </c>
    </row>
    <row r="1807" spans="2:17" x14ac:dyDescent="0.25">
      <c r="B1807" t="s">
        <v>78</v>
      </c>
      <c r="C1807" t="s">
        <v>2961</v>
      </c>
      <c r="D1807" t="s">
        <v>3563</v>
      </c>
      <c r="E1807" t="s">
        <v>3564</v>
      </c>
      <c r="F1807">
        <v>209</v>
      </c>
      <c r="G1807">
        <v>219.4</v>
      </c>
      <c r="H1807">
        <v>219.4</v>
      </c>
      <c r="I1807">
        <v>198.55</v>
      </c>
      <c r="J1807" s="1">
        <v>203.15</v>
      </c>
      <c r="K1807">
        <v>95137.75</v>
      </c>
      <c r="L1807">
        <v>474</v>
      </c>
      <c r="M1807" t="s">
        <v>78</v>
      </c>
      <c r="N1807" t="s">
        <v>17</v>
      </c>
      <c r="O1807">
        <v>30</v>
      </c>
      <c r="P1807">
        <v>219.4</v>
      </c>
      <c r="Q1807">
        <v>110.5</v>
      </c>
    </row>
    <row r="1808" spans="2:17" x14ac:dyDescent="0.25">
      <c r="B1808" t="s">
        <v>78</v>
      </c>
      <c r="C1808" t="s">
        <v>2961</v>
      </c>
      <c r="D1808" t="s">
        <v>3565</v>
      </c>
      <c r="E1808" t="s">
        <v>3566</v>
      </c>
      <c r="F1808">
        <v>64.8</v>
      </c>
      <c r="G1808">
        <v>68</v>
      </c>
      <c r="H1808">
        <v>68</v>
      </c>
      <c r="I1808">
        <v>64.900000000000006</v>
      </c>
      <c r="J1808" s="1">
        <v>66.5</v>
      </c>
      <c r="K1808">
        <v>70989.2</v>
      </c>
      <c r="L1808">
        <v>1061</v>
      </c>
      <c r="M1808" t="s">
        <v>78</v>
      </c>
      <c r="N1808" t="s">
        <v>17</v>
      </c>
      <c r="O1808">
        <v>21</v>
      </c>
      <c r="P1808">
        <v>73.5</v>
      </c>
      <c r="Q1808">
        <v>44.65</v>
      </c>
    </row>
    <row r="1809" spans="2:17" x14ac:dyDescent="0.25">
      <c r="B1809" t="s">
        <v>78</v>
      </c>
      <c r="C1809" t="s">
        <v>2961</v>
      </c>
      <c r="D1809" t="s">
        <v>3567</v>
      </c>
      <c r="E1809" t="s">
        <v>3568</v>
      </c>
      <c r="F1809">
        <v>5.7</v>
      </c>
      <c r="G1809">
        <v>5.7</v>
      </c>
      <c r="H1809">
        <v>5.7</v>
      </c>
      <c r="I1809">
        <v>5.7</v>
      </c>
      <c r="J1809" s="1">
        <v>5.7</v>
      </c>
      <c r="K1809">
        <v>2850</v>
      </c>
      <c r="L1809">
        <v>500</v>
      </c>
      <c r="M1809" t="s">
        <v>78</v>
      </c>
      <c r="N1809" t="s">
        <v>17</v>
      </c>
      <c r="O1809">
        <v>2</v>
      </c>
      <c r="P1809">
        <v>8.25</v>
      </c>
      <c r="Q1809">
        <v>1.1499999999999999</v>
      </c>
    </row>
    <row r="1810" spans="2:17" x14ac:dyDescent="0.25">
      <c r="B1810" t="s">
        <v>78</v>
      </c>
      <c r="C1810" t="s">
        <v>2961</v>
      </c>
      <c r="D1810" t="s">
        <v>3569</v>
      </c>
      <c r="E1810" t="s">
        <v>3570</v>
      </c>
      <c r="F1810">
        <v>253.55</v>
      </c>
      <c r="G1810">
        <v>266.2</v>
      </c>
      <c r="H1810">
        <v>266.2</v>
      </c>
      <c r="I1810">
        <v>266.2</v>
      </c>
      <c r="J1810" s="1">
        <v>266.2</v>
      </c>
      <c r="K1810">
        <v>2281067.7999999998</v>
      </c>
      <c r="L1810">
        <v>8569</v>
      </c>
      <c r="M1810" t="s">
        <v>78</v>
      </c>
      <c r="N1810" t="s">
        <v>17</v>
      </c>
      <c r="O1810">
        <v>66</v>
      </c>
      <c r="P1810">
        <v>266.2</v>
      </c>
      <c r="Q1810">
        <v>36</v>
      </c>
    </row>
    <row r="1811" spans="2:17" x14ac:dyDescent="0.25">
      <c r="B1811" t="s">
        <v>78</v>
      </c>
      <c r="C1811" t="s">
        <v>2961</v>
      </c>
      <c r="D1811" t="s">
        <v>3571</v>
      </c>
      <c r="E1811" t="s">
        <v>3572</v>
      </c>
      <c r="F1811">
        <v>106.85</v>
      </c>
      <c r="G1811">
        <v>107</v>
      </c>
      <c r="H1811">
        <v>112</v>
      </c>
      <c r="I1811">
        <v>105</v>
      </c>
      <c r="J1811" s="1">
        <v>111.35</v>
      </c>
      <c r="K1811">
        <v>16279681.5</v>
      </c>
      <c r="L1811">
        <v>147357</v>
      </c>
      <c r="M1811" t="s">
        <v>78</v>
      </c>
      <c r="N1811" t="s">
        <v>17</v>
      </c>
      <c r="O1811">
        <v>670</v>
      </c>
      <c r="P1811">
        <v>123.85</v>
      </c>
      <c r="Q1811">
        <v>39</v>
      </c>
    </row>
    <row r="1812" spans="2:17" x14ac:dyDescent="0.25">
      <c r="B1812" t="s">
        <v>78</v>
      </c>
      <c r="C1812" t="s">
        <v>2961</v>
      </c>
      <c r="D1812" t="s">
        <v>3573</v>
      </c>
      <c r="E1812" t="s">
        <v>3574</v>
      </c>
      <c r="F1812">
        <v>86</v>
      </c>
      <c r="G1812">
        <v>90</v>
      </c>
      <c r="H1812">
        <v>90</v>
      </c>
      <c r="I1812">
        <v>83.4</v>
      </c>
      <c r="J1812" s="1">
        <v>87.7</v>
      </c>
      <c r="K1812">
        <v>25735.35</v>
      </c>
      <c r="L1812">
        <v>292</v>
      </c>
      <c r="M1812" t="s">
        <v>78</v>
      </c>
      <c r="N1812" t="s">
        <v>17</v>
      </c>
      <c r="O1812">
        <v>10</v>
      </c>
      <c r="P1812">
        <v>102</v>
      </c>
      <c r="Q1812">
        <v>68.099999999999994</v>
      </c>
    </row>
    <row r="1813" spans="2:17" x14ac:dyDescent="0.25">
      <c r="B1813" t="s">
        <v>78</v>
      </c>
      <c r="C1813" t="s">
        <v>2961</v>
      </c>
      <c r="D1813" t="s">
        <v>3575</v>
      </c>
      <c r="E1813" t="s">
        <v>3576</v>
      </c>
      <c r="F1813">
        <v>1.2</v>
      </c>
      <c r="G1813">
        <v>1.25</v>
      </c>
      <c r="H1813">
        <v>1.25</v>
      </c>
      <c r="I1813">
        <v>1.25</v>
      </c>
      <c r="J1813" s="1">
        <v>1.25</v>
      </c>
      <c r="K1813">
        <v>100101.25</v>
      </c>
      <c r="L1813">
        <v>80081</v>
      </c>
      <c r="M1813" t="s">
        <v>78</v>
      </c>
      <c r="N1813" t="s">
        <v>17</v>
      </c>
      <c r="O1813">
        <v>29</v>
      </c>
      <c r="P1813">
        <v>1.35</v>
      </c>
      <c r="Q1813">
        <v>0.6</v>
      </c>
    </row>
    <row r="1814" spans="2:17" x14ac:dyDescent="0.25">
      <c r="B1814" t="s">
        <v>78</v>
      </c>
      <c r="C1814" t="s">
        <v>2961</v>
      </c>
      <c r="D1814" t="s">
        <v>3577</v>
      </c>
      <c r="E1814" t="s">
        <v>3578</v>
      </c>
      <c r="F1814">
        <v>33.700000000000003</v>
      </c>
      <c r="G1814">
        <v>34.200000000000003</v>
      </c>
      <c r="H1814">
        <v>35.049999999999997</v>
      </c>
      <c r="I1814">
        <v>33.049999999999997</v>
      </c>
      <c r="J1814" s="1">
        <v>33.35</v>
      </c>
      <c r="K1814">
        <v>144489.1</v>
      </c>
      <c r="L1814">
        <v>4212</v>
      </c>
      <c r="M1814" t="s">
        <v>78</v>
      </c>
      <c r="N1814" t="s">
        <v>17</v>
      </c>
      <c r="O1814">
        <v>50</v>
      </c>
      <c r="P1814">
        <v>38</v>
      </c>
      <c r="Q1814">
        <v>24</v>
      </c>
    </row>
    <row r="1815" spans="2:17" x14ac:dyDescent="0.25">
      <c r="B1815" t="s">
        <v>78</v>
      </c>
      <c r="C1815" t="s">
        <v>3579</v>
      </c>
      <c r="D1815" t="s">
        <v>3580</v>
      </c>
      <c r="E1815" t="s">
        <v>3581</v>
      </c>
      <c r="F1815">
        <v>3.75</v>
      </c>
      <c r="G1815">
        <v>3.9</v>
      </c>
      <c r="H1815">
        <v>3.9</v>
      </c>
      <c r="I1815">
        <v>3.6</v>
      </c>
      <c r="J1815" s="1">
        <v>3.8</v>
      </c>
      <c r="K1815">
        <v>163682.75</v>
      </c>
      <c r="L1815">
        <v>43063</v>
      </c>
      <c r="M1815" t="s">
        <v>78</v>
      </c>
      <c r="N1815" t="s">
        <v>17</v>
      </c>
      <c r="O1815">
        <v>80</v>
      </c>
      <c r="P1815">
        <v>7.8</v>
      </c>
      <c r="Q1815">
        <v>3.05</v>
      </c>
    </row>
    <row r="1816" spans="2:17" x14ac:dyDescent="0.25">
      <c r="B1816" t="s">
        <v>78</v>
      </c>
      <c r="C1816" t="s">
        <v>3579</v>
      </c>
      <c r="D1816" t="s">
        <v>3582</v>
      </c>
      <c r="E1816" t="s">
        <v>3583</v>
      </c>
      <c r="F1816">
        <v>1.75</v>
      </c>
      <c r="G1816">
        <v>1.8</v>
      </c>
      <c r="H1816">
        <v>1.8</v>
      </c>
      <c r="I1816">
        <v>1.7</v>
      </c>
      <c r="J1816" s="1">
        <v>1.8</v>
      </c>
      <c r="K1816">
        <v>416951.45</v>
      </c>
      <c r="L1816">
        <v>234311</v>
      </c>
      <c r="M1816" t="s">
        <v>78</v>
      </c>
      <c r="N1816" t="s">
        <v>17</v>
      </c>
      <c r="O1816">
        <v>156</v>
      </c>
      <c r="P1816">
        <v>3</v>
      </c>
      <c r="Q1816">
        <v>1.4</v>
      </c>
    </row>
    <row r="1817" spans="2:17" x14ac:dyDescent="0.25">
      <c r="B1817" t="s">
        <v>78</v>
      </c>
      <c r="C1817" t="s">
        <v>3579</v>
      </c>
      <c r="D1817" t="s">
        <v>3584</v>
      </c>
      <c r="E1817" t="s">
        <v>3585</v>
      </c>
      <c r="F1817">
        <v>33.549999999999997</v>
      </c>
      <c r="G1817">
        <v>35</v>
      </c>
      <c r="H1817">
        <v>35</v>
      </c>
      <c r="I1817">
        <v>31.9</v>
      </c>
      <c r="J1817" s="1">
        <v>31.9</v>
      </c>
      <c r="K1817">
        <v>243914.9</v>
      </c>
      <c r="L1817">
        <v>7642</v>
      </c>
      <c r="M1817" t="s">
        <v>78</v>
      </c>
      <c r="N1817" t="s">
        <v>17</v>
      </c>
      <c r="O1817">
        <v>61</v>
      </c>
      <c r="P1817">
        <v>43.6</v>
      </c>
      <c r="Q1817">
        <v>24.6</v>
      </c>
    </row>
    <row r="1818" spans="2:17" x14ac:dyDescent="0.25">
      <c r="B1818" t="s">
        <v>78</v>
      </c>
      <c r="C1818" t="s">
        <v>3579</v>
      </c>
      <c r="D1818" t="s">
        <v>3586</v>
      </c>
      <c r="E1818" t="s">
        <v>3587</v>
      </c>
      <c r="F1818">
        <v>16.3</v>
      </c>
      <c r="G1818">
        <v>16.3</v>
      </c>
      <c r="H1818">
        <v>17.100000000000001</v>
      </c>
      <c r="I1818">
        <v>15.55</v>
      </c>
      <c r="J1818" s="1">
        <v>17</v>
      </c>
      <c r="K1818">
        <v>368062.95</v>
      </c>
      <c r="L1818">
        <v>21691</v>
      </c>
      <c r="M1818" t="s">
        <v>78</v>
      </c>
      <c r="N1818" t="s">
        <v>17</v>
      </c>
      <c r="O1818">
        <v>87</v>
      </c>
      <c r="P1818">
        <v>34.049999999999997</v>
      </c>
      <c r="Q1818">
        <v>15.3</v>
      </c>
    </row>
    <row r="1819" spans="2:17" x14ac:dyDescent="0.25">
      <c r="B1819" t="s">
        <v>78</v>
      </c>
      <c r="C1819" t="s">
        <v>3579</v>
      </c>
      <c r="D1819" t="s">
        <v>3588</v>
      </c>
      <c r="E1819" t="s">
        <v>3589</v>
      </c>
      <c r="F1819">
        <v>1.6</v>
      </c>
      <c r="G1819">
        <v>1.6</v>
      </c>
      <c r="H1819">
        <v>1.6</v>
      </c>
      <c r="I1819">
        <v>1.55</v>
      </c>
      <c r="J1819" s="1">
        <v>1.55</v>
      </c>
      <c r="K1819">
        <v>4471325.55</v>
      </c>
      <c r="L1819">
        <v>2841142</v>
      </c>
      <c r="M1819" t="s">
        <v>78</v>
      </c>
      <c r="N1819" t="s">
        <v>17</v>
      </c>
      <c r="O1819">
        <v>1045</v>
      </c>
      <c r="P1819">
        <v>1.9</v>
      </c>
      <c r="Q1819">
        <v>1</v>
      </c>
    </row>
    <row r="1820" spans="2:17" x14ac:dyDescent="0.25">
      <c r="B1820" t="s">
        <v>78</v>
      </c>
      <c r="C1820" t="s">
        <v>3579</v>
      </c>
      <c r="D1820" t="s">
        <v>3590</v>
      </c>
      <c r="E1820" t="s">
        <v>3591</v>
      </c>
      <c r="F1820">
        <v>3.55</v>
      </c>
      <c r="G1820">
        <v>3.55</v>
      </c>
      <c r="H1820">
        <v>3.7</v>
      </c>
      <c r="I1820">
        <v>3.4</v>
      </c>
      <c r="J1820" s="1">
        <v>3.65</v>
      </c>
      <c r="K1820">
        <v>40590.5</v>
      </c>
      <c r="L1820">
        <v>11215</v>
      </c>
      <c r="M1820" t="s">
        <v>78</v>
      </c>
      <c r="N1820" t="s">
        <v>17</v>
      </c>
      <c r="O1820">
        <v>43</v>
      </c>
      <c r="P1820">
        <v>5.05</v>
      </c>
      <c r="Q1820">
        <v>1.35</v>
      </c>
    </row>
    <row r="1821" spans="2:17" x14ac:dyDescent="0.25">
      <c r="B1821" t="s">
        <v>78</v>
      </c>
      <c r="C1821" t="s">
        <v>3579</v>
      </c>
      <c r="D1821" t="s">
        <v>3592</v>
      </c>
      <c r="E1821" t="s">
        <v>3593</v>
      </c>
      <c r="F1821">
        <v>0.65</v>
      </c>
      <c r="G1821">
        <v>0.6</v>
      </c>
      <c r="H1821">
        <v>0.7</v>
      </c>
      <c r="I1821">
        <v>0.6</v>
      </c>
      <c r="J1821" s="1">
        <v>0.7</v>
      </c>
      <c r="K1821">
        <v>433063.3</v>
      </c>
      <c r="L1821">
        <v>699056</v>
      </c>
      <c r="M1821" t="s">
        <v>78</v>
      </c>
      <c r="N1821" t="s">
        <v>17</v>
      </c>
      <c r="O1821">
        <v>383</v>
      </c>
      <c r="P1821">
        <v>1.1499999999999999</v>
      </c>
      <c r="Q1821">
        <v>0.4</v>
      </c>
    </row>
    <row r="1822" spans="2:17" x14ac:dyDescent="0.25">
      <c r="B1822" t="s">
        <v>78</v>
      </c>
      <c r="C1822" t="s">
        <v>3579</v>
      </c>
      <c r="D1822" t="s">
        <v>3594</v>
      </c>
      <c r="E1822" t="s">
        <v>3595</v>
      </c>
      <c r="F1822">
        <v>3.85</v>
      </c>
      <c r="G1822">
        <v>3.95</v>
      </c>
      <c r="H1822">
        <v>3.95</v>
      </c>
      <c r="I1822">
        <v>3.7</v>
      </c>
      <c r="J1822" s="1">
        <v>3.8</v>
      </c>
      <c r="K1822">
        <v>68963.3</v>
      </c>
      <c r="L1822">
        <v>18170</v>
      </c>
      <c r="M1822" t="s">
        <v>78</v>
      </c>
      <c r="N1822" t="s">
        <v>17</v>
      </c>
      <c r="O1822">
        <v>40</v>
      </c>
      <c r="P1822">
        <v>7.75</v>
      </c>
      <c r="Q1822">
        <v>1.9</v>
      </c>
    </row>
    <row r="1823" spans="2:17" x14ac:dyDescent="0.25">
      <c r="B1823" t="s">
        <v>78</v>
      </c>
      <c r="C1823" t="s">
        <v>3579</v>
      </c>
      <c r="D1823" t="s">
        <v>3596</v>
      </c>
      <c r="E1823" t="s">
        <v>3597</v>
      </c>
      <c r="F1823">
        <v>1.1499999999999999</v>
      </c>
      <c r="G1823">
        <v>1.2</v>
      </c>
      <c r="H1823">
        <v>1.2</v>
      </c>
      <c r="I1823">
        <v>1.2</v>
      </c>
      <c r="J1823" s="1">
        <v>1.2</v>
      </c>
      <c r="K1823">
        <v>358683.6</v>
      </c>
      <c r="L1823">
        <v>298903</v>
      </c>
      <c r="M1823" t="s">
        <v>78</v>
      </c>
      <c r="N1823" t="s">
        <v>17</v>
      </c>
      <c r="O1823">
        <v>115</v>
      </c>
      <c r="P1823">
        <v>1.3</v>
      </c>
      <c r="Q1823">
        <v>0.5</v>
      </c>
    </row>
    <row r="1824" spans="2:17" x14ac:dyDescent="0.25">
      <c r="B1824" t="s">
        <v>78</v>
      </c>
      <c r="C1824" t="s">
        <v>3579</v>
      </c>
      <c r="D1824" t="s">
        <v>3598</v>
      </c>
      <c r="E1824" t="s">
        <v>3599</v>
      </c>
      <c r="F1824">
        <v>2</v>
      </c>
      <c r="G1824">
        <v>1.9</v>
      </c>
      <c r="H1824">
        <v>1.9</v>
      </c>
      <c r="I1824">
        <v>1.9</v>
      </c>
      <c r="J1824" s="1">
        <v>1.9</v>
      </c>
      <c r="K1824">
        <v>748886.9</v>
      </c>
      <c r="L1824">
        <v>394151</v>
      </c>
      <c r="M1824" t="s">
        <v>78</v>
      </c>
      <c r="N1824" t="s">
        <v>17</v>
      </c>
      <c r="O1824">
        <v>270</v>
      </c>
      <c r="P1824">
        <v>2.7</v>
      </c>
      <c r="Q1824">
        <v>1.05</v>
      </c>
    </row>
    <row r="1825" spans="2:17" x14ac:dyDescent="0.25">
      <c r="B1825" t="s">
        <v>78</v>
      </c>
      <c r="C1825" t="s">
        <v>3579</v>
      </c>
      <c r="D1825" t="s">
        <v>3600</v>
      </c>
      <c r="E1825" t="s">
        <v>3601</v>
      </c>
      <c r="F1825">
        <v>0.8</v>
      </c>
      <c r="G1825">
        <v>0.8</v>
      </c>
      <c r="H1825">
        <v>0.85</v>
      </c>
      <c r="I1825">
        <v>0.75</v>
      </c>
      <c r="J1825" s="1">
        <v>0.85</v>
      </c>
      <c r="K1825">
        <v>43572.55</v>
      </c>
      <c r="L1825">
        <v>55261</v>
      </c>
      <c r="M1825" t="s">
        <v>78</v>
      </c>
      <c r="N1825" t="s">
        <v>17</v>
      </c>
      <c r="O1825">
        <v>36</v>
      </c>
      <c r="P1825">
        <v>1.5</v>
      </c>
      <c r="Q1825">
        <v>0.45</v>
      </c>
    </row>
    <row r="1826" spans="2:17" x14ac:dyDescent="0.25">
      <c r="B1826" t="s">
        <v>78</v>
      </c>
      <c r="C1826" t="s">
        <v>3579</v>
      </c>
      <c r="D1826" t="s">
        <v>3602</v>
      </c>
      <c r="E1826" t="s">
        <v>3603</v>
      </c>
      <c r="F1826">
        <v>1</v>
      </c>
      <c r="G1826">
        <v>0.95</v>
      </c>
      <c r="H1826">
        <v>1</v>
      </c>
      <c r="I1826">
        <v>0.95</v>
      </c>
      <c r="J1826" s="1">
        <v>0.95</v>
      </c>
      <c r="K1826">
        <v>150165.70000000001</v>
      </c>
      <c r="L1826">
        <v>157355</v>
      </c>
      <c r="M1826" t="s">
        <v>78</v>
      </c>
      <c r="N1826" t="s">
        <v>17</v>
      </c>
      <c r="O1826">
        <v>107</v>
      </c>
      <c r="P1826">
        <v>1.6</v>
      </c>
      <c r="Q1826">
        <v>0.85</v>
      </c>
    </row>
    <row r="1827" spans="2:17" x14ac:dyDescent="0.25">
      <c r="B1827" t="s">
        <v>78</v>
      </c>
      <c r="C1827" t="s">
        <v>3579</v>
      </c>
      <c r="D1827" t="s">
        <v>3604</v>
      </c>
      <c r="E1827" t="s">
        <v>3605</v>
      </c>
      <c r="F1827">
        <v>2.85</v>
      </c>
      <c r="G1827">
        <v>2.95</v>
      </c>
      <c r="H1827">
        <v>2.95</v>
      </c>
      <c r="I1827">
        <v>2.75</v>
      </c>
      <c r="J1827" s="1">
        <v>2.8</v>
      </c>
      <c r="K1827">
        <v>29675.25</v>
      </c>
      <c r="L1827">
        <v>10420</v>
      </c>
      <c r="M1827" t="s">
        <v>78</v>
      </c>
      <c r="N1827" t="s">
        <v>17</v>
      </c>
      <c r="O1827">
        <v>22</v>
      </c>
      <c r="P1827">
        <v>3.75</v>
      </c>
      <c r="Q1827">
        <v>1.85</v>
      </c>
    </row>
    <row r="1828" spans="2:17" x14ac:dyDescent="0.25">
      <c r="B1828" t="s">
        <v>78</v>
      </c>
      <c r="C1828" t="s">
        <v>3579</v>
      </c>
      <c r="D1828" t="s">
        <v>3606</v>
      </c>
      <c r="E1828" t="s">
        <v>3607</v>
      </c>
      <c r="F1828">
        <v>3.4</v>
      </c>
      <c r="G1828">
        <v>3.55</v>
      </c>
      <c r="H1828">
        <v>3.55</v>
      </c>
      <c r="I1828">
        <v>3.3</v>
      </c>
      <c r="J1828" s="1">
        <v>3.55</v>
      </c>
      <c r="K1828">
        <v>277551.75</v>
      </c>
      <c r="L1828">
        <v>78921</v>
      </c>
      <c r="M1828" t="s">
        <v>78</v>
      </c>
      <c r="N1828" t="s">
        <v>17</v>
      </c>
      <c r="O1828">
        <v>108</v>
      </c>
      <c r="P1828">
        <v>4.5</v>
      </c>
      <c r="Q1828">
        <v>2.2999999999999998</v>
      </c>
    </row>
    <row r="1829" spans="2:17" x14ac:dyDescent="0.25">
      <c r="B1829" t="s">
        <v>78</v>
      </c>
      <c r="C1829" t="s">
        <v>3579</v>
      </c>
      <c r="D1829" t="s">
        <v>3608</v>
      </c>
      <c r="E1829" t="s">
        <v>3609</v>
      </c>
      <c r="F1829">
        <v>2.4500000000000002</v>
      </c>
      <c r="G1829">
        <v>2.5499999999999998</v>
      </c>
      <c r="H1829">
        <v>2.5499999999999998</v>
      </c>
      <c r="I1829">
        <v>2.35</v>
      </c>
      <c r="J1829" s="1">
        <v>2.5499999999999998</v>
      </c>
      <c r="K1829">
        <v>94708.9</v>
      </c>
      <c r="L1829">
        <v>38400</v>
      </c>
      <c r="M1829" t="s">
        <v>78</v>
      </c>
      <c r="N1829" t="s">
        <v>17</v>
      </c>
      <c r="O1829">
        <v>56</v>
      </c>
      <c r="P1829">
        <v>3.45</v>
      </c>
      <c r="Q1829">
        <v>0.95</v>
      </c>
    </row>
    <row r="1830" spans="2:17" x14ac:dyDescent="0.25">
      <c r="B1830" t="s">
        <v>78</v>
      </c>
      <c r="C1830" t="s">
        <v>3579</v>
      </c>
      <c r="D1830" t="s">
        <v>3610</v>
      </c>
      <c r="E1830" t="s">
        <v>3611</v>
      </c>
      <c r="F1830">
        <v>1.35</v>
      </c>
      <c r="G1830">
        <v>1.4</v>
      </c>
      <c r="H1830">
        <v>1.4</v>
      </c>
      <c r="I1830">
        <v>1.4</v>
      </c>
      <c r="J1830" s="1">
        <v>1.4</v>
      </c>
      <c r="K1830">
        <v>2541</v>
      </c>
      <c r="L1830">
        <v>1815</v>
      </c>
      <c r="M1830" t="s">
        <v>78</v>
      </c>
      <c r="N1830" t="s">
        <v>17</v>
      </c>
      <c r="O1830">
        <v>10</v>
      </c>
      <c r="P1830">
        <v>2</v>
      </c>
      <c r="Q1830">
        <v>0.8</v>
      </c>
    </row>
    <row r="1831" spans="2:17" x14ac:dyDescent="0.25">
      <c r="B1831" t="s">
        <v>78</v>
      </c>
      <c r="C1831" t="s">
        <v>3579</v>
      </c>
      <c r="D1831" t="s">
        <v>3612</v>
      </c>
      <c r="E1831" t="s">
        <v>3613</v>
      </c>
      <c r="F1831">
        <v>1.3</v>
      </c>
      <c r="G1831">
        <v>1.3</v>
      </c>
      <c r="H1831">
        <v>1.35</v>
      </c>
      <c r="I1831">
        <v>1.3</v>
      </c>
      <c r="J1831" s="1">
        <v>1.35</v>
      </c>
      <c r="K1831">
        <v>313534.75</v>
      </c>
      <c r="L1831">
        <v>238920</v>
      </c>
      <c r="M1831" t="s">
        <v>78</v>
      </c>
      <c r="N1831" t="s">
        <v>17</v>
      </c>
      <c r="O1831">
        <v>128</v>
      </c>
      <c r="P1831">
        <v>2.4</v>
      </c>
      <c r="Q1831">
        <v>0.55000000000000004</v>
      </c>
    </row>
    <row r="1832" spans="2:17" x14ac:dyDescent="0.25">
      <c r="B1832" t="s">
        <v>78</v>
      </c>
      <c r="C1832" t="s">
        <v>3579</v>
      </c>
      <c r="D1832" t="s">
        <v>3614</v>
      </c>
      <c r="E1832" t="s">
        <v>3615</v>
      </c>
      <c r="F1832">
        <v>2.4</v>
      </c>
      <c r="G1832">
        <v>2.5</v>
      </c>
      <c r="H1832">
        <v>2.5</v>
      </c>
      <c r="I1832">
        <v>2.5</v>
      </c>
      <c r="J1832" s="1">
        <v>2.5</v>
      </c>
      <c r="K1832">
        <v>1501155</v>
      </c>
      <c r="L1832">
        <v>600462</v>
      </c>
      <c r="M1832" t="s">
        <v>78</v>
      </c>
      <c r="N1832" t="s">
        <v>17</v>
      </c>
      <c r="O1832">
        <v>313</v>
      </c>
      <c r="P1832">
        <v>3.4</v>
      </c>
      <c r="Q1832">
        <v>1.75</v>
      </c>
    </row>
    <row r="1833" spans="2:17" x14ac:dyDescent="0.25">
      <c r="B1833" t="s">
        <v>78</v>
      </c>
      <c r="C1833" t="s">
        <v>3579</v>
      </c>
      <c r="D1833" t="s">
        <v>3616</v>
      </c>
      <c r="E1833" t="s">
        <v>3617</v>
      </c>
      <c r="F1833">
        <v>5.85</v>
      </c>
      <c r="G1833">
        <v>5.85</v>
      </c>
      <c r="H1833">
        <v>5.9</v>
      </c>
      <c r="I1833">
        <v>5.65</v>
      </c>
      <c r="J1833" s="1">
        <v>5.7</v>
      </c>
      <c r="K1833">
        <v>2481896.35</v>
      </c>
      <c r="L1833">
        <v>433548</v>
      </c>
      <c r="M1833" t="s">
        <v>78</v>
      </c>
      <c r="N1833" t="s">
        <v>17</v>
      </c>
      <c r="O1833">
        <v>745</v>
      </c>
      <c r="P1833">
        <v>8.6999999999999993</v>
      </c>
      <c r="Q1833">
        <v>2.6</v>
      </c>
    </row>
    <row r="1834" spans="2:17" x14ac:dyDescent="0.25">
      <c r="B1834" t="s">
        <v>78</v>
      </c>
      <c r="C1834" t="s">
        <v>3579</v>
      </c>
      <c r="D1834" t="s">
        <v>3618</v>
      </c>
      <c r="E1834" t="s">
        <v>3619</v>
      </c>
      <c r="F1834">
        <v>38.049999999999997</v>
      </c>
      <c r="G1834">
        <v>39.950000000000003</v>
      </c>
      <c r="H1834">
        <v>39.950000000000003</v>
      </c>
      <c r="I1834">
        <v>36.299999999999997</v>
      </c>
      <c r="J1834" s="1">
        <v>38.65</v>
      </c>
      <c r="K1834">
        <v>1109752.55</v>
      </c>
      <c r="L1834">
        <v>28860</v>
      </c>
      <c r="M1834" t="s">
        <v>78</v>
      </c>
      <c r="N1834" t="s">
        <v>17</v>
      </c>
      <c r="O1834">
        <v>200</v>
      </c>
      <c r="P1834">
        <v>39.950000000000003</v>
      </c>
      <c r="Q1834">
        <v>13.8</v>
      </c>
    </row>
    <row r="1835" spans="2:17" x14ac:dyDescent="0.25">
      <c r="B1835" t="s">
        <v>78</v>
      </c>
      <c r="C1835" t="s">
        <v>3579</v>
      </c>
      <c r="D1835" t="s">
        <v>3620</v>
      </c>
      <c r="E1835" t="s">
        <v>3621</v>
      </c>
      <c r="F1835">
        <v>6.15</v>
      </c>
      <c r="G1835">
        <v>6.45</v>
      </c>
      <c r="H1835">
        <v>6.45</v>
      </c>
      <c r="I1835">
        <v>6.1</v>
      </c>
      <c r="J1835" s="1">
        <v>6.45</v>
      </c>
      <c r="K1835">
        <v>1495300.45</v>
      </c>
      <c r="L1835">
        <v>232768</v>
      </c>
      <c r="M1835" t="s">
        <v>78</v>
      </c>
      <c r="N1835" t="s">
        <v>17</v>
      </c>
      <c r="O1835">
        <v>230</v>
      </c>
      <c r="P1835">
        <v>6.7</v>
      </c>
      <c r="Q1835">
        <v>2.85</v>
      </c>
    </row>
    <row r="1836" spans="2:17" x14ac:dyDescent="0.25">
      <c r="B1836" t="s">
        <v>78</v>
      </c>
      <c r="C1836" t="s">
        <v>3579</v>
      </c>
      <c r="D1836" t="s">
        <v>3622</v>
      </c>
      <c r="E1836" t="s">
        <v>3623</v>
      </c>
      <c r="F1836">
        <v>5.6</v>
      </c>
      <c r="G1836">
        <v>5.85</v>
      </c>
      <c r="H1836">
        <v>5.85</v>
      </c>
      <c r="I1836">
        <v>5.85</v>
      </c>
      <c r="J1836" s="1">
        <v>5.85</v>
      </c>
      <c r="K1836">
        <v>169024.05</v>
      </c>
      <c r="L1836">
        <v>28893</v>
      </c>
      <c r="M1836" t="s">
        <v>78</v>
      </c>
      <c r="N1836" t="s">
        <v>17</v>
      </c>
      <c r="O1836">
        <v>50</v>
      </c>
      <c r="P1836">
        <v>5.85</v>
      </c>
      <c r="Q1836">
        <v>0.95</v>
      </c>
    </row>
    <row r="1837" spans="2:17" x14ac:dyDescent="0.25">
      <c r="B1837" t="s">
        <v>78</v>
      </c>
      <c r="C1837" t="s">
        <v>3579</v>
      </c>
      <c r="D1837" t="s">
        <v>3624</v>
      </c>
      <c r="E1837" t="s">
        <v>3625</v>
      </c>
      <c r="F1837">
        <v>3</v>
      </c>
      <c r="G1837">
        <v>3.15</v>
      </c>
      <c r="H1837">
        <v>3.15</v>
      </c>
      <c r="I1837">
        <v>3</v>
      </c>
      <c r="J1837" s="1">
        <v>3.15</v>
      </c>
      <c r="K1837">
        <v>972856.5</v>
      </c>
      <c r="L1837">
        <v>313798</v>
      </c>
      <c r="M1837" t="s">
        <v>78</v>
      </c>
      <c r="N1837" t="s">
        <v>17</v>
      </c>
      <c r="O1837">
        <v>365</v>
      </c>
      <c r="P1837">
        <v>4.25</v>
      </c>
      <c r="Q1837">
        <v>1</v>
      </c>
    </row>
    <row r="1838" spans="2:17" x14ac:dyDescent="0.25">
      <c r="B1838" t="s">
        <v>78</v>
      </c>
      <c r="C1838" t="s">
        <v>3579</v>
      </c>
      <c r="D1838" t="s">
        <v>3626</v>
      </c>
      <c r="E1838" t="s">
        <v>3627</v>
      </c>
      <c r="F1838">
        <v>2.9</v>
      </c>
      <c r="G1838">
        <v>2.9</v>
      </c>
      <c r="H1838">
        <v>2.9</v>
      </c>
      <c r="I1838">
        <v>2.9</v>
      </c>
      <c r="J1838" s="1">
        <v>2.9</v>
      </c>
      <c r="K1838">
        <v>10002.1</v>
      </c>
      <c r="L1838">
        <v>3449</v>
      </c>
      <c r="M1838" t="s">
        <v>78</v>
      </c>
      <c r="N1838" t="s">
        <v>17</v>
      </c>
      <c r="O1838">
        <v>11</v>
      </c>
      <c r="P1838">
        <v>2.95</v>
      </c>
      <c r="Q1838">
        <v>1.35</v>
      </c>
    </row>
    <row r="1839" spans="2:17" x14ac:dyDescent="0.25">
      <c r="B1839" t="s">
        <v>78</v>
      </c>
      <c r="C1839" t="s">
        <v>3579</v>
      </c>
      <c r="D1839" t="s">
        <v>3628</v>
      </c>
      <c r="E1839" t="s">
        <v>3629</v>
      </c>
      <c r="F1839">
        <v>72.099999999999994</v>
      </c>
      <c r="G1839">
        <v>68.5</v>
      </c>
      <c r="H1839">
        <v>68.5</v>
      </c>
      <c r="I1839">
        <v>68.5</v>
      </c>
      <c r="J1839" s="1">
        <v>68.5</v>
      </c>
      <c r="K1839">
        <v>11747613</v>
      </c>
      <c r="L1839">
        <v>171498</v>
      </c>
      <c r="M1839" t="s">
        <v>78</v>
      </c>
      <c r="N1839" t="s">
        <v>17</v>
      </c>
      <c r="O1839">
        <v>2357</v>
      </c>
      <c r="P1839">
        <v>169.9</v>
      </c>
      <c r="Q1839">
        <v>23.65</v>
      </c>
    </row>
    <row r="1840" spans="2:17" x14ac:dyDescent="0.25">
      <c r="B1840" t="s">
        <v>78</v>
      </c>
      <c r="C1840" t="s">
        <v>3579</v>
      </c>
      <c r="D1840" t="s">
        <v>3630</v>
      </c>
      <c r="E1840" t="s">
        <v>3631</v>
      </c>
      <c r="F1840">
        <v>8.4</v>
      </c>
      <c r="G1840">
        <v>8.65</v>
      </c>
      <c r="H1840">
        <v>8.8000000000000007</v>
      </c>
      <c r="I1840">
        <v>8</v>
      </c>
      <c r="J1840" s="1">
        <v>8.8000000000000007</v>
      </c>
      <c r="K1840">
        <v>1297083.95</v>
      </c>
      <c r="L1840">
        <v>153724</v>
      </c>
      <c r="M1840" t="s">
        <v>78</v>
      </c>
      <c r="N1840" t="s">
        <v>17</v>
      </c>
      <c r="O1840">
        <v>204</v>
      </c>
      <c r="P1840">
        <v>10.85</v>
      </c>
      <c r="Q1840">
        <v>1.9</v>
      </c>
    </row>
    <row r="1841" spans="2:17" x14ac:dyDescent="0.25">
      <c r="B1841" t="s">
        <v>78</v>
      </c>
      <c r="C1841" t="s">
        <v>3579</v>
      </c>
      <c r="D1841" t="s">
        <v>3632</v>
      </c>
      <c r="E1841" t="s">
        <v>3633</v>
      </c>
      <c r="F1841">
        <v>5.2</v>
      </c>
      <c r="G1841">
        <v>4.95</v>
      </c>
      <c r="H1841">
        <v>5</v>
      </c>
      <c r="I1841">
        <v>4.95</v>
      </c>
      <c r="J1841" s="1">
        <v>4.95</v>
      </c>
      <c r="K1841">
        <v>58697.15</v>
      </c>
      <c r="L1841">
        <v>11857</v>
      </c>
      <c r="M1841" t="s">
        <v>78</v>
      </c>
      <c r="N1841" t="s">
        <v>17</v>
      </c>
      <c r="O1841">
        <v>32</v>
      </c>
      <c r="P1841">
        <v>7.55</v>
      </c>
      <c r="Q1841">
        <v>2.4</v>
      </c>
    </row>
    <row r="1842" spans="2:17" x14ac:dyDescent="0.25">
      <c r="B1842" t="s">
        <v>78</v>
      </c>
      <c r="C1842" t="s">
        <v>3579</v>
      </c>
      <c r="D1842" t="s">
        <v>3634</v>
      </c>
      <c r="E1842" t="s">
        <v>3635</v>
      </c>
      <c r="F1842">
        <v>3.55</v>
      </c>
      <c r="G1842">
        <v>3.55</v>
      </c>
      <c r="H1842">
        <v>3.55</v>
      </c>
      <c r="I1842">
        <v>3.4</v>
      </c>
      <c r="J1842" s="1">
        <v>3.45</v>
      </c>
      <c r="K1842">
        <v>20268</v>
      </c>
      <c r="L1842">
        <v>5870</v>
      </c>
      <c r="M1842" t="s">
        <v>78</v>
      </c>
      <c r="N1842" t="s">
        <v>17</v>
      </c>
      <c r="O1842">
        <v>22</v>
      </c>
      <c r="P1842">
        <v>3.65</v>
      </c>
      <c r="Q1842">
        <v>1.65</v>
      </c>
    </row>
    <row r="1843" spans="2:17" x14ac:dyDescent="0.25">
      <c r="B1843" t="s">
        <v>78</v>
      </c>
      <c r="C1843" t="s">
        <v>3579</v>
      </c>
      <c r="D1843" t="s">
        <v>3636</v>
      </c>
      <c r="E1843" t="s">
        <v>3637</v>
      </c>
      <c r="F1843">
        <v>7.45</v>
      </c>
      <c r="G1843">
        <v>7.6</v>
      </c>
      <c r="H1843">
        <v>7.8</v>
      </c>
      <c r="I1843">
        <v>7.3</v>
      </c>
      <c r="J1843" s="1">
        <v>7.8</v>
      </c>
      <c r="K1843">
        <v>190531.75</v>
      </c>
      <c r="L1843">
        <v>24714</v>
      </c>
      <c r="M1843" t="s">
        <v>78</v>
      </c>
      <c r="N1843" t="s">
        <v>17</v>
      </c>
      <c r="O1843">
        <v>133</v>
      </c>
      <c r="P1843">
        <v>8.65</v>
      </c>
      <c r="Q1843">
        <v>4.75</v>
      </c>
    </row>
    <row r="1844" spans="2:17" x14ac:dyDescent="0.25">
      <c r="B1844" t="s">
        <v>78</v>
      </c>
      <c r="C1844" t="s">
        <v>3579</v>
      </c>
      <c r="D1844" t="s">
        <v>3638</v>
      </c>
      <c r="E1844" t="s">
        <v>3639</v>
      </c>
      <c r="F1844">
        <v>1.95</v>
      </c>
      <c r="G1844">
        <v>2</v>
      </c>
      <c r="H1844">
        <v>2</v>
      </c>
      <c r="I1844">
        <v>2</v>
      </c>
      <c r="J1844" s="1">
        <v>2</v>
      </c>
      <c r="K1844">
        <v>148418</v>
      </c>
      <c r="L1844">
        <v>74209</v>
      </c>
      <c r="M1844" t="s">
        <v>78</v>
      </c>
      <c r="N1844" t="s">
        <v>17</v>
      </c>
      <c r="O1844">
        <v>25</v>
      </c>
      <c r="P1844">
        <v>2</v>
      </c>
      <c r="Q1844">
        <v>0.3</v>
      </c>
    </row>
    <row r="1845" spans="2:17" x14ac:dyDescent="0.25">
      <c r="B1845" t="s">
        <v>78</v>
      </c>
      <c r="C1845" t="s">
        <v>3579</v>
      </c>
      <c r="D1845" t="s">
        <v>3640</v>
      </c>
      <c r="E1845" t="s">
        <v>3641</v>
      </c>
      <c r="F1845">
        <v>1.9</v>
      </c>
      <c r="G1845">
        <v>1.85</v>
      </c>
      <c r="H1845">
        <v>1.95</v>
      </c>
      <c r="I1845">
        <v>1.85</v>
      </c>
      <c r="J1845" s="1">
        <v>1.95</v>
      </c>
      <c r="K1845">
        <v>263094.65000000002</v>
      </c>
      <c r="L1845">
        <v>139689</v>
      </c>
      <c r="M1845" t="s">
        <v>78</v>
      </c>
      <c r="N1845" t="s">
        <v>17</v>
      </c>
      <c r="O1845">
        <v>128</v>
      </c>
      <c r="P1845">
        <v>3.75</v>
      </c>
      <c r="Q1845">
        <v>1.85</v>
      </c>
    </row>
    <row r="1846" spans="2:17" x14ac:dyDescent="0.25">
      <c r="B1846" t="s">
        <v>78</v>
      </c>
      <c r="C1846" t="s">
        <v>3579</v>
      </c>
      <c r="D1846" t="s">
        <v>3642</v>
      </c>
      <c r="E1846" t="s">
        <v>3643</v>
      </c>
      <c r="F1846">
        <v>0.95</v>
      </c>
      <c r="G1846">
        <v>0.95</v>
      </c>
      <c r="H1846">
        <v>0.95</v>
      </c>
      <c r="I1846">
        <v>0.9</v>
      </c>
      <c r="J1846" s="1">
        <v>0.95</v>
      </c>
      <c r="K1846">
        <v>7125.4</v>
      </c>
      <c r="L1846">
        <v>7556</v>
      </c>
      <c r="M1846" t="s">
        <v>78</v>
      </c>
      <c r="N1846" t="s">
        <v>17</v>
      </c>
      <c r="O1846">
        <v>10</v>
      </c>
      <c r="P1846">
        <v>1.65</v>
      </c>
      <c r="Q1846">
        <v>0.7</v>
      </c>
    </row>
    <row r="1847" spans="2:17" x14ac:dyDescent="0.25">
      <c r="B1847" t="s">
        <v>78</v>
      </c>
      <c r="C1847" t="s">
        <v>3579</v>
      </c>
      <c r="D1847" t="s">
        <v>3644</v>
      </c>
      <c r="E1847" t="s">
        <v>3645</v>
      </c>
      <c r="F1847">
        <v>7.2</v>
      </c>
      <c r="G1847">
        <v>7.5</v>
      </c>
      <c r="H1847">
        <v>7.55</v>
      </c>
      <c r="I1847">
        <v>7.5</v>
      </c>
      <c r="J1847" s="1">
        <v>7.55</v>
      </c>
      <c r="K1847">
        <v>12389.5</v>
      </c>
      <c r="L1847">
        <v>1641</v>
      </c>
      <c r="M1847" t="s">
        <v>78</v>
      </c>
      <c r="N1847" t="s">
        <v>17</v>
      </c>
      <c r="O1847">
        <v>7</v>
      </c>
      <c r="P1847">
        <v>12.7</v>
      </c>
      <c r="Q1847">
        <v>1.85</v>
      </c>
    </row>
    <row r="1848" spans="2:17" x14ac:dyDescent="0.25">
      <c r="B1848" t="s">
        <v>78</v>
      </c>
      <c r="C1848" t="s">
        <v>3579</v>
      </c>
      <c r="D1848" t="s">
        <v>3646</v>
      </c>
      <c r="E1848" t="s">
        <v>3647</v>
      </c>
      <c r="F1848">
        <v>2.35</v>
      </c>
      <c r="G1848">
        <v>2.35</v>
      </c>
      <c r="H1848">
        <v>2.4500000000000002</v>
      </c>
      <c r="I1848">
        <v>2.25</v>
      </c>
      <c r="J1848" s="1">
        <v>2.4500000000000002</v>
      </c>
      <c r="K1848">
        <v>1036664.3</v>
      </c>
      <c r="L1848">
        <v>446972</v>
      </c>
      <c r="M1848" t="s">
        <v>78</v>
      </c>
      <c r="N1848" t="s">
        <v>17</v>
      </c>
      <c r="O1848">
        <v>326</v>
      </c>
      <c r="P1848">
        <v>2.8</v>
      </c>
      <c r="Q1848">
        <v>1.2</v>
      </c>
    </row>
    <row r="1849" spans="2:17" x14ac:dyDescent="0.25">
      <c r="B1849" t="s">
        <v>78</v>
      </c>
      <c r="C1849" t="s">
        <v>3579</v>
      </c>
      <c r="D1849" t="s">
        <v>3648</v>
      </c>
      <c r="E1849" t="s">
        <v>3649</v>
      </c>
      <c r="F1849">
        <v>0.3</v>
      </c>
      <c r="G1849">
        <v>0.3</v>
      </c>
      <c r="H1849">
        <v>0.35</v>
      </c>
      <c r="I1849">
        <v>0.25</v>
      </c>
      <c r="J1849" s="1">
        <v>0.3</v>
      </c>
      <c r="K1849">
        <v>103872.05</v>
      </c>
      <c r="L1849">
        <v>347328</v>
      </c>
      <c r="M1849" t="s">
        <v>78</v>
      </c>
      <c r="N1849" t="s">
        <v>17</v>
      </c>
      <c r="O1849">
        <v>80</v>
      </c>
      <c r="P1849">
        <v>0.6</v>
      </c>
      <c r="Q1849">
        <v>0.05</v>
      </c>
    </row>
    <row r="1850" spans="2:17" x14ac:dyDescent="0.25">
      <c r="B1850" t="s">
        <v>78</v>
      </c>
      <c r="C1850" t="s">
        <v>3579</v>
      </c>
      <c r="D1850" t="s">
        <v>3650</v>
      </c>
      <c r="E1850" t="s">
        <v>3651</v>
      </c>
      <c r="F1850">
        <v>1.35</v>
      </c>
      <c r="G1850">
        <v>1.3</v>
      </c>
      <c r="H1850">
        <v>1.3</v>
      </c>
      <c r="I1850">
        <v>1.3</v>
      </c>
      <c r="J1850" s="1">
        <v>1.3</v>
      </c>
      <c r="K1850">
        <v>1332.5</v>
      </c>
      <c r="L1850">
        <v>1025</v>
      </c>
      <c r="M1850" t="s">
        <v>78</v>
      </c>
      <c r="N1850" t="s">
        <v>17</v>
      </c>
      <c r="O1850">
        <v>2</v>
      </c>
      <c r="P1850">
        <v>1.35</v>
      </c>
      <c r="Q1850">
        <v>0.1</v>
      </c>
    </row>
    <row r="1851" spans="2:17" x14ac:dyDescent="0.25">
      <c r="B1851" t="s">
        <v>78</v>
      </c>
      <c r="C1851" t="s">
        <v>3579</v>
      </c>
      <c r="D1851" t="s">
        <v>3652</v>
      </c>
      <c r="E1851" t="s">
        <v>3653</v>
      </c>
      <c r="F1851">
        <v>2.5</v>
      </c>
      <c r="G1851">
        <v>2.5499999999999998</v>
      </c>
      <c r="H1851">
        <v>2.5499999999999998</v>
      </c>
      <c r="I1851">
        <v>2.4</v>
      </c>
      <c r="J1851" s="1">
        <v>2.5</v>
      </c>
      <c r="K1851">
        <v>109074.2</v>
      </c>
      <c r="L1851">
        <v>43922</v>
      </c>
      <c r="M1851" t="s">
        <v>78</v>
      </c>
      <c r="N1851" t="s">
        <v>17</v>
      </c>
      <c r="O1851">
        <v>51</v>
      </c>
      <c r="P1851">
        <v>3.2</v>
      </c>
      <c r="Q1851">
        <v>2.15</v>
      </c>
    </row>
    <row r="1852" spans="2:17" x14ac:dyDescent="0.25">
      <c r="B1852" t="s">
        <v>78</v>
      </c>
      <c r="C1852" t="s">
        <v>3579</v>
      </c>
      <c r="D1852" t="s">
        <v>3654</v>
      </c>
      <c r="E1852" t="s">
        <v>3655</v>
      </c>
      <c r="F1852">
        <v>3.3</v>
      </c>
      <c r="G1852">
        <v>3.15</v>
      </c>
      <c r="H1852">
        <v>3.15</v>
      </c>
      <c r="I1852">
        <v>3.15</v>
      </c>
      <c r="J1852" s="1">
        <v>3.15</v>
      </c>
      <c r="K1852">
        <v>2347871.4</v>
      </c>
      <c r="L1852">
        <v>745356</v>
      </c>
      <c r="M1852" t="s">
        <v>78</v>
      </c>
      <c r="N1852" t="s">
        <v>17</v>
      </c>
      <c r="O1852">
        <v>959</v>
      </c>
      <c r="P1852">
        <v>6.95</v>
      </c>
      <c r="Q1852">
        <v>2.5</v>
      </c>
    </row>
    <row r="1853" spans="2:17" x14ac:dyDescent="0.25">
      <c r="B1853" t="s">
        <v>78</v>
      </c>
      <c r="C1853" t="s">
        <v>3579</v>
      </c>
      <c r="D1853" t="s">
        <v>3656</v>
      </c>
      <c r="E1853" t="s">
        <v>3657</v>
      </c>
      <c r="F1853">
        <v>0.8</v>
      </c>
      <c r="G1853">
        <v>0.8</v>
      </c>
      <c r="H1853">
        <v>0.8</v>
      </c>
      <c r="I1853">
        <v>0.75</v>
      </c>
      <c r="J1853" s="1">
        <v>0.8</v>
      </c>
      <c r="K1853">
        <v>1595649.25</v>
      </c>
      <c r="L1853">
        <v>2079891</v>
      </c>
      <c r="M1853" t="s">
        <v>78</v>
      </c>
      <c r="N1853" t="s">
        <v>17</v>
      </c>
      <c r="O1853">
        <v>601</v>
      </c>
      <c r="P1853">
        <v>1.95</v>
      </c>
      <c r="Q1853">
        <v>0.55000000000000004</v>
      </c>
    </row>
    <row r="1854" spans="2:17" x14ac:dyDescent="0.25">
      <c r="B1854" t="s">
        <v>78</v>
      </c>
      <c r="C1854" t="s">
        <v>3579</v>
      </c>
      <c r="D1854" t="s">
        <v>3658</v>
      </c>
      <c r="E1854" t="s">
        <v>3659</v>
      </c>
      <c r="F1854">
        <v>6.2</v>
      </c>
      <c r="G1854">
        <v>6.5</v>
      </c>
      <c r="H1854">
        <v>6.5</v>
      </c>
      <c r="I1854">
        <v>6.2</v>
      </c>
      <c r="J1854" s="1">
        <v>6.3</v>
      </c>
      <c r="K1854">
        <v>60752</v>
      </c>
      <c r="L1854">
        <v>9491</v>
      </c>
      <c r="M1854" t="s">
        <v>78</v>
      </c>
      <c r="N1854" t="s">
        <v>17</v>
      </c>
      <c r="O1854">
        <v>52</v>
      </c>
      <c r="P1854">
        <v>9.4</v>
      </c>
      <c r="Q1854">
        <v>4.95</v>
      </c>
    </row>
    <row r="1855" spans="2:17" x14ac:dyDescent="0.25">
      <c r="B1855" t="s">
        <v>78</v>
      </c>
      <c r="C1855" t="s">
        <v>3579</v>
      </c>
      <c r="D1855" t="s">
        <v>3660</v>
      </c>
      <c r="E1855" t="s">
        <v>3661</v>
      </c>
      <c r="F1855">
        <v>1.2</v>
      </c>
      <c r="G1855">
        <v>1.25</v>
      </c>
      <c r="H1855">
        <v>1.25</v>
      </c>
      <c r="I1855">
        <v>1.25</v>
      </c>
      <c r="J1855" s="1">
        <v>1.25</v>
      </c>
      <c r="K1855">
        <v>35813.75</v>
      </c>
      <c r="L1855">
        <v>28651</v>
      </c>
      <c r="M1855" t="s">
        <v>78</v>
      </c>
      <c r="N1855" t="s">
        <v>17</v>
      </c>
      <c r="O1855">
        <v>7</v>
      </c>
      <c r="P1855">
        <v>1.35</v>
      </c>
      <c r="Q1855">
        <v>0.5</v>
      </c>
    </row>
    <row r="1856" spans="2:17" x14ac:dyDescent="0.25">
      <c r="B1856" t="s">
        <v>78</v>
      </c>
      <c r="C1856" t="s">
        <v>3579</v>
      </c>
      <c r="D1856" t="s">
        <v>3662</v>
      </c>
      <c r="E1856" t="s">
        <v>3663</v>
      </c>
      <c r="F1856">
        <v>19.45</v>
      </c>
      <c r="G1856">
        <v>20.399999999999999</v>
      </c>
      <c r="H1856">
        <v>20.399999999999999</v>
      </c>
      <c r="I1856">
        <v>20.399999999999999</v>
      </c>
      <c r="J1856" s="1">
        <v>20.399999999999999</v>
      </c>
      <c r="K1856">
        <v>224094</v>
      </c>
      <c r="L1856">
        <v>10985</v>
      </c>
      <c r="M1856" t="s">
        <v>78</v>
      </c>
      <c r="N1856" t="s">
        <v>17</v>
      </c>
      <c r="O1856">
        <v>20</v>
      </c>
      <c r="P1856">
        <v>20.399999999999999</v>
      </c>
      <c r="Q1856">
        <v>7.25</v>
      </c>
    </row>
    <row r="1857" spans="2:17" x14ac:dyDescent="0.25">
      <c r="B1857" t="s">
        <v>78</v>
      </c>
      <c r="C1857" t="s">
        <v>3579</v>
      </c>
      <c r="D1857" t="s">
        <v>3664</v>
      </c>
      <c r="E1857" t="s">
        <v>3665</v>
      </c>
      <c r="F1857">
        <v>9.6999999999999993</v>
      </c>
      <c r="G1857">
        <v>9.9</v>
      </c>
      <c r="H1857">
        <v>10.15</v>
      </c>
      <c r="I1857">
        <v>9.3000000000000007</v>
      </c>
      <c r="J1857" s="1">
        <v>9.5500000000000007</v>
      </c>
      <c r="K1857">
        <v>275453.09999999998</v>
      </c>
      <c r="L1857">
        <v>28414</v>
      </c>
      <c r="M1857" t="s">
        <v>78</v>
      </c>
      <c r="N1857" t="s">
        <v>17</v>
      </c>
      <c r="O1857">
        <v>139</v>
      </c>
      <c r="P1857">
        <v>10.5</v>
      </c>
      <c r="Q1857">
        <v>1.3</v>
      </c>
    </row>
    <row r="1858" spans="2:17" x14ac:dyDescent="0.25">
      <c r="B1858" t="s">
        <v>78</v>
      </c>
      <c r="C1858" t="s">
        <v>3579</v>
      </c>
      <c r="D1858" t="s">
        <v>3666</v>
      </c>
      <c r="E1858" t="s">
        <v>3667</v>
      </c>
      <c r="F1858">
        <v>6.25</v>
      </c>
      <c r="G1858">
        <v>6.25</v>
      </c>
      <c r="H1858">
        <v>6.25</v>
      </c>
      <c r="I1858">
        <v>5.95</v>
      </c>
      <c r="J1858" s="1">
        <v>6.2</v>
      </c>
      <c r="K1858">
        <v>76532.399999999994</v>
      </c>
      <c r="L1858">
        <v>12803</v>
      </c>
      <c r="M1858" t="s">
        <v>78</v>
      </c>
      <c r="N1858" t="s">
        <v>17</v>
      </c>
      <c r="O1858">
        <v>42</v>
      </c>
      <c r="P1858">
        <v>11.85</v>
      </c>
      <c r="Q1858">
        <v>4.8499999999999996</v>
      </c>
    </row>
    <row r="1859" spans="2:17" x14ac:dyDescent="0.25">
      <c r="B1859" t="s">
        <v>78</v>
      </c>
      <c r="C1859" t="s">
        <v>3579</v>
      </c>
      <c r="D1859" t="s">
        <v>3668</v>
      </c>
      <c r="E1859" t="s">
        <v>3669</v>
      </c>
      <c r="F1859">
        <v>2</v>
      </c>
      <c r="G1859">
        <v>1.9</v>
      </c>
      <c r="H1859">
        <v>2.1</v>
      </c>
      <c r="I1859">
        <v>1.9</v>
      </c>
      <c r="J1859" s="1">
        <v>2.1</v>
      </c>
      <c r="K1859">
        <v>36635275.149999999</v>
      </c>
      <c r="L1859">
        <v>17651798</v>
      </c>
      <c r="M1859" t="s">
        <v>78</v>
      </c>
      <c r="N1859" t="s">
        <v>17</v>
      </c>
      <c r="O1859">
        <v>3109</v>
      </c>
      <c r="P1859">
        <v>3.65</v>
      </c>
      <c r="Q1859">
        <v>1.3</v>
      </c>
    </row>
    <row r="1860" spans="2:17" x14ac:dyDescent="0.25">
      <c r="B1860" t="s">
        <v>78</v>
      </c>
      <c r="C1860" t="s">
        <v>3579</v>
      </c>
      <c r="D1860" t="s">
        <v>3670</v>
      </c>
      <c r="E1860" t="s">
        <v>3671</v>
      </c>
      <c r="F1860">
        <v>3.95</v>
      </c>
      <c r="G1860">
        <v>4</v>
      </c>
      <c r="H1860">
        <v>4</v>
      </c>
      <c r="I1860">
        <v>3.8</v>
      </c>
      <c r="J1860" s="1">
        <v>3.95</v>
      </c>
      <c r="K1860">
        <v>96740.45</v>
      </c>
      <c r="L1860">
        <v>24514</v>
      </c>
      <c r="M1860" t="s">
        <v>78</v>
      </c>
      <c r="N1860" t="s">
        <v>17</v>
      </c>
      <c r="O1860">
        <v>48</v>
      </c>
      <c r="P1860">
        <v>4.3499999999999996</v>
      </c>
      <c r="Q1860">
        <v>3.55</v>
      </c>
    </row>
    <row r="1861" spans="2:17" x14ac:dyDescent="0.25">
      <c r="B1861" t="s">
        <v>78</v>
      </c>
      <c r="C1861" t="s">
        <v>3579</v>
      </c>
      <c r="D1861" t="s">
        <v>3672</v>
      </c>
      <c r="E1861" t="s">
        <v>3673</v>
      </c>
      <c r="F1861">
        <v>1.45</v>
      </c>
      <c r="G1861">
        <v>1.5</v>
      </c>
      <c r="H1861">
        <v>1.5</v>
      </c>
      <c r="I1861">
        <v>1.5</v>
      </c>
      <c r="J1861" s="1">
        <v>1.5</v>
      </c>
      <c r="K1861">
        <v>835941</v>
      </c>
      <c r="L1861">
        <v>557294</v>
      </c>
      <c r="M1861" t="s">
        <v>78</v>
      </c>
      <c r="N1861" t="s">
        <v>17</v>
      </c>
      <c r="O1861">
        <v>23</v>
      </c>
      <c r="P1861">
        <v>2.8</v>
      </c>
      <c r="Q1861">
        <v>1.1499999999999999</v>
      </c>
    </row>
    <row r="1862" spans="2:17" x14ac:dyDescent="0.25">
      <c r="B1862" t="s">
        <v>78</v>
      </c>
      <c r="C1862" t="s">
        <v>3674</v>
      </c>
      <c r="D1862" t="s">
        <v>3675</v>
      </c>
      <c r="E1862" t="s">
        <v>3676</v>
      </c>
      <c r="F1862">
        <v>48.9</v>
      </c>
      <c r="G1862">
        <v>46.5</v>
      </c>
      <c r="H1862">
        <v>46.5</v>
      </c>
      <c r="I1862">
        <v>46.5</v>
      </c>
      <c r="J1862" s="1">
        <v>46.5</v>
      </c>
      <c r="K1862">
        <v>558000</v>
      </c>
      <c r="L1862">
        <v>12000</v>
      </c>
      <c r="M1862" t="s">
        <v>78</v>
      </c>
      <c r="N1862" t="s">
        <v>17</v>
      </c>
      <c r="O1862">
        <v>6</v>
      </c>
      <c r="P1862">
        <v>62.85</v>
      </c>
      <c r="Q1862">
        <v>46.5</v>
      </c>
    </row>
    <row r="1863" spans="2:17" x14ac:dyDescent="0.25">
      <c r="B1863" t="s">
        <v>78</v>
      </c>
      <c r="C1863" t="s">
        <v>3677</v>
      </c>
      <c r="D1863" t="s">
        <v>3678</v>
      </c>
      <c r="E1863" t="s">
        <v>3679</v>
      </c>
      <c r="F1863">
        <v>2.7</v>
      </c>
      <c r="G1863">
        <v>2.6</v>
      </c>
      <c r="H1863">
        <v>2.6</v>
      </c>
      <c r="I1863">
        <v>2.6</v>
      </c>
      <c r="J1863" s="1">
        <v>2.6</v>
      </c>
      <c r="K1863">
        <v>52000</v>
      </c>
      <c r="L1863">
        <v>20000</v>
      </c>
      <c r="M1863" t="s">
        <v>78</v>
      </c>
      <c r="N1863" t="s">
        <v>17</v>
      </c>
      <c r="O1863">
        <v>10</v>
      </c>
      <c r="P1863">
        <v>7.55</v>
      </c>
      <c r="Q1863">
        <v>1.9</v>
      </c>
    </row>
    <row r="1864" spans="2:17" x14ac:dyDescent="0.25">
      <c r="B1864" t="s">
        <v>17</v>
      </c>
      <c r="C1864" t="s">
        <v>3680</v>
      </c>
      <c r="D1864" t="s">
        <v>17</v>
      </c>
      <c r="E1864" t="s">
        <v>17</v>
      </c>
      <c r="F1864" t="s">
        <v>17</v>
      </c>
      <c r="G1864" t="s">
        <v>17</v>
      </c>
      <c r="H1864" t="s">
        <v>17</v>
      </c>
      <c r="I1864" t="s">
        <v>17</v>
      </c>
      <c r="J1864" s="1" t="s">
        <v>17</v>
      </c>
      <c r="K1864" t="s">
        <v>17</v>
      </c>
      <c r="L1864" t="s">
        <v>17</v>
      </c>
      <c r="M1864" t="s">
        <v>78</v>
      </c>
      <c r="N1864" t="s">
        <v>17</v>
      </c>
      <c r="O1864" t="s">
        <v>17</v>
      </c>
      <c r="P1864" t="s">
        <v>17</v>
      </c>
      <c r="Q1864" t="s">
        <v>17</v>
      </c>
    </row>
    <row r="1865" spans="2:17" x14ac:dyDescent="0.25">
      <c r="B1865" t="s">
        <v>17</v>
      </c>
      <c r="C1865" t="s">
        <v>3680</v>
      </c>
      <c r="D1865" t="s">
        <v>17</v>
      </c>
      <c r="E1865" t="s">
        <v>3681</v>
      </c>
      <c r="F1865" t="s">
        <v>17</v>
      </c>
      <c r="G1865" t="s">
        <v>17</v>
      </c>
      <c r="H1865" t="s">
        <v>17</v>
      </c>
      <c r="I1865" t="s">
        <v>17</v>
      </c>
      <c r="J1865" s="1" t="s">
        <v>17</v>
      </c>
      <c r="K1865" t="s">
        <v>17</v>
      </c>
      <c r="L1865" t="s">
        <v>17</v>
      </c>
      <c r="M1865" t="s">
        <v>78</v>
      </c>
      <c r="N1865" t="s">
        <v>17</v>
      </c>
      <c r="O1865" t="s">
        <v>17</v>
      </c>
      <c r="P1865" t="s">
        <v>17</v>
      </c>
      <c r="Q1865" t="s">
        <v>17</v>
      </c>
    </row>
    <row r="1866" spans="2:17" x14ac:dyDescent="0.25">
      <c r="B1866" t="s">
        <v>78</v>
      </c>
      <c r="C1866" t="s">
        <v>3682</v>
      </c>
      <c r="D1866" t="s">
        <v>3683</v>
      </c>
      <c r="E1866" t="s">
        <v>3684</v>
      </c>
      <c r="F1866">
        <v>4757.1899999999996</v>
      </c>
      <c r="G1866">
        <v>4757</v>
      </c>
      <c r="H1866">
        <v>4788</v>
      </c>
      <c r="I1866">
        <v>4700</v>
      </c>
      <c r="J1866" s="1">
        <v>4705.1099999999997</v>
      </c>
      <c r="K1866">
        <v>2857859.94</v>
      </c>
      <c r="L1866">
        <v>607</v>
      </c>
      <c r="M1866" t="s">
        <v>78</v>
      </c>
      <c r="N1866" t="s">
        <v>17</v>
      </c>
      <c r="O1866">
        <v>80</v>
      </c>
      <c r="P1866">
        <v>5390</v>
      </c>
      <c r="Q1866">
        <v>4515</v>
      </c>
    </row>
    <row r="1867" spans="2:17" x14ac:dyDescent="0.25">
      <c r="B1867" t="s">
        <v>78</v>
      </c>
      <c r="C1867" t="s">
        <v>3682</v>
      </c>
      <c r="D1867" t="s">
        <v>3685</v>
      </c>
      <c r="E1867" t="s">
        <v>3686</v>
      </c>
      <c r="F1867">
        <v>4795.8999999999996</v>
      </c>
      <c r="G1867">
        <v>4750</v>
      </c>
      <c r="H1867">
        <v>4845</v>
      </c>
      <c r="I1867">
        <v>4731</v>
      </c>
      <c r="J1867" s="1">
        <v>4829.1499999999996</v>
      </c>
      <c r="K1867">
        <v>1802473.6</v>
      </c>
      <c r="L1867">
        <v>376</v>
      </c>
      <c r="M1867" t="s">
        <v>78</v>
      </c>
      <c r="N1867" t="s">
        <v>17</v>
      </c>
      <c r="O1867">
        <v>87</v>
      </c>
      <c r="P1867">
        <v>5474</v>
      </c>
      <c r="Q1867">
        <v>4591</v>
      </c>
    </row>
    <row r="1868" spans="2:17" x14ac:dyDescent="0.25">
      <c r="B1868" t="s">
        <v>78</v>
      </c>
      <c r="C1868" t="s">
        <v>3682</v>
      </c>
      <c r="D1868" t="s">
        <v>3687</v>
      </c>
      <c r="E1868" t="s">
        <v>3688</v>
      </c>
      <c r="F1868">
        <v>4760</v>
      </c>
      <c r="G1868">
        <v>4702</v>
      </c>
      <c r="H1868">
        <v>5190</v>
      </c>
      <c r="I1868">
        <v>4702</v>
      </c>
      <c r="J1868" s="1">
        <v>4771</v>
      </c>
      <c r="K1868">
        <v>457810</v>
      </c>
      <c r="L1868">
        <v>93</v>
      </c>
      <c r="M1868" t="s">
        <v>78</v>
      </c>
      <c r="N1868" t="s">
        <v>17</v>
      </c>
      <c r="O1868">
        <v>27</v>
      </c>
      <c r="P1868">
        <v>5463</v>
      </c>
      <c r="Q1868">
        <v>4450</v>
      </c>
    </row>
    <row r="1869" spans="2:17" x14ac:dyDescent="0.25">
      <c r="B1869" t="s">
        <v>78</v>
      </c>
      <c r="C1869" t="s">
        <v>3682</v>
      </c>
      <c r="D1869" t="s">
        <v>3689</v>
      </c>
      <c r="E1869" t="s">
        <v>3690</v>
      </c>
      <c r="F1869">
        <v>4803.0600000000004</v>
      </c>
      <c r="G1869">
        <v>4800</v>
      </c>
      <c r="H1869">
        <v>4812</v>
      </c>
      <c r="I1869">
        <v>4794.5</v>
      </c>
      <c r="J1869" s="1">
        <v>4797.22</v>
      </c>
      <c r="K1869">
        <v>3986945.97</v>
      </c>
      <c r="L1869">
        <v>831</v>
      </c>
      <c r="M1869" t="s">
        <v>78</v>
      </c>
      <c r="N1869" t="s">
        <v>17</v>
      </c>
      <c r="O1869">
        <v>144</v>
      </c>
      <c r="P1869">
        <v>5190</v>
      </c>
      <c r="Q1869">
        <v>4281.1099999999997</v>
      </c>
    </row>
    <row r="1870" spans="2:17" x14ac:dyDescent="0.25">
      <c r="B1870" t="s">
        <v>78</v>
      </c>
      <c r="C1870" t="s">
        <v>3682</v>
      </c>
      <c r="D1870" t="s">
        <v>3691</v>
      </c>
      <c r="E1870" t="s">
        <v>3692</v>
      </c>
      <c r="F1870">
        <v>4800</v>
      </c>
      <c r="G1870">
        <v>4799</v>
      </c>
      <c r="H1870">
        <v>4799</v>
      </c>
      <c r="I1870">
        <v>4675.01</v>
      </c>
      <c r="J1870" s="1">
        <v>4799</v>
      </c>
      <c r="K1870">
        <v>99539.1</v>
      </c>
      <c r="L1870">
        <v>21</v>
      </c>
      <c r="M1870" t="s">
        <v>78</v>
      </c>
      <c r="N1870" t="s">
        <v>17</v>
      </c>
      <c r="O1870">
        <v>3</v>
      </c>
      <c r="P1870">
        <v>5819</v>
      </c>
      <c r="Q1870">
        <v>4513</v>
      </c>
    </row>
    <row r="1871" spans="2:17" x14ac:dyDescent="0.25">
      <c r="B1871" t="s">
        <v>78</v>
      </c>
      <c r="C1871" t="s">
        <v>3682</v>
      </c>
      <c r="D1871" t="s">
        <v>3693</v>
      </c>
      <c r="E1871" t="s">
        <v>3694</v>
      </c>
      <c r="F1871">
        <v>4990</v>
      </c>
      <c r="G1871">
        <v>4710</v>
      </c>
      <c r="H1871">
        <v>4710</v>
      </c>
      <c r="I1871">
        <v>4710</v>
      </c>
      <c r="J1871" s="1">
        <v>4710</v>
      </c>
      <c r="K1871">
        <v>9420</v>
      </c>
      <c r="L1871">
        <v>2</v>
      </c>
      <c r="M1871" t="s">
        <v>78</v>
      </c>
      <c r="N1871" t="s">
        <v>17</v>
      </c>
      <c r="O1871">
        <v>2</v>
      </c>
      <c r="P1871">
        <v>5459</v>
      </c>
      <c r="Q1871">
        <v>4580</v>
      </c>
    </row>
    <row r="1872" spans="2:17" x14ac:dyDescent="0.25">
      <c r="B1872" t="s">
        <v>78</v>
      </c>
      <c r="C1872" t="s">
        <v>3682</v>
      </c>
      <c r="D1872" t="s">
        <v>3695</v>
      </c>
      <c r="E1872" t="s">
        <v>3696</v>
      </c>
      <c r="F1872">
        <v>4794</v>
      </c>
      <c r="G1872">
        <v>4789</v>
      </c>
      <c r="H1872">
        <v>4789</v>
      </c>
      <c r="I1872">
        <v>4789</v>
      </c>
      <c r="J1872" s="1">
        <v>4789</v>
      </c>
      <c r="K1872">
        <v>47890</v>
      </c>
      <c r="L1872">
        <v>10</v>
      </c>
      <c r="M1872" t="s">
        <v>78</v>
      </c>
      <c r="N1872" t="s">
        <v>17</v>
      </c>
      <c r="O1872">
        <v>10</v>
      </c>
      <c r="P1872">
        <v>5397.99</v>
      </c>
      <c r="Q1872">
        <v>4451.95</v>
      </c>
    </row>
    <row r="1873" spans="2:17" x14ac:dyDescent="0.25">
      <c r="B1873" t="s">
        <v>78</v>
      </c>
      <c r="C1873" t="s">
        <v>3682</v>
      </c>
      <c r="D1873" t="s">
        <v>3697</v>
      </c>
      <c r="E1873" t="s">
        <v>3698</v>
      </c>
      <c r="F1873">
        <v>4700</v>
      </c>
      <c r="G1873">
        <v>4700</v>
      </c>
      <c r="H1873">
        <v>4700</v>
      </c>
      <c r="I1873">
        <v>4700</v>
      </c>
      <c r="J1873" s="1">
        <v>4700</v>
      </c>
      <c r="K1873">
        <v>4700</v>
      </c>
      <c r="L1873">
        <v>1</v>
      </c>
      <c r="M1873" t="s">
        <v>78</v>
      </c>
      <c r="N1873" t="s">
        <v>17</v>
      </c>
      <c r="O1873">
        <v>1</v>
      </c>
      <c r="P1873">
        <v>5400</v>
      </c>
      <c r="Q1873">
        <v>4520</v>
      </c>
    </row>
    <row r="1874" spans="2:17" x14ac:dyDescent="0.25">
      <c r="B1874" t="s">
        <v>78</v>
      </c>
      <c r="C1874" t="s">
        <v>3682</v>
      </c>
      <c r="D1874" t="s">
        <v>3699</v>
      </c>
      <c r="E1874" t="s">
        <v>3700</v>
      </c>
      <c r="F1874">
        <v>4730</v>
      </c>
      <c r="G1874">
        <v>4760</v>
      </c>
      <c r="H1874">
        <v>4849</v>
      </c>
      <c r="I1874">
        <v>4701</v>
      </c>
      <c r="J1874" s="1">
        <v>4735.99</v>
      </c>
      <c r="K1874">
        <v>945372.48</v>
      </c>
      <c r="L1874">
        <v>200</v>
      </c>
      <c r="M1874" t="s">
        <v>78</v>
      </c>
      <c r="N1874" t="s">
        <v>17</v>
      </c>
      <c r="O1874">
        <v>24</v>
      </c>
      <c r="P1874">
        <v>5499.99</v>
      </c>
      <c r="Q1874">
        <v>4470</v>
      </c>
    </row>
    <row r="1875" spans="2:17" x14ac:dyDescent="0.25">
      <c r="B1875" t="s">
        <v>78</v>
      </c>
      <c r="C1875" t="s">
        <v>3682</v>
      </c>
      <c r="D1875" t="s">
        <v>3701</v>
      </c>
      <c r="E1875" t="s">
        <v>3702</v>
      </c>
      <c r="F1875">
        <v>4710</v>
      </c>
      <c r="G1875">
        <v>4671</v>
      </c>
      <c r="H1875">
        <v>4671</v>
      </c>
      <c r="I1875">
        <v>4671</v>
      </c>
      <c r="J1875" s="1">
        <v>4671</v>
      </c>
      <c r="K1875">
        <v>28026</v>
      </c>
      <c r="L1875">
        <v>6</v>
      </c>
      <c r="M1875" t="s">
        <v>78</v>
      </c>
      <c r="N1875" t="s">
        <v>17</v>
      </c>
      <c r="O1875">
        <v>1</v>
      </c>
      <c r="P1875">
        <v>5350</v>
      </c>
      <c r="Q1875">
        <v>4500</v>
      </c>
    </row>
    <row r="1876" spans="2:17" x14ac:dyDescent="0.25">
      <c r="B1876" t="s">
        <v>78</v>
      </c>
      <c r="C1876" t="s">
        <v>3682</v>
      </c>
      <c r="D1876" t="s">
        <v>3703</v>
      </c>
      <c r="E1876" t="s">
        <v>3704</v>
      </c>
      <c r="F1876">
        <v>4931.99</v>
      </c>
      <c r="G1876">
        <v>4711.25</v>
      </c>
      <c r="H1876">
        <v>4711.25</v>
      </c>
      <c r="I1876">
        <v>4711.25</v>
      </c>
      <c r="J1876" s="1">
        <v>4711.25</v>
      </c>
      <c r="K1876">
        <v>23556.25</v>
      </c>
      <c r="L1876">
        <v>5</v>
      </c>
      <c r="M1876" t="s">
        <v>78</v>
      </c>
      <c r="N1876" t="s">
        <v>17</v>
      </c>
      <c r="O1876">
        <v>1</v>
      </c>
      <c r="P1876">
        <v>5400</v>
      </c>
      <c r="Q1876">
        <v>4516</v>
      </c>
    </row>
    <row r="1877" spans="2:17" x14ac:dyDescent="0.25">
      <c r="B1877" t="s">
        <v>78</v>
      </c>
      <c r="C1877" t="s">
        <v>3682</v>
      </c>
      <c r="D1877" t="s">
        <v>3705</v>
      </c>
      <c r="E1877" t="s">
        <v>3706</v>
      </c>
      <c r="F1877">
        <v>4760</v>
      </c>
      <c r="G1877">
        <v>4716</v>
      </c>
      <c r="H1877">
        <v>4774</v>
      </c>
      <c r="I1877">
        <v>4716</v>
      </c>
      <c r="J1877" s="1">
        <v>4721.16</v>
      </c>
      <c r="K1877">
        <v>335706.78</v>
      </c>
      <c r="L1877">
        <v>71</v>
      </c>
      <c r="M1877" t="s">
        <v>78</v>
      </c>
      <c r="N1877" t="s">
        <v>17</v>
      </c>
      <c r="O1877">
        <v>18</v>
      </c>
      <c r="P1877">
        <v>4875</v>
      </c>
      <c r="Q1877">
        <v>4550</v>
      </c>
    </row>
    <row r="1878" spans="2:17" x14ac:dyDescent="0.25">
      <c r="B1878" t="s">
        <v>78</v>
      </c>
      <c r="C1878" t="s">
        <v>3682</v>
      </c>
      <c r="D1878" t="s">
        <v>3707</v>
      </c>
      <c r="E1878" t="s">
        <v>3708</v>
      </c>
      <c r="F1878">
        <v>4729.3999999999996</v>
      </c>
      <c r="G1878">
        <v>4729.3999999999996</v>
      </c>
      <c r="H1878">
        <v>4729.3999999999996</v>
      </c>
      <c r="I1878">
        <v>4729.3999999999996</v>
      </c>
      <c r="J1878" s="1">
        <v>4729.3999999999996</v>
      </c>
      <c r="K1878">
        <v>9458.7999999999993</v>
      </c>
      <c r="L1878">
        <v>2</v>
      </c>
      <c r="M1878" t="s">
        <v>78</v>
      </c>
      <c r="N1878" t="s">
        <v>17</v>
      </c>
      <c r="O1878">
        <v>1</v>
      </c>
      <c r="P1878">
        <v>5399</v>
      </c>
      <c r="Q1878">
        <v>4500.1000000000004</v>
      </c>
    </row>
    <row r="1879" spans="2:17" x14ac:dyDescent="0.25">
      <c r="B1879" t="s">
        <v>78</v>
      </c>
      <c r="C1879" t="s">
        <v>3682</v>
      </c>
      <c r="D1879" t="s">
        <v>3709</v>
      </c>
      <c r="E1879" t="s">
        <v>3710</v>
      </c>
      <c r="F1879">
        <v>4716.13</v>
      </c>
      <c r="G1879">
        <v>4707.09</v>
      </c>
      <c r="H1879">
        <v>4740</v>
      </c>
      <c r="I1879">
        <v>4707.09</v>
      </c>
      <c r="J1879" s="1">
        <v>4715</v>
      </c>
      <c r="K1879">
        <v>335043.34000000003</v>
      </c>
      <c r="L1879">
        <v>71</v>
      </c>
      <c r="M1879" t="s">
        <v>78</v>
      </c>
      <c r="N1879" t="s">
        <v>17</v>
      </c>
      <c r="O1879">
        <v>14</v>
      </c>
      <c r="P1879">
        <v>5057</v>
      </c>
      <c r="Q1879">
        <v>4451</v>
      </c>
    </row>
    <row r="1880" spans="2:17" x14ac:dyDescent="0.25">
      <c r="B1880" t="s">
        <v>78</v>
      </c>
      <c r="C1880" t="s">
        <v>3682</v>
      </c>
      <c r="D1880" t="s">
        <v>3711</v>
      </c>
      <c r="E1880" t="s">
        <v>3712</v>
      </c>
      <c r="F1880">
        <v>4764.2</v>
      </c>
      <c r="G1880">
        <v>4730</v>
      </c>
      <c r="H1880">
        <v>4748</v>
      </c>
      <c r="I1880">
        <v>4711</v>
      </c>
      <c r="J1880" s="1">
        <v>4734.13</v>
      </c>
      <c r="K1880">
        <v>969042.03</v>
      </c>
      <c r="L1880">
        <v>205</v>
      </c>
      <c r="M1880" t="s">
        <v>78</v>
      </c>
      <c r="N1880" t="s">
        <v>17</v>
      </c>
      <c r="O1880">
        <v>23</v>
      </c>
      <c r="P1880">
        <v>5100</v>
      </c>
      <c r="Q1880">
        <v>4555</v>
      </c>
    </row>
    <row r="1881" spans="2:17" x14ac:dyDescent="0.25">
      <c r="B1881" t="s">
        <v>78</v>
      </c>
      <c r="C1881" t="s">
        <v>3682</v>
      </c>
      <c r="D1881" t="s">
        <v>3713</v>
      </c>
      <c r="E1881" t="s">
        <v>3714</v>
      </c>
      <c r="F1881">
        <v>4743.63</v>
      </c>
      <c r="G1881">
        <v>4745</v>
      </c>
      <c r="H1881">
        <v>4800</v>
      </c>
      <c r="I1881">
        <v>4723</v>
      </c>
      <c r="J1881" s="1">
        <v>4778.09</v>
      </c>
      <c r="K1881">
        <v>819109.75</v>
      </c>
      <c r="L1881">
        <v>172</v>
      </c>
      <c r="M1881" t="s">
        <v>78</v>
      </c>
      <c r="N1881" t="s">
        <v>17</v>
      </c>
      <c r="O1881">
        <v>36</v>
      </c>
      <c r="P1881">
        <v>5202.9799999999996</v>
      </c>
      <c r="Q1881">
        <v>4638</v>
      </c>
    </row>
    <row r="1882" spans="2:17" x14ac:dyDescent="0.25">
      <c r="B1882" t="s">
        <v>78</v>
      </c>
      <c r="C1882" t="s">
        <v>3682</v>
      </c>
      <c r="D1882" t="s">
        <v>3715</v>
      </c>
      <c r="E1882" t="s">
        <v>3716</v>
      </c>
      <c r="F1882">
        <v>4710.01</v>
      </c>
      <c r="G1882">
        <v>4799</v>
      </c>
      <c r="H1882">
        <v>4799</v>
      </c>
      <c r="I1882">
        <v>4662</v>
      </c>
      <c r="J1882" s="1">
        <v>4754.75</v>
      </c>
      <c r="K1882">
        <v>4786635.2</v>
      </c>
      <c r="L1882">
        <v>1008</v>
      </c>
      <c r="M1882" t="s">
        <v>78</v>
      </c>
      <c r="N1882" t="s">
        <v>17</v>
      </c>
      <c r="O1882">
        <v>58</v>
      </c>
      <c r="P1882">
        <v>5417</v>
      </c>
      <c r="Q1882">
        <v>4500</v>
      </c>
    </row>
    <row r="1883" spans="2:17" x14ac:dyDescent="0.25">
      <c r="B1883" t="s">
        <v>78</v>
      </c>
      <c r="C1883" t="s">
        <v>3682</v>
      </c>
      <c r="D1883" t="s">
        <v>3717</v>
      </c>
      <c r="E1883" t="s">
        <v>3718</v>
      </c>
      <c r="F1883">
        <v>4705</v>
      </c>
      <c r="G1883">
        <v>4800</v>
      </c>
      <c r="H1883">
        <v>4800</v>
      </c>
      <c r="I1883">
        <v>4799.99</v>
      </c>
      <c r="J1883" s="1">
        <v>4799.99</v>
      </c>
      <c r="K1883">
        <v>9599.99</v>
      </c>
      <c r="L1883">
        <v>2</v>
      </c>
      <c r="M1883" t="s">
        <v>78</v>
      </c>
      <c r="N1883" t="s">
        <v>17</v>
      </c>
      <c r="O1883">
        <v>2</v>
      </c>
      <c r="P1883">
        <v>5804.6</v>
      </c>
      <c r="Q1883">
        <v>4410</v>
      </c>
    </row>
    <row r="1884" spans="2:17" x14ac:dyDescent="0.25">
      <c r="B1884" t="s">
        <v>78</v>
      </c>
      <c r="C1884" t="s">
        <v>3682</v>
      </c>
      <c r="D1884" t="s">
        <v>3719</v>
      </c>
      <c r="E1884" t="s">
        <v>3720</v>
      </c>
      <c r="F1884">
        <v>4713.0600000000004</v>
      </c>
      <c r="G1884">
        <v>4705</v>
      </c>
      <c r="H1884">
        <v>4710</v>
      </c>
      <c r="I1884">
        <v>4690</v>
      </c>
      <c r="J1884" s="1">
        <v>4703.8500000000004</v>
      </c>
      <c r="K1884">
        <v>3689121</v>
      </c>
      <c r="L1884">
        <v>785</v>
      </c>
      <c r="M1884" t="s">
        <v>78</v>
      </c>
      <c r="N1884" t="s">
        <v>17</v>
      </c>
      <c r="O1884">
        <v>133</v>
      </c>
      <c r="P1884">
        <v>5331</v>
      </c>
      <c r="Q1884">
        <v>4501</v>
      </c>
    </row>
    <row r="1885" spans="2:17" x14ac:dyDescent="0.25">
      <c r="B1885" t="s">
        <v>78</v>
      </c>
      <c r="C1885" t="s">
        <v>3682</v>
      </c>
      <c r="D1885" t="s">
        <v>3721</v>
      </c>
      <c r="E1885" t="s">
        <v>3722</v>
      </c>
      <c r="F1885">
        <v>4717.99</v>
      </c>
      <c r="G1885">
        <v>4725</v>
      </c>
      <c r="H1885">
        <v>4730</v>
      </c>
      <c r="I1885">
        <v>4725</v>
      </c>
      <c r="J1885" s="1">
        <v>4730</v>
      </c>
      <c r="K1885">
        <v>9455</v>
      </c>
      <c r="L1885">
        <v>2</v>
      </c>
      <c r="M1885" t="s">
        <v>78</v>
      </c>
      <c r="N1885" t="s">
        <v>17</v>
      </c>
      <c r="O1885">
        <v>2</v>
      </c>
      <c r="P1885">
        <v>5397</v>
      </c>
      <c r="Q1885">
        <v>4451</v>
      </c>
    </row>
    <row r="1886" spans="2:17" x14ac:dyDescent="0.25">
      <c r="B1886" t="s">
        <v>78</v>
      </c>
      <c r="C1886" t="s">
        <v>3682</v>
      </c>
      <c r="D1886" t="s">
        <v>3723</v>
      </c>
      <c r="E1886" t="s">
        <v>3724</v>
      </c>
      <c r="F1886">
        <v>4706.8500000000004</v>
      </c>
      <c r="G1886">
        <v>4706.8500000000004</v>
      </c>
      <c r="H1886">
        <v>4710</v>
      </c>
      <c r="I1886">
        <v>4692.01</v>
      </c>
      <c r="J1886" s="1">
        <v>4700</v>
      </c>
      <c r="K1886">
        <v>606383.84</v>
      </c>
      <c r="L1886">
        <v>129</v>
      </c>
      <c r="M1886" t="s">
        <v>78</v>
      </c>
      <c r="N1886" t="s">
        <v>17</v>
      </c>
      <c r="O1886">
        <v>28</v>
      </c>
      <c r="P1886">
        <v>5329</v>
      </c>
      <c r="Q1886">
        <v>4505</v>
      </c>
    </row>
    <row r="1887" spans="2:17" x14ac:dyDescent="0.25">
      <c r="B1887" t="s">
        <v>78</v>
      </c>
      <c r="C1887" t="s">
        <v>3682</v>
      </c>
      <c r="D1887" t="s">
        <v>3725</v>
      </c>
      <c r="E1887" t="s">
        <v>3726</v>
      </c>
      <c r="F1887">
        <v>4711.12</v>
      </c>
      <c r="G1887">
        <v>4698</v>
      </c>
      <c r="H1887">
        <v>4728</v>
      </c>
      <c r="I1887">
        <v>4698</v>
      </c>
      <c r="J1887" s="1">
        <v>4710.05</v>
      </c>
      <c r="K1887">
        <v>1357798.25</v>
      </c>
      <c r="L1887">
        <v>288</v>
      </c>
      <c r="M1887" t="s">
        <v>78</v>
      </c>
      <c r="N1887" t="s">
        <v>17</v>
      </c>
      <c r="O1887">
        <v>31</v>
      </c>
      <c r="P1887">
        <v>4810</v>
      </c>
      <c r="Q1887">
        <v>4653</v>
      </c>
    </row>
    <row r="1888" spans="2:17" x14ac:dyDescent="0.25">
      <c r="B1888" t="s">
        <v>78</v>
      </c>
      <c r="C1888" t="s">
        <v>3682</v>
      </c>
      <c r="D1888" t="s">
        <v>3727</v>
      </c>
      <c r="E1888" t="s">
        <v>3728</v>
      </c>
      <c r="F1888">
        <v>4731.9799999999996</v>
      </c>
      <c r="G1888">
        <v>4690.1499999999996</v>
      </c>
      <c r="H1888">
        <v>4738</v>
      </c>
      <c r="I1888">
        <v>4690.1499999999996</v>
      </c>
      <c r="J1888" s="1">
        <v>4710.67</v>
      </c>
      <c r="K1888">
        <v>446819.71</v>
      </c>
      <c r="L1888">
        <v>95</v>
      </c>
      <c r="M1888" t="s">
        <v>78</v>
      </c>
      <c r="N1888" t="s">
        <v>17</v>
      </c>
      <c r="O1888">
        <v>20</v>
      </c>
      <c r="P1888">
        <v>5475</v>
      </c>
      <c r="Q1888">
        <v>4455</v>
      </c>
    </row>
    <row r="1889" spans="2:17" x14ac:dyDescent="0.25">
      <c r="B1889" t="s">
        <v>78</v>
      </c>
      <c r="C1889" t="s">
        <v>3682</v>
      </c>
      <c r="D1889" t="s">
        <v>3729</v>
      </c>
      <c r="E1889" t="s">
        <v>3730</v>
      </c>
      <c r="F1889">
        <v>4715</v>
      </c>
      <c r="G1889">
        <v>4685</v>
      </c>
      <c r="H1889">
        <v>4710</v>
      </c>
      <c r="I1889">
        <v>4685</v>
      </c>
      <c r="J1889" s="1">
        <v>4706.95</v>
      </c>
      <c r="K1889">
        <v>324100.13</v>
      </c>
      <c r="L1889">
        <v>69</v>
      </c>
      <c r="M1889" t="s">
        <v>78</v>
      </c>
      <c r="N1889" t="s">
        <v>17</v>
      </c>
      <c r="O1889">
        <v>9</v>
      </c>
      <c r="P1889">
        <v>5395</v>
      </c>
      <c r="Q1889">
        <v>4475</v>
      </c>
    </row>
    <row r="1890" spans="2:17" x14ac:dyDescent="0.25">
      <c r="B1890" t="s">
        <v>78</v>
      </c>
      <c r="C1890" t="s">
        <v>3682</v>
      </c>
      <c r="D1890" t="s">
        <v>3731</v>
      </c>
      <c r="E1890" t="s">
        <v>3732</v>
      </c>
      <c r="F1890">
        <v>4710.2</v>
      </c>
      <c r="G1890">
        <v>4712.0200000000004</v>
      </c>
      <c r="H1890">
        <v>4712.0200000000004</v>
      </c>
      <c r="I1890">
        <v>4710</v>
      </c>
      <c r="J1890" s="1">
        <v>4710</v>
      </c>
      <c r="K1890">
        <v>103660.4</v>
      </c>
      <c r="L1890">
        <v>22</v>
      </c>
      <c r="M1890" t="s">
        <v>78</v>
      </c>
      <c r="N1890" t="s">
        <v>17</v>
      </c>
      <c r="O1890">
        <v>2</v>
      </c>
      <c r="P1890">
        <v>5380</v>
      </c>
      <c r="Q1890">
        <v>4499.99</v>
      </c>
    </row>
    <row r="1891" spans="2:17" x14ac:dyDescent="0.25">
      <c r="B1891" t="s">
        <v>78</v>
      </c>
      <c r="C1891" t="s">
        <v>3682</v>
      </c>
      <c r="D1891" t="s">
        <v>3733</v>
      </c>
      <c r="E1891" t="s">
        <v>3734</v>
      </c>
      <c r="F1891">
        <v>4720</v>
      </c>
      <c r="G1891">
        <v>4683</v>
      </c>
      <c r="H1891">
        <v>4767.8999999999996</v>
      </c>
      <c r="I1891">
        <v>4683</v>
      </c>
      <c r="J1891" s="1">
        <v>4754.93</v>
      </c>
      <c r="K1891">
        <v>2612648.94</v>
      </c>
      <c r="L1891">
        <v>551</v>
      </c>
      <c r="M1891" t="s">
        <v>78</v>
      </c>
      <c r="N1891" t="s">
        <v>17</v>
      </c>
      <c r="O1891">
        <v>22</v>
      </c>
      <c r="P1891">
        <v>5413.99</v>
      </c>
      <c r="Q1891">
        <v>4503</v>
      </c>
    </row>
    <row r="1892" spans="2:17" x14ac:dyDescent="0.25">
      <c r="B1892" t="s">
        <v>78</v>
      </c>
      <c r="C1892" t="s">
        <v>3682</v>
      </c>
      <c r="D1892" t="s">
        <v>3735</v>
      </c>
      <c r="E1892" t="s">
        <v>3736</v>
      </c>
      <c r="F1892">
        <v>4759.05</v>
      </c>
      <c r="G1892">
        <v>4661.05</v>
      </c>
      <c r="H1892">
        <v>4661.05</v>
      </c>
      <c r="I1892">
        <v>4661.05</v>
      </c>
      <c r="J1892" s="1">
        <v>4661.05</v>
      </c>
      <c r="K1892">
        <v>23305.25</v>
      </c>
      <c r="L1892">
        <v>5</v>
      </c>
      <c r="M1892" t="s">
        <v>78</v>
      </c>
      <c r="N1892" t="s">
        <v>17</v>
      </c>
      <c r="O1892">
        <v>1</v>
      </c>
      <c r="P1892">
        <v>5400</v>
      </c>
      <c r="Q1892">
        <v>4480</v>
      </c>
    </row>
    <row r="1893" spans="2:17" x14ac:dyDescent="0.25">
      <c r="B1893" t="s">
        <v>78</v>
      </c>
      <c r="C1893" t="s">
        <v>3682</v>
      </c>
      <c r="D1893" t="s">
        <v>3737</v>
      </c>
      <c r="E1893" t="s">
        <v>3738</v>
      </c>
      <c r="F1893">
        <v>4704.7299999999996</v>
      </c>
      <c r="G1893">
        <v>4704</v>
      </c>
      <c r="H1893">
        <v>4704</v>
      </c>
      <c r="I1893">
        <v>4694</v>
      </c>
      <c r="J1893" s="1">
        <v>4695.49</v>
      </c>
      <c r="K1893">
        <v>1991287.36</v>
      </c>
      <c r="L1893">
        <v>424</v>
      </c>
      <c r="M1893" t="s">
        <v>78</v>
      </c>
      <c r="N1893" t="s">
        <v>17</v>
      </c>
      <c r="O1893">
        <v>53</v>
      </c>
      <c r="P1893">
        <v>5338</v>
      </c>
      <c r="Q1893">
        <v>4498</v>
      </c>
    </row>
    <row r="1894" spans="2:17" x14ac:dyDescent="0.25">
      <c r="B1894" t="s">
        <v>78</v>
      </c>
      <c r="C1894" t="s">
        <v>3682</v>
      </c>
      <c r="D1894" t="s">
        <v>3739</v>
      </c>
      <c r="E1894" t="s">
        <v>3740</v>
      </c>
      <c r="F1894">
        <v>4717.04</v>
      </c>
      <c r="G1894">
        <v>4750</v>
      </c>
      <c r="H1894">
        <v>4750</v>
      </c>
      <c r="I1894">
        <v>4680.04</v>
      </c>
      <c r="J1894" s="1">
        <v>4709.5600000000004</v>
      </c>
      <c r="K1894">
        <v>2887516.17</v>
      </c>
      <c r="L1894">
        <v>613</v>
      </c>
      <c r="M1894" t="s">
        <v>78</v>
      </c>
      <c r="N1894" t="s">
        <v>17</v>
      </c>
      <c r="O1894">
        <v>95</v>
      </c>
      <c r="P1894">
        <v>4786</v>
      </c>
      <c r="Q1894">
        <v>4622.2</v>
      </c>
    </row>
    <row r="1895" spans="2:17" x14ac:dyDescent="0.25">
      <c r="B1895" t="s">
        <v>78</v>
      </c>
      <c r="C1895" t="s">
        <v>3682</v>
      </c>
      <c r="D1895" t="s">
        <v>3741</v>
      </c>
      <c r="E1895" t="s">
        <v>3742</v>
      </c>
      <c r="F1895">
        <v>4719.6099999999997</v>
      </c>
      <c r="G1895">
        <v>4710</v>
      </c>
      <c r="H1895">
        <v>4720</v>
      </c>
      <c r="I1895">
        <v>4703.01</v>
      </c>
      <c r="J1895" s="1">
        <v>4710</v>
      </c>
      <c r="K1895">
        <v>2143696.61</v>
      </c>
      <c r="L1895">
        <v>455</v>
      </c>
      <c r="M1895" t="s">
        <v>78</v>
      </c>
      <c r="N1895" t="s">
        <v>17</v>
      </c>
      <c r="O1895">
        <v>32</v>
      </c>
      <c r="P1895">
        <v>4849.95</v>
      </c>
      <c r="Q1895">
        <v>4500</v>
      </c>
    </row>
    <row r="1896" spans="2:17" x14ac:dyDescent="0.25">
      <c r="B1896" t="s">
        <v>78</v>
      </c>
      <c r="C1896" t="s">
        <v>3682</v>
      </c>
      <c r="D1896" t="s">
        <v>3743</v>
      </c>
      <c r="E1896" t="s">
        <v>3744</v>
      </c>
      <c r="F1896">
        <v>4742.66</v>
      </c>
      <c r="G1896">
        <v>4711.26</v>
      </c>
      <c r="H1896">
        <v>4740</v>
      </c>
      <c r="I1896">
        <v>4701</v>
      </c>
      <c r="J1896" s="1">
        <v>4734.6000000000004</v>
      </c>
      <c r="K1896">
        <v>968888.03</v>
      </c>
      <c r="L1896">
        <v>205</v>
      </c>
      <c r="M1896" t="s">
        <v>78</v>
      </c>
      <c r="N1896" t="s">
        <v>17</v>
      </c>
      <c r="O1896">
        <v>55</v>
      </c>
      <c r="P1896">
        <v>5290</v>
      </c>
      <c r="Q1896">
        <v>4374.51</v>
      </c>
    </row>
    <row r="1897" spans="2:17" x14ac:dyDescent="0.25">
      <c r="B1897" t="s">
        <v>78</v>
      </c>
      <c r="C1897" t="s">
        <v>3682</v>
      </c>
      <c r="D1897" t="s">
        <v>3745</v>
      </c>
      <c r="E1897" t="s">
        <v>3746</v>
      </c>
      <c r="F1897">
        <v>4850</v>
      </c>
      <c r="G1897">
        <v>4800.1499999999996</v>
      </c>
      <c r="H1897">
        <v>4800.3500000000004</v>
      </c>
      <c r="I1897">
        <v>4800.1499999999996</v>
      </c>
      <c r="J1897" s="1">
        <v>4800.3500000000004</v>
      </c>
      <c r="K1897">
        <v>100805.15</v>
      </c>
      <c r="L1897">
        <v>21</v>
      </c>
      <c r="M1897" t="s">
        <v>78</v>
      </c>
      <c r="N1897" t="s">
        <v>17</v>
      </c>
      <c r="O1897">
        <v>7</v>
      </c>
      <c r="P1897">
        <v>5700</v>
      </c>
      <c r="Q1897">
        <v>4551</v>
      </c>
    </row>
    <row r="1898" spans="2:17" x14ac:dyDescent="0.25">
      <c r="B1898" t="s">
        <v>78</v>
      </c>
      <c r="C1898" t="s">
        <v>3682</v>
      </c>
      <c r="D1898" t="s">
        <v>3747</v>
      </c>
      <c r="E1898" t="s">
        <v>3748</v>
      </c>
      <c r="F1898">
        <v>4740</v>
      </c>
      <c r="G1898">
        <v>4735</v>
      </c>
      <c r="H1898">
        <v>4802</v>
      </c>
      <c r="I1898">
        <v>4734</v>
      </c>
      <c r="J1898" s="1">
        <v>4789.59</v>
      </c>
      <c r="K1898">
        <v>2679838.91</v>
      </c>
      <c r="L1898">
        <v>562</v>
      </c>
      <c r="M1898" t="s">
        <v>78</v>
      </c>
      <c r="N1898" t="s">
        <v>17</v>
      </c>
      <c r="O1898">
        <v>46</v>
      </c>
      <c r="P1898">
        <v>5425</v>
      </c>
      <c r="Q1898">
        <v>4500</v>
      </c>
    </row>
    <row r="1899" spans="2:17" x14ac:dyDescent="0.25">
      <c r="B1899" t="s">
        <v>78</v>
      </c>
      <c r="C1899" t="s">
        <v>3682</v>
      </c>
      <c r="D1899" t="s">
        <v>3749</v>
      </c>
      <c r="E1899" t="s">
        <v>3750</v>
      </c>
      <c r="F1899">
        <v>4700</v>
      </c>
      <c r="G1899">
        <v>4700</v>
      </c>
      <c r="H1899">
        <v>4700</v>
      </c>
      <c r="I1899">
        <v>4700</v>
      </c>
      <c r="J1899" s="1">
        <v>4700</v>
      </c>
      <c r="K1899">
        <v>216200</v>
      </c>
      <c r="L1899">
        <v>46</v>
      </c>
      <c r="M1899" t="s">
        <v>78</v>
      </c>
      <c r="N1899" t="s">
        <v>17</v>
      </c>
      <c r="O1899">
        <v>7</v>
      </c>
      <c r="P1899">
        <v>5399</v>
      </c>
      <c r="Q1899">
        <v>4550.01</v>
      </c>
    </row>
    <row r="1900" spans="2:17" x14ac:dyDescent="0.25">
      <c r="B1900" t="s">
        <v>78</v>
      </c>
      <c r="C1900" t="s">
        <v>3682</v>
      </c>
      <c r="D1900" t="s">
        <v>3751</v>
      </c>
      <c r="E1900" t="s">
        <v>3752</v>
      </c>
      <c r="F1900">
        <v>4690.05</v>
      </c>
      <c r="G1900">
        <v>4661.05</v>
      </c>
      <c r="H1900">
        <v>4724</v>
      </c>
      <c r="I1900">
        <v>4661</v>
      </c>
      <c r="J1900" s="1">
        <v>4712</v>
      </c>
      <c r="K1900">
        <v>183108.05</v>
      </c>
      <c r="L1900">
        <v>39</v>
      </c>
      <c r="M1900" t="s">
        <v>78</v>
      </c>
      <c r="N1900" t="s">
        <v>17</v>
      </c>
      <c r="O1900">
        <v>9</v>
      </c>
      <c r="P1900">
        <v>5400</v>
      </c>
      <c r="Q1900">
        <v>4455</v>
      </c>
    </row>
    <row r="1901" spans="2:17" x14ac:dyDescent="0.25">
      <c r="B1901" t="s">
        <v>78</v>
      </c>
      <c r="C1901" t="s">
        <v>3682</v>
      </c>
      <c r="D1901" t="s">
        <v>3753</v>
      </c>
      <c r="E1901" t="s">
        <v>3754</v>
      </c>
      <c r="F1901">
        <v>4725.45</v>
      </c>
      <c r="G1901">
        <v>4715</v>
      </c>
      <c r="H1901">
        <v>4750</v>
      </c>
      <c r="I1901">
        <v>4711.1099999999997</v>
      </c>
      <c r="J1901" s="1">
        <v>4725</v>
      </c>
      <c r="K1901">
        <v>400735.48</v>
      </c>
      <c r="L1901">
        <v>85</v>
      </c>
      <c r="M1901" t="s">
        <v>78</v>
      </c>
      <c r="N1901" t="s">
        <v>17</v>
      </c>
      <c r="O1901">
        <v>20</v>
      </c>
      <c r="P1901">
        <v>5240</v>
      </c>
      <c r="Q1901">
        <v>4500</v>
      </c>
    </row>
    <row r="1902" spans="2:17" x14ac:dyDescent="0.25">
      <c r="B1902" t="s">
        <v>78</v>
      </c>
      <c r="C1902" t="s">
        <v>3682</v>
      </c>
      <c r="D1902" t="s">
        <v>3755</v>
      </c>
      <c r="E1902" t="s">
        <v>3756</v>
      </c>
      <c r="F1902">
        <v>4739.8999999999996</v>
      </c>
      <c r="G1902">
        <v>4739.8999999999996</v>
      </c>
      <c r="H1902">
        <v>4739.8999999999996</v>
      </c>
      <c r="I1902">
        <v>4724</v>
      </c>
      <c r="J1902" s="1">
        <v>4724.5</v>
      </c>
      <c r="K1902">
        <v>1162306.8999999999</v>
      </c>
      <c r="L1902">
        <v>246</v>
      </c>
      <c r="M1902" t="s">
        <v>78</v>
      </c>
      <c r="N1902" t="s">
        <v>17</v>
      </c>
      <c r="O1902">
        <v>19</v>
      </c>
      <c r="P1902">
        <v>5500</v>
      </c>
      <c r="Q1902">
        <v>4500</v>
      </c>
    </row>
    <row r="1903" spans="2:17" x14ac:dyDescent="0.25">
      <c r="B1903" t="s">
        <v>78</v>
      </c>
      <c r="C1903" t="s">
        <v>3682</v>
      </c>
      <c r="D1903" t="s">
        <v>3757</v>
      </c>
      <c r="E1903" t="s">
        <v>3758</v>
      </c>
      <c r="F1903">
        <v>4702.01</v>
      </c>
      <c r="G1903">
        <v>4702.05</v>
      </c>
      <c r="H1903">
        <v>4750</v>
      </c>
      <c r="I1903">
        <v>4702.05</v>
      </c>
      <c r="J1903" s="1">
        <v>4750</v>
      </c>
      <c r="K1903">
        <v>84780.75</v>
      </c>
      <c r="L1903">
        <v>18</v>
      </c>
      <c r="M1903" t="s">
        <v>78</v>
      </c>
      <c r="N1903" t="s">
        <v>17</v>
      </c>
      <c r="O1903">
        <v>2</v>
      </c>
      <c r="P1903">
        <v>5500</v>
      </c>
      <c r="Q1903">
        <v>4502</v>
      </c>
    </row>
    <row r="1904" spans="2:17" x14ac:dyDescent="0.25">
      <c r="B1904" t="s">
        <v>78</v>
      </c>
      <c r="C1904" t="s">
        <v>3682</v>
      </c>
      <c r="D1904" t="s">
        <v>3759</v>
      </c>
      <c r="E1904" t="s">
        <v>3702</v>
      </c>
      <c r="F1904">
        <v>4712</v>
      </c>
      <c r="G1904">
        <v>4712</v>
      </c>
      <c r="H1904">
        <v>4749</v>
      </c>
      <c r="I1904">
        <v>4690</v>
      </c>
      <c r="J1904" s="1">
        <v>4690</v>
      </c>
      <c r="K1904">
        <v>202067</v>
      </c>
      <c r="L1904">
        <v>43</v>
      </c>
      <c r="M1904" t="s">
        <v>78</v>
      </c>
      <c r="N1904" t="s">
        <v>17</v>
      </c>
      <c r="O1904">
        <v>10</v>
      </c>
      <c r="P1904">
        <v>5389</v>
      </c>
      <c r="Q1904">
        <v>4500</v>
      </c>
    </row>
    <row r="1905" spans="2:17" x14ac:dyDescent="0.25">
      <c r="B1905" t="s">
        <v>78</v>
      </c>
      <c r="C1905" t="s">
        <v>3682</v>
      </c>
      <c r="D1905" t="s">
        <v>3760</v>
      </c>
      <c r="E1905" t="s">
        <v>3761</v>
      </c>
      <c r="F1905">
        <v>4730</v>
      </c>
      <c r="G1905">
        <v>4760</v>
      </c>
      <c r="H1905">
        <v>4879</v>
      </c>
      <c r="I1905">
        <v>4750</v>
      </c>
      <c r="J1905" s="1">
        <v>4757</v>
      </c>
      <c r="K1905">
        <v>1871367.41</v>
      </c>
      <c r="L1905">
        <v>392</v>
      </c>
      <c r="M1905" t="s">
        <v>78</v>
      </c>
      <c r="N1905" t="s">
        <v>17</v>
      </c>
      <c r="O1905">
        <v>26</v>
      </c>
      <c r="P1905">
        <v>5435</v>
      </c>
      <c r="Q1905">
        <v>4555</v>
      </c>
    </row>
    <row r="1906" spans="2:17" x14ac:dyDescent="0.25">
      <c r="B1906" t="s">
        <v>78</v>
      </c>
      <c r="C1906" t="s">
        <v>3682</v>
      </c>
      <c r="D1906" t="s">
        <v>3762</v>
      </c>
      <c r="E1906" t="s">
        <v>3763</v>
      </c>
      <c r="F1906">
        <v>4744</v>
      </c>
      <c r="G1906">
        <v>4750</v>
      </c>
      <c r="H1906">
        <v>4750</v>
      </c>
      <c r="I1906">
        <v>4661</v>
      </c>
      <c r="J1906" s="1">
        <v>4703</v>
      </c>
      <c r="K1906">
        <v>277848.19</v>
      </c>
      <c r="L1906">
        <v>59</v>
      </c>
      <c r="M1906" t="s">
        <v>78</v>
      </c>
      <c r="N1906" t="s">
        <v>17</v>
      </c>
      <c r="O1906">
        <v>11</v>
      </c>
      <c r="P1906">
        <v>5445</v>
      </c>
      <c r="Q1906">
        <v>4451</v>
      </c>
    </row>
    <row r="1907" spans="2:17" x14ac:dyDescent="0.25">
      <c r="B1907" t="s">
        <v>78</v>
      </c>
      <c r="C1907" t="s">
        <v>3682</v>
      </c>
      <c r="D1907" t="s">
        <v>3764</v>
      </c>
      <c r="E1907" t="s">
        <v>3765</v>
      </c>
      <c r="F1907">
        <v>4785.29</v>
      </c>
      <c r="G1907">
        <v>4705.5</v>
      </c>
      <c r="H1907">
        <v>4784</v>
      </c>
      <c r="I1907">
        <v>4705.5</v>
      </c>
      <c r="J1907" s="1">
        <v>4752.5</v>
      </c>
      <c r="K1907">
        <v>1120891.32</v>
      </c>
      <c r="L1907">
        <v>236</v>
      </c>
      <c r="M1907" t="s">
        <v>78</v>
      </c>
      <c r="N1907" t="s">
        <v>17</v>
      </c>
      <c r="O1907">
        <v>44</v>
      </c>
      <c r="P1907">
        <v>5100</v>
      </c>
      <c r="Q1907">
        <v>4447.2</v>
      </c>
    </row>
    <row r="1908" spans="2:17" x14ac:dyDescent="0.25">
      <c r="B1908" t="s">
        <v>78</v>
      </c>
      <c r="C1908" t="s">
        <v>3766</v>
      </c>
      <c r="D1908" t="s">
        <v>3767</v>
      </c>
      <c r="E1908" t="s">
        <v>3768</v>
      </c>
      <c r="F1908">
        <v>92</v>
      </c>
      <c r="G1908">
        <v>96.5</v>
      </c>
      <c r="H1908">
        <v>96.6</v>
      </c>
      <c r="I1908">
        <v>96.5</v>
      </c>
      <c r="J1908" s="1">
        <v>96.6</v>
      </c>
      <c r="K1908">
        <v>19310</v>
      </c>
      <c r="L1908">
        <v>200</v>
      </c>
      <c r="M1908" t="s">
        <v>78</v>
      </c>
      <c r="N1908" t="s">
        <v>17</v>
      </c>
      <c r="O1908">
        <v>2</v>
      </c>
      <c r="P1908">
        <v>100.79</v>
      </c>
      <c r="Q1908">
        <v>91.69</v>
      </c>
    </row>
    <row r="1909" spans="2:17" x14ac:dyDescent="0.25">
      <c r="B1909" t="s">
        <v>78</v>
      </c>
      <c r="C1909" t="s">
        <v>3766</v>
      </c>
      <c r="D1909" t="s">
        <v>3769</v>
      </c>
      <c r="E1909" t="s">
        <v>3770</v>
      </c>
      <c r="F1909">
        <v>102</v>
      </c>
      <c r="G1909">
        <v>100</v>
      </c>
      <c r="H1909">
        <v>101.5</v>
      </c>
      <c r="I1909">
        <v>100</v>
      </c>
      <c r="J1909" s="1">
        <v>101.5</v>
      </c>
      <c r="K1909">
        <v>18850</v>
      </c>
      <c r="L1909">
        <v>187</v>
      </c>
      <c r="M1909" t="s">
        <v>78</v>
      </c>
      <c r="N1909" t="s">
        <v>17</v>
      </c>
      <c r="O1909">
        <v>3</v>
      </c>
      <c r="P1909">
        <v>106.5</v>
      </c>
      <c r="Q1909">
        <v>98.67</v>
      </c>
    </row>
    <row r="1910" spans="2:17" x14ac:dyDescent="0.25">
      <c r="B1910" t="s">
        <v>78</v>
      </c>
      <c r="C1910" t="s">
        <v>3766</v>
      </c>
      <c r="D1910" t="s">
        <v>3771</v>
      </c>
      <c r="E1910" t="s">
        <v>3772</v>
      </c>
      <c r="F1910">
        <v>97.52</v>
      </c>
      <c r="G1910">
        <v>99</v>
      </c>
      <c r="H1910">
        <v>99</v>
      </c>
      <c r="I1910">
        <v>96</v>
      </c>
      <c r="J1910" s="1">
        <v>96</v>
      </c>
      <c r="K1910">
        <v>50581</v>
      </c>
      <c r="L1910">
        <v>511</v>
      </c>
      <c r="M1910" t="s">
        <v>78</v>
      </c>
      <c r="N1910" t="s">
        <v>17</v>
      </c>
      <c r="O1910">
        <v>4</v>
      </c>
      <c r="P1910">
        <v>106</v>
      </c>
      <c r="Q1910">
        <v>95</v>
      </c>
    </row>
    <row r="1911" spans="2:17" x14ac:dyDescent="0.25">
      <c r="B1911" t="s">
        <v>78</v>
      </c>
      <c r="C1911" t="s">
        <v>3766</v>
      </c>
      <c r="D1911" t="s">
        <v>3773</v>
      </c>
      <c r="E1911" t="s">
        <v>3774</v>
      </c>
      <c r="F1911">
        <v>97.99</v>
      </c>
      <c r="G1911">
        <v>98</v>
      </c>
      <c r="H1911">
        <v>98.65</v>
      </c>
      <c r="I1911">
        <v>98</v>
      </c>
      <c r="J1911" s="1">
        <v>98.19</v>
      </c>
      <c r="K1911">
        <v>236157.88</v>
      </c>
      <c r="L1911">
        <v>2406</v>
      </c>
      <c r="M1911" t="s">
        <v>78</v>
      </c>
      <c r="N1911" t="s">
        <v>17</v>
      </c>
      <c r="O1911">
        <v>21</v>
      </c>
      <c r="P1911">
        <v>103.5</v>
      </c>
      <c r="Q1911">
        <v>97.85</v>
      </c>
    </row>
    <row r="1912" spans="2:17" x14ac:dyDescent="0.25">
      <c r="B1912" t="s">
        <v>78</v>
      </c>
      <c r="C1912" t="s">
        <v>3766</v>
      </c>
      <c r="D1912" t="s">
        <v>3775</v>
      </c>
      <c r="E1912" t="s">
        <v>3776</v>
      </c>
      <c r="F1912">
        <v>98</v>
      </c>
      <c r="G1912">
        <v>100</v>
      </c>
      <c r="H1912">
        <v>101.5</v>
      </c>
      <c r="I1912">
        <v>100</v>
      </c>
      <c r="J1912" s="1">
        <v>101.5</v>
      </c>
      <c r="K1912">
        <v>14105</v>
      </c>
      <c r="L1912">
        <v>140</v>
      </c>
      <c r="M1912" t="s">
        <v>78</v>
      </c>
      <c r="N1912" t="s">
        <v>17</v>
      </c>
      <c r="O1912">
        <v>2</v>
      </c>
      <c r="P1912">
        <v>108</v>
      </c>
      <c r="Q1912">
        <v>97.53</v>
      </c>
    </row>
    <row r="1913" spans="2:17" x14ac:dyDescent="0.25">
      <c r="B1913" t="s">
        <v>78</v>
      </c>
      <c r="C1913" t="s">
        <v>3766</v>
      </c>
      <c r="D1913" t="s">
        <v>3777</v>
      </c>
      <c r="E1913" t="s">
        <v>3778</v>
      </c>
      <c r="F1913">
        <v>105.5</v>
      </c>
      <c r="G1913">
        <v>100.77</v>
      </c>
      <c r="H1913">
        <v>100.77</v>
      </c>
      <c r="I1913">
        <v>100.77</v>
      </c>
      <c r="J1913" s="1">
        <v>100.77</v>
      </c>
      <c r="K1913">
        <v>30231</v>
      </c>
      <c r="L1913">
        <v>300</v>
      </c>
      <c r="M1913" t="s">
        <v>78</v>
      </c>
      <c r="N1913" t="s">
        <v>17</v>
      </c>
      <c r="O1913">
        <v>1</v>
      </c>
      <c r="P1913">
        <v>105.5</v>
      </c>
      <c r="Q1913">
        <v>100</v>
      </c>
    </row>
    <row r="1914" spans="2:17" x14ac:dyDescent="0.25">
      <c r="B1914" t="s">
        <v>78</v>
      </c>
      <c r="C1914" t="s">
        <v>3766</v>
      </c>
      <c r="D1914" t="s">
        <v>3779</v>
      </c>
      <c r="E1914" t="s">
        <v>3780</v>
      </c>
      <c r="F1914">
        <v>114</v>
      </c>
      <c r="G1914">
        <v>114.5</v>
      </c>
      <c r="H1914">
        <v>114.5</v>
      </c>
      <c r="I1914">
        <v>114</v>
      </c>
      <c r="J1914" s="1">
        <v>114</v>
      </c>
      <c r="K1914">
        <v>1028.5</v>
      </c>
      <c r="L1914">
        <v>9</v>
      </c>
      <c r="M1914" t="s">
        <v>78</v>
      </c>
      <c r="N1914" t="s">
        <v>17</v>
      </c>
      <c r="O1914">
        <v>2</v>
      </c>
      <c r="P1914">
        <v>120</v>
      </c>
      <c r="Q1914">
        <v>102</v>
      </c>
    </row>
    <row r="1915" spans="2:17" x14ac:dyDescent="0.25">
      <c r="B1915" t="s">
        <v>78</v>
      </c>
      <c r="C1915" t="s">
        <v>3781</v>
      </c>
      <c r="D1915" t="s">
        <v>3782</v>
      </c>
      <c r="E1915" t="s">
        <v>3783</v>
      </c>
      <c r="F1915">
        <v>10.02</v>
      </c>
      <c r="G1915">
        <v>10.07</v>
      </c>
      <c r="H1915">
        <v>10.11</v>
      </c>
      <c r="I1915">
        <v>10.07</v>
      </c>
      <c r="J1915" s="1">
        <v>10.11</v>
      </c>
      <c r="K1915">
        <v>279755.87</v>
      </c>
      <c r="L1915">
        <v>27741</v>
      </c>
      <c r="M1915" t="s">
        <v>78</v>
      </c>
      <c r="N1915" t="s">
        <v>17</v>
      </c>
      <c r="O1915">
        <v>11</v>
      </c>
      <c r="P1915">
        <v>10.51</v>
      </c>
      <c r="Q1915">
        <v>5.45</v>
      </c>
    </row>
    <row r="1916" spans="2:17" x14ac:dyDescent="0.25">
      <c r="B1916" t="s">
        <v>78</v>
      </c>
      <c r="C1916" t="s">
        <v>3781</v>
      </c>
      <c r="D1916" t="s">
        <v>3784</v>
      </c>
      <c r="E1916" t="s">
        <v>3785</v>
      </c>
      <c r="F1916">
        <v>8.0299999999999994</v>
      </c>
      <c r="G1916">
        <v>8.83</v>
      </c>
      <c r="H1916">
        <v>8.83</v>
      </c>
      <c r="I1916">
        <v>8.83</v>
      </c>
      <c r="J1916" s="1">
        <v>8.83</v>
      </c>
      <c r="K1916">
        <v>176600</v>
      </c>
      <c r="L1916">
        <v>20000</v>
      </c>
      <c r="M1916" t="s">
        <v>78</v>
      </c>
      <c r="N1916" t="s">
        <v>17</v>
      </c>
      <c r="O1916">
        <v>3</v>
      </c>
      <c r="P1916">
        <v>9.8000000000000007</v>
      </c>
      <c r="Q1916">
        <v>4.3499999999999996</v>
      </c>
    </row>
    <row r="1917" spans="2:17" x14ac:dyDescent="0.25">
      <c r="B1917" t="s">
        <v>78</v>
      </c>
      <c r="C1917" t="s">
        <v>3781</v>
      </c>
      <c r="D1917" t="s">
        <v>3786</v>
      </c>
      <c r="E1917" t="s">
        <v>3787</v>
      </c>
      <c r="F1917">
        <v>0.86</v>
      </c>
      <c r="G1917">
        <v>0.94</v>
      </c>
      <c r="H1917">
        <v>0.94</v>
      </c>
      <c r="I1917">
        <v>0.93</v>
      </c>
      <c r="J1917" s="1">
        <v>0.93</v>
      </c>
      <c r="K1917">
        <v>1811.22</v>
      </c>
      <c r="L1917">
        <v>1928</v>
      </c>
      <c r="M1917" t="s">
        <v>78</v>
      </c>
      <c r="N1917" t="s">
        <v>17</v>
      </c>
      <c r="O1917">
        <v>9</v>
      </c>
      <c r="P1917">
        <v>0.94</v>
      </c>
      <c r="Q1917">
        <v>0.19</v>
      </c>
    </row>
    <row r="1918" spans="2:17" x14ac:dyDescent="0.25">
      <c r="B1918" t="s">
        <v>78</v>
      </c>
      <c r="C1918" t="s">
        <v>3781</v>
      </c>
      <c r="D1918" t="s">
        <v>3788</v>
      </c>
      <c r="E1918" t="s">
        <v>3789</v>
      </c>
      <c r="F1918">
        <v>11.56</v>
      </c>
      <c r="G1918">
        <v>11.2</v>
      </c>
      <c r="H1918">
        <v>11.85</v>
      </c>
      <c r="I1918">
        <v>11.2</v>
      </c>
      <c r="J1918" s="1">
        <v>11.85</v>
      </c>
      <c r="K1918">
        <v>623242.5</v>
      </c>
      <c r="L1918">
        <v>54695</v>
      </c>
      <c r="M1918" t="s">
        <v>78</v>
      </c>
      <c r="N1918" t="s">
        <v>17</v>
      </c>
      <c r="O1918">
        <v>5</v>
      </c>
      <c r="P1918">
        <v>12.21</v>
      </c>
      <c r="Q1918">
        <v>7.5</v>
      </c>
    </row>
    <row r="1919" spans="2:17" x14ac:dyDescent="0.25">
      <c r="B1919" t="s">
        <v>78</v>
      </c>
      <c r="C1919" t="s">
        <v>3781</v>
      </c>
      <c r="D1919" t="s">
        <v>3790</v>
      </c>
      <c r="E1919" t="s">
        <v>3791</v>
      </c>
      <c r="F1919">
        <v>12.24</v>
      </c>
      <c r="G1919">
        <v>12.43</v>
      </c>
      <c r="H1919">
        <v>12.43</v>
      </c>
      <c r="I1919">
        <v>12.43</v>
      </c>
      <c r="J1919" s="1">
        <v>12.43</v>
      </c>
      <c r="K1919">
        <v>248600</v>
      </c>
      <c r="L1919">
        <v>20000</v>
      </c>
      <c r="M1919" t="s">
        <v>78</v>
      </c>
      <c r="N1919" t="s">
        <v>17</v>
      </c>
      <c r="O1919">
        <v>2</v>
      </c>
      <c r="P1919">
        <v>12.43</v>
      </c>
      <c r="Q1919">
        <v>5.05</v>
      </c>
    </row>
    <row r="1920" spans="2:17" x14ac:dyDescent="0.25">
      <c r="B1920" t="s">
        <v>78</v>
      </c>
      <c r="C1920" t="s">
        <v>3781</v>
      </c>
      <c r="D1920" t="s">
        <v>3792</v>
      </c>
      <c r="E1920" t="s">
        <v>3793</v>
      </c>
      <c r="F1920">
        <v>12.7</v>
      </c>
      <c r="G1920">
        <v>12.4</v>
      </c>
      <c r="H1920">
        <v>12.4</v>
      </c>
      <c r="I1920">
        <v>12.4</v>
      </c>
      <c r="J1920" s="1">
        <v>12.4</v>
      </c>
      <c r="K1920">
        <v>37200</v>
      </c>
      <c r="L1920">
        <v>3000</v>
      </c>
      <c r="M1920" t="s">
        <v>78</v>
      </c>
      <c r="N1920" t="s">
        <v>17</v>
      </c>
      <c r="O1920">
        <v>1</v>
      </c>
      <c r="P1920">
        <v>12.75</v>
      </c>
      <c r="Q1920">
        <v>4.6100000000000003</v>
      </c>
    </row>
    <row r="1921" spans="2:17" x14ac:dyDescent="0.25">
      <c r="B1921" t="s">
        <v>78</v>
      </c>
      <c r="C1921" t="s">
        <v>3781</v>
      </c>
      <c r="D1921" t="s">
        <v>3794</v>
      </c>
      <c r="E1921" t="s">
        <v>3795</v>
      </c>
      <c r="F1921">
        <v>11.27</v>
      </c>
      <c r="G1921">
        <v>11.38</v>
      </c>
      <c r="H1921">
        <v>11.79</v>
      </c>
      <c r="I1921">
        <v>11.38</v>
      </c>
      <c r="J1921" s="1">
        <v>11.79</v>
      </c>
      <c r="K1921">
        <v>355711</v>
      </c>
      <c r="L1921">
        <v>30900</v>
      </c>
      <c r="M1921" t="s">
        <v>78</v>
      </c>
      <c r="N1921" t="s">
        <v>17</v>
      </c>
      <c r="O1921">
        <v>5</v>
      </c>
      <c r="P1921">
        <v>11.79</v>
      </c>
      <c r="Q1921">
        <v>4.67</v>
      </c>
    </row>
    <row r="1922" spans="2:17" x14ac:dyDescent="0.25">
      <c r="B1922" t="s">
        <v>78</v>
      </c>
      <c r="C1922" t="s">
        <v>3680</v>
      </c>
      <c r="D1922" t="s">
        <v>1417</v>
      </c>
      <c r="E1922" t="s">
        <v>3796</v>
      </c>
      <c r="F1922">
        <v>1082.69</v>
      </c>
      <c r="G1922">
        <v>1082.75</v>
      </c>
      <c r="H1922">
        <v>1083.01</v>
      </c>
      <c r="I1922">
        <v>1082.75</v>
      </c>
      <c r="J1922" s="1">
        <v>1083.01</v>
      </c>
      <c r="K1922">
        <v>893347.77</v>
      </c>
      <c r="L1922">
        <v>825</v>
      </c>
      <c r="M1922" t="s">
        <v>78</v>
      </c>
      <c r="N1922" t="s">
        <v>17</v>
      </c>
      <c r="O1922">
        <v>5</v>
      </c>
      <c r="P1922">
        <v>1194</v>
      </c>
      <c r="Q1922">
        <v>1050</v>
      </c>
    </row>
    <row r="1923" spans="2:17" x14ac:dyDescent="0.25">
      <c r="B1923" t="s">
        <v>78</v>
      </c>
      <c r="C1923" t="s">
        <v>3680</v>
      </c>
      <c r="D1923" t="s">
        <v>3275</v>
      </c>
      <c r="E1923" t="s">
        <v>3797</v>
      </c>
      <c r="F1923">
        <v>1006</v>
      </c>
      <c r="G1923">
        <v>1015.05</v>
      </c>
      <c r="H1923">
        <v>1015.05</v>
      </c>
      <c r="I1923">
        <v>1015.05</v>
      </c>
      <c r="J1923" s="1">
        <v>1015.05</v>
      </c>
      <c r="K1923">
        <v>10150.5</v>
      </c>
      <c r="L1923">
        <v>10</v>
      </c>
      <c r="M1923" t="s">
        <v>78</v>
      </c>
      <c r="N1923" t="s">
        <v>17</v>
      </c>
      <c r="O1923">
        <v>1</v>
      </c>
      <c r="P1923">
        <v>1150</v>
      </c>
      <c r="Q1923">
        <v>950</v>
      </c>
    </row>
    <row r="1924" spans="2:17" x14ac:dyDescent="0.25">
      <c r="B1924" t="s">
        <v>78</v>
      </c>
      <c r="C1924" t="s">
        <v>3680</v>
      </c>
      <c r="D1924" t="s">
        <v>3798</v>
      </c>
      <c r="E1924" t="s">
        <v>3799</v>
      </c>
      <c r="F1924">
        <v>1455</v>
      </c>
      <c r="G1924">
        <v>1455</v>
      </c>
      <c r="H1924">
        <v>1455</v>
      </c>
      <c r="I1924">
        <v>1455</v>
      </c>
      <c r="J1924" s="1">
        <v>1455</v>
      </c>
      <c r="K1924">
        <v>7275</v>
      </c>
      <c r="L1924">
        <v>5</v>
      </c>
      <c r="M1924" t="s">
        <v>78</v>
      </c>
      <c r="N1924" t="s">
        <v>17</v>
      </c>
      <c r="O1924">
        <v>1</v>
      </c>
      <c r="P1924">
        <v>1500.76</v>
      </c>
      <c r="Q1924">
        <v>1195</v>
      </c>
    </row>
    <row r="1925" spans="2:17" x14ac:dyDescent="0.25">
      <c r="B1925" t="s">
        <v>78</v>
      </c>
      <c r="C1925" t="s">
        <v>3680</v>
      </c>
      <c r="D1925" t="s">
        <v>3800</v>
      </c>
      <c r="E1925" t="s">
        <v>3801</v>
      </c>
      <c r="F1925">
        <v>1087.9000000000001</v>
      </c>
      <c r="G1925">
        <v>1088.8</v>
      </c>
      <c r="H1925">
        <v>1094.9000000000001</v>
      </c>
      <c r="I1925">
        <v>1086.0999999999999</v>
      </c>
      <c r="J1925" s="1">
        <v>1086.0999999999999</v>
      </c>
      <c r="K1925">
        <v>980079.7</v>
      </c>
      <c r="L1925">
        <v>900</v>
      </c>
      <c r="M1925" t="s">
        <v>78</v>
      </c>
      <c r="N1925" t="s">
        <v>17</v>
      </c>
      <c r="O1925">
        <v>22</v>
      </c>
      <c r="P1925">
        <v>1140</v>
      </c>
      <c r="Q1925">
        <v>1045</v>
      </c>
    </row>
    <row r="1926" spans="2:17" x14ac:dyDescent="0.25">
      <c r="B1926" t="s">
        <v>78</v>
      </c>
      <c r="C1926" t="s">
        <v>3802</v>
      </c>
      <c r="D1926" t="s">
        <v>96</v>
      </c>
      <c r="E1926" t="s">
        <v>3803</v>
      </c>
      <c r="F1926">
        <v>32.83</v>
      </c>
      <c r="G1926">
        <v>32.26</v>
      </c>
      <c r="H1926">
        <v>32.840000000000003</v>
      </c>
      <c r="I1926">
        <v>32.26</v>
      </c>
      <c r="J1926" s="1">
        <v>32.78</v>
      </c>
      <c r="K1926">
        <v>140597.26999999999</v>
      </c>
      <c r="L1926">
        <v>4293</v>
      </c>
      <c r="M1926" t="s">
        <v>78</v>
      </c>
      <c r="N1926" t="s">
        <v>17</v>
      </c>
      <c r="O1926">
        <v>74</v>
      </c>
      <c r="P1926">
        <v>36</v>
      </c>
      <c r="Q1926">
        <v>29.9</v>
      </c>
    </row>
    <row r="1927" spans="2:17" x14ac:dyDescent="0.25">
      <c r="B1927" t="s">
        <v>78</v>
      </c>
      <c r="C1927" t="s">
        <v>3802</v>
      </c>
      <c r="D1927" t="s">
        <v>1286</v>
      </c>
      <c r="E1927" t="s">
        <v>3804</v>
      </c>
      <c r="F1927">
        <v>1217.01</v>
      </c>
      <c r="G1927">
        <v>1210.0999999999999</v>
      </c>
      <c r="H1927">
        <v>1210.5</v>
      </c>
      <c r="I1927">
        <v>1210</v>
      </c>
      <c r="J1927" s="1">
        <v>1210.5</v>
      </c>
      <c r="K1927">
        <v>163362.5</v>
      </c>
      <c r="L1927">
        <v>135</v>
      </c>
      <c r="M1927" t="s">
        <v>78</v>
      </c>
      <c r="N1927" t="s">
        <v>17</v>
      </c>
      <c r="O1927">
        <v>4</v>
      </c>
      <c r="P1927">
        <v>1311</v>
      </c>
      <c r="Q1927">
        <v>1171</v>
      </c>
    </row>
    <row r="1928" spans="2:17" x14ac:dyDescent="0.25">
      <c r="B1928" t="s">
        <v>78</v>
      </c>
      <c r="C1928" t="s">
        <v>3802</v>
      </c>
      <c r="D1928" t="s">
        <v>3805</v>
      </c>
      <c r="E1928" t="s">
        <v>3806</v>
      </c>
      <c r="F1928">
        <v>1139.46</v>
      </c>
      <c r="G1928">
        <v>1226.5</v>
      </c>
      <c r="H1928">
        <v>1226.5</v>
      </c>
      <c r="I1928">
        <v>1226.5</v>
      </c>
      <c r="J1928" s="1">
        <v>1226.5</v>
      </c>
      <c r="K1928">
        <v>1226.5</v>
      </c>
      <c r="L1928">
        <v>1</v>
      </c>
      <c r="M1928" t="s">
        <v>78</v>
      </c>
      <c r="N1928" t="s">
        <v>17</v>
      </c>
      <c r="O1928">
        <v>1</v>
      </c>
      <c r="P1928">
        <v>1390</v>
      </c>
      <c r="Q1928">
        <v>1101.0999999999999</v>
      </c>
    </row>
    <row r="1929" spans="2:17" x14ac:dyDescent="0.25">
      <c r="B1929" t="s">
        <v>78</v>
      </c>
      <c r="C1929" t="s">
        <v>3802</v>
      </c>
      <c r="D1929" t="s">
        <v>3179</v>
      </c>
      <c r="E1929" t="s">
        <v>3807</v>
      </c>
      <c r="F1929">
        <v>1042.25</v>
      </c>
      <c r="G1929">
        <v>1037</v>
      </c>
      <c r="H1929">
        <v>1037</v>
      </c>
      <c r="I1929">
        <v>1022</v>
      </c>
      <c r="J1929" s="1">
        <v>1027.68</v>
      </c>
      <c r="K1929">
        <v>718352.5</v>
      </c>
      <c r="L1929">
        <v>699</v>
      </c>
      <c r="M1929" t="s">
        <v>78</v>
      </c>
      <c r="N1929" t="s">
        <v>17</v>
      </c>
      <c r="O1929">
        <v>8</v>
      </c>
      <c r="P1929">
        <v>1178.6500000000001</v>
      </c>
      <c r="Q1929">
        <v>945.6</v>
      </c>
    </row>
    <row r="1930" spans="2:17" x14ac:dyDescent="0.25">
      <c r="B1930" t="s">
        <v>78</v>
      </c>
      <c r="C1930" t="s">
        <v>3802</v>
      </c>
      <c r="D1930" t="s">
        <v>3808</v>
      </c>
      <c r="E1930" t="s">
        <v>3809</v>
      </c>
      <c r="F1930">
        <v>1632</v>
      </c>
      <c r="G1930">
        <v>1632</v>
      </c>
      <c r="H1930">
        <v>1632</v>
      </c>
      <c r="I1930">
        <v>1632</v>
      </c>
      <c r="J1930" s="1">
        <v>1632</v>
      </c>
      <c r="K1930">
        <v>9792</v>
      </c>
      <c r="L1930">
        <v>6</v>
      </c>
      <c r="M1930" t="s">
        <v>78</v>
      </c>
      <c r="N1930" t="s">
        <v>17</v>
      </c>
      <c r="O1930">
        <v>1</v>
      </c>
      <c r="P1930">
        <v>1999.99</v>
      </c>
      <c r="Q1930">
        <v>1228.45</v>
      </c>
    </row>
    <row r="1931" spans="2:17" x14ac:dyDescent="0.25">
      <c r="B1931" t="s">
        <v>78</v>
      </c>
      <c r="C1931" t="s">
        <v>3802</v>
      </c>
      <c r="D1931" t="s">
        <v>1417</v>
      </c>
      <c r="E1931" t="s">
        <v>3810</v>
      </c>
      <c r="F1931">
        <v>1246</v>
      </c>
      <c r="G1931">
        <v>1236</v>
      </c>
      <c r="H1931">
        <v>1240.25</v>
      </c>
      <c r="I1931">
        <v>1236</v>
      </c>
      <c r="J1931" s="1">
        <v>1240.25</v>
      </c>
      <c r="K1931">
        <v>16119</v>
      </c>
      <c r="L1931">
        <v>13</v>
      </c>
      <c r="M1931" t="s">
        <v>78</v>
      </c>
      <c r="N1931" t="s">
        <v>17</v>
      </c>
      <c r="O1931">
        <v>3</v>
      </c>
      <c r="P1931">
        <v>1298.9000000000001</v>
      </c>
      <c r="Q1931">
        <v>1175</v>
      </c>
    </row>
    <row r="1932" spans="2:17" x14ac:dyDescent="0.25">
      <c r="B1932" t="s">
        <v>78</v>
      </c>
      <c r="C1932" t="s">
        <v>3802</v>
      </c>
      <c r="D1932" t="s">
        <v>1682</v>
      </c>
      <c r="E1932" t="s">
        <v>3811</v>
      </c>
      <c r="F1932">
        <v>1113</v>
      </c>
      <c r="G1932">
        <v>1084</v>
      </c>
      <c r="H1932">
        <v>1100.25</v>
      </c>
      <c r="I1932">
        <v>1084</v>
      </c>
      <c r="J1932" s="1">
        <v>1100.25</v>
      </c>
      <c r="K1932">
        <v>68020.5</v>
      </c>
      <c r="L1932">
        <v>62</v>
      </c>
      <c r="M1932" t="s">
        <v>78</v>
      </c>
      <c r="N1932" t="s">
        <v>17</v>
      </c>
      <c r="O1932">
        <v>3</v>
      </c>
      <c r="P1932">
        <v>1229</v>
      </c>
      <c r="Q1932">
        <v>1049.5</v>
      </c>
    </row>
    <row r="1933" spans="2:17" x14ac:dyDescent="0.25">
      <c r="B1933" t="s">
        <v>78</v>
      </c>
      <c r="C1933" t="s">
        <v>3802</v>
      </c>
      <c r="D1933" t="s">
        <v>3798</v>
      </c>
      <c r="E1933" t="s">
        <v>3812</v>
      </c>
      <c r="F1933">
        <v>1239</v>
      </c>
      <c r="G1933">
        <v>1238.02</v>
      </c>
      <c r="H1933">
        <v>1247.98</v>
      </c>
      <c r="I1933">
        <v>1238</v>
      </c>
      <c r="J1933" s="1">
        <v>1243.06</v>
      </c>
      <c r="K1933">
        <v>4095155.06</v>
      </c>
      <c r="L1933">
        <v>3303</v>
      </c>
      <c r="M1933" t="s">
        <v>78</v>
      </c>
      <c r="N1933" t="s">
        <v>17</v>
      </c>
      <c r="O1933">
        <v>13</v>
      </c>
      <c r="P1933">
        <v>1304.8</v>
      </c>
      <c r="Q1933">
        <v>1181</v>
      </c>
    </row>
    <row r="1934" spans="2:17" x14ac:dyDescent="0.25">
      <c r="B1934" t="s">
        <v>78</v>
      </c>
      <c r="C1934" t="s">
        <v>3802</v>
      </c>
      <c r="D1934" t="s">
        <v>3800</v>
      </c>
      <c r="E1934" t="s">
        <v>3813</v>
      </c>
      <c r="F1934">
        <v>1255.3</v>
      </c>
      <c r="G1934">
        <v>1260.5</v>
      </c>
      <c r="H1934">
        <v>1260.5</v>
      </c>
      <c r="I1934">
        <v>1256.3</v>
      </c>
      <c r="J1934" s="1">
        <v>1256.3</v>
      </c>
      <c r="K1934">
        <v>1296078</v>
      </c>
      <c r="L1934">
        <v>1030</v>
      </c>
      <c r="M1934" t="s">
        <v>78</v>
      </c>
      <c r="N1934" t="s">
        <v>17</v>
      </c>
      <c r="O1934">
        <v>9</v>
      </c>
      <c r="P1934">
        <v>1294.9000000000001</v>
      </c>
      <c r="Q1934">
        <v>1176</v>
      </c>
    </row>
    <row r="1935" spans="2:17" x14ac:dyDescent="0.25">
      <c r="B1935" t="s">
        <v>78</v>
      </c>
      <c r="C1935" t="s">
        <v>3802</v>
      </c>
      <c r="D1935" t="s">
        <v>148</v>
      </c>
      <c r="E1935" t="s">
        <v>3814</v>
      </c>
      <c r="F1935">
        <v>1546</v>
      </c>
      <c r="G1935">
        <v>1281</v>
      </c>
      <c r="H1935">
        <v>1854</v>
      </c>
      <c r="I1935">
        <v>1281</v>
      </c>
      <c r="J1935" s="1">
        <v>1320</v>
      </c>
      <c r="K1935">
        <v>275225.03999999998</v>
      </c>
      <c r="L1935">
        <v>187</v>
      </c>
      <c r="M1935" t="s">
        <v>78</v>
      </c>
      <c r="N1935" t="s">
        <v>17</v>
      </c>
      <c r="O1935">
        <v>16</v>
      </c>
      <c r="P1935">
        <v>1854</v>
      </c>
      <c r="Q1935">
        <v>1225</v>
      </c>
    </row>
    <row r="1936" spans="2:17" x14ac:dyDescent="0.25">
      <c r="B1936" t="s">
        <v>78</v>
      </c>
      <c r="C1936" t="s">
        <v>3802</v>
      </c>
      <c r="D1936" t="s">
        <v>3815</v>
      </c>
      <c r="E1936" t="s">
        <v>3816</v>
      </c>
      <c r="F1936">
        <v>1048.03</v>
      </c>
      <c r="G1936">
        <v>1048.03</v>
      </c>
      <c r="H1936">
        <v>1048.03</v>
      </c>
      <c r="I1936">
        <v>1045</v>
      </c>
      <c r="J1936" s="1">
        <v>1045</v>
      </c>
      <c r="K1936">
        <v>684057.53</v>
      </c>
      <c r="L1936">
        <v>654</v>
      </c>
      <c r="M1936" t="s">
        <v>78</v>
      </c>
      <c r="N1936" t="s">
        <v>17</v>
      </c>
      <c r="O1936">
        <v>46</v>
      </c>
      <c r="P1936">
        <v>1160</v>
      </c>
      <c r="Q1936">
        <v>950</v>
      </c>
    </row>
    <row r="1937" spans="2:17" x14ac:dyDescent="0.25">
      <c r="B1937" t="s">
        <v>78</v>
      </c>
      <c r="C1937" t="s">
        <v>3817</v>
      </c>
      <c r="D1937" t="s">
        <v>1286</v>
      </c>
      <c r="E1937" t="s">
        <v>3818</v>
      </c>
      <c r="F1937">
        <v>1054.83</v>
      </c>
      <c r="G1937">
        <v>1056</v>
      </c>
      <c r="H1937">
        <v>1056</v>
      </c>
      <c r="I1937">
        <v>1055.01</v>
      </c>
      <c r="J1937" s="1">
        <v>1055.01</v>
      </c>
      <c r="K1937">
        <v>1007633.55</v>
      </c>
      <c r="L1937">
        <v>955</v>
      </c>
      <c r="M1937" t="s">
        <v>78</v>
      </c>
      <c r="N1937" t="s">
        <v>17</v>
      </c>
      <c r="O1937">
        <v>7</v>
      </c>
      <c r="P1937">
        <v>1320</v>
      </c>
      <c r="Q1937">
        <v>1000</v>
      </c>
    </row>
    <row r="1938" spans="2:17" x14ac:dyDescent="0.25">
      <c r="B1938" t="s">
        <v>78</v>
      </c>
      <c r="C1938" t="s">
        <v>3817</v>
      </c>
      <c r="D1938" t="s">
        <v>3179</v>
      </c>
      <c r="E1938" t="s">
        <v>3819</v>
      </c>
      <c r="F1938">
        <v>1254.01</v>
      </c>
      <c r="G1938">
        <v>1252.3</v>
      </c>
      <c r="H1938">
        <v>1252.3</v>
      </c>
      <c r="I1938">
        <v>1252.3</v>
      </c>
      <c r="J1938" s="1">
        <v>1252.3</v>
      </c>
      <c r="K1938">
        <v>12523</v>
      </c>
      <c r="L1938">
        <v>10</v>
      </c>
      <c r="M1938" t="s">
        <v>78</v>
      </c>
      <c r="N1938" t="s">
        <v>17</v>
      </c>
      <c r="O1938">
        <v>1</v>
      </c>
      <c r="P1938">
        <v>1280</v>
      </c>
      <c r="Q1938">
        <v>1050.0999999999999</v>
      </c>
    </row>
    <row r="1939" spans="2:17" x14ac:dyDescent="0.25">
      <c r="B1939" t="s">
        <v>78</v>
      </c>
      <c r="C1939" t="s">
        <v>3817</v>
      </c>
      <c r="D1939" t="s">
        <v>1417</v>
      </c>
      <c r="E1939" t="s">
        <v>3820</v>
      </c>
      <c r="F1939">
        <v>1102.7</v>
      </c>
      <c r="G1939">
        <v>1129</v>
      </c>
      <c r="H1939">
        <v>1129</v>
      </c>
      <c r="I1939">
        <v>1092</v>
      </c>
      <c r="J1939" s="1">
        <v>1093</v>
      </c>
      <c r="K1939">
        <v>159923.64000000001</v>
      </c>
      <c r="L1939">
        <v>146</v>
      </c>
      <c r="M1939" t="s">
        <v>78</v>
      </c>
      <c r="N1939" t="s">
        <v>17</v>
      </c>
      <c r="O1939">
        <v>7</v>
      </c>
      <c r="P1939">
        <v>1266</v>
      </c>
      <c r="Q1939">
        <v>1050</v>
      </c>
    </row>
    <row r="1940" spans="2:17" x14ac:dyDescent="0.25">
      <c r="B1940" t="s">
        <v>78</v>
      </c>
      <c r="C1940" t="s">
        <v>3821</v>
      </c>
      <c r="D1940" t="s">
        <v>3822</v>
      </c>
      <c r="E1940" t="s">
        <v>3823</v>
      </c>
      <c r="F1940">
        <v>1020.46</v>
      </c>
      <c r="G1940">
        <v>1010.2</v>
      </c>
      <c r="H1940">
        <v>1020.1</v>
      </c>
      <c r="I1940">
        <v>1010.2</v>
      </c>
      <c r="J1940" s="1">
        <v>1020.1</v>
      </c>
      <c r="K1940">
        <v>53796.1</v>
      </c>
      <c r="L1940">
        <v>53</v>
      </c>
      <c r="M1940" t="s">
        <v>78</v>
      </c>
      <c r="N1940" t="s">
        <v>17</v>
      </c>
      <c r="O1940">
        <v>3</v>
      </c>
      <c r="P1940">
        <v>1098.75</v>
      </c>
      <c r="Q1940">
        <v>850</v>
      </c>
    </row>
    <row r="1941" spans="2:17" x14ac:dyDescent="0.25">
      <c r="B1941" t="s">
        <v>78</v>
      </c>
      <c r="C1941" t="s">
        <v>3821</v>
      </c>
      <c r="D1941" t="s">
        <v>3824</v>
      </c>
      <c r="E1941" t="s">
        <v>3825</v>
      </c>
      <c r="F1941">
        <v>360</v>
      </c>
      <c r="G1941">
        <v>360</v>
      </c>
      <c r="H1941">
        <v>360.41</v>
      </c>
      <c r="I1941">
        <v>360</v>
      </c>
      <c r="J1941" s="1">
        <v>360.41</v>
      </c>
      <c r="K1941">
        <v>16931.07</v>
      </c>
      <c r="L1941">
        <v>47</v>
      </c>
      <c r="M1941" t="s">
        <v>78</v>
      </c>
      <c r="N1941" t="s">
        <v>17</v>
      </c>
      <c r="O1941">
        <v>2</v>
      </c>
      <c r="P1941">
        <v>500</v>
      </c>
      <c r="Q1941">
        <v>253.68</v>
      </c>
    </row>
    <row r="1942" spans="2:17" x14ac:dyDescent="0.25">
      <c r="B1942" t="s">
        <v>78</v>
      </c>
      <c r="C1942" t="s">
        <v>3821</v>
      </c>
      <c r="D1942" t="s">
        <v>3826</v>
      </c>
      <c r="E1942" t="s">
        <v>3827</v>
      </c>
      <c r="F1942">
        <v>971.8</v>
      </c>
      <c r="G1942">
        <v>971.8</v>
      </c>
      <c r="H1942">
        <v>983.8</v>
      </c>
      <c r="I1942">
        <v>970</v>
      </c>
      <c r="J1942" s="1">
        <v>983.8</v>
      </c>
      <c r="K1942">
        <v>744683.2</v>
      </c>
      <c r="L1942">
        <v>764</v>
      </c>
      <c r="M1942" t="s">
        <v>78</v>
      </c>
      <c r="N1942" t="s">
        <v>17</v>
      </c>
      <c r="O1942">
        <v>14</v>
      </c>
      <c r="P1942">
        <v>1050</v>
      </c>
      <c r="Q1942">
        <v>800</v>
      </c>
    </row>
    <row r="1943" spans="2:17" x14ac:dyDescent="0.25">
      <c r="B1943" t="s">
        <v>78</v>
      </c>
      <c r="C1943" t="s">
        <v>3821</v>
      </c>
      <c r="D1943" t="s">
        <v>3828</v>
      </c>
      <c r="E1943" t="s">
        <v>3829</v>
      </c>
      <c r="F1943">
        <v>1255</v>
      </c>
      <c r="G1943">
        <v>1255</v>
      </c>
      <c r="H1943">
        <v>1255</v>
      </c>
      <c r="I1943">
        <v>1255</v>
      </c>
      <c r="J1943" s="1">
        <v>1255</v>
      </c>
      <c r="K1943">
        <v>12550</v>
      </c>
      <c r="L1943">
        <v>10</v>
      </c>
      <c r="M1943" t="s">
        <v>78</v>
      </c>
      <c r="N1943" t="s">
        <v>17</v>
      </c>
      <c r="O1943">
        <v>1</v>
      </c>
      <c r="P1943">
        <v>1255</v>
      </c>
      <c r="Q1943">
        <v>909</v>
      </c>
    </row>
    <row r="1944" spans="2:17" x14ac:dyDescent="0.25">
      <c r="B1944" t="s">
        <v>78</v>
      </c>
      <c r="C1944" t="s">
        <v>3821</v>
      </c>
      <c r="D1944" t="s">
        <v>3805</v>
      </c>
      <c r="E1944" t="s">
        <v>3830</v>
      </c>
      <c r="F1944">
        <v>1419</v>
      </c>
      <c r="G1944">
        <v>1420.55</v>
      </c>
      <c r="H1944">
        <v>1433</v>
      </c>
      <c r="I1944">
        <v>1420.55</v>
      </c>
      <c r="J1944" s="1">
        <v>1433</v>
      </c>
      <c r="K1944">
        <v>1427778</v>
      </c>
      <c r="L1944">
        <v>1000</v>
      </c>
      <c r="M1944" t="s">
        <v>78</v>
      </c>
      <c r="N1944" t="s">
        <v>17</v>
      </c>
      <c r="O1944">
        <v>11</v>
      </c>
      <c r="P1944">
        <v>1494</v>
      </c>
      <c r="Q1944">
        <v>1325.1</v>
      </c>
    </row>
    <row r="1945" spans="2:17" x14ac:dyDescent="0.25">
      <c r="B1945" t="s">
        <v>78</v>
      </c>
      <c r="C1945" t="s">
        <v>3821</v>
      </c>
      <c r="D1945" t="s">
        <v>3179</v>
      </c>
      <c r="E1945" t="s">
        <v>3831</v>
      </c>
      <c r="F1945">
        <v>1029.8599999999999</v>
      </c>
      <c r="G1945">
        <v>1029.8</v>
      </c>
      <c r="H1945">
        <v>1029.8</v>
      </c>
      <c r="I1945">
        <v>1014.6</v>
      </c>
      <c r="J1945" s="1">
        <v>1019.99</v>
      </c>
      <c r="K1945">
        <v>1924120</v>
      </c>
      <c r="L1945">
        <v>1888</v>
      </c>
      <c r="M1945" t="s">
        <v>78</v>
      </c>
      <c r="N1945" t="s">
        <v>17</v>
      </c>
      <c r="O1945">
        <v>61</v>
      </c>
      <c r="P1945">
        <v>1057.8</v>
      </c>
      <c r="Q1945">
        <v>985.52</v>
      </c>
    </row>
    <row r="1946" spans="2:17" x14ac:dyDescent="0.25">
      <c r="B1946" t="s">
        <v>78</v>
      </c>
      <c r="C1946" t="s">
        <v>3821</v>
      </c>
      <c r="D1946" t="s">
        <v>148</v>
      </c>
      <c r="E1946" t="s">
        <v>3832</v>
      </c>
      <c r="F1946">
        <v>1159.79</v>
      </c>
      <c r="G1946">
        <v>1141</v>
      </c>
      <c r="H1946">
        <v>1156</v>
      </c>
      <c r="I1946">
        <v>1141</v>
      </c>
      <c r="J1946" s="1">
        <v>1156</v>
      </c>
      <c r="K1946">
        <v>155535</v>
      </c>
      <c r="L1946">
        <v>135</v>
      </c>
      <c r="M1946" t="s">
        <v>78</v>
      </c>
      <c r="N1946" t="s">
        <v>17</v>
      </c>
      <c r="O1946">
        <v>2</v>
      </c>
      <c r="P1946">
        <v>1339</v>
      </c>
      <c r="Q1946">
        <v>1102.18</v>
      </c>
    </row>
    <row r="1947" spans="2:17" x14ac:dyDescent="0.25">
      <c r="B1947" t="s">
        <v>78</v>
      </c>
      <c r="C1947" t="s">
        <v>3821</v>
      </c>
      <c r="D1947" t="s">
        <v>258</v>
      </c>
      <c r="E1947" t="s">
        <v>3833</v>
      </c>
      <c r="F1947">
        <v>1085.33</v>
      </c>
      <c r="G1947">
        <v>1100</v>
      </c>
      <c r="H1947">
        <v>1100</v>
      </c>
      <c r="I1947">
        <v>1085</v>
      </c>
      <c r="J1947" s="1">
        <v>1086</v>
      </c>
      <c r="K1947">
        <v>885325</v>
      </c>
      <c r="L1947">
        <v>815</v>
      </c>
      <c r="M1947" t="s">
        <v>78</v>
      </c>
      <c r="N1947" t="s">
        <v>17</v>
      </c>
      <c r="O1947">
        <v>11</v>
      </c>
      <c r="P1947">
        <v>1200</v>
      </c>
      <c r="Q1947">
        <v>1045</v>
      </c>
    </row>
    <row r="1948" spans="2:17" x14ac:dyDescent="0.25">
      <c r="B1948" t="s">
        <v>78</v>
      </c>
      <c r="C1948" t="s">
        <v>3821</v>
      </c>
      <c r="D1948" t="s">
        <v>3815</v>
      </c>
      <c r="E1948" t="s">
        <v>3834</v>
      </c>
      <c r="F1948">
        <v>1079.99</v>
      </c>
      <c r="G1948">
        <v>1080</v>
      </c>
      <c r="H1948">
        <v>1080</v>
      </c>
      <c r="I1948">
        <v>1080</v>
      </c>
      <c r="J1948" s="1">
        <v>1080</v>
      </c>
      <c r="K1948">
        <v>1080</v>
      </c>
      <c r="L1948">
        <v>1</v>
      </c>
      <c r="M1948" t="s">
        <v>78</v>
      </c>
      <c r="N1948" t="s">
        <v>17</v>
      </c>
      <c r="O1948">
        <v>1</v>
      </c>
      <c r="P1948">
        <v>1272</v>
      </c>
      <c r="Q1948">
        <v>925.4</v>
      </c>
    </row>
    <row r="1949" spans="2:17" x14ac:dyDescent="0.25">
      <c r="B1949" t="s">
        <v>78</v>
      </c>
      <c r="C1949" t="s">
        <v>3835</v>
      </c>
      <c r="D1949" t="s">
        <v>3822</v>
      </c>
      <c r="E1949" t="s">
        <v>3823</v>
      </c>
      <c r="F1949">
        <v>1270</v>
      </c>
      <c r="G1949">
        <v>1241.2</v>
      </c>
      <c r="H1949">
        <v>1270.0999999999999</v>
      </c>
      <c r="I1949">
        <v>1240.0999999999999</v>
      </c>
      <c r="J1949" s="1">
        <v>1270.0999999999999</v>
      </c>
      <c r="K1949">
        <v>474071.3</v>
      </c>
      <c r="L1949">
        <v>375</v>
      </c>
      <c r="M1949" t="s">
        <v>78</v>
      </c>
      <c r="N1949" t="s">
        <v>17</v>
      </c>
      <c r="O1949">
        <v>13</v>
      </c>
      <c r="P1949">
        <v>1289</v>
      </c>
      <c r="Q1949">
        <v>801.05</v>
      </c>
    </row>
    <row r="1950" spans="2:17" x14ac:dyDescent="0.25">
      <c r="B1950" t="s">
        <v>78</v>
      </c>
      <c r="C1950" t="s">
        <v>3835</v>
      </c>
      <c r="D1950" t="s">
        <v>3826</v>
      </c>
      <c r="E1950" t="s">
        <v>3836</v>
      </c>
      <c r="F1950">
        <v>924</v>
      </c>
      <c r="G1950">
        <v>918</v>
      </c>
      <c r="H1950">
        <v>920</v>
      </c>
      <c r="I1950">
        <v>905</v>
      </c>
      <c r="J1950" s="1">
        <v>920</v>
      </c>
      <c r="K1950">
        <v>190496.35</v>
      </c>
      <c r="L1950">
        <v>209</v>
      </c>
      <c r="M1950" t="s">
        <v>78</v>
      </c>
      <c r="N1950" t="s">
        <v>17</v>
      </c>
      <c r="O1950">
        <v>10</v>
      </c>
      <c r="P1950">
        <v>940</v>
      </c>
      <c r="Q1950">
        <v>720.1</v>
      </c>
    </row>
    <row r="1951" spans="2:17" x14ac:dyDescent="0.25">
      <c r="B1951" t="s">
        <v>78</v>
      </c>
      <c r="C1951" t="s">
        <v>3835</v>
      </c>
      <c r="D1951" t="s">
        <v>1286</v>
      </c>
      <c r="E1951" t="s">
        <v>3837</v>
      </c>
      <c r="F1951">
        <v>1199.8</v>
      </c>
      <c r="G1951">
        <v>1190</v>
      </c>
      <c r="H1951">
        <v>1190</v>
      </c>
      <c r="I1951">
        <v>1190</v>
      </c>
      <c r="J1951" s="1">
        <v>1190</v>
      </c>
      <c r="K1951">
        <v>29750</v>
      </c>
      <c r="L1951">
        <v>25</v>
      </c>
      <c r="M1951" t="s">
        <v>78</v>
      </c>
      <c r="N1951" t="s">
        <v>17</v>
      </c>
      <c r="O1951">
        <v>1</v>
      </c>
      <c r="P1951">
        <v>1279.8900000000001</v>
      </c>
      <c r="Q1951">
        <v>1150.25</v>
      </c>
    </row>
    <row r="1952" spans="2:17" x14ac:dyDescent="0.25">
      <c r="B1952" t="s">
        <v>78</v>
      </c>
      <c r="C1952" t="s">
        <v>3835</v>
      </c>
      <c r="D1952" t="s">
        <v>3179</v>
      </c>
      <c r="E1952" t="s">
        <v>3838</v>
      </c>
      <c r="F1952">
        <v>1055</v>
      </c>
      <c r="G1952">
        <v>1041</v>
      </c>
      <c r="H1952">
        <v>1060</v>
      </c>
      <c r="I1952">
        <v>1040.5999999999999</v>
      </c>
      <c r="J1952" s="1">
        <v>1056</v>
      </c>
      <c r="K1952">
        <v>400369</v>
      </c>
      <c r="L1952">
        <v>381</v>
      </c>
      <c r="M1952" t="s">
        <v>78</v>
      </c>
      <c r="N1952" t="s">
        <v>17</v>
      </c>
      <c r="O1952">
        <v>8</v>
      </c>
      <c r="P1952">
        <v>1199</v>
      </c>
      <c r="Q1952">
        <v>831</v>
      </c>
    </row>
    <row r="1953" spans="2:17" x14ac:dyDescent="0.25">
      <c r="B1953" t="s">
        <v>78</v>
      </c>
      <c r="C1953" t="s">
        <v>3835</v>
      </c>
      <c r="D1953" t="s">
        <v>1417</v>
      </c>
      <c r="E1953" t="s">
        <v>3839</v>
      </c>
      <c r="F1953">
        <v>1088</v>
      </c>
      <c r="G1953">
        <v>1089</v>
      </c>
      <c r="H1953">
        <v>1089</v>
      </c>
      <c r="I1953">
        <v>1089</v>
      </c>
      <c r="J1953" s="1">
        <v>1089</v>
      </c>
      <c r="K1953">
        <v>1089</v>
      </c>
      <c r="L1953">
        <v>1</v>
      </c>
      <c r="M1953" t="s">
        <v>78</v>
      </c>
      <c r="N1953" t="s">
        <v>17</v>
      </c>
      <c r="O1953">
        <v>1</v>
      </c>
      <c r="P1953">
        <v>1425</v>
      </c>
      <c r="Q1953">
        <v>1052.0999999999999</v>
      </c>
    </row>
    <row r="1954" spans="2:17" x14ac:dyDescent="0.25">
      <c r="B1954" t="s">
        <v>78</v>
      </c>
      <c r="C1954" t="s">
        <v>3835</v>
      </c>
      <c r="D1954" t="s">
        <v>1935</v>
      </c>
      <c r="E1954" t="s">
        <v>3840</v>
      </c>
      <c r="F1954">
        <v>1279.99</v>
      </c>
      <c r="G1954">
        <v>1284.99</v>
      </c>
      <c r="H1954">
        <v>1285</v>
      </c>
      <c r="I1954">
        <v>1284.99</v>
      </c>
      <c r="J1954" s="1">
        <v>1284.99</v>
      </c>
      <c r="K1954">
        <v>1252871</v>
      </c>
      <c r="L1954">
        <v>975</v>
      </c>
      <c r="M1954" t="s">
        <v>78</v>
      </c>
      <c r="N1954" t="s">
        <v>17</v>
      </c>
      <c r="O1954">
        <v>3</v>
      </c>
      <c r="P1954">
        <v>1409.9</v>
      </c>
      <c r="Q1954">
        <v>1230.2</v>
      </c>
    </row>
    <row r="1955" spans="2:17" x14ac:dyDescent="0.25">
      <c r="B1955" t="s">
        <v>78</v>
      </c>
      <c r="C1955" t="s">
        <v>3841</v>
      </c>
      <c r="D1955" t="s">
        <v>3822</v>
      </c>
      <c r="E1955" t="s">
        <v>3823</v>
      </c>
      <c r="F1955">
        <v>1005</v>
      </c>
      <c r="G1955">
        <v>1005</v>
      </c>
      <c r="H1955">
        <v>1005</v>
      </c>
      <c r="I1955">
        <v>1000</v>
      </c>
      <c r="J1955" s="1">
        <v>1002.5</v>
      </c>
      <c r="K1955">
        <v>162660</v>
      </c>
      <c r="L1955">
        <v>162</v>
      </c>
      <c r="M1955" t="s">
        <v>78</v>
      </c>
      <c r="N1955" t="s">
        <v>17</v>
      </c>
      <c r="O1955">
        <v>12</v>
      </c>
      <c r="P1955">
        <v>1087</v>
      </c>
      <c r="Q1955">
        <v>760</v>
      </c>
    </row>
    <row r="1956" spans="2:17" x14ac:dyDescent="0.25">
      <c r="B1956" t="s">
        <v>78</v>
      </c>
      <c r="C1956" t="s">
        <v>3841</v>
      </c>
      <c r="D1956" t="s">
        <v>3824</v>
      </c>
      <c r="E1956" t="s">
        <v>3842</v>
      </c>
      <c r="F1956">
        <v>370</v>
      </c>
      <c r="G1956">
        <v>367</v>
      </c>
      <c r="H1956">
        <v>367</v>
      </c>
      <c r="I1956">
        <v>367</v>
      </c>
      <c r="J1956" s="1">
        <v>367</v>
      </c>
      <c r="K1956">
        <v>3670</v>
      </c>
      <c r="L1956">
        <v>10</v>
      </c>
      <c r="M1956" t="s">
        <v>78</v>
      </c>
      <c r="N1956" t="s">
        <v>17</v>
      </c>
      <c r="O1956">
        <v>1</v>
      </c>
      <c r="P1956">
        <v>390</v>
      </c>
      <c r="Q1956">
        <v>235.8</v>
      </c>
    </row>
    <row r="1957" spans="2:17" x14ac:dyDescent="0.25">
      <c r="B1957" t="s">
        <v>78</v>
      </c>
      <c r="C1957" t="s">
        <v>3841</v>
      </c>
      <c r="D1957" t="s">
        <v>3843</v>
      </c>
      <c r="E1957" t="s">
        <v>3844</v>
      </c>
      <c r="F1957">
        <v>963.32</v>
      </c>
      <c r="G1957">
        <v>963.3</v>
      </c>
      <c r="H1957">
        <v>967.9</v>
      </c>
      <c r="I1957">
        <v>954</v>
      </c>
      <c r="J1957" s="1">
        <v>954</v>
      </c>
      <c r="K1957">
        <v>301433</v>
      </c>
      <c r="L1957">
        <v>314</v>
      </c>
      <c r="M1957" t="s">
        <v>78</v>
      </c>
      <c r="N1957" t="s">
        <v>17</v>
      </c>
      <c r="O1957">
        <v>14</v>
      </c>
      <c r="P1957">
        <v>1047.5</v>
      </c>
      <c r="Q1957">
        <v>650.11</v>
      </c>
    </row>
    <row r="1958" spans="2:17" x14ac:dyDescent="0.25">
      <c r="B1958" t="s">
        <v>78</v>
      </c>
      <c r="C1958" t="s">
        <v>3841</v>
      </c>
      <c r="D1958" t="s">
        <v>3826</v>
      </c>
      <c r="E1958" t="s">
        <v>3845</v>
      </c>
      <c r="F1958">
        <v>916.8</v>
      </c>
      <c r="G1958">
        <v>927.8</v>
      </c>
      <c r="H1958">
        <v>927.8</v>
      </c>
      <c r="I1958">
        <v>927.8</v>
      </c>
      <c r="J1958" s="1">
        <v>927.8</v>
      </c>
      <c r="K1958">
        <v>92780</v>
      </c>
      <c r="L1958">
        <v>100</v>
      </c>
      <c r="M1958" t="s">
        <v>78</v>
      </c>
      <c r="N1958" t="s">
        <v>17</v>
      </c>
      <c r="O1958">
        <v>1</v>
      </c>
      <c r="P1958">
        <v>945</v>
      </c>
      <c r="Q1958">
        <v>650.01</v>
      </c>
    </row>
    <row r="1959" spans="2:17" x14ac:dyDescent="0.25">
      <c r="B1959" t="s">
        <v>78</v>
      </c>
      <c r="C1959" t="s">
        <v>3841</v>
      </c>
      <c r="D1959" t="s">
        <v>3828</v>
      </c>
      <c r="E1959" t="s">
        <v>3846</v>
      </c>
      <c r="F1959">
        <v>1065</v>
      </c>
      <c r="G1959">
        <v>1062.8</v>
      </c>
      <c r="H1959">
        <v>1062.8</v>
      </c>
      <c r="I1959">
        <v>1062.8</v>
      </c>
      <c r="J1959" s="1">
        <v>1062.8</v>
      </c>
      <c r="K1959">
        <v>10628</v>
      </c>
      <c r="L1959">
        <v>10</v>
      </c>
      <c r="M1959" t="s">
        <v>78</v>
      </c>
      <c r="N1959" t="s">
        <v>17</v>
      </c>
      <c r="O1959">
        <v>1</v>
      </c>
      <c r="P1959">
        <v>1080</v>
      </c>
      <c r="Q1959">
        <v>902</v>
      </c>
    </row>
    <row r="1960" spans="2:17" x14ac:dyDescent="0.25">
      <c r="B1960" t="s">
        <v>78</v>
      </c>
      <c r="C1960" t="s">
        <v>3841</v>
      </c>
      <c r="D1960" t="s">
        <v>1292</v>
      </c>
      <c r="E1960" t="s">
        <v>3847</v>
      </c>
      <c r="F1960">
        <v>1054.9000000000001</v>
      </c>
      <c r="G1960">
        <v>1052.3</v>
      </c>
      <c r="H1960">
        <v>1052.3</v>
      </c>
      <c r="I1960">
        <v>1052.3</v>
      </c>
      <c r="J1960" s="1">
        <v>1052.3</v>
      </c>
      <c r="K1960">
        <v>52615</v>
      </c>
      <c r="L1960">
        <v>50</v>
      </c>
      <c r="M1960" t="s">
        <v>78</v>
      </c>
      <c r="N1960" t="s">
        <v>17</v>
      </c>
      <c r="O1960">
        <v>1</v>
      </c>
      <c r="P1960">
        <v>1182</v>
      </c>
      <c r="Q1960">
        <v>805.2</v>
      </c>
    </row>
    <row r="1961" spans="2:17" x14ac:dyDescent="0.25">
      <c r="B1961" t="s">
        <v>78</v>
      </c>
      <c r="C1961" t="s">
        <v>3841</v>
      </c>
      <c r="D1961" t="s">
        <v>3179</v>
      </c>
      <c r="E1961" t="s">
        <v>3848</v>
      </c>
      <c r="F1961">
        <v>1003.41</v>
      </c>
      <c r="G1961">
        <v>1010</v>
      </c>
      <c r="H1961">
        <v>1010</v>
      </c>
      <c r="I1961">
        <v>1010</v>
      </c>
      <c r="J1961" s="1">
        <v>1010</v>
      </c>
      <c r="K1961">
        <v>14140</v>
      </c>
      <c r="L1961">
        <v>14</v>
      </c>
      <c r="M1961" t="s">
        <v>78</v>
      </c>
      <c r="N1961" t="s">
        <v>17</v>
      </c>
      <c r="O1961">
        <v>1</v>
      </c>
      <c r="P1961">
        <v>1085</v>
      </c>
      <c r="Q1961">
        <v>930</v>
      </c>
    </row>
    <row r="1962" spans="2:17" x14ac:dyDescent="0.25">
      <c r="B1962" t="s">
        <v>78</v>
      </c>
      <c r="C1962" t="s">
        <v>3841</v>
      </c>
      <c r="D1962" t="s">
        <v>3800</v>
      </c>
      <c r="E1962" t="s">
        <v>3849</v>
      </c>
      <c r="F1962">
        <v>1275.99</v>
      </c>
      <c r="G1962">
        <v>1276</v>
      </c>
      <c r="H1962">
        <v>1284</v>
      </c>
      <c r="I1962">
        <v>1275.05</v>
      </c>
      <c r="J1962" s="1">
        <v>1280</v>
      </c>
      <c r="K1962">
        <v>530967.25</v>
      </c>
      <c r="L1962">
        <v>415</v>
      </c>
      <c r="M1962" t="s">
        <v>78</v>
      </c>
      <c r="N1962" t="s">
        <v>17</v>
      </c>
      <c r="O1962">
        <v>16</v>
      </c>
      <c r="P1962">
        <v>1406.97</v>
      </c>
      <c r="Q1962">
        <v>1247</v>
      </c>
    </row>
    <row r="1963" spans="2:17" x14ac:dyDescent="0.25">
      <c r="B1963" t="s">
        <v>78</v>
      </c>
      <c r="C1963" t="s">
        <v>3841</v>
      </c>
      <c r="D1963" t="s">
        <v>3850</v>
      </c>
      <c r="E1963" t="s">
        <v>3851</v>
      </c>
      <c r="F1963">
        <v>7200</v>
      </c>
      <c r="G1963">
        <v>7319</v>
      </c>
      <c r="H1963">
        <v>7319</v>
      </c>
      <c r="I1963">
        <v>7245</v>
      </c>
      <c r="J1963" s="1">
        <v>7245</v>
      </c>
      <c r="K1963">
        <v>659718</v>
      </c>
      <c r="L1963">
        <v>91</v>
      </c>
      <c r="M1963" t="s">
        <v>78</v>
      </c>
      <c r="N1963" t="s">
        <v>17</v>
      </c>
      <c r="O1963">
        <v>5</v>
      </c>
      <c r="P1963">
        <v>7650</v>
      </c>
      <c r="Q1963">
        <v>6957</v>
      </c>
    </row>
    <row r="1964" spans="2:17" x14ac:dyDescent="0.25">
      <c r="B1964" t="s">
        <v>78</v>
      </c>
      <c r="C1964" t="s">
        <v>3841</v>
      </c>
      <c r="D1964" t="s">
        <v>1935</v>
      </c>
      <c r="E1964" t="s">
        <v>3852</v>
      </c>
      <c r="F1964">
        <v>1440</v>
      </c>
      <c r="G1964">
        <v>1440</v>
      </c>
      <c r="H1964">
        <v>1449.9</v>
      </c>
      <c r="I1964">
        <v>1393.33</v>
      </c>
      <c r="J1964" s="1">
        <v>1420.64</v>
      </c>
      <c r="K1964">
        <v>904799.64</v>
      </c>
      <c r="L1964">
        <v>630</v>
      </c>
      <c r="M1964" t="s">
        <v>78</v>
      </c>
      <c r="N1964" t="s">
        <v>17</v>
      </c>
      <c r="O1964">
        <v>11</v>
      </c>
      <c r="P1964">
        <v>1524.88</v>
      </c>
      <c r="Q1964">
        <v>1380</v>
      </c>
    </row>
    <row r="1965" spans="2:17" x14ac:dyDescent="0.25">
      <c r="B1965" t="s">
        <v>78</v>
      </c>
      <c r="C1965" t="s">
        <v>3841</v>
      </c>
      <c r="D1965" t="s">
        <v>148</v>
      </c>
      <c r="E1965" t="s">
        <v>3853</v>
      </c>
      <c r="F1965">
        <v>1425</v>
      </c>
      <c r="G1965">
        <v>1435</v>
      </c>
      <c r="H1965">
        <v>1435</v>
      </c>
      <c r="I1965">
        <v>1435</v>
      </c>
      <c r="J1965" s="1">
        <v>1435</v>
      </c>
      <c r="K1965">
        <v>14350</v>
      </c>
      <c r="L1965">
        <v>10</v>
      </c>
      <c r="M1965" t="s">
        <v>78</v>
      </c>
      <c r="N1965" t="s">
        <v>17</v>
      </c>
      <c r="O1965">
        <v>2</v>
      </c>
      <c r="P1965">
        <v>1520.01</v>
      </c>
      <c r="Q1965">
        <v>1386</v>
      </c>
    </row>
    <row r="1966" spans="2:17" x14ac:dyDescent="0.25">
      <c r="B1966" t="s">
        <v>78</v>
      </c>
      <c r="C1966" t="s">
        <v>3841</v>
      </c>
      <c r="D1966" t="s">
        <v>258</v>
      </c>
      <c r="E1966" t="s">
        <v>3854</v>
      </c>
      <c r="F1966">
        <v>1207.5</v>
      </c>
      <c r="G1966">
        <v>1130</v>
      </c>
      <c r="H1966">
        <v>1140</v>
      </c>
      <c r="I1966">
        <v>1130</v>
      </c>
      <c r="J1966" s="1">
        <v>1134.6300000000001</v>
      </c>
      <c r="K1966">
        <v>75974</v>
      </c>
      <c r="L1966">
        <v>67</v>
      </c>
      <c r="M1966" t="s">
        <v>78</v>
      </c>
      <c r="N1966" t="s">
        <v>17</v>
      </c>
      <c r="O1966">
        <v>7</v>
      </c>
      <c r="P1966">
        <v>1299</v>
      </c>
      <c r="Q1966">
        <v>1100</v>
      </c>
    </row>
    <row r="1967" spans="2:17" x14ac:dyDescent="0.25">
      <c r="B1967" t="s">
        <v>78</v>
      </c>
      <c r="C1967" t="s">
        <v>3841</v>
      </c>
      <c r="D1967" t="s">
        <v>2215</v>
      </c>
      <c r="E1967" t="s">
        <v>3855</v>
      </c>
      <c r="F1967">
        <v>1285.08</v>
      </c>
      <c r="G1967">
        <v>1340</v>
      </c>
      <c r="H1967">
        <v>1340</v>
      </c>
      <c r="I1967">
        <v>1278.05</v>
      </c>
      <c r="J1967" s="1">
        <v>1278.05</v>
      </c>
      <c r="K1967">
        <v>6394270</v>
      </c>
      <c r="L1967">
        <v>5003</v>
      </c>
      <c r="M1967" t="s">
        <v>78</v>
      </c>
      <c r="N1967" t="s">
        <v>17</v>
      </c>
      <c r="O1967">
        <v>3</v>
      </c>
      <c r="P1967">
        <v>1518</v>
      </c>
      <c r="Q1967">
        <v>1215.2</v>
      </c>
    </row>
    <row r="1968" spans="2:17" x14ac:dyDescent="0.25">
      <c r="B1968" t="s">
        <v>78</v>
      </c>
      <c r="C1968" t="s">
        <v>3856</v>
      </c>
      <c r="D1968" t="s">
        <v>3179</v>
      </c>
      <c r="E1968" t="s">
        <v>3857</v>
      </c>
      <c r="F1968">
        <v>1031</v>
      </c>
      <c r="G1968">
        <v>1030</v>
      </c>
      <c r="H1968">
        <v>1030</v>
      </c>
      <c r="I1968">
        <v>1030</v>
      </c>
      <c r="J1968" s="1">
        <v>1030</v>
      </c>
      <c r="K1968">
        <v>144200</v>
      </c>
      <c r="L1968">
        <v>140</v>
      </c>
      <c r="M1968" t="s">
        <v>78</v>
      </c>
      <c r="N1968" t="s">
        <v>17</v>
      </c>
      <c r="O1968">
        <v>7</v>
      </c>
      <c r="P1968">
        <v>1240</v>
      </c>
      <c r="Q1968">
        <v>931.6</v>
      </c>
    </row>
    <row r="1969" spans="2:17" x14ac:dyDescent="0.25">
      <c r="B1969" t="s">
        <v>78</v>
      </c>
      <c r="C1969" t="s">
        <v>3856</v>
      </c>
      <c r="D1969" t="s">
        <v>148</v>
      </c>
      <c r="E1969" t="s">
        <v>3858</v>
      </c>
      <c r="F1969">
        <v>13.84</v>
      </c>
      <c r="G1969">
        <v>13.8</v>
      </c>
      <c r="H1969">
        <v>13.89</v>
      </c>
      <c r="I1969">
        <v>13.8</v>
      </c>
      <c r="J1969" s="1">
        <v>13.88</v>
      </c>
      <c r="K1969">
        <v>1386552.68</v>
      </c>
      <c r="L1969">
        <v>99999</v>
      </c>
      <c r="M1969" t="s">
        <v>78</v>
      </c>
      <c r="N1969" t="s">
        <v>17</v>
      </c>
      <c r="O1969">
        <v>117</v>
      </c>
      <c r="P1969">
        <v>15.2</v>
      </c>
      <c r="Q1969">
        <v>12</v>
      </c>
    </row>
    <row r="1970" spans="2:17" x14ac:dyDescent="0.25">
      <c r="B1970" t="s">
        <v>78</v>
      </c>
      <c r="C1970" t="s">
        <v>3859</v>
      </c>
      <c r="D1970" t="s">
        <v>3822</v>
      </c>
      <c r="E1970" t="s">
        <v>3823</v>
      </c>
      <c r="F1970">
        <v>1234.9000000000001</v>
      </c>
      <c r="G1970">
        <v>1233.9000000000001</v>
      </c>
      <c r="H1970">
        <v>1234</v>
      </c>
      <c r="I1970">
        <v>1233.9000000000001</v>
      </c>
      <c r="J1970" s="1">
        <v>1233.9000000000001</v>
      </c>
      <c r="K1970">
        <v>450375</v>
      </c>
      <c r="L1970">
        <v>365</v>
      </c>
      <c r="M1970" t="s">
        <v>78</v>
      </c>
      <c r="N1970" t="s">
        <v>17</v>
      </c>
      <c r="O1970">
        <v>11</v>
      </c>
      <c r="P1970">
        <v>1284</v>
      </c>
      <c r="Q1970">
        <v>648.1</v>
      </c>
    </row>
    <row r="1971" spans="2:17" x14ac:dyDescent="0.25">
      <c r="B1971" t="s">
        <v>78</v>
      </c>
      <c r="C1971" t="s">
        <v>3859</v>
      </c>
      <c r="D1971" t="s">
        <v>1286</v>
      </c>
      <c r="E1971" t="s">
        <v>3860</v>
      </c>
      <c r="F1971">
        <v>1239</v>
      </c>
      <c r="G1971">
        <v>1250</v>
      </c>
      <c r="H1971">
        <v>1258</v>
      </c>
      <c r="I1971">
        <v>1250</v>
      </c>
      <c r="J1971" s="1">
        <v>1257.78</v>
      </c>
      <c r="K1971">
        <v>2552775</v>
      </c>
      <c r="L1971">
        <v>2030</v>
      </c>
      <c r="M1971" t="s">
        <v>78</v>
      </c>
      <c r="N1971" t="s">
        <v>17</v>
      </c>
      <c r="O1971">
        <v>47</v>
      </c>
      <c r="P1971">
        <v>1316</v>
      </c>
      <c r="Q1971">
        <v>1200</v>
      </c>
    </row>
    <row r="1972" spans="2:17" x14ac:dyDescent="0.25">
      <c r="B1972" t="s">
        <v>78</v>
      </c>
      <c r="C1972" t="s">
        <v>3859</v>
      </c>
      <c r="D1972" t="s">
        <v>1292</v>
      </c>
      <c r="E1972" t="s">
        <v>3861</v>
      </c>
      <c r="F1972">
        <v>975</v>
      </c>
      <c r="G1972">
        <v>975</v>
      </c>
      <c r="H1972">
        <v>975</v>
      </c>
      <c r="I1972">
        <v>950</v>
      </c>
      <c r="J1972" s="1">
        <v>950</v>
      </c>
      <c r="K1972">
        <v>72661</v>
      </c>
      <c r="L1972">
        <v>76</v>
      </c>
      <c r="M1972" t="s">
        <v>78</v>
      </c>
      <c r="N1972" t="s">
        <v>17</v>
      </c>
      <c r="O1972">
        <v>7</v>
      </c>
      <c r="P1972">
        <v>1069.9000000000001</v>
      </c>
      <c r="Q1972">
        <v>700</v>
      </c>
    </row>
    <row r="1973" spans="2:17" x14ac:dyDescent="0.25">
      <c r="B1973" t="s">
        <v>78</v>
      </c>
      <c r="C1973" t="s">
        <v>3859</v>
      </c>
      <c r="D1973" t="s">
        <v>3862</v>
      </c>
      <c r="E1973" t="s">
        <v>3863</v>
      </c>
      <c r="F1973">
        <v>1039.5</v>
      </c>
      <c r="G1973">
        <v>1036.0999999999999</v>
      </c>
      <c r="H1973">
        <v>1036.0999999999999</v>
      </c>
      <c r="I1973">
        <v>1036.0999999999999</v>
      </c>
      <c r="J1973" s="1">
        <v>1036.0999999999999</v>
      </c>
      <c r="K1973">
        <v>72527</v>
      </c>
      <c r="L1973">
        <v>70</v>
      </c>
      <c r="M1973" t="s">
        <v>78</v>
      </c>
      <c r="N1973" t="s">
        <v>17</v>
      </c>
      <c r="O1973">
        <v>1</v>
      </c>
      <c r="P1973">
        <v>1290</v>
      </c>
      <c r="Q1973">
        <v>1011</v>
      </c>
    </row>
    <row r="1974" spans="2:17" x14ac:dyDescent="0.25">
      <c r="B1974" t="s">
        <v>78</v>
      </c>
      <c r="C1974" t="s">
        <v>3859</v>
      </c>
      <c r="D1974" t="s">
        <v>3800</v>
      </c>
      <c r="E1974" t="s">
        <v>3864</v>
      </c>
      <c r="F1974">
        <v>1124</v>
      </c>
      <c r="G1974">
        <v>1149.99</v>
      </c>
      <c r="H1974">
        <v>1149.99</v>
      </c>
      <c r="I1974">
        <v>1149.99</v>
      </c>
      <c r="J1974" s="1">
        <v>1149.99</v>
      </c>
      <c r="K1974">
        <v>1149990</v>
      </c>
      <c r="L1974">
        <v>1000</v>
      </c>
      <c r="M1974" t="s">
        <v>78</v>
      </c>
      <c r="N1974" t="s">
        <v>17</v>
      </c>
      <c r="O1974">
        <v>1</v>
      </c>
      <c r="P1974">
        <v>1299</v>
      </c>
      <c r="Q1974">
        <v>1094</v>
      </c>
    </row>
    <row r="1975" spans="2:17" x14ac:dyDescent="0.25">
      <c r="B1975" t="s">
        <v>78</v>
      </c>
      <c r="C1975" t="s">
        <v>3859</v>
      </c>
      <c r="D1975" t="s">
        <v>258</v>
      </c>
      <c r="E1975" t="s">
        <v>3865</v>
      </c>
      <c r="F1975">
        <v>1438</v>
      </c>
      <c r="G1975">
        <v>1438</v>
      </c>
      <c r="H1975">
        <v>1450</v>
      </c>
      <c r="I1975">
        <v>1436</v>
      </c>
      <c r="J1975" s="1">
        <v>1448.66</v>
      </c>
      <c r="K1975">
        <v>1278854.29</v>
      </c>
      <c r="L1975">
        <v>886</v>
      </c>
      <c r="M1975" t="s">
        <v>78</v>
      </c>
      <c r="N1975" t="s">
        <v>17</v>
      </c>
      <c r="O1975">
        <v>20</v>
      </c>
      <c r="P1975">
        <v>1520</v>
      </c>
      <c r="Q1975">
        <v>1384</v>
      </c>
    </row>
    <row r="1976" spans="2:17" x14ac:dyDescent="0.25">
      <c r="B1976" t="s">
        <v>78</v>
      </c>
      <c r="C1976" t="s">
        <v>3859</v>
      </c>
      <c r="D1976" t="s">
        <v>2215</v>
      </c>
      <c r="E1976" t="s">
        <v>3866</v>
      </c>
      <c r="F1976">
        <v>1128.5999999999999</v>
      </c>
      <c r="G1976">
        <v>1131</v>
      </c>
      <c r="H1976">
        <v>1136</v>
      </c>
      <c r="I1976">
        <v>1131</v>
      </c>
      <c r="J1976" s="1">
        <v>1135.99</v>
      </c>
      <c r="K1976">
        <v>908645</v>
      </c>
      <c r="L1976">
        <v>800</v>
      </c>
      <c r="M1976" t="s">
        <v>78</v>
      </c>
      <c r="N1976" t="s">
        <v>17</v>
      </c>
      <c r="O1976">
        <v>6</v>
      </c>
      <c r="P1976">
        <v>1244</v>
      </c>
      <c r="Q1976">
        <v>1079.2</v>
      </c>
    </row>
    <row r="1977" spans="2:17" x14ac:dyDescent="0.25">
      <c r="B1977" t="s">
        <v>78</v>
      </c>
      <c r="C1977" t="s">
        <v>3859</v>
      </c>
      <c r="D1977" t="s">
        <v>3815</v>
      </c>
      <c r="E1977" t="s">
        <v>3867</v>
      </c>
      <c r="F1977">
        <v>1097</v>
      </c>
      <c r="G1977">
        <v>1090</v>
      </c>
      <c r="H1977">
        <v>1090</v>
      </c>
      <c r="I1977">
        <v>1090</v>
      </c>
      <c r="J1977" s="1">
        <v>1090</v>
      </c>
      <c r="K1977">
        <v>10900</v>
      </c>
      <c r="L1977">
        <v>10</v>
      </c>
      <c r="M1977" t="s">
        <v>78</v>
      </c>
      <c r="N1977" t="s">
        <v>17</v>
      </c>
      <c r="O1977">
        <v>1</v>
      </c>
      <c r="P1977">
        <v>1287</v>
      </c>
      <c r="Q1977">
        <v>910</v>
      </c>
    </row>
    <row r="1978" spans="2:17" x14ac:dyDescent="0.25">
      <c r="B1978" t="s">
        <v>78</v>
      </c>
      <c r="C1978" t="s">
        <v>3868</v>
      </c>
      <c r="D1978" t="s">
        <v>1286</v>
      </c>
      <c r="E1978" t="s">
        <v>3869</v>
      </c>
      <c r="F1978">
        <v>1260</v>
      </c>
      <c r="G1978">
        <v>1264.9000000000001</v>
      </c>
      <c r="H1978">
        <v>1265</v>
      </c>
      <c r="I1978">
        <v>1264.9000000000001</v>
      </c>
      <c r="J1978" s="1">
        <v>1264.98</v>
      </c>
      <c r="K1978">
        <v>1264989.2</v>
      </c>
      <c r="L1978">
        <v>1000</v>
      </c>
      <c r="M1978" t="s">
        <v>78</v>
      </c>
      <c r="N1978" t="s">
        <v>17</v>
      </c>
      <c r="O1978">
        <v>4</v>
      </c>
      <c r="P1978">
        <v>1310</v>
      </c>
      <c r="Q1978">
        <v>1224</v>
      </c>
    </row>
    <row r="1979" spans="2:17" x14ac:dyDescent="0.25">
      <c r="B1979" t="s">
        <v>78</v>
      </c>
      <c r="C1979" t="s">
        <v>3868</v>
      </c>
      <c r="D1979" t="s">
        <v>3828</v>
      </c>
      <c r="E1979" t="s">
        <v>3870</v>
      </c>
      <c r="F1979">
        <v>1001</v>
      </c>
      <c r="G1979">
        <v>1001</v>
      </c>
      <c r="H1979">
        <v>1001</v>
      </c>
      <c r="I1979">
        <v>1001</v>
      </c>
      <c r="J1979" s="1">
        <v>1001</v>
      </c>
      <c r="K1979">
        <v>80080</v>
      </c>
      <c r="L1979">
        <v>80</v>
      </c>
      <c r="M1979" t="s">
        <v>78</v>
      </c>
      <c r="N1979" t="s">
        <v>17</v>
      </c>
      <c r="O1979">
        <v>3</v>
      </c>
      <c r="P1979">
        <v>1049</v>
      </c>
      <c r="Q1979">
        <v>731.05</v>
      </c>
    </row>
    <row r="1980" spans="2:17" x14ac:dyDescent="0.25">
      <c r="B1980" t="s">
        <v>78</v>
      </c>
      <c r="C1980" t="s">
        <v>3868</v>
      </c>
      <c r="D1980" t="s">
        <v>1306</v>
      </c>
      <c r="E1980" t="s">
        <v>3871</v>
      </c>
      <c r="F1980">
        <v>5240.1000000000004</v>
      </c>
      <c r="G1980">
        <v>5240.3</v>
      </c>
      <c r="H1980">
        <v>5265</v>
      </c>
      <c r="I1980">
        <v>5240.3</v>
      </c>
      <c r="J1980" s="1">
        <v>5265</v>
      </c>
      <c r="K1980">
        <v>52502.3</v>
      </c>
      <c r="L1980">
        <v>10</v>
      </c>
      <c r="M1980" t="s">
        <v>78</v>
      </c>
      <c r="N1980" t="s">
        <v>17</v>
      </c>
      <c r="O1980">
        <v>3</v>
      </c>
      <c r="P1980">
        <v>5554.95</v>
      </c>
      <c r="Q1980">
        <v>4738.3999999999996</v>
      </c>
    </row>
    <row r="1981" spans="2:17" x14ac:dyDescent="0.25">
      <c r="B1981" t="s">
        <v>78</v>
      </c>
      <c r="C1981" t="s">
        <v>3868</v>
      </c>
      <c r="D1981" t="s">
        <v>3179</v>
      </c>
      <c r="E1981" t="s">
        <v>3872</v>
      </c>
      <c r="F1981">
        <v>1003</v>
      </c>
      <c r="G1981">
        <v>1003</v>
      </c>
      <c r="H1981">
        <v>1020</v>
      </c>
      <c r="I1981">
        <v>1003</v>
      </c>
      <c r="J1981" s="1">
        <v>1019.55</v>
      </c>
      <c r="K1981">
        <v>228071.98</v>
      </c>
      <c r="L1981">
        <v>226</v>
      </c>
      <c r="M1981" t="s">
        <v>78</v>
      </c>
      <c r="N1981" t="s">
        <v>17</v>
      </c>
      <c r="O1981">
        <v>10</v>
      </c>
      <c r="P1981">
        <v>1100</v>
      </c>
      <c r="Q1981">
        <v>845.6</v>
      </c>
    </row>
    <row r="1982" spans="2:17" x14ac:dyDescent="0.25">
      <c r="B1982" t="s">
        <v>78</v>
      </c>
      <c r="C1982" t="s">
        <v>3868</v>
      </c>
      <c r="D1982" t="s">
        <v>1417</v>
      </c>
      <c r="E1982" t="s">
        <v>3873</v>
      </c>
      <c r="F1982">
        <v>1145.01</v>
      </c>
      <c r="G1982">
        <v>1150</v>
      </c>
      <c r="H1982">
        <v>1181.99</v>
      </c>
      <c r="I1982">
        <v>1150</v>
      </c>
      <c r="J1982" s="1">
        <v>1150</v>
      </c>
      <c r="K1982">
        <v>1494169.9</v>
      </c>
      <c r="L1982">
        <v>1299</v>
      </c>
      <c r="M1982" t="s">
        <v>78</v>
      </c>
      <c r="N1982" t="s">
        <v>17</v>
      </c>
      <c r="O1982">
        <v>13</v>
      </c>
      <c r="P1982">
        <v>1449.9</v>
      </c>
      <c r="Q1982">
        <v>1083.0999999999999</v>
      </c>
    </row>
    <row r="1983" spans="2:17" x14ac:dyDescent="0.25">
      <c r="B1983" t="s">
        <v>78</v>
      </c>
      <c r="C1983" t="s">
        <v>3868</v>
      </c>
      <c r="D1983" t="s">
        <v>2215</v>
      </c>
      <c r="E1983" t="s">
        <v>3874</v>
      </c>
      <c r="F1983">
        <v>1288</v>
      </c>
      <c r="G1983">
        <v>1285.5</v>
      </c>
      <c r="H1983">
        <v>1299.99</v>
      </c>
      <c r="I1983">
        <v>1285.5</v>
      </c>
      <c r="J1983" s="1">
        <v>1299</v>
      </c>
      <c r="K1983">
        <v>616147.42000000004</v>
      </c>
      <c r="L1983">
        <v>475</v>
      </c>
      <c r="M1983" t="s">
        <v>78</v>
      </c>
      <c r="N1983" t="s">
        <v>17</v>
      </c>
      <c r="O1983">
        <v>5</v>
      </c>
      <c r="P1983">
        <v>1363.75</v>
      </c>
      <c r="Q1983">
        <v>1242.1500000000001</v>
      </c>
    </row>
    <row r="1984" spans="2:17" x14ac:dyDescent="0.25">
      <c r="B1984" t="s">
        <v>78</v>
      </c>
      <c r="C1984" t="s">
        <v>3875</v>
      </c>
      <c r="D1984" t="s">
        <v>3824</v>
      </c>
      <c r="E1984" t="s">
        <v>3876</v>
      </c>
      <c r="F1984">
        <v>376</v>
      </c>
      <c r="G1984">
        <v>375</v>
      </c>
      <c r="H1984">
        <v>375</v>
      </c>
      <c r="I1984">
        <v>375</v>
      </c>
      <c r="J1984" s="1">
        <v>375</v>
      </c>
      <c r="K1984">
        <v>30000</v>
      </c>
      <c r="L1984">
        <v>80</v>
      </c>
      <c r="M1984" t="s">
        <v>78</v>
      </c>
      <c r="N1984" t="s">
        <v>17</v>
      </c>
      <c r="O1984">
        <v>5</v>
      </c>
      <c r="P1984">
        <v>420</v>
      </c>
      <c r="Q1984">
        <v>255</v>
      </c>
    </row>
    <row r="1985" spans="2:17" x14ac:dyDescent="0.25">
      <c r="B1985" t="s">
        <v>78</v>
      </c>
      <c r="C1985" t="s">
        <v>3875</v>
      </c>
      <c r="D1985" t="s">
        <v>1292</v>
      </c>
      <c r="E1985" t="s">
        <v>3877</v>
      </c>
      <c r="F1985">
        <v>981</v>
      </c>
      <c r="G1985">
        <v>1000</v>
      </c>
      <c r="H1985">
        <v>1000</v>
      </c>
      <c r="I1985">
        <v>995</v>
      </c>
      <c r="J1985" s="1">
        <v>995</v>
      </c>
      <c r="K1985">
        <v>89600</v>
      </c>
      <c r="L1985">
        <v>90</v>
      </c>
      <c r="M1985" t="s">
        <v>78</v>
      </c>
      <c r="N1985" t="s">
        <v>17</v>
      </c>
      <c r="O1985">
        <v>3</v>
      </c>
      <c r="P1985">
        <v>1010</v>
      </c>
      <c r="Q1985">
        <v>680</v>
      </c>
    </row>
    <row r="1986" spans="2:17" x14ac:dyDescent="0.25">
      <c r="B1986" t="s">
        <v>78</v>
      </c>
      <c r="C1986" t="s">
        <v>3875</v>
      </c>
      <c r="D1986" t="s">
        <v>1306</v>
      </c>
      <c r="E1986" t="s">
        <v>3878</v>
      </c>
      <c r="F1986">
        <v>11411</v>
      </c>
      <c r="G1986">
        <v>11411</v>
      </c>
      <c r="H1986">
        <v>11411</v>
      </c>
      <c r="I1986">
        <v>11402.01</v>
      </c>
      <c r="J1986" s="1">
        <v>11405</v>
      </c>
      <c r="K1986">
        <v>114095.01</v>
      </c>
      <c r="L1986">
        <v>10</v>
      </c>
      <c r="M1986" t="s">
        <v>78</v>
      </c>
      <c r="N1986" t="s">
        <v>17</v>
      </c>
      <c r="O1986">
        <v>5</v>
      </c>
      <c r="P1986">
        <v>11465</v>
      </c>
      <c r="Q1986">
        <v>9852.7999999999993</v>
      </c>
    </row>
    <row r="1987" spans="2:17" x14ac:dyDescent="0.25">
      <c r="B1987" t="s">
        <v>78</v>
      </c>
      <c r="C1987" t="s">
        <v>3875</v>
      </c>
      <c r="D1987" t="s">
        <v>3179</v>
      </c>
      <c r="E1987" t="s">
        <v>3879</v>
      </c>
      <c r="F1987">
        <v>1195</v>
      </c>
      <c r="G1987">
        <v>1197.1500000000001</v>
      </c>
      <c r="H1987">
        <v>1197.1500000000001</v>
      </c>
      <c r="I1987">
        <v>1197.1500000000001</v>
      </c>
      <c r="J1987" s="1">
        <v>1197.1500000000001</v>
      </c>
      <c r="K1987">
        <v>179572.5</v>
      </c>
      <c r="L1987">
        <v>150</v>
      </c>
      <c r="M1987" t="s">
        <v>78</v>
      </c>
      <c r="N1987" t="s">
        <v>17</v>
      </c>
      <c r="O1987">
        <v>2</v>
      </c>
      <c r="P1987">
        <v>1240.0999999999999</v>
      </c>
      <c r="Q1987">
        <v>1072</v>
      </c>
    </row>
    <row r="1988" spans="2:17" x14ac:dyDescent="0.25">
      <c r="B1988" t="s">
        <v>78</v>
      </c>
      <c r="C1988" t="s">
        <v>3875</v>
      </c>
      <c r="D1988" t="s">
        <v>1417</v>
      </c>
      <c r="E1988" t="s">
        <v>3880</v>
      </c>
      <c r="F1988">
        <v>1284.79</v>
      </c>
      <c r="G1988">
        <v>1284.79</v>
      </c>
      <c r="H1988">
        <v>1284.79</v>
      </c>
      <c r="I1988">
        <v>1257.8</v>
      </c>
      <c r="J1988" s="1">
        <v>1259.7</v>
      </c>
      <c r="K1988">
        <v>1202591.6299999999</v>
      </c>
      <c r="L1988">
        <v>953</v>
      </c>
      <c r="M1988" t="s">
        <v>78</v>
      </c>
      <c r="N1988" t="s">
        <v>17</v>
      </c>
      <c r="O1988">
        <v>19</v>
      </c>
      <c r="P1988">
        <v>1387.29</v>
      </c>
      <c r="Q1988">
        <v>1075.2</v>
      </c>
    </row>
    <row r="1989" spans="2:17" x14ac:dyDescent="0.25">
      <c r="B1989" t="s">
        <v>78</v>
      </c>
      <c r="C1989" t="s">
        <v>3875</v>
      </c>
      <c r="D1989" t="s">
        <v>3862</v>
      </c>
      <c r="E1989" t="s">
        <v>3881</v>
      </c>
      <c r="F1989">
        <v>1230</v>
      </c>
      <c r="G1989">
        <v>1233.01</v>
      </c>
      <c r="H1989">
        <v>1233.01</v>
      </c>
      <c r="I1989">
        <v>1233.01</v>
      </c>
      <c r="J1989" s="1">
        <v>1233.01</v>
      </c>
      <c r="K1989">
        <v>123301</v>
      </c>
      <c r="L1989">
        <v>100</v>
      </c>
      <c r="M1989" t="s">
        <v>78</v>
      </c>
      <c r="N1989" t="s">
        <v>17</v>
      </c>
      <c r="O1989">
        <v>1</v>
      </c>
      <c r="P1989">
        <v>1250</v>
      </c>
      <c r="Q1989">
        <v>1128</v>
      </c>
    </row>
    <row r="1990" spans="2:17" x14ac:dyDescent="0.25">
      <c r="B1990" t="s">
        <v>78</v>
      </c>
      <c r="C1990" t="s">
        <v>3875</v>
      </c>
      <c r="D1990" t="s">
        <v>3800</v>
      </c>
      <c r="E1990" t="s">
        <v>3882</v>
      </c>
      <c r="F1990">
        <v>1239.01</v>
      </c>
      <c r="G1990">
        <v>1240.01</v>
      </c>
      <c r="H1990">
        <v>1240.5</v>
      </c>
      <c r="I1990">
        <v>1237</v>
      </c>
      <c r="J1990" s="1">
        <v>1240.49</v>
      </c>
      <c r="K1990">
        <v>17090051.5</v>
      </c>
      <c r="L1990">
        <v>13800</v>
      </c>
      <c r="M1990" t="s">
        <v>78</v>
      </c>
      <c r="N1990" t="s">
        <v>17</v>
      </c>
      <c r="O1990">
        <v>49</v>
      </c>
      <c r="P1990">
        <v>1300</v>
      </c>
      <c r="Q1990">
        <v>1198</v>
      </c>
    </row>
    <row r="1991" spans="2:17" x14ac:dyDescent="0.25">
      <c r="B1991" t="s">
        <v>78</v>
      </c>
      <c r="C1991" t="s">
        <v>3875</v>
      </c>
      <c r="D1991" t="s">
        <v>2215</v>
      </c>
      <c r="E1991" t="s">
        <v>3883</v>
      </c>
      <c r="F1991">
        <v>1439.99</v>
      </c>
      <c r="G1991">
        <v>1439.99</v>
      </c>
      <c r="H1991">
        <v>1439.99</v>
      </c>
      <c r="I1991">
        <v>1439.99</v>
      </c>
      <c r="J1991" s="1">
        <v>1439.99</v>
      </c>
      <c r="K1991">
        <v>1439.99</v>
      </c>
      <c r="L1991">
        <v>1</v>
      </c>
      <c r="M1991" t="s">
        <v>78</v>
      </c>
      <c r="N1991" t="s">
        <v>17</v>
      </c>
      <c r="O1991">
        <v>1</v>
      </c>
      <c r="P1991">
        <v>1679</v>
      </c>
      <c r="Q1991">
        <v>1332.01</v>
      </c>
    </row>
    <row r="1992" spans="2:17" x14ac:dyDescent="0.25">
      <c r="B1992" t="s">
        <v>78</v>
      </c>
      <c r="C1992" t="s">
        <v>3875</v>
      </c>
      <c r="D1992" t="s">
        <v>3815</v>
      </c>
      <c r="E1992" t="s">
        <v>3884</v>
      </c>
      <c r="F1992">
        <v>1109.9000000000001</v>
      </c>
      <c r="G1992">
        <v>1109.9000000000001</v>
      </c>
      <c r="H1992">
        <v>1109.9000000000001</v>
      </c>
      <c r="I1992">
        <v>1105</v>
      </c>
      <c r="J1992" s="1">
        <v>1105</v>
      </c>
      <c r="K1992">
        <v>55323.6</v>
      </c>
      <c r="L1992">
        <v>50</v>
      </c>
      <c r="M1992" t="s">
        <v>78</v>
      </c>
      <c r="N1992" t="s">
        <v>17</v>
      </c>
      <c r="O1992">
        <v>4</v>
      </c>
      <c r="P1992">
        <v>1190</v>
      </c>
      <c r="Q1992">
        <v>1021.05</v>
      </c>
    </row>
    <row r="1993" spans="2:17" x14ac:dyDescent="0.25">
      <c r="B1993" t="s">
        <v>78</v>
      </c>
      <c r="C1993" t="s">
        <v>3885</v>
      </c>
      <c r="D1993" t="s">
        <v>1306</v>
      </c>
      <c r="E1993" t="s">
        <v>3886</v>
      </c>
      <c r="F1993">
        <v>5170</v>
      </c>
      <c r="G1993">
        <v>5167</v>
      </c>
      <c r="H1993">
        <v>5168</v>
      </c>
      <c r="I1993">
        <v>5146.3100000000004</v>
      </c>
      <c r="J1993" s="1">
        <v>5146.3100000000004</v>
      </c>
      <c r="K1993">
        <v>299653.24</v>
      </c>
      <c r="L1993">
        <v>58</v>
      </c>
      <c r="M1993" t="s">
        <v>78</v>
      </c>
      <c r="N1993" t="s">
        <v>17</v>
      </c>
      <c r="O1993">
        <v>6</v>
      </c>
      <c r="P1993">
        <v>5485</v>
      </c>
      <c r="Q1993">
        <v>5000</v>
      </c>
    </row>
    <row r="1994" spans="2:17" x14ac:dyDescent="0.25">
      <c r="B1994" t="s">
        <v>78</v>
      </c>
      <c r="C1994" t="s">
        <v>3885</v>
      </c>
      <c r="D1994" t="s">
        <v>1353</v>
      </c>
      <c r="E1994" t="s">
        <v>3887</v>
      </c>
      <c r="F1994">
        <v>1000</v>
      </c>
      <c r="G1994">
        <v>1001</v>
      </c>
      <c r="H1994">
        <v>1001</v>
      </c>
      <c r="I1994">
        <v>1001</v>
      </c>
      <c r="J1994" s="1">
        <v>1001</v>
      </c>
      <c r="K1994">
        <v>8008</v>
      </c>
      <c r="L1994">
        <v>8</v>
      </c>
      <c r="M1994" t="s">
        <v>78</v>
      </c>
      <c r="N1994" t="s">
        <v>17</v>
      </c>
      <c r="O1994">
        <v>1</v>
      </c>
      <c r="P1994">
        <v>1011</v>
      </c>
      <c r="Q1994">
        <v>990</v>
      </c>
    </row>
    <row r="1995" spans="2:17" x14ac:dyDescent="0.25">
      <c r="B1995" t="s">
        <v>78</v>
      </c>
      <c r="C1995" t="s">
        <v>3885</v>
      </c>
      <c r="D1995" t="s">
        <v>3815</v>
      </c>
      <c r="E1995" t="s">
        <v>3888</v>
      </c>
      <c r="F1995">
        <v>1140</v>
      </c>
      <c r="G1995">
        <v>1140</v>
      </c>
      <c r="H1995">
        <v>1140</v>
      </c>
      <c r="I1995">
        <v>1100</v>
      </c>
      <c r="J1995" s="1">
        <v>1130</v>
      </c>
      <c r="K1995">
        <v>147880</v>
      </c>
      <c r="L1995">
        <v>132</v>
      </c>
      <c r="M1995" t="s">
        <v>78</v>
      </c>
      <c r="N1995" t="s">
        <v>17</v>
      </c>
      <c r="O1995">
        <v>4</v>
      </c>
      <c r="P1995">
        <v>1194</v>
      </c>
      <c r="Q1995">
        <v>1070</v>
      </c>
    </row>
    <row r="1996" spans="2:17" x14ac:dyDescent="0.25">
      <c r="B1996" t="s">
        <v>78</v>
      </c>
      <c r="C1996" t="s">
        <v>3885</v>
      </c>
      <c r="D1996" t="s">
        <v>3889</v>
      </c>
      <c r="E1996" t="s">
        <v>3890</v>
      </c>
      <c r="F1996">
        <v>1070.5</v>
      </c>
      <c r="G1996">
        <v>1070.5</v>
      </c>
      <c r="H1996">
        <v>1074.5</v>
      </c>
      <c r="I1996">
        <v>1070.5</v>
      </c>
      <c r="J1996" s="1">
        <v>1073.03</v>
      </c>
      <c r="K1996">
        <v>832520.8</v>
      </c>
      <c r="L1996">
        <v>776</v>
      </c>
      <c r="M1996" t="s">
        <v>78</v>
      </c>
      <c r="N1996" t="s">
        <v>17</v>
      </c>
      <c r="O1996">
        <v>16</v>
      </c>
      <c r="P1996">
        <v>1108</v>
      </c>
      <c r="Q1996">
        <v>1016</v>
      </c>
    </row>
    <row r="1997" spans="2:17" x14ac:dyDescent="0.25">
      <c r="B1997" t="s">
        <v>78</v>
      </c>
      <c r="C1997" t="s">
        <v>3891</v>
      </c>
      <c r="D1997" t="s">
        <v>3824</v>
      </c>
      <c r="E1997" t="s">
        <v>3892</v>
      </c>
      <c r="F1997">
        <v>375</v>
      </c>
      <c r="G1997">
        <v>375</v>
      </c>
      <c r="H1997">
        <v>376</v>
      </c>
      <c r="I1997">
        <v>375</v>
      </c>
      <c r="J1997" s="1">
        <v>375</v>
      </c>
      <c r="K1997">
        <v>286654</v>
      </c>
      <c r="L1997">
        <v>764</v>
      </c>
      <c r="M1997" t="s">
        <v>78</v>
      </c>
      <c r="N1997" t="s">
        <v>17</v>
      </c>
      <c r="O1997">
        <v>7</v>
      </c>
      <c r="P1997">
        <v>429</v>
      </c>
      <c r="Q1997">
        <v>232</v>
      </c>
    </row>
    <row r="1998" spans="2:17" x14ac:dyDescent="0.25">
      <c r="B1998" t="s">
        <v>78</v>
      </c>
      <c r="C1998" t="s">
        <v>3891</v>
      </c>
      <c r="D1998" t="s">
        <v>1306</v>
      </c>
      <c r="E1998" t="s">
        <v>3893</v>
      </c>
      <c r="F1998">
        <v>10902.1</v>
      </c>
      <c r="G1998">
        <v>10902.41</v>
      </c>
      <c r="H1998">
        <v>10945</v>
      </c>
      <c r="I1998">
        <v>10902.41</v>
      </c>
      <c r="J1998" s="1">
        <v>10945</v>
      </c>
      <c r="K1998">
        <v>272696.40000000002</v>
      </c>
      <c r="L1998">
        <v>25</v>
      </c>
      <c r="M1998" t="s">
        <v>78</v>
      </c>
      <c r="N1998" t="s">
        <v>17</v>
      </c>
      <c r="O1998">
        <v>8</v>
      </c>
      <c r="P1998">
        <v>11099</v>
      </c>
      <c r="Q1998">
        <v>9805.01</v>
      </c>
    </row>
    <row r="1999" spans="2:17" x14ac:dyDescent="0.25">
      <c r="B1999" t="s">
        <v>78</v>
      </c>
      <c r="C1999" t="s">
        <v>3891</v>
      </c>
      <c r="D1999" t="s">
        <v>3800</v>
      </c>
      <c r="E1999" t="s">
        <v>3894</v>
      </c>
      <c r="F1999">
        <v>1165</v>
      </c>
      <c r="G1999">
        <v>1151.57</v>
      </c>
      <c r="H1999">
        <v>1151.57</v>
      </c>
      <c r="I1999">
        <v>1151.57</v>
      </c>
      <c r="J1999" s="1">
        <v>1151.57</v>
      </c>
      <c r="K1999">
        <v>4606.28</v>
      </c>
      <c r="L1999">
        <v>4</v>
      </c>
      <c r="M1999" t="s">
        <v>78</v>
      </c>
      <c r="N1999" t="s">
        <v>17</v>
      </c>
      <c r="O1999">
        <v>1</v>
      </c>
      <c r="P1999">
        <v>1439.9</v>
      </c>
      <c r="Q1999">
        <v>1110.02</v>
      </c>
    </row>
    <row r="2000" spans="2:17" x14ac:dyDescent="0.25">
      <c r="B2000" t="s">
        <v>78</v>
      </c>
      <c r="C2000" t="s">
        <v>3895</v>
      </c>
      <c r="D2000" t="s">
        <v>1286</v>
      </c>
      <c r="E2000" t="s">
        <v>3896</v>
      </c>
      <c r="F2000">
        <v>1304</v>
      </c>
      <c r="G2000">
        <v>1305</v>
      </c>
      <c r="H2000">
        <v>1315</v>
      </c>
      <c r="I2000">
        <v>1305</v>
      </c>
      <c r="J2000" s="1">
        <v>1310</v>
      </c>
      <c r="K2000">
        <v>164940</v>
      </c>
      <c r="L2000">
        <v>126</v>
      </c>
      <c r="M2000" t="s">
        <v>78</v>
      </c>
      <c r="N2000" t="s">
        <v>17</v>
      </c>
      <c r="O2000">
        <v>4</v>
      </c>
      <c r="P2000">
        <v>1498</v>
      </c>
      <c r="Q2000">
        <v>1253</v>
      </c>
    </row>
    <row r="2001" spans="2:17" x14ac:dyDescent="0.25">
      <c r="B2001" t="s">
        <v>78</v>
      </c>
      <c r="C2001" t="s">
        <v>3895</v>
      </c>
      <c r="D2001" t="s">
        <v>1353</v>
      </c>
      <c r="E2001" t="s">
        <v>3897</v>
      </c>
      <c r="F2001">
        <v>981</v>
      </c>
      <c r="G2001">
        <v>992</v>
      </c>
      <c r="H2001">
        <v>992</v>
      </c>
      <c r="I2001">
        <v>992</v>
      </c>
      <c r="J2001" s="1">
        <v>992</v>
      </c>
      <c r="K2001">
        <v>24800</v>
      </c>
      <c r="L2001">
        <v>25</v>
      </c>
      <c r="M2001" t="s">
        <v>78</v>
      </c>
      <c r="N2001" t="s">
        <v>17</v>
      </c>
      <c r="O2001">
        <v>1</v>
      </c>
      <c r="P2001">
        <v>1035</v>
      </c>
      <c r="Q2001">
        <v>900</v>
      </c>
    </row>
    <row r="2002" spans="2:17" x14ac:dyDescent="0.25">
      <c r="B2002" t="s">
        <v>78</v>
      </c>
      <c r="C2002" t="s">
        <v>3895</v>
      </c>
      <c r="D2002" t="s">
        <v>3889</v>
      </c>
      <c r="E2002" t="s">
        <v>3898</v>
      </c>
      <c r="F2002">
        <v>1119.19</v>
      </c>
      <c r="G2002">
        <v>1115.0999999999999</v>
      </c>
      <c r="H2002">
        <v>1120</v>
      </c>
      <c r="I2002">
        <v>1115.0899999999999</v>
      </c>
      <c r="J2002" s="1">
        <v>1119.8800000000001</v>
      </c>
      <c r="K2002">
        <v>613582.26</v>
      </c>
      <c r="L2002">
        <v>549</v>
      </c>
      <c r="M2002" t="s">
        <v>78</v>
      </c>
      <c r="N2002" t="s">
        <v>17</v>
      </c>
      <c r="O2002">
        <v>22</v>
      </c>
      <c r="P2002">
        <v>1152</v>
      </c>
      <c r="Q2002">
        <v>1040</v>
      </c>
    </row>
    <row r="2003" spans="2:17" x14ac:dyDescent="0.25">
      <c r="B2003" t="s">
        <v>78</v>
      </c>
      <c r="C2003" t="s">
        <v>3899</v>
      </c>
      <c r="D2003" t="s">
        <v>3822</v>
      </c>
      <c r="E2003" t="s">
        <v>3823</v>
      </c>
      <c r="F2003">
        <v>1189.3900000000001</v>
      </c>
      <c r="G2003">
        <v>1189</v>
      </c>
      <c r="H2003">
        <v>1189</v>
      </c>
      <c r="I2003">
        <v>1189</v>
      </c>
      <c r="J2003" s="1">
        <v>1189</v>
      </c>
      <c r="K2003">
        <v>29725</v>
      </c>
      <c r="L2003">
        <v>25</v>
      </c>
      <c r="M2003" t="s">
        <v>78</v>
      </c>
      <c r="N2003" t="s">
        <v>17</v>
      </c>
      <c r="O2003">
        <v>1</v>
      </c>
      <c r="P2003">
        <v>1199</v>
      </c>
      <c r="Q2003">
        <v>801</v>
      </c>
    </row>
    <row r="2004" spans="2:17" x14ac:dyDescent="0.25">
      <c r="B2004" t="s">
        <v>78</v>
      </c>
      <c r="C2004" t="s">
        <v>3899</v>
      </c>
      <c r="D2004" t="s">
        <v>3900</v>
      </c>
      <c r="E2004" t="s">
        <v>3901</v>
      </c>
      <c r="F2004">
        <v>1295</v>
      </c>
      <c r="G2004">
        <v>1295.05</v>
      </c>
      <c r="H2004">
        <v>1295.05</v>
      </c>
      <c r="I2004">
        <v>1295</v>
      </c>
      <c r="J2004" s="1">
        <v>1295.01</v>
      </c>
      <c r="K2004">
        <v>259002</v>
      </c>
      <c r="L2004">
        <v>200</v>
      </c>
      <c r="M2004" t="s">
        <v>78</v>
      </c>
      <c r="N2004" t="s">
        <v>17</v>
      </c>
      <c r="O2004">
        <v>3</v>
      </c>
      <c r="P2004">
        <v>1340</v>
      </c>
      <c r="Q2004">
        <v>1031.01</v>
      </c>
    </row>
    <row r="2005" spans="2:17" x14ac:dyDescent="0.25">
      <c r="B2005" t="s">
        <v>78</v>
      </c>
      <c r="C2005" t="s">
        <v>3899</v>
      </c>
      <c r="D2005" t="s">
        <v>1286</v>
      </c>
      <c r="E2005" t="s">
        <v>3902</v>
      </c>
      <c r="F2005">
        <v>1450</v>
      </c>
      <c r="G2005">
        <v>1469</v>
      </c>
      <c r="H2005">
        <v>1547</v>
      </c>
      <c r="I2005">
        <v>1464</v>
      </c>
      <c r="J2005" s="1">
        <v>1465</v>
      </c>
      <c r="K2005">
        <v>1708012.27</v>
      </c>
      <c r="L2005">
        <v>1142</v>
      </c>
      <c r="M2005" t="s">
        <v>78</v>
      </c>
      <c r="N2005" t="s">
        <v>17</v>
      </c>
      <c r="O2005">
        <v>20</v>
      </c>
      <c r="P2005">
        <v>1549</v>
      </c>
      <c r="Q2005">
        <v>1389</v>
      </c>
    </row>
    <row r="2006" spans="2:17" x14ac:dyDescent="0.25">
      <c r="B2006" t="s">
        <v>78</v>
      </c>
      <c r="C2006" t="s">
        <v>3899</v>
      </c>
      <c r="D2006" t="s">
        <v>1292</v>
      </c>
      <c r="E2006" t="s">
        <v>3903</v>
      </c>
      <c r="F2006">
        <v>1001</v>
      </c>
      <c r="G2006">
        <v>1002</v>
      </c>
      <c r="H2006">
        <v>1002</v>
      </c>
      <c r="I2006">
        <v>1002</v>
      </c>
      <c r="J2006" s="1">
        <v>1002</v>
      </c>
      <c r="K2006">
        <v>14028</v>
      </c>
      <c r="L2006">
        <v>14</v>
      </c>
      <c r="M2006" t="s">
        <v>78</v>
      </c>
      <c r="N2006" t="s">
        <v>17</v>
      </c>
      <c r="O2006">
        <v>2</v>
      </c>
      <c r="P2006">
        <v>1150</v>
      </c>
      <c r="Q2006">
        <v>600</v>
      </c>
    </row>
    <row r="2007" spans="2:17" x14ac:dyDescent="0.25">
      <c r="B2007" t="s">
        <v>78</v>
      </c>
      <c r="C2007" t="s">
        <v>3899</v>
      </c>
      <c r="D2007" t="s">
        <v>1306</v>
      </c>
      <c r="E2007" t="s">
        <v>3904</v>
      </c>
      <c r="F2007">
        <v>10650</v>
      </c>
      <c r="G2007">
        <v>10601.01</v>
      </c>
      <c r="H2007">
        <v>10650</v>
      </c>
      <c r="I2007">
        <v>10601</v>
      </c>
      <c r="J2007" s="1">
        <v>10650</v>
      </c>
      <c r="K2007">
        <v>159358</v>
      </c>
      <c r="L2007">
        <v>15</v>
      </c>
      <c r="M2007" t="s">
        <v>78</v>
      </c>
      <c r="N2007" t="s">
        <v>17</v>
      </c>
      <c r="O2007">
        <v>7</v>
      </c>
      <c r="P2007">
        <v>11599</v>
      </c>
      <c r="Q2007">
        <v>9465</v>
      </c>
    </row>
    <row r="2008" spans="2:17" x14ac:dyDescent="0.25">
      <c r="B2008" t="s">
        <v>78</v>
      </c>
      <c r="C2008" t="s">
        <v>3899</v>
      </c>
      <c r="D2008" t="s">
        <v>3179</v>
      </c>
      <c r="E2008" t="s">
        <v>3905</v>
      </c>
      <c r="F2008">
        <v>993.37</v>
      </c>
      <c r="G2008">
        <v>1000</v>
      </c>
      <c r="H2008">
        <v>1000</v>
      </c>
      <c r="I2008">
        <v>995</v>
      </c>
      <c r="J2008" s="1">
        <v>995.01</v>
      </c>
      <c r="K2008">
        <v>156784.15</v>
      </c>
      <c r="L2008">
        <v>157</v>
      </c>
      <c r="M2008" t="s">
        <v>78</v>
      </c>
      <c r="N2008" t="s">
        <v>17</v>
      </c>
      <c r="O2008">
        <v>6</v>
      </c>
      <c r="P2008">
        <v>1090</v>
      </c>
      <c r="Q2008">
        <v>901.1</v>
      </c>
    </row>
    <row r="2009" spans="2:17" x14ac:dyDescent="0.25">
      <c r="B2009" t="s">
        <v>78</v>
      </c>
      <c r="C2009" t="s">
        <v>3899</v>
      </c>
      <c r="D2009" t="s">
        <v>1417</v>
      </c>
      <c r="E2009" t="s">
        <v>3906</v>
      </c>
      <c r="F2009">
        <v>1310</v>
      </c>
      <c r="G2009">
        <v>1343.99</v>
      </c>
      <c r="H2009">
        <v>1343.99</v>
      </c>
      <c r="I2009">
        <v>1339.99</v>
      </c>
      <c r="J2009" s="1">
        <v>1339.99</v>
      </c>
      <c r="K2009">
        <v>22807.83</v>
      </c>
      <c r="L2009">
        <v>17</v>
      </c>
      <c r="M2009" t="s">
        <v>78</v>
      </c>
      <c r="N2009" t="s">
        <v>17</v>
      </c>
      <c r="O2009">
        <v>2</v>
      </c>
      <c r="P2009">
        <v>1454.67</v>
      </c>
      <c r="Q2009">
        <v>1201</v>
      </c>
    </row>
    <row r="2010" spans="2:17" x14ac:dyDescent="0.25">
      <c r="B2010" t="s">
        <v>78</v>
      </c>
      <c r="C2010" t="s">
        <v>3899</v>
      </c>
      <c r="D2010" t="s">
        <v>3862</v>
      </c>
      <c r="E2010" t="s">
        <v>3907</v>
      </c>
      <c r="F2010">
        <v>1114.99</v>
      </c>
      <c r="G2010">
        <v>1118.99</v>
      </c>
      <c r="H2010">
        <v>1250</v>
      </c>
      <c r="I2010">
        <v>1118.99</v>
      </c>
      <c r="J2010" s="1">
        <v>1185</v>
      </c>
      <c r="K2010">
        <v>3488.99</v>
      </c>
      <c r="L2010">
        <v>3</v>
      </c>
      <c r="M2010" t="s">
        <v>78</v>
      </c>
      <c r="N2010" t="s">
        <v>17</v>
      </c>
      <c r="O2010">
        <v>3</v>
      </c>
      <c r="P2010">
        <v>1254</v>
      </c>
      <c r="Q2010">
        <v>1000.06</v>
      </c>
    </row>
    <row r="2011" spans="2:17" x14ac:dyDescent="0.25">
      <c r="B2011" t="s">
        <v>78</v>
      </c>
      <c r="C2011" t="s">
        <v>3899</v>
      </c>
      <c r="D2011" t="s">
        <v>3800</v>
      </c>
      <c r="E2011" t="s">
        <v>3908</v>
      </c>
      <c r="F2011">
        <v>1274.8399999999999</v>
      </c>
      <c r="G2011">
        <v>1278.79</v>
      </c>
      <c r="H2011">
        <v>1278.79</v>
      </c>
      <c r="I2011">
        <v>1269.99</v>
      </c>
      <c r="J2011" s="1">
        <v>1270</v>
      </c>
      <c r="K2011">
        <v>2705003.54</v>
      </c>
      <c r="L2011">
        <v>2127</v>
      </c>
      <c r="M2011" t="s">
        <v>78</v>
      </c>
      <c r="N2011" t="s">
        <v>17</v>
      </c>
      <c r="O2011">
        <v>38</v>
      </c>
      <c r="P2011">
        <v>1318</v>
      </c>
      <c r="Q2011">
        <v>1225.0999999999999</v>
      </c>
    </row>
    <row r="2012" spans="2:17" x14ac:dyDescent="0.25">
      <c r="B2012" t="s">
        <v>78</v>
      </c>
      <c r="C2012" t="s">
        <v>3909</v>
      </c>
      <c r="D2012" t="s">
        <v>3900</v>
      </c>
      <c r="E2012" t="s">
        <v>3910</v>
      </c>
      <c r="F2012">
        <v>1084.75</v>
      </c>
      <c r="G2012">
        <v>1084</v>
      </c>
      <c r="H2012">
        <v>1085</v>
      </c>
      <c r="I2012">
        <v>1083</v>
      </c>
      <c r="J2012" s="1">
        <v>1083</v>
      </c>
      <c r="K2012">
        <v>764833</v>
      </c>
      <c r="L2012">
        <v>706</v>
      </c>
      <c r="M2012" t="s">
        <v>78</v>
      </c>
      <c r="N2012" t="s">
        <v>17</v>
      </c>
      <c r="O2012">
        <v>6</v>
      </c>
      <c r="P2012">
        <v>1085</v>
      </c>
      <c r="Q2012">
        <v>900.5</v>
      </c>
    </row>
    <row r="2013" spans="2:17" x14ac:dyDescent="0.25">
      <c r="B2013" t="s">
        <v>78</v>
      </c>
      <c r="C2013" t="s">
        <v>3909</v>
      </c>
      <c r="D2013" t="s">
        <v>1314</v>
      </c>
      <c r="E2013" t="s">
        <v>3911</v>
      </c>
      <c r="F2013">
        <v>1065</v>
      </c>
      <c r="G2013">
        <v>1059</v>
      </c>
      <c r="H2013">
        <v>1059</v>
      </c>
      <c r="I2013">
        <v>1059</v>
      </c>
      <c r="J2013" s="1">
        <v>1059</v>
      </c>
      <c r="K2013">
        <v>63540</v>
      </c>
      <c r="L2013">
        <v>60</v>
      </c>
      <c r="M2013" t="s">
        <v>78</v>
      </c>
      <c r="N2013" t="s">
        <v>17</v>
      </c>
      <c r="O2013">
        <v>2</v>
      </c>
      <c r="P2013">
        <v>1159.99</v>
      </c>
      <c r="Q2013">
        <v>1000</v>
      </c>
    </row>
    <row r="2014" spans="2:17" x14ac:dyDescent="0.25">
      <c r="B2014" t="s">
        <v>78</v>
      </c>
      <c r="C2014" t="s">
        <v>3909</v>
      </c>
      <c r="D2014" t="s">
        <v>3179</v>
      </c>
      <c r="E2014" t="s">
        <v>3912</v>
      </c>
      <c r="F2014">
        <v>994.56</v>
      </c>
      <c r="G2014">
        <v>994</v>
      </c>
      <c r="H2014">
        <v>995</v>
      </c>
      <c r="I2014">
        <v>990</v>
      </c>
      <c r="J2014" s="1">
        <v>991.51</v>
      </c>
      <c r="K2014">
        <v>1641074.7</v>
      </c>
      <c r="L2014">
        <v>1654</v>
      </c>
      <c r="M2014" t="s">
        <v>78</v>
      </c>
      <c r="N2014" t="s">
        <v>17</v>
      </c>
      <c r="O2014">
        <v>61</v>
      </c>
      <c r="P2014">
        <v>1010</v>
      </c>
      <c r="Q2014">
        <v>985</v>
      </c>
    </row>
    <row r="2015" spans="2:17" x14ac:dyDescent="0.25">
      <c r="B2015" t="s">
        <v>78</v>
      </c>
      <c r="C2015" t="s">
        <v>3909</v>
      </c>
      <c r="D2015" t="s">
        <v>1353</v>
      </c>
      <c r="E2015" t="s">
        <v>3913</v>
      </c>
      <c r="F2015">
        <v>1010.01</v>
      </c>
      <c r="G2015">
        <v>1015</v>
      </c>
      <c r="H2015">
        <v>1015.01</v>
      </c>
      <c r="I2015">
        <v>1015</v>
      </c>
      <c r="J2015" s="1">
        <v>1015.01</v>
      </c>
      <c r="K2015">
        <v>53795.1</v>
      </c>
      <c r="L2015">
        <v>53</v>
      </c>
      <c r="M2015" t="s">
        <v>78</v>
      </c>
      <c r="N2015" t="s">
        <v>17</v>
      </c>
      <c r="O2015">
        <v>2</v>
      </c>
      <c r="P2015">
        <v>1040</v>
      </c>
      <c r="Q2015">
        <v>1000</v>
      </c>
    </row>
    <row r="2016" spans="2:17" x14ac:dyDescent="0.25">
      <c r="B2016" t="s">
        <v>78</v>
      </c>
      <c r="C2016" t="s">
        <v>3909</v>
      </c>
      <c r="D2016" t="s">
        <v>3889</v>
      </c>
      <c r="E2016" t="s">
        <v>3914</v>
      </c>
      <c r="F2016">
        <v>1205</v>
      </c>
      <c r="G2016">
        <v>1205</v>
      </c>
      <c r="H2016">
        <v>1205</v>
      </c>
      <c r="I2016">
        <v>1196.0999999999999</v>
      </c>
      <c r="J2016" s="1">
        <v>1197.0999999999999</v>
      </c>
      <c r="K2016">
        <v>222818.2</v>
      </c>
      <c r="L2016">
        <v>186</v>
      </c>
      <c r="M2016" t="s">
        <v>78</v>
      </c>
      <c r="N2016" t="s">
        <v>17</v>
      </c>
      <c r="O2016">
        <v>8</v>
      </c>
      <c r="P2016">
        <v>1230</v>
      </c>
      <c r="Q2016">
        <v>1066</v>
      </c>
    </row>
    <row r="2017" spans="2:17" x14ac:dyDescent="0.25">
      <c r="B2017" t="s">
        <v>78</v>
      </c>
      <c r="C2017" t="s">
        <v>3915</v>
      </c>
      <c r="D2017" t="s">
        <v>3900</v>
      </c>
      <c r="E2017" t="s">
        <v>3916</v>
      </c>
      <c r="F2017">
        <v>985</v>
      </c>
      <c r="G2017">
        <v>985</v>
      </c>
      <c r="H2017">
        <v>985</v>
      </c>
      <c r="I2017">
        <v>985</v>
      </c>
      <c r="J2017" s="1">
        <v>985</v>
      </c>
      <c r="K2017">
        <v>220640</v>
      </c>
      <c r="L2017">
        <v>224</v>
      </c>
      <c r="M2017" t="s">
        <v>78</v>
      </c>
      <c r="N2017" t="s">
        <v>17</v>
      </c>
      <c r="O2017">
        <v>5</v>
      </c>
      <c r="P2017">
        <v>1000</v>
      </c>
      <c r="Q2017">
        <v>757</v>
      </c>
    </row>
    <row r="2018" spans="2:17" x14ac:dyDescent="0.25">
      <c r="B2018" t="s">
        <v>78</v>
      </c>
      <c r="C2018" t="s">
        <v>3915</v>
      </c>
      <c r="D2018" t="s">
        <v>3179</v>
      </c>
      <c r="E2018" t="s">
        <v>3917</v>
      </c>
      <c r="F2018">
        <v>990</v>
      </c>
      <c r="G2018">
        <v>975</v>
      </c>
      <c r="H2018">
        <v>991</v>
      </c>
      <c r="I2018">
        <v>975</v>
      </c>
      <c r="J2018" s="1">
        <v>990.02</v>
      </c>
      <c r="K2018">
        <v>276779</v>
      </c>
      <c r="L2018">
        <v>280</v>
      </c>
      <c r="M2018" t="s">
        <v>78</v>
      </c>
      <c r="N2018" t="s">
        <v>17</v>
      </c>
      <c r="O2018">
        <v>9</v>
      </c>
      <c r="P2018">
        <v>1099</v>
      </c>
      <c r="Q2018">
        <v>815.6</v>
      </c>
    </row>
    <row r="2019" spans="2:17" x14ac:dyDescent="0.25">
      <c r="B2019" t="s">
        <v>78</v>
      </c>
      <c r="C2019" t="s">
        <v>1933</v>
      </c>
      <c r="D2019" t="s">
        <v>3900</v>
      </c>
      <c r="E2019" t="s">
        <v>3918</v>
      </c>
      <c r="F2019">
        <v>1274</v>
      </c>
      <c r="G2019">
        <v>1275</v>
      </c>
      <c r="H2019">
        <v>1275</v>
      </c>
      <c r="I2019">
        <v>1275</v>
      </c>
      <c r="J2019" s="1">
        <v>1275</v>
      </c>
      <c r="K2019">
        <v>2550</v>
      </c>
      <c r="L2019">
        <v>2</v>
      </c>
      <c r="M2019" t="s">
        <v>78</v>
      </c>
      <c r="N2019" t="s">
        <v>17</v>
      </c>
      <c r="O2019">
        <v>1</v>
      </c>
      <c r="P2019">
        <v>1345</v>
      </c>
      <c r="Q2019">
        <v>950</v>
      </c>
    </row>
    <row r="2020" spans="2:17" x14ac:dyDescent="0.25">
      <c r="B2020" t="s">
        <v>78</v>
      </c>
      <c r="C2020" t="s">
        <v>1933</v>
      </c>
      <c r="D2020" t="s">
        <v>1314</v>
      </c>
      <c r="E2020" t="s">
        <v>3919</v>
      </c>
      <c r="F2020">
        <v>1097.49</v>
      </c>
      <c r="G2020">
        <v>1090</v>
      </c>
      <c r="H2020">
        <v>1095</v>
      </c>
      <c r="I2020">
        <v>985.2</v>
      </c>
      <c r="J2020" s="1">
        <v>1040.53</v>
      </c>
      <c r="K2020">
        <v>1581524.74</v>
      </c>
      <c r="L2020">
        <v>1515</v>
      </c>
      <c r="M2020" t="s">
        <v>78</v>
      </c>
      <c r="N2020" t="s">
        <v>17</v>
      </c>
      <c r="O2020">
        <v>40</v>
      </c>
      <c r="P2020">
        <v>1247</v>
      </c>
      <c r="Q2020">
        <v>965.4</v>
      </c>
    </row>
    <row r="2021" spans="2:17" x14ac:dyDescent="0.25">
      <c r="B2021" t="s">
        <v>78</v>
      </c>
      <c r="C2021" t="s">
        <v>1933</v>
      </c>
      <c r="D2021" t="s">
        <v>3889</v>
      </c>
      <c r="E2021" t="s">
        <v>3920</v>
      </c>
      <c r="F2021">
        <v>1096</v>
      </c>
      <c r="G2021">
        <v>1096</v>
      </c>
      <c r="H2021">
        <v>1096</v>
      </c>
      <c r="I2021">
        <v>1086.5</v>
      </c>
      <c r="J2021" s="1">
        <v>1090.32</v>
      </c>
      <c r="K2021">
        <v>1198807</v>
      </c>
      <c r="L2021">
        <v>1100</v>
      </c>
      <c r="M2021" t="s">
        <v>78</v>
      </c>
      <c r="N2021" t="s">
        <v>17</v>
      </c>
      <c r="O2021">
        <v>15</v>
      </c>
      <c r="P2021">
        <v>1113</v>
      </c>
      <c r="Q2021">
        <v>1005</v>
      </c>
    </row>
    <row r="2022" spans="2:17" x14ac:dyDescent="0.25">
      <c r="B2022" t="s">
        <v>78</v>
      </c>
      <c r="C2022" t="s">
        <v>3921</v>
      </c>
      <c r="D2022" t="s">
        <v>3900</v>
      </c>
      <c r="E2022" t="s">
        <v>3922</v>
      </c>
      <c r="F2022">
        <v>1060</v>
      </c>
      <c r="G2022">
        <v>1060</v>
      </c>
      <c r="H2022">
        <v>1060</v>
      </c>
      <c r="I2022">
        <v>1059.99</v>
      </c>
      <c r="J2022" s="1">
        <v>1059.99</v>
      </c>
      <c r="K2022">
        <v>16959.849999999999</v>
      </c>
      <c r="L2022">
        <v>16</v>
      </c>
      <c r="M2022" t="s">
        <v>78</v>
      </c>
      <c r="N2022" t="s">
        <v>17</v>
      </c>
      <c r="O2022">
        <v>2</v>
      </c>
      <c r="P2022">
        <v>1067</v>
      </c>
      <c r="Q2022">
        <v>816</v>
      </c>
    </row>
    <row r="2023" spans="2:17" x14ac:dyDescent="0.25">
      <c r="B2023" t="s">
        <v>78</v>
      </c>
      <c r="C2023" t="s">
        <v>3921</v>
      </c>
      <c r="D2023" t="s">
        <v>3862</v>
      </c>
      <c r="E2023" t="s">
        <v>3923</v>
      </c>
      <c r="F2023">
        <v>1135</v>
      </c>
      <c r="G2023">
        <v>1135</v>
      </c>
      <c r="H2023">
        <v>1135</v>
      </c>
      <c r="I2023">
        <v>1129.5</v>
      </c>
      <c r="J2023" s="1">
        <v>1132</v>
      </c>
      <c r="K2023">
        <v>733915</v>
      </c>
      <c r="L2023">
        <v>647</v>
      </c>
      <c r="M2023" t="s">
        <v>78</v>
      </c>
      <c r="N2023" t="s">
        <v>17</v>
      </c>
      <c r="O2023">
        <v>15</v>
      </c>
      <c r="P2023">
        <v>1249.8</v>
      </c>
      <c r="Q2023">
        <v>1040.0999999999999</v>
      </c>
    </row>
    <row r="2024" spans="2:17" x14ac:dyDescent="0.25">
      <c r="B2024" t="s">
        <v>78</v>
      </c>
      <c r="C2024" t="s">
        <v>3921</v>
      </c>
      <c r="D2024" t="s">
        <v>2215</v>
      </c>
      <c r="E2024" t="s">
        <v>3924</v>
      </c>
      <c r="F2024">
        <v>1196.92</v>
      </c>
      <c r="G2024">
        <v>1190</v>
      </c>
      <c r="H2024">
        <v>1209.4000000000001</v>
      </c>
      <c r="I2024">
        <v>1190</v>
      </c>
      <c r="J2024" s="1">
        <v>1190.25</v>
      </c>
      <c r="K2024">
        <v>513810.07</v>
      </c>
      <c r="L2024">
        <v>426</v>
      </c>
      <c r="M2024" t="s">
        <v>78</v>
      </c>
      <c r="N2024" t="s">
        <v>17</v>
      </c>
      <c r="O2024">
        <v>9</v>
      </c>
      <c r="P2024">
        <v>1280</v>
      </c>
      <c r="Q2024">
        <v>1170.0999999999999</v>
      </c>
    </row>
    <row r="2025" spans="2:17" x14ac:dyDescent="0.25">
      <c r="B2025" t="s">
        <v>78</v>
      </c>
      <c r="C2025" t="s">
        <v>3925</v>
      </c>
      <c r="D2025" t="s">
        <v>1353</v>
      </c>
      <c r="E2025" t="s">
        <v>3926</v>
      </c>
      <c r="F2025">
        <v>1043.6300000000001</v>
      </c>
      <c r="G2025">
        <v>1045</v>
      </c>
      <c r="H2025">
        <v>1048</v>
      </c>
      <c r="I2025">
        <v>1045</v>
      </c>
      <c r="J2025" s="1">
        <v>1048</v>
      </c>
      <c r="K2025">
        <v>139072.70000000001</v>
      </c>
      <c r="L2025">
        <v>133</v>
      </c>
      <c r="M2025" t="s">
        <v>78</v>
      </c>
      <c r="N2025" t="s">
        <v>17</v>
      </c>
      <c r="O2025">
        <v>14</v>
      </c>
      <c r="P2025">
        <v>1052</v>
      </c>
      <c r="Q2025">
        <v>1000</v>
      </c>
    </row>
    <row r="2026" spans="2:17" x14ac:dyDescent="0.25">
      <c r="B2026" t="s">
        <v>78</v>
      </c>
      <c r="C2026" t="s">
        <v>3925</v>
      </c>
      <c r="D2026" t="s">
        <v>1417</v>
      </c>
      <c r="E2026" t="s">
        <v>3927</v>
      </c>
      <c r="F2026">
        <v>1254.99</v>
      </c>
      <c r="G2026">
        <v>1276.99</v>
      </c>
      <c r="H2026">
        <v>1276.99</v>
      </c>
      <c r="I2026">
        <v>1247</v>
      </c>
      <c r="J2026" s="1">
        <v>1259.99</v>
      </c>
      <c r="K2026">
        <v>2518516.12</v>
      </c>
      <c r="L2026">
        <v>2018</v>
      </c>
      <c r="M2026" t="s">
        <v>78</v>
      </c>
      <c r="N2026" t="s">
        <v>17</v>
      </c>
      <c r="O2026">
        <v>29</v>
      </c>
      <c r="P2026">
        <v>1295</v>
      </c>
      <c r="Q2026">
        <v>1203</v>
      </c>
    </row>
    <row r="2027" spans="2:17" x14ac:dyDescent="0.25">
      <c r="B2027" t="s">
        <v>78</v>
      </c>
      <c r="C2027" t="s">
        <v>3925</v>
      </c>
      <c r="D2027" t="s">
        <v>3928</v>
      </c>
      <c r="E2027" t="s">
        <v>3929</v>
      </c>
      <c r="F2027">
        <v>370</v>
      </c>
      <c r="G2027">
        <v>370</v>
      </c>
      <c r="H2027">
        <v>370</v>
      </c>
      <c r="I2027">
        <v>362</v>
      </c>
      <c r="J2027" s="1">
        <v>370</v>
      </c>
      <c r="K2027">
        <v>135924.5</v>
      </c>
      <c r="L2027">
        <v>368</v>
      </c>
      <c r="M2027" t="s">
        <v>78</v>
      </c>
      <c r="N2027" t="s">
        <v>17</v>
      </c>
      <c r="O2027">
        <v>13</v>
      </c>
      <c r="P2027">
        <v>950</v>
      </c>
      <c r="Q2027">
        <v>310</v>
      </c>
    </row>
    <row r="2028" spans="2:17" x14ac:dyDescent="0.25">
      <c r="B2028" t="s">
        <v>78</v>
      </c>
      <c r="C2028" t="s">
        <v>3930</v>
      </c>
      <c r="D2028" t="s">
        <v>3900</v>
      </c>
      <c r="E2028" t="s">
        <v>3931</v>
      </c>
      <c r="F2028">
        <v>1001.26</v>
      </c>
      <c r="G2028">
        <v>1001</v>
      </c>
      <c r="H2028">
        <v>1001</v>
      </c>
      <c r="I2028">
        <v>997.8</v>
      </c>
      <c r="J2028" s="1">
        <v>998.2</v>
      </c>
      <c r="K2028">
        <v>2102472.42</v>
      </c>
      <c r="L2028">
        <v>2103</v>
      </c>
      <c r="M2028" t="s">
        <v>78</v>
      </c>
      <c r="N2028" t="s">
        <v>17</v>
      </c>
      <c r="O2028">
        <v>34</v>
      </c>
      <c r="P2028">
        <v>1026</v>
      </c>
      <c r="Q2028">
        <v>701.01</v>
      </c>
    </row>
    <row r="2029" spans="2:17" x14ac:dyDescent="0.25">
      <c r="B2029" t="s">
        <v>78</v>
      </c>
      <c r="C2029" t="s">
        <v>3930</v>
      </c>
      <c r="D2029" t="s">
        <v>1417</v>
      </c>
      <c r="E2029" t="s">
        <v>3932</v>
      </c>
      <c r="F2029">
        <v>1322.15</v>
      </c>
      <c r="G2029">
        <v>1332</v>
      </c>
      <c r="H2029">
        <v>1332</v>
      </c>
      <c r="I2029">
        <v>1332</v>
      </c>
      <c r="J2029" s="1">
        <v>1332</v>
      </c>
      <c r="K2029">
        <v>666000</v>
      </c>
      <c r="L2029">
        <v>500</v>
      </c>
      <c r="M2029" t="s">
        <v>78</v>
      </c>
      <c r="N2029" t="s">
        <v>17</v>
      </c>
      <c r="O2029">
        <v>2</v>
      </c>
      <c r="P2029">
        <v>1376.97</v>
      </c>
      <c r="Q2029">
        <v>1260</v>
      </c>
    </row>
    <row r="2030" spans="2:17" x14ac:dyDescent="0.25">
      <c r="B2030" t="s">
        <v>78</v>
      </c>
      <c r="C2030" t="s">
        <v>3930</v>
      </c>
      <c r="D2030" t="s">
        <v>3862</v>
      </c>
      <c r="E2030" t="s">
        <v>3933</v>
      </c>
      <c r="F2030">
        <v>1019.02</v>
      </c>
      <c r="G2030">
        <v>1021.01</v>
      </c>
      <c r="H2030">
        <v>1037</v>
      </c>
      <c r="I2030">
        <v>1021.01</v>
      </c>
      <c r="J2030" s="1">
        <v>1037</v>
      </c>
      <c r="K2030">
        <v>10274.06</v>
      </c>
      <c r="L2030">
        <v>10</v>
      </c>
      <c r="M2030" t="s">
        <v>78</v>
      </c>
      <c r="N2030" t="s">
        <v>17</v>
      </c>
      <c r="O2030">
        <v>2</v>
      </c>
      <c r="P2030">
        <v>1142</v>
      </c>
      <c r="Q2030">
        <v>1005</v>
      </c>
    </row>
    <row r="2031" spans="2:17" x14ac:dyDescent="0.25">
      <c r="B2031" t="s">
        <v>78</v>
      </c>
      <c r="C2031" t="s">
        <v>3934</v>
      </c>
      <c r="D2031" t="s">
        <v>1314</v>
      </c>
      <c r="E2031" t="s">
        <v>3935</v>
      </c>
      <c r="F2031">
        <v>1060</v>
      </c>
      <c r="G2031">
        <v>1048.01</v>
      </c>
      <c r="H2031">
        <v>1048.01</v>
      </c>
      <c r="I2031">
        <v>1047</v>
      </c>
      <c r="J2031" s="1">
        <v>1047.2</v>
      </c>
      <c r="K2031">
        <v>523602.2</v>
      </c>
      <c r="L2031">
        <v>500</v>
      </c>
      <c r="M2031" t="s">
        <v>78</v>
      </c>
      <c r="N2031" t="s">
        <v>17</v>
      </c>
      <c r="O2031">
        <v>6</v>
      </c>
      <c r="P2031">
        <v>1150</v>
      </c>
      <c r="Q2031">
        <v>955</v>
      </c>
    </row>
    <row r="2032" spans="2:17" x14ac:dyDescent="0.25">
      <c r="B2032" t="s">
        <v>78</v>
      </c>
      <c r="C2032" t="s">
        <v>3934</v>
      </c>
      <c r="D2032" t="s">
        <v>3889</v>
      </c>
      <c r="E2032" t="s">
        <v>3936</v>
      </c>
      <c r="F2032">
        <v>1154.2</v>
      </c>
      <c r="G2032">
        <v>1155</v>
      </c>
      <c r="H2032">
        <v>1155</v>
      </c>
      <c r="I2032">
        <v>1155</v>
      </c>
      <c r="J2032" s="1">
        <v>1155</v>
      </c>
      <c r="K2032">
        <v>341880</v>
      </c>
      <c r="L2032">
        <v>296</v>
      </c>
      <c r="M2032" t="s">
        <v>78</v>
      </c>
      <c r="N2032" t="s">
        <v>17</v>
      </c>
      <c r="O2032">
        <v>5</v>
      </c>
      <c r="P2032">
        <v>1326</v>
      </c>
      <c r="Q2032">
        <v>942.4</v>
      </c>
    </row>
    <row r="2033" spans="2:17" x14ac:dyDescent="0.25">
      <c r="B2033" t="s">
        <v>78</v>
      </c>
      <c r="C2033" t="s">
        <v>3937</v>
      </c>
      <c r="D2033" t="s">
        <v>3900</v>
      </c>
      <c r="E2033" t="s">
        <v>3938</v>
      </c>
      <c r="F2033">
        <v>1049</v>
      </c>
      <c r="G2033">
        <v>1040</v>
      </c>
      <c r="H2033">
        <v>1049</v>
      </c>
      <c r="I2033">
        <v>1040</v>
      </c>
      <c r="J2033" s="1">
        <v>1049</v>
      </c>
      <c r="K2033">
        <v>27049</v>
      </c>
      <c r="L2033">
        <v>26</v>
      </c>
      <c r="M2033" t="s">
        <v>78</v>
      </c>
      <c r="N2033" t="s">
        <v>17</v>
      </c>
      <c r="O2033">
        <v>4</v>
      </c>
      <c r="P2033">
        <v>1181</v>
      </c>
      <c r="Q2033">
        <v>852</v>
      </c>
    </row>
    <row r="2034" spans="2:17" x14ac:dyDescent="0.25">
      <c r="B2034" t="s">
        <v>78</v>
      </c>
      <c r="C2034" t="s">
        <v>3937</v>
      </c>
      <c r="D2034" t="s">
        <v>3862</v>
      </c>
      <c r="E2034" t="s">
        <v>3881</v>
      </c>
      <c r="F2034">
        <v>1216</v>
      </c>
      <c r="G2034">
        <v>1218</v>
      </c>
      <c r="H2034">
        <v>1240</v>
      </c>
      <c r="I2034">
        <v>1207</v>
      </c>
      <c r="J2034" s="1">
        <v>1240</v>
      </c>
      <c r="K2034">
        <v>659937.93999999994</v>
      </c>
      <c r="L2034">
        <v>540</v>
      </c>
      <c r="M2034" t="s">
        <v>78</v>
      </c>
      <c r="N2034" t="s">
        <v>17</v>
      </c>
      <c r="O2034">
        <v>15</v>
      </c>
      <c r="P2034">
        <v>1265</v>
      </c>
      <c r="Q2034">
        <v>952.4</v>
      </c>
    </row>
    <row r="2035" spans="2:17" x14ac:dyDescent="0.25">
      <c r="B2035" t="s">
        <v>78</v>
      </c>
      <c r="C2035" t="s">
        <v>3939</v>
      </c>
      <c r="D2035" t="s">
        <v>3824</v>
      </c>
      <c r="E2035" t="s">
        <v>3940</v>
      </c>
      <c r="F2035">
        <v>378.01</v>
      </c>
      <c r="G2035">
        <v>388.01</v>
      </c>
      <c r="H2035">
        <v>390</v>
      </c>
      <c r="I2035">
        <v>375</v>
      </c>
      <c r="J2035" s="1">
        <v>390</v>
      </c>
      <c r="K2035">
        <v>47479.29</v>
      </c>
      <c r="L2035">
        <v>122</v>
      </c>
      <c r="M2035" t="s">
        <v>78</v>
      </c>
      <c r="N2035" t="s">
        <v>17</v>
      </c>
      <c r="O2035">
        <v>10</v>
      </c>
      <c r="P2035">
        <v>450</v>
      </c>
      <c r="Q2035">
        <v>265.5</v>
      </c>
    </row>
    <row r="2036" spans="2:17" x14ac:dyDescent="0.25">
      <c r="B2036" t="s">
        <v>78</v>
      </c>
      <c r="C2036" t="s">
        <v>3939</v>
      </c>
      <c r="D2036" t="s">
        <v>3900</v>
      </c>
      <c r="E2036" t="s">
        <v>3819</v>
      </c>
      <c r="F2036">
        <v>1265.0999999999999</v>
      </c>
      <c r="G2036">
        <v>1260</v>
      </c>
      <c r="H2036">
        <v>1260.4000000000001</v>
      </c>
      <c r="I2036">
        <v>1255</v>
      </c>
      <c r="J2036" s="1">
        <v>1260.4000000000001</v>
      </c>
      <c r="K2036">
        <v>138354</v>
      </c>
      <c r="L2036">
        <v>110</v>
      </c>
      <c r="M2036" t="s">
        <v>78</v>
      </c>
      <c r="N2036" t="s">
        <v>17</v>
      </c>
      <c r="O2036">
        <v>4</v>
      </c>
      <c r="P2036">
        <v>1398</v>
      </c>
      <c r="Q2036">
        <v>901.05</v>
      </c>
    </row>
    <row r="2037" spans="2:17" x14ac:dyDescent="0.25">
      <c r="B2037" t="s">
        <v>78</v>
      </c>
      <c r="C2037" t="s">
        <v>3941</v>
      </c>
      <c r="D2037" t="s">
        <v>3900</v>
      </c>
      <c r="E2037" t="s">
        <v>3942</v>
      </c>
      <c r="F2037">
        <v>994.1</v>
      </c>
      <c r="G2037">
        <v>995</v>
      </c>
      <c r="H2037">
        <v>996</v>
      </c>
      <c r="I2037">
        <v>995</v>
      </c>
      <c r="J2037" s="1">
        <v>996</v>
      </c>
      <c r="K2037">
        <v>109460</v>
      </c>
      <c r="L2037">
        <v>110</v>
      </c>
      <c r="M2037" t="s">
        <v>78</v>
      </c>
      <c r="N2037" t="s">
        <v>17</v>
      </c>
      <c r="O2037">
        <v>2</v>
      </c>
      <c r="P2037">
        <v>1010</v>
      </c>
      <c r="Q2037">
        <v>792</v>
      </c>
    </row>
    <row r="2038" spans="2:17" x14ac:dyDescent="0.25">
      <c r="B2038" t="s">
        <v>78</v>
      </c>
      <c r="C2038" t="s">
        <v>3941</v>
      </c>
      <c r="D2038" t="s">
        <v>1417</v>
      </c>
      <c r="E2038" t="s">
        <v>3943</v>
      </c>
      <c r="F2038">
        <v>1268</v>
      </c>
      <c r="G2038">
        <v>1270</v>
      </c>
      <c r="H2038">
        <v>1270</v>
      </c>
      <c r="I2038">
        <v>1265</v>
      </c>
      <c r="J2038" s="1">
        <v>1269.9000000000001</v>
      </c>
      <c r="K2038">
        <v>4860561.75</v>
      </c>
      <c r="L2038">
        <v>3835</v>
      </c>
      <c r="M2038" t="s">
        <v>78</v>
      </c>
      <c r="N2038" t="s">
        <v>17</v>
      </c>
      <c r="O2038">
        <v>12</v>
      </c>
      <c r="P2038">
        <v>1314</v>
      </c>
      <c r="Q2038">
        <v>1218.0999999999999</v>
      </c>
    </row>
    <row r="2039" spans="2:17" x14ac:dyDescent="0.25">
      <c r="B2039" t="s">
        <v>78</v>
      </c>
      <c r="C2039" t="s">
        <v>3941</v>
      </c>
      <c r="D2039" t="s">
        <v>3928</v>
      </c>
      <c r="E2039" t="s">
        <v>3944</v>
      </c>
      <c r="F2039">
        <v>322</v>
      </c>
      <c r="G2039">
        <v>310</v>
      </c>
      <c r="H2039">
        <v>328.99</v>
      </c>
      <c r="I2039">
        <v>266</v>
      </c>
      <c r="J2039" s="1">
        <v>328.99</v>
      </c>
      <c r="K2039">
        <v>177555.5</v>
      </c>
      <c r="L2039">
        <v>638</v>
      </c>
      <c r="M2039" t="s">
        <v>78</v>
      </c>
      <c r="N2039" t="s">
        <v>17</v>
      </c>
      <c r="O2039">
        <v>22</v>
      </c>
      <c r="P2039">
        <v>949.99</v>
      </c>
      <c r="Q2039">
        <v>255.1</v>
      </c>
    </row>
    <row r="2040" spans="2:17" x14ac:dyDescent="0.25">
      <c r="B2040" t="s">
        <v>78</v>
      </c>
      <c r="C2040" t="s">
        <v>3945</v>
      </c>
      <c r="D2040" t="s">
        <v>3824</v>
      </c>
      <c r="E2040" t="s">
        <v>3946</v>
      </c>
      <c r="F2040">
        <v>377</v>
      </c>
      <c r="G2040">
        <v>389</v>
      </c>
      <c r="H2040">
        <v>389</v>
      </c>
      <c r="I2040">
        <v>383</v>
      </c>
      <c r="J2040" s="1">
        <v>383</v>
      </c>
      <c r="K2040">
        <v>47140</v>
      </c>
      <c r="L2040">
        <v>122</v>
      </c>
      <c r="M2040" t="s">
        <v>78</v>
      </c>
      <c r="N2040" t="s">
        <v>17</v>
      </c>
      <c r="O2040">
        <v>5</v>
      </c>
      <c r="P2040">
        <v>405</v>
      </c>
      <c r="Q2040">
        <v>221</v>
      </c>
    </row>
    <row r="2041" spans="2:17" x14ac:dyDescent="0.25">
      <c r="B2041" t="s">
        <v>78</v>
      </c>
      <c r="C2041" t="s">
        <v>3945</v>
      </c>
      <c r="D2041" t="s">
        <v>3900</v>
      </c>
      <c r="E2041" t="s">
        <v>3947</v>
      </c>
      <c r="F2041">
        <v>1029.48</v>
      </c>
      <c r="G2041">
        <v>1029.5</v>
      </c>
      <c r="H2041">
        <v>1032</v>
      </c>
      <c r="I2041">
        <v>1029.5</v>
      </c>
      <c r="J2041" s="1">
        <v>1032</v>
      </c>
      <c r="K2041">
        <v>123790</v>
      </c>
      <c r="L2041">
        <v>120</v>
      </c>
      <c r="M2041" t="s">
        <v>78</v>
      </c>
      <c r="N2041" t="s">
        <v>17</v>
      </c>
      <c r="O2041">
        <v>3</v>
      </c>
      <c r="P2041">
        <v>1050</v>
      </c>
      <c r="Q2041">
        <v>801.05</v>
      </c>
    </row>
    <row r="2042" spans="2:17" x14ac:dyDescent="0.25">
      <c r="B2042" t="s">
        <v>78</v>
      </c>
      <c r="C2042" t="s">
        <v>3948</v>
      </c>
      <c r="D2042" t="s">
        <v>3900</v>
      </c>
      <c r="E2042" t="s">
        <v>3949</v>
      </c>
      <c r="F2042">
        <v>1250.05</v>
      </c>
      <c r="G2042">
        <v>1274.9000000000001</v>
      </c>
      <c r="H2042">
        <v>1275</v>
      </c>
      <c r="I2042">
        <v>1240</v>
      </c>
      <c r="J2042" s="1">
        <v>1240</v>
      </c>
      <c r="K2042">
        <v>253122.5</v>
      </c>
      <c r="L2042">
        <v>202</v>
      </c>
      <c r="M2042" t="s">
        <v>78</v>
      </c>
      <c r="N2042" t="s">
        <v>17</v>
      </c>
      <c r="O2042">
        <v>7</v>
      </c>
      <c r="P2042">
        <v>1275</v>
      </c>
      <c r="Q2042">
        <v>822</v>
      </c>
    </row>
    <row r="2043" spans="2:17" x14ac:dyDescent="0.25">
      <c r="B2043" t="s">
        <v>78</v>
      </c>
      <c r="C2043" t="s">
        <v>3950</v>
      </c>
      <c r="D2043" t="s">
        <v>3900</v>
      </c>
      <c r="E2043" t="s">
        <v>3951</v>
      </c>
      <c r="F2043">
        <v>1003</v>
      </c>
      <c r="G2043">
        <v>1005</v>
      </c>
      <c r="H2043">
        <v>1005</v>
      </c>
      <c r="I2043">
        <v>1000</v>
      </c>
      <c r="J2043" s="1">
        <v>1000.05</v>
      </c>
      <c r="K2043">
        <v>886293.25</v>
      </c>
      <c r="L2043">
        <v>885</v>
      </c>
      <c r="M2043" t="s">
        <v>78</v>
      </c>
      <c r="N2043" t="s">
        <v>17</v>
      </c>
      <c r="O2043">
        <v>18</v>
      </c>
      <c r="P2043">
        <v>1020</v>
      </c>
      <c r="Q2043">
        <v>900</v>
      </c>
    </row>
    <row r="2044" spans="2:17" x14ac:dyDescent="0.25">
      <c r="B2044" t="s">
        <v>78</v>
      </c>
      <c r="C2044" t="s">
        <v>3952</v>
      </c>
      <c r="D2044" t="s">
        <v>3824</v>
      </c>
      <c r="E2044" t="s">
        <v>3953</v>
      </c>
      <c r="F2044">
        <v>363.5</v>
      </c>
      <c r="G2044">
        <v>370</v>
      </c>
      <c r="H2044">
        <v>370</v>
      </c>
      <c r="I2044">
        <v>355.2</v>
      </c>
      <c r="J2044" s="1">
        <v>360.3</v>
      </c>
      <c r="K2044">
        <v>243298.6</v>
      </c>
      <c r="L2044">
        <v>675</v>
      </c>
      <c r="M2044" t="s">
        <v>78</v>
      </c>
      <c r="N2044" t="s">
        <v>17</v>
      </c>
      <c r="O2044">
        <v>10</v>
      </c>
      <c r="P2044">
        <v>399</v>
      </c>
      <c r="Q2044">
        <v>234.81</v>
      </c>
    </row>
    <row r="2045" spans="2:17" x14ac:dyDescent="0.25">
      <c r="B2045" t="s">
        <v>78</v>
      </c>
      <c r="C2045" t="s">
        <v>3952</v>
      </c>
      <c r="D2045" t="s">
        <v>3900</v>
      </c>
      <c r="E2045" t="s">
        <v>3954</v>
      </c>
      <c r="F2045">
        <v>1045</v>
      </c>
      <c r="G2045">
        <v>1030</v>
      </c>
      <c r="H2045">
        <v>1030</v>
      </c>
      <c r="I2045">
        <v>1030</v>
      </c>
      <c r="J2045" s="1">
        <v>1030</v>
      </c>
      <c r="K2045">
        <v>114330</v>
      </c>
      <c r="L2045">
        <v>111</v>
      </c>
      <c r="M2045" t="s">
        <v>78</v>
      </c>
      <c r="N2045" t="s">
        <v>17</v>
      </c>
      <c r="O2045">
        <v>3</v>
      </c>
      <c r="P2045">
        <v>1098</v>
      </c>
      <c r="Q2045">
        <v>785</v>
      </c>
    </row>
    <row r="2046" spans="2:17" x14ac:dyDescent="0.25">
      <c r="B2046" t="s">
        <v>78</v>
      </c>
      <c r="C2046" t="s">
        <v>3955</v>
      </c>
      <c r="D2046" t="s">
        <v>3928</v>
      </c>
      <c r="E2046" t="s">
        <v>3956</v>
      </c>
      <c r="F2046">
        <v>350</v>
      </c>
      <c r="G2046">
        <v>312</v>
      </c>
      <c r="H2046">
        <v>312</v>
      </c>
      <c r="I2046">
        <v>312</v>
      </c>
      <c r="J2046" s="1">
        <v>312</v>
      </c>
      <c r="K2046">
        <v>1872</v>
      </c>
      <c r="L2046">
        <v>6</v>
      </c>
      <c r="M2046" t="s">
        <v>78</v>
      </c>
      <c r="N2046" t="s">
        <v>17</v>
      </c>
      <c r="O2046">
        <v>2</v>
      </c>
      <c r="P2046">
        <v>896</v>
      </c>
      <c r="Q2046">
        <v>270</v>
      </c>
    </row>
    <row r="2047" spans="2:17" x14ac:dyDescent="0.25">
      <c r="B2047" t="s">
        <v>78</v>
      </c>
      <c r="C2047" t="s">
        <v>3957</v>
      </c>
      <c r="D2047" t="s">
        <v>3862</v>
      </c>
      <c r="E2047" t="s">
        <v>3958</v>
      </c>
      <c r="F2047">
        <v>1129.75</v>
      </c>
      <c r="G2047">
        <v>1131.98</v>
      </c>
      <c r="H2047">
        <v>1131.98</v>
      </c>
      <c r="I2047">
        <v>1131.98</v>
      </c>
      <c r="J2047" s="1">
        <v>1131.98</v>
      </c>
      <c r="K2047">
        <v>22639.599999999999</v>
      </c>
      <c r="L2047">
        <v>20</v>
      </c>
      <c r="M2047" t="s">
        <v>78</v>
      </c>
      <c r="N2047" t="s">
        <v>17</v>
      </c>
      <c r="O2047">
        <v>1</v>
      </c>
      <c r="P2047">
        <v>1180.5</v>
      </c>
      <c r="Q2047">
        <v>1019.2</v>
      </c>
    </row>
    <row r="2048" spans="2:17" x14ac:dyDescent="0.25">
      <c r="B2048" t="s">
        <v>78</v>
      </c>
      <c r="C2048" t="s">
        <v>3959</v>
      </c>
      <c r="D2048" t="s">
        <v>3928</v>
      </c>
      <c r="E2048" t="s">
        <v>3960</v>
      </c>
      <c r="F2048">
        <v>385</v>
      </c>
      <c r="G2048">
        <v>450</v>
      </c>
      <c r="H2048">
        <v>450</v>
      </c>
      <c r="I2048">
        <v>450</v>
      </c>
      <c r="J2048" s="1">
        <v>450</v>
      </c>
      <c r="K2048">
        <v>4500</v>
      </c>
      <c r="L2048">
        <v>10</v>
      </c>
      <c r="M2048" t="s">
        <v>78</v>
      </c>
      <c r="N2048" t="s">
        <v>17</v>
      </c>
      <c r="O2048">
        <v>1</v>
      </c>
      <c r="P2048">
        <v>999</v>
      </c>
      <c r="Q2048">
        <v>330</v>
      </c>
    </row>
    <row r="2049" spans="2:17" x14ac:dyDescent="0.25">
      <c r="B2049" t="s">
        <v>78</v>
      </c>
      <c r="C2049" t="s">
        <v>3961</v>
      </c>
      <c r="D2049" t="s">
        <v>3311</v>
      </c>
      <c r="E2049" t="s">
        <v>3962</v>
      </c>
      <c r="F2049">
        <v>5.55</v>
      </c>
      <c r="G2049">
        <v>5.55</v>
      </c>
      <c r="H2049">
        <v>5.95</v>
      </c>
      <c r="I2049">
        <v>5.55</v>
      </c>
      <c r="J2049" s="1">
        <v>5.95</v>
      </c>
      <c r="K2049">
        <v>11393.8</v>
      </c>
      <c r="L2049">
        <v>2052</v>
      </c>
      <c r="M2049" t="s">
        <v>78</v>
      </c>
      <c r="N2049" t="s">
        <v>17</v>
      </c>
      <c r="O2049">
        <v>6</v>
      </c>
      <c r="P2049">
        <v>8.4</v>
      </c>
      <c r="Q2049">
        <v>3.5</v>
      </c>
    </row>
    <row r="2050" spans="2:17" x14ac:dyDescent="0.25">
      <c r="B2050" t="s">
        <v>78</v>
      </c>
      <c r="C2050" t="s">
        <v>3963</v>
      </c>
      <c r="D2050" t="s">
        <v>2937</v>
      </c>
      <c r="E2050" t="s">
        <v>2938</v>
      </c>
      <c r="F2050">
        <v>2</v>
      </c>
      <c r="G2050">
        <v>2.0499999999999998</v>
      </c>
      <c r="H2050">
        <v>2.0499999999999998</v>
      </c>
      <c r="I2050">
        <v>2</v>
      </c>
      <c r="J2050" s="1">
        <v>2</v>
      </c>
      <c r="K2050">
        <v>416434.55</v>
      </c>
      <c r="L2050">
        <v>207402</v>
      </c>
      <c r="M2050" t="s">
        <v>78</v>
      </c>
      <c r="N2050" t="s">
        <v>17</v>
      </c>
      <c r="O2050">
        <v>896</v>
      </c>
      <c r="P2050">
        <v>4.05</v>
      </c>
      <c r="Q2050">
        <v>1.85</v>
      </c>
    </row>
    <row r="2051" spans="2:17" x14ac:dyDescent="0.25">
      <c r="B2051" t="s">
        <v>78</v>
      </c>
      <c r="C2051" t="s">
        <v>3964</v>
      </c>
      <c r="D2051" t="s">
        <v>1832</v>
      </c>
      <c r="E2051" t="s">
        <v>3965</v>
      </c>
      <c r="F2051">
        <v>351.5</v>
      </c>
      <c r="G2051">
        <v>350</v>
      </c>
      <c r="H2051">
        <v>350</v>
      </c>
      <c r="I2051">
        <v>301</v>
      </c>
      <c r="J2051" s="1">
        <v>331.4</v>
      </c>
      <c r="K2051">
        <v>799541.5</v>
      </c>
      <c r="L2051">
        <v>2564</v>
      </c>
      <c r="M2051" t="s">
        <v>78</v>
      </c>
      <c r="N2051" t="s">
        <v>17</v>
      </c>
      <c r="O2051">
        <v>156</v>
      </c>
      <c r="P2051">
        <v>439.2</v>
      </c>
      <c r="Q2051">
        <v>55.2</v>
      </c>
    </row>
    <row r="2052" spans="2:17" x14ac:dyDescent="0.25">
      <c r="B2052" t="s">
        <v>78</v>
      </c>
      <c r="C2052" t="s">
        <v>3966</v>
      </c>
      <c r="D2052" t="s">
        <v>114</v>
      </c>
      <c r="E2052" t="s">
        <v>3967</v>
      </c>
      <c r="F2052">
        <v>727.65</v>
      </c>
      <c r="G2052">
        <v>700.05</v>
      </c>
      <c r="H2052">
        <v>708.9</v>
      </c>
      <c r="I2052">
        <v>695.25</v>
      </c>
      <c r="J2052" s="1">
        <v>698</v>
      </c>
      <c r="K2052">
        <v>39110010</v>
      </c>
      <c r="L2052">
        <v>55800</v>
      </c>
      <c r="M2052" t="s">
        <v>78</v>
      </c>
      <c r="N2052" t="s">
        <v>17</v>
      </c>
      <c r="O2052">
        <v>89</v>
      </c>
      <c r="P2052">
        <v>965</v>
      </c>
      <c r="Q2052">
        <v>295</v>
      </c>
    </row>
    <row r="2053" spans="2:17" x14ac:dyDescent="0.25">
      <c r="B2053" t="s">
        <v>78</v>
      </c>
      <c r="C2053" t="s">
        <v>3968</v>
      </c>
      <c r="D2053" t="s">
        <v>3824</v>
      </c>
      <c r="E2053" t="s">
        <v>3969</v>
      </c>
      <c r="F2053">
        <v>360.26</v>
      </c>
      <c r="G2053">
        <v>357.1</v>
      </c>
      <c r="H2053">
        <v>357.1</v>
      </c>
      <c r="I2053">
        <v>357.1</v>
      </c>
      <c r="J2053" s="1">
        <v>357.1</v>
      </c>
      <c r="K2053">
        <v>26782.5</v>
      </c>
      <c r="L2053">
        <v>75</v>
      </c>
      <c r="M2053" t="s">
        <v>78</v>
      </c>
      <c r="N2053" t="s">
        <v>17</v>
      </c>
      <c r="O2053">
        <v>1</v>
      </c>
      <c r="P2053">
        <v>403</v>
      </c>
      <c r="Q2053">
        <v>232</v>
      </c>
    </row>
    <row r="2054" spans="2:17" x14ac:dyDescent="0.25">
      <c r="B2054" t="s">
        <v>78</v>
      </c>
      <c r="C2054" t="s">
        <v>3968</v>
      </c>
      <c r="D2054" t="s">
        <v>3862</v>
      </c>
      <c r="E2054" t="s">
        <v>3970</v>
      </c>
      <c r="F2054">
        <v>1150</v>
      </c>
      <c r="G2054">
        <v>1155.01</v>
      </c>
      <c r="H2054">
        <v>1155.01</v>
      </c>
      <c r="I2054">
        <v>1150.05</v>
      </c>
      <c r="J2054" s="1">
        <v>1150.05</v>
      </c>
      <c r="K2054">
        <v>442116.5</v>
      </c>
      <c r="L2054">
        <v>383</v>
      </c>
      <c r="M2054" t="s">
        <v>78</v>
      </c>
      <c r="N2054" t="s">
        <v>17</v>
      </c>
      <c r="O2054">
        <v>12</v>
      </c>
      <c r="P2054">
        <v>1199</v>
      </c>
      <c r="Q2054">
        <v>925.4</v>
      </c>
    </row>
    <row r="2055" spans="2:17" x14ac:dyDescent="0.25">
      <c r="B2055" t="s">
        <v>78</v>
      </c>
      <c r="C2055" t="s">
        <v>3968</v>
      </c>
      <c r="D2055" t="s">
        <v>3928</v>
      </c>
      <c r="E2055" t="s">
        <v>3971</v>
      </c>
      <c r="F2055">
        <v>380</v>
      </c>
      <c r="G2055">
        <v>380</v>
      </c>
      <c r="H2055">
        <v>380</v>
      </c>
      <c r="I2055">
        <v>380</v>
      </c>
      <c r="J2055" s="1">
        <v>380</v>
      </c>
      <c r="K2055">
        <v>41800</v>
      </c>
      <c r="L2055">
        <v>110</v>
      </c>
      <c r="M2055" t="s">
        <v>78</v>
      </c>
      <c r="N2055" t="s">
        <v>17</v>
      </c>
      <c r="O2055">
        <v>5</v>
      </c>
      <c r="P2055">
        <v>940</v>
      </c>
      <c r="Q2055">
        <v>262.5</v>
      </c>
    </row>
    <row r="2056" spans="2:17" x14ac:dyDescent="0.25">
      <c r="B2056" t="s">
        <v>78</v>
      </c>
      <c r="C2056" t="s">
        <v>3972</v>
      </c>
      <c r="D2056" t="s">
        <v>3928</v>
      </c>
      <c r="E2056" t="s">
        <v>3973</v>
      </c>
      <c r="F2056">
        <v>380</v>
      </c>
      <c r="G2056">
        <v>380</v>
      </c>
      <c r="H2056">
        <v>380</v>
      </c>
      <c r="I2056">
        <v>380</v>
      </c>
      <c r="J2056" s="1">
        <v>380</v>
      </c>
      <c r="K2056">
        <v>19000</v>
      </c>
      <c r="L2056">
        <v>50</v>
      </c>
      <c r="M2056" t="s">
        <v>78</v>
      </c>
      <c r="N2056" t="s">
        <v>17</v>
      </c>
      <c r="O2056">
        <v>1</v>
      </c>
      <c r="P2056">
        <v>950</v>
      </c>
      <c r="Q2056">
        <v>311.05</v>
      </c>
    </row>
    <row r="2057" spans="2:17" x14ac:dyDescent="0.25">
      <c r="B2057" t="s">
        <v>78</v>
      </c>
      <c r="C2057" t="s">
        <v>3974</v>
      </c>
      <c r="D2057" t="s">
        <v>3862</v>
      </c>
      <c r="E2057" t="s">
        <v>3975</v>
      </c>
      <c r="F2057">
        <v>1030</v>
      </c>
      <c r="G2057">
        <v>1090</v>
      </c>
      <c r="H2057">
        <v>1090</v>
      </c>
      <c r="I2057">
        <v>1084.99</v>
      </c>
      <c r="J2057" s="1">
        <v>1084.99</v>
      </c>
      <c r="K2057">
        <v>2174.9899999999998</v>
      </c>
      <c r="L2057">
        <v>2</v>
      </c>
      <c r="M2057" t="s">
        <v>78</v>
      </c>
      <c r="N2057" t="s">
        <v>17</v>
      </c>
      <c r="O2057">
        <v>2</v>
      </c>
      <c r="P2057">
        <v>1137.8</v>
      </c>
      <c r="Q2057">
        <v>960.07</v>
      </c>
    </row>
    <row r="2058" spans="2:17" x14ac:dyDescent="0.25">
      <c r="B2058" t="s">
        <v>78</v>
      </c>
      <c r="C2058" t="s">
        <v>3976</v>
      </c>
      <c r="D2058" t="s">
        <v>3862</v>
      </c>
      <c r="E2058" t="s">
        <v>3977</v>
      </c>
      <c r="F2058">
        <v>1075</v>
      </c>
      <c r="G2058">
        <v>1075.0999999999999</v>
      </c>
      <c r="H2058">
        <v>1083.01</v>
      </c>
      <c r="I2058">
        <v>1075.0999999999999</v>
      </c>
      <c r="J2058" s="1">
        <v>1083.01</v>
      </c>
      <c r="K2058">
        <v>28094.98</v>
      </c>
      <c r="L2058">
        <v>26</v>
      </c>
      <c r="M2058" t="s">
        <v>78</v>
      </c>
      <c r="N2058" t="s">
        <v>17</v>
      </c>
      <c r="O2058">
        <v>2</v>
      </c>
      <c r="P2058">
        <v>1190.4000000000001</v>
      </c>
      <c r="Q2058">
        <v>895.4</v>
      </c>
    </row>
    <row r="2059" spans="2:17" x14ac:dyDescent="0.25">
      <c r="B2059" t="s">
        <v>78</v>
      </c>
      <c r="C2059" t="s">
        <v>3978</v>
      </c>
      <c r="D2059" t="s">
        <v>3862</v>
      </c>
      <c r="E2059" t="s">
        <v>3979</v>
      </c>
      <c r="F2059">
        <v>1107.01</v>
      </c>
      <c r="G2059">
        <v>1100</v>
      </c>
      <c r="H2059">
        <v>1123</v>
      </c>
      <c r="I2059">
        <v>1100</v>
      </c>
      <c r="J2059" s="1">
        <v>1121.8699999999999</v>
      </c>
      <c r="K2059">
        <v>321250</v>
      </c>
      <c r="L2059">
        <v>290</v>
      </c>
      <c r="M2059" t="s">
        <v>78</v>
      </c>
      <c r="N2059" t="s">
        <v>17</v>
      </c>
      <c r="O2059">
        <v>13</v>
      </c>
      <c r="P2059">
        <v>1225.5</v>
      </c>
      <c r="Q2059">
        <v>1050</v>
      </c>
    </row>
    <row r="2060" spans="2:17" x14ac:dyDescent="0.25">
      <c r="B2060" t="s">
        <v>78</v>
      </c>
      <c r="C2060" t="s">
        <v>3980</v>
      </c>
      <c r="D2060" t="s">
        <v>2517</v>
      </c>
      <c r="E2060" t="s">
        <v>3981</v>
      </c>
      <c r="F2060">
        <v>1093.04</v>
      </c>
      <c r="G2060">
        <v>1089</v>
      </c>
      <c r="H2060">
        <v>1089</v>
      </c>
      <c r="I2060">
        <v>1065</v>
      </c>
      <c r="J2060" s="1">
        <v>1065</v>
      </c>
      <c r="K2060">
        <v>11739.06</v>
      </c>
      <c r="L2060">
        <v>11</v>
      </c>
      <c r="M2060" t="s">
        <v>78</v>
      </c>
      <c r="N2060" t="s">
        <v>17</v>
      </c>
      <c r="O2060">
        <v>4</v>
      </c>
      <c r="P2060">
        <v>1150</v>
      </c>
      <c r="Q2060">
        <v>911</v>
      </c>
    </row>
    <row r="2061" spans="2:17" x14ac:dyDescent="0.25">
      <c r="B2061" t="s">
        <v>78</v>
      </c>
      <c r="C2061" t="s">
        <v>3982</v>
      </c>
      <c r="D2061" t="s">
        <v>2517</v>
      </c>
      <c r="E2061" t="s">
        <v>3983</v>
      </c>
      <c r="F2061">
        <v>1036.0999999999999</v>
      </c>
      <c r="G2061">
        <v>1040</v>
      </c>
      <c r="H2061">
        <v>1042</v>
      </c>
      <c r="I2061">
        <v>1040</v>
      </c>
      <c r="J2061" s="1">
        <v>1042</v>
      </c>
      <c r="K2061">
        <v>166620</v>
      </c>
      <c r="L2061">
        <v>160</v>
      </c>
      <c r="M2061" t="s">
        <v>78</v>
      </c>
      <c r="N2061" t="s">
        <v>17</v>
      </c>
      <c r="O2061">
        <v>7</v>
      </c>
      <c r="P2061">
        <v>1110.8</v>
      </c>
      <c r="Q2061">
        <v>942</v>
      </c>
    </row>
    <row r="2062" spans="2:17" x14ac:dyDescent="0.25">
      <c r="B2062" t="s">
        <v>78</v>
      </c>
      <c r="C2062" t="s">
        <v>3984</v>
      </c>
      <c r="D2062" t="s">
        <v>2517</v>
      </c>
      <c r="E2062" t="s">
        <v>3985</v>
      </c>
      <c r="F2062">
        <v>1074</v>
      </c>
      <c r="G2062">
        <v>1074</v>
      </c>
      <c r="H2062">
        <v>1074</v>
      </c>
      <c r="I2062">
        <v>1074</v>
      </c>
      <c r="J2062" s="1">
        <v>1074</v>
      </c>
      <c r="K2062">
        <v>107400</v>
      </c>
      <c r="L2062">
        <v>100</v>
      </c>
      <c r="M2062" t="s">
        <v>78</v>
      </c>
      <c r="N2062" t="s">
        <v>17</v>
      </c>
      <c r="O2062">
        <v>8</v>
      </c>
      <c r="P2062">
        <v>1247</v>
      </c>
      <c r="Q2062">
        <v>931</v>
      </c>
    </row>
    <row r="2063" spans="2:17" x14ac:dyDescent="0.25">
      <c r="B2063" t="s">
        <v>78</v>
      </c>
      <c r="C2063" t="s">
        <v>3986</v>
      </c>
      <c r="D2063" t="s">
        <v>2517</v>
      </c>
      <c r="E2063" t="s">
        <v>3987</v>
      </c>
      <c r="F2063">
        <v>1340.02</v>
      </c>
      <c r="G2063">
        <v>1540.5</v>
      </c>
      <c r="H2063">
        <v>1540.5</v>
      </c>
      <c r="I2063">
        <v>1340.21</v>
      </c>
      <c r="J2063" s="1">
        <v>1340.21</v>
      </c>
      <c r="K2063">
        <v>194642.05</v>
      </c>
      <c r="L2063">
        <v>127</v>
      </c>
      <c r="M2063" t="s">
        <v>78</v>
      </c>
      <c r="N2063" t="s">
        <v>17</v>
      </c>
      <c r="O2063">
        <v>7</v>
      </c>
      <c r="P2063">
        <v>1540.5</v>
      </c>
      <c r="Q2063">
        <v>1076</v>
      </c>
    </row>
    <row r="2064" spans="2:17" x14ac:dyDescent="0.25">
      <c r="B2064" t="s">
        <v>78</v>
      </c>
      <c r="C2064" t="s">
        <v>3988</v>
      </c>
      <c r="D2064" t="s">
        <v>2517</v>
      </c>
      <c r="E2064" t="s">
        <v>3989</v>
      </c>
      <c r="F2064">
        <v>1032</v>
      </c>
      <c r="G2064">
        <v>1043.9000000000001</v>
      </c>
      <c r="H2064">
        <v>1043.9000000000001</v>
      </c>
      <c r="I2064">
        <v>1043.9000000000001</v>
      </c>
      <c r="J2064" s="1">
        <v>1043.9000000000001</v>
      </c>
      <c r="K2064">
        <v>10439</v>
      </c>
      <c r="L2064">
        <v>10</v>
      </c>
      <c r="M2064" t="s">
        <v>78</v>
      </c>
      <c r="N2064" t="s">
        <v>17</v>
      </c>
      <c r="O2064">
        <v>1</v>
      </c>
      <c r="P2064">
        <v>1110</v>
      </c>
      <c r="Q2064">
        <v>956</v>
      </c>
    </row>
    <row r="2065" spans="2:17" x14ac:dyDescent="0.25">
      <c r="B2065" t="s">
        <v>78</v>
      </c>
      <c r="C2065" t="s">
        <v>3990</v>
      </c>
      <c r="D2065" t="s">
        <v>2517</v>
      </c>
      <c r="E2065" t="s">
        <v>3991</v>
      </c>
      <c r="F2065">
        <v>1065.0999999999999</v>
      </c>
      <c r="G2065">
        <v>1066</v>
      </c>
      <c r="H2065">
        <v>1070</v>
      </c>
      <c r="I2065">
        <v>1066</v>
      </c>
      <c r="J2065" s="1">
        <v>1070</v>
      </c>
      <c r="K2065">
        <v>62020</v>
      </c>
      <c r="L2065">
        <v>58</v>
      </c>
      <c r="M2065" t="s">
        <v>78</v>
      </c>
      <c r="N2065" t="s">
        <v>17</v>
      </c>
      <c r="O2065">
        <v>3</v>
      </c>
      <c r="P2065">
        <v>1079.8</v>
      </c>
      <c r="Q2065">
        <v>992.43</v>
      </c>
    </row>
    <row r="2066" spans="2:17" x14ac:dyDescent="0.25">
      <c r="B2066" t="s">
        <v>78</v>
      </c>
      <c r="C2066" t="s">
        <v>3992</v>
      </c>
      <c r="D2066" t="s">
        <v>2517</v>
      </c>
      <c r="E2066" t="s">
        <v>3993</v>
      </c>
      <c r="F2066">
        <v>1099.99</v>
      </c>
      <c r="G2066">
        <v>1100</v>
      </c>
      <c r="H2066">
        <v>1100</v>
      </c>
      <c r="I2066">
        <v>1100</v>
      </c>
      <c r="J2066" s="1">
        <v>1100</v>
      </c>
      <c r="K2066">
        <v>11000</v>
      </c>
      <c r="L2066">
        <v>10</v>
      </c>
      <c r="M2066" t="s">
        <v>78</v>
      </c>
      <c r="N2066" t="s">
        <v>17</v>
      </c>
      <c r="O2066">
        <v>1</v>
      </c>
      <c r="P2066">
        <v>1100</v>
      </c>
      <c r="Q2066">
        <v>895.2</v>
      </c>
    </row>
    <row r="2067" spans="2:17" x14ac:dyDescent="0.25">
      <c r="B2067" t="s">
        <v>78</v>
      </c>
      <c r="C2067" t="s">
        <v>3994</v>
      </c>
      <c r="D2067" t="s">
        <v>2517</v>
      </c>
      <c r="E2067" t="s">
        <v>3995</v>
      </c>
      <c r="F2067">
        <v>1160</v>
      </c>
      <c r="G2067">
        <v>1152</v>
      </c>
      <c r="H2067">
        <v>1152</v>
      </c>
      <c r="I2067">
        <v>1105</v>
      </c>
      <c r="J2067" s="1">
        <v>1152</v>
      </c>
      <c r="K2067">
        <v>101008</v>
      </c>
      <c r="L2067">
        <v>89</v>
      </c>
      <c r="M2067" t="s">
        <v>78</v>
      </c>
      <c r="N2067" t="s">
        <v>17</v>
      </c>
      <c r="O2067">
        <v>8</v>
      </c>
      <c r="P2067">
        <v>1280.8</v>
      </c>
      <c r="Q2067">
        <v>992</v>
      </c>
    </row>
    <row r="2068" spans="2:17" x14ac:dyDescent="0.25">
      <c r="B2068" t="s">
        <v>78</v>
      </c>
      <c r="C2068" t="s">
        <v>3996</v>
      </c>
      <c r="D2068" t="s">
        <v>2517</v>
      </c>
      <c r="E2068" t="s">
        <v>3997</v>
      </c>
      <c r="F2068">
        <v>1279.99</v>
      </c>
      <c r="G2068">
        <v>1279</v>
      </c>
      <c r="H2068">
        <v>1279</v>
      </c>
      <c r="I2068">
        <v>1279</v>
      </c>
      <c r="J2068" s="1">
        <v>1279</v>
      </c>
      <c r="K2068">
        <v>31975</v>
      </c>
      <c r="L2068">
        <v>25</v>
      </c>
      <c r="M2068" t="s">
        <v>78</v>
      </c>
      <c r="N2068" t="s">
        <v>17</v>
      </c>
      <c r="O2068">
        <v>2</v>
      </c>
      <c r="P2068">
        <v>1279.99</v>
      </c>
      <c r="Q2068">
        <v>1110</v>
      </c>
    </row>
    <row r="2069" spans="2:17" x14ac:dyDescent="0.25">
      <c r="B2069" t="s">
        <v>78</v>
      </c>
      <c r="C2069" t="s">
        <v>3998</v>
      </c>
      <c r="D2069" t="s">
        <v>2517</v>
      </c>
      <c r="E2069" t="s">
        <v>3987</v>
      </c>
      <c r="F2069">
        <v>1344</v>
      </c>
      <c r="G2069">
        <v>1344</v>
      </c>
      <c r="H2069">
        <v>1344</v>
      </c>
      <c r="I2069">
        <v>1344</v>
      </c>
      <c r="J2069" s="1">
        <v>1344</v>
      </c>
      <c r="K2069">
        <v>67200</v>
      </c>
      <c r="L2069">
        <v>50</v>
      </c>
      <c r="M2069" t="s">
        <v>78</v>
      </c>
      <c r="N2069" t="s">
        <v>17</v>
      </c>
      <c r="O2069">
        <v>1</v>
      </c>
      <c r="P2069">
        <v>1344</v>
      </c>
      <c r="Q2069">
        <v>1055</v>
      </c>
    </row>
    <row r="2070" spans="2:17" x14ac:dyDescent="0.25">
      <c r="B2070" t="s">
        <v>78</v>
      </c>
      <c r="C2070" t="s">
        <v>3999</v>
      </c>
      <c r="D2070" t="s">
        <v>2517</v>
      </c>
      <c r="E2070" t="s">
        <v>3989</v>
      </c>
      <c r="F2070">
        <v>1053.0999999999999</v>
      </c>
      <c r="G2070">
        <v>1059</v>
      </c>
      <c r="H2070">
        <v>1233</v>
      </c>
      <c r="I2070">
        <v>1055</v>
      </c>
      <c r="J2070" s="1">
        <v>1056</v>
      </c>
      <c r="K2070">
        <v>768015.4</v>
      </c>
      <c r="L2070">
        <v>714</v>
      </c>
      <c r="M2070" t="s">
        <v>78</v>
      </c>
      <c r="N2070" t="s">
        <v>17</v>
      </c>
      <c r="O2070">
        <v>13</v>
      </c>
      <c r="P2070">
        <v>1233</v>
      </c>
      <c r="Q2070">
        <v>962</v>
      </c>
    </row>
    <row r="2071" spans="2:17" x14ac:dyDescent="0.25">
      <c r="B2071" t="s">
        <v>78</v>
      </c>
      <c r="C2071" t="s">
        <v>4000</v>
      </c>
      <c r="D2071" t="s">
        <v>2517</v>
      </c>
      <c r="E2071" t="s">
        <v>4001</v>
      </c>
      <c r="F2071">
        <v>1100</v>
      </c>
      <c r="G2071">
        <v>1100</v>
      </c>
      <c r="H2071">
        <v>1100</v>
      </c>
      <c r="I2071">
        <v>1100</v>
      </c>
      <c r="J2071" s="1">
        <v>1100</v>
      </c>
      <c r="K2071">
        <v>121000</v>
      </c>
      <c r="L2071">
        <v>110</v>
      </c>
      <c r="M2071" t="s">
        <v>78</v>
      </c>
      <c r="N2071" t="s">
        <v>17</v>
      </c>
      <c r="O2071">
        <v>4</v>
      </c>
      <c r="P2071">
        <v>1240</v>
      </c>
      <c r="Q2071">
        <v>855.2</v>
      </c>
    </row>
    <row r="2072" spans="2:17" x14ac:dyDescent="0.25">
      <c r="B2072" t="s">
        <v>78</v>
      </c>
      <c r="C2072" t="s">
        <v>4002</v>
      </c>
      <c r="D2072" t="s">
        <v>2517</v>
      </c>
      <c r="E2072" t="s">
        <v>3995</v>
      </c>
      <c r="F2072">
        <v>1120</v>
      </c>
      <c r="G2072">
        <v>1121</v>
      </c>
      <c r="H2072">
        <v>1121</v>
      </c>
      <c r="I2072">
        <v>1120</v>
      </c>
      <c r="J2072" s="1">
        <v>1120</v>
      </c>
      <c r="K2072">
        <v>67210</v>
      </c>
      <c r="L2072">
        <v>60</v>
      </c>
      <c r="M2072" t="s">
        <v>78</v>
      </c>
      <c r="N2072" t="s">
        <v>17</v>
      </c>
      <c r="O2072">
        <v>4</v>
      </c>
      <c r="P2072">
        <v>1236</v>
      </c>
      <c r="Q2072">
        <v>922.5</v>
      </c>
    </row>
    <row r="2073" spans="2:17" x14ac:dyDescent="0.25">
      <c r="B2073" t="s">
        <v>78</v>
      </c>
      <c r="C2073" t="s">
        <v>4003</v>
      </c>
      <c r="D2073" t="s">
        <v>2517</v>
      </c>
      <c r="E2073" t="s">
        <v>3997</v>
      </c>
      <c r="F2073">
        <v>1260</v>
      </c>
      <c r="G2073">
        <v>1259.75</v>
      </c>
      <c r="H2073">
        <v>1259.99</v>
      </c>
      <c r="I2073">
        <v>1255</v>
      </c>
      <c r="J2073" s="1">
        <v>1255</v>
      </c>
      <c r="K2073">
        <v>345727.15</v>
      </c>
      <c r="L2073">
        <v>275</v>
      </c>
      <c r="M2073" t="s">
        <v>78</v>
      </c>
      <c r="N2073" t="s">
        <v>17</v>
      </c>
      <c r="O2073">
        <v>6</v>
      </c>
      <c r="P2073">
        <v>1298</v>
      </c>
      <c r="Q2073">
        <v>1011</v>
      </c>
    </row>
    <row r="2074" spans="2:17" x14ac:dyDescent="0.25">
      <c r="B2074" t="s">
        <v>78</v>
      </c>
      <c r="C2074" t="s">
        <v>4004</v>
      </c>
      <c r="D2074" t="s">
        <v>2517</v>
      </c>
      <c r="E2074" t="s">
        <v>3987</v>
      </c>
      <c r="F2074">
        <v>1285</v>
      </c>
      <c r="G2074">
        <v>1411.75</v>
      </c>
      <c r="H2074">
        <v>1411.75</v>
      </c>
      <c r="I2074">
        <v>1411.75</v>
      </c>
      <c r="J2074" s="1">
        <v>1411.75</v>
      </c>
      <c r="K2074">
        <v>1411.75</v>
      </c>
      <c r="L2074">
        <v>1</v>
      </c>
      <c r="M2074" t="s">
        <v>78</v>
      </c>
      <c r="N2074" t="s">
        <v>17</v>
      </c>
      <c r="O2074">
        <v>1</v>
      </c>
      <c r="P2074">
        <v>1500</v>
      </c>
      <c r="Q2074">
        <v>1002.1</v>
      </c>
    </row>
    <row r="2075" spans="2:17" x14ac:dyDescent="0.25">
      <c r="B2075" t="s">
        <v>78</v>
      </c>
      <c r="C2075" t="s">
        <v>4005</v>
      </c>
      <c r="D2075" t="s">
        <v>2517</v>
      </c>
      <c r="E2075" t="s">
        <v>4006</v>
      </c>
      <c r="F2075">
        <v>1082.5999999999999</v>
      </c>
      <c r="G2075">
        <v>1080.01</v>
      </c>
      <c r="H2075">
        <v>1080.01</v>
      </c>
      <c r="I2075">
        <v>1063.0999999999999</v>
      </c>
      <c r="J2075" s="1">
        <v>1073.24</v>
      </c>
      <c r="K2075">
        <v>214649</v>
      </c>
      <c r="L2075">
        <v>200</v>
      </c>
      <c r="M2075" t="s">
        <v>78</v>
      </c>
      <c r="N2075" t="s">
        <v>17</v>
      </c>
      <c r="O2075">
        <v>3</v>
      </c>
      <c r="P2075">
        <v>1212</v>
      </c>
      <c r="Q2075">
        <v>860</v>
      </c>
    </row>
    <row r="2076" spans="2:17" x14ac:dyDescent="0.25">
      <c r="B2076" t="s">
        <v>78</v>
      </c>
      <c r="C2076" t="s">
        <v>4007</v>
      </c>
      <c r="D2076" t="s">
        <v>2517</v>
      </c>
      <c r="E2076" t="s">
        <v>4008</v>
      </c>
      <c r="F2076">
        <v>1095.06</v>
      </c>
      <c r="G2076">
        <v>1100</v>
      </c>
      <c r="H2076">
        <v>1100</v>
      </c>
      <c r="I2076">
        <v>1100</v>
      </c>
      <c r="J2076" s="1">
        <v>1100</v>
      </c>
      <c r="K2076">
        <v>4400</v>
      </c>
      <c r="L2076">
        <v>4</v>
      </c>
      <c r="M2076" t="s">
        <v>78</v>
      </c>
      <c r="N2076" t="s">
        <v>17</v>
      </c>
      <c r="O2076">
        <v>1</v>
      </c>
      <c r="P2076">
        <v>1149</v>
      </c>
      <c r="Q2076">
        <v>951.01</v>
      </c>
    </row>
    <row r="2077" spans="2:17" x14ac:dyDescent="0.25">
      <c r="B2077" t="s">
        <v>78</v>
      </c>
      <c r="C2077" t="s">
        <v>4009</v>
      </c>
      <c r="D2077" t="s">
        <v>2517</v>
      </c>
      <c r="E2077" t="s">
        <v>4010</v>
      </c>
      <c r="F2077">
        <v>1121</v>
      </c>
      <c r="G2077">
        <v>1130</v>
      </c>
      <c r="H2077">
        <v>1130</v>
      </c>
      <c r="I2077">
        <v>1123.01</v>
      </c>
      <c r="J2077" s="1">
        <v>1123.01</v>
      </c>
      <c r="K2077">
        <v>32707.09</v>
      </c>
      <c r="L2077">
        <v>29</v>
      </c>
      <c r="M2077" t="s">
        <v>78</v>
      </c>
      <c r="N2077" t="s">
        <v>17</v>
      </c>
      <c r="O2077">
        <v>2</v>
      </c>
      <c r="P2077">
        <v>1281.02</v>
      </c>
      <c r="Q2077">
        <v>951.05</v>
      </c>
    </row>
    <row r="2078" spans="2:17" x14ac:dyDescent="0.25">
      <c r="B2078" t="s">
        <v>78</v>
      </c>
      <c r="C2078" t="s">
        <v>4011</v>
      </c>
      <c r="D2078" t="s">
        <v>2517</v>
      </c>
      <c r="E2078" t="s">
        <v>4012</v>
      </c>
      <c r="F2078">
        <v>1140.25</v>
      </c>
      <c r="G2078">
        <v>1147.95</v>
      </c>
      <c r="H2078">
        <v>1155</v>
      </c>
      <c r="I2078">
        <v>1147.95</v>
      </c>
      <c r="J2078" s="1">
        <v>1155</v>
      </c>
      <c r="K2078">
        <v>62193.75</v>
      </c>
      <c r="L2078">
        <v>54</v>
      </c>
      <c r="M2078" t="s">
        <v>78</v>
      </c>
      <c r="N2078" t="s">
        <v>17</v>
      </c>
      <c r="O2078">
        <v>2</v>
      </c>
      <c r="P2078">
        <v>1294</v>
      </c>
      <c r="Q2078">
        <v>989</v>
      </c>
    </row>
    <row r="2079" spans="2:17" x14ac:dyDescent="0.25">
      <c r="B2079" t="s">
        <v>78</v>
      </c>
      <c r="C2079" t="s">
        <v>4013</v>
      </c>
      <c r="D2079" t="s">
        <v>2517</v>
      </c>
      <c r="E2079" t="s">
        <v>4014</v>
      </c>
      <c r="F2079">
        <v>1047</v>
      </c>
      <c r="G2079">
        <v>1038</v>
      </c>
      <c r="H2079">
        <v>1038</v>
      </c>
      <c r="I2079">
        <v>1038</v>
      </c>
      <c r="J2079" s="1">
        <v>1038</v>
      </c>
      <c r="K2079">
        <v>5190</v>
      </c>
      <c r="L2079">
        <v>5</v>
      </c>
      <c r="M2079" t="s">
        <v>78</v>
      </c>
      <c r="N2079" t="s">
        <v>17</v>
      </c>
      <c r="O2079">
        <v>1</v>
      </c>
      <c r="P2079">
        <v>1098.8499999999999</v>
      </c>
      <c r="Q2079">
        <v>940</v>
      </c>
    </row>
    <row r="2080" spans="2:17" x14ac:dyDescent="0.25">
      <c r="B2080" t="s">
        <v>17</v>
      </c>
      <c r="C2080" t="s">
        <v>2959</v>
      </c>
      <c r="D2080" t="s">
        <v>17</v>
      </c>
      <c r="E2080" t="s">
        <v>17</v>
      </c>
      <c r="F2080" t="s">
        <v>17</v>
      </c>
      <c r="G2080" t="s">
        <v>17</v>
      </c>
      <c r="H2080" t="s">
        <v>17</v>
      </c>
      <c r="I2080" t="s">
        <v>17</v>
      </c>
      <c r="J2080" s="1" t="s">
        <v>17</v>
      </c>
      <c r="K2080" t="s">
        <v>17</v>
      </c>
      <c r="L2080" t="s">
        <v>17</v>
      </c>
      <c r="M2080" t="s">
        <v>17</v>
      </c>
      <c r="N2080" t="s">
        <v>17</v>
      </c>
      <c r="O2080" t="s">
        <v>17</v>
      </c>
      <c r="P2080" t="s">
        <v>17</v>
      </c>
      <c r="Q2080" t="s">
        <v>17</v>
      </c>
    </row>
    <row r="2081" spans="2:17" x14ac:dyDescent="0.25">
      <c r="B2081" t="s">
        <v>17</v>
      </c>
      <c r="C2081" t="s">
        <v>2959</v>
      </c>
      <c r="D2081" t="s">
        <v>17</v>
      </c>
      <c r="E2081" t="s">
        <v>4015</v>
      </c>
      <c r="F2081" t="s">
        <v>17</v>
      </c>
      <c r="G2081" t="s">
        <v>17</v>
      </c>
      <c r="H2081" t="s">
        <v>17</v>
      </c>
      <c r="I2081" t="s">
        <v>17</v>
      </c>
      <c r="J2081" s="1" t="s">
        <v>17</v>
      </c>
      <c r="K2081" t="s">
        <v>17</v>
      </c>
      <c r="L2081" t="s">
        <v>17</v>
      </c>
      <c r="M2081" t="s">
        <v>17</v>
      </c>
      <c r="N2081" t="s">
        <v>17</v>
      </c>
      <c r="O2081" t="s">
        <v>17</v>
      </c>
      <c r="P2081" t="s">
        <v>17</v>
      </c>
      <c r="Q2081" t="s">
        <v>17</v>
      </c>
    </row>
    <row r="2082" spans="2:17" x14ac:dyDescent="0.25">
      <c r="B2082" t="s">
        <v>4016</v>
      </c>
      <c r="C2082" t="s">
        <v>4017</v>
      </c>
      <c r="D2082" t="s">
        <v>2269</v>
      </c>
      <c r="E2082" t="s">
        <v>2270</v>
      </c>
      <c r="F2082">
        <v>425</v>
      </c>
      <c r="G2082">
        <v>1249.5</v>
      </c>
      <c r="H2082">
        <v>1249.5</v>
      </c>
      <c r="I2082">
        <v>1249.5</v>
      </c>
      <c r="J2082" s="1">
        <v>1249.5</v>
      </c>
      <c r="K2082">
        <v>208510312.5</v>
      </c>
      <c r="L2082">
        <v>166875</v>
      </c>
      <c r="M2082" t="s">
        <v>78</v>
      </c>
      <c r="N2082" t="s">
        <v>17</v>
      </c>
      <c r="O2082">
        <v>1</v>
      </c>
      <c r="P2082">
        <v>1249.5</v>
      </c>
      <c r="Q2082">
        <v>1249.5</v>
      </c>
    </row>
    <row r="2083" spans="2:17" x14ac:dyDescent="0.25">
      <c r="B2083" t="s">
        <v>17</v>
      </c>
      <c r="C2083" t="s">
        <v>17</v>
      </c>
      <c r="D2083" t="s">
        <v>17</v>
      </c>
      <c r="E2083" t="s">
        <v>17</v>
      </c>
      <c r="F2083" t="s">
        <v>17</v>
      </c>
      <c r="G2083" t="s">
        <v>17</v>
      </c>
      <c r="H2083" t="s">
        <v>17</v>
      </c>
      <c r="I2083" t="s">
        <v>17</v>
      </c>
      <c r="J2083" s="1" t="s">
        <v>17</v>
      </c>
      <c r="K2083" t="s">
        <v>17</v>
      </c>
      <c r="L2083" t="s">
        <v>17</v>
      </c>
      <c r="M2083" t="s">
        <v>17</v>
      </c>
      <c r="N2083" t="s">
        <v>17</v>
      </c>
      <c r="O2083" t="s">
        <v>17</v>
      </c>
      <c r="P2083" t="s">
        <v>17</v>
      </c>
      <c r="Q2083" t="s">
        <v>17</v>
      </c>
    </row>
    <row r="2084" spans="2:17" x14ac:dyDescent="0.25">
      <c r="B2084" t="s">
        <v>17</v>
      </c>
      <c r="C2084" t="s">
        <v>17</v>
      </c>
      <c r="D2084" t="s">
        <v>17</v>
      </c>
      <c r="E2084" t="s">
        <v>4018</v>
      </c>
      <c r="F2084" t="s">
        <v>17</v>
      </c>
      <c r="G2084" t="s">
        <v>17</v>
      </c>
      <c r="H2084" t="s">
        <v>17</v>
      </c>
      <c r="I2084" t="s">
        <v>17</v>
      </c>
      <c r="J2084" s="1" t="s">
        <v>17</v>
      </c>
      <c r="K2084" t="s">
        <v>17</v>
      </c>
      <c r="L2084" t="s">
        <v>17</v>
      </c>
      <c r="M2084" t="s">
        <v>17</v>
      </c>
      <c r="N2084" t="s">
        <v>17</v>
      </c>
      <c r="O2084" t="s">
        <v>17</v>
      </c>
      <c r="P2084" t="s">
        <v>17</v>
      </c>
      <c r="Q2084" t="s">
        <v>17</v>
      </c>
    </row>
    <row r="2085" spans="2:17" x14ac:dyDescent="0.25">
      <c r="B2085" t="s">
        <v>78</v>
      </c>
      <c r="C2085" t="s">
        <v>79</v>
      </c>
      <c r="D2085" t="s">
        <v>4019</v>
      </c>
      <c r="E2085" t="s">
        <v>4020</v>
      </c>
      <c r="F2085">
        <v>355.3</v>
      </c>
      <c r="G2085">
        <v>350.22</v>
      </c>
      <c r="H2085">
        <v>357</v>
      </c>
      <c r="I2085">
        <v>347.95</v>
      </c>
      <c r="J2085" s="1">
        <v>349.31</v>
      </c>
      <c r="K2085">
        <v>195038.67</v>
      </c>
      <c r="L2085">
        <v>556</v>
      </c>
      <c r="M2085" t="s">
        <v>78</v>
      </c>
      <c r="N2085" t="s">
        <v>17</v>
      </c>
      <c r="O2085">
        <v>54</v>
      </c>
      <c r="P2085">
        <v>420</v>
      </c>
      <c r="Q2085">
        <v>193.9</v>
      </c>
    </row>
    <row r="2086" spans="2:17" x14ac:dyDescent="0.25">
      <c r="B2086" t="s">
        <v>78</v>
      </c>
      <c r="C2086" t="s">
        <v>79</v>
      </c>
      <c r="D2086" t="s">
        <v>4021</v>
      </c>
      <c r="E2086" t="s">
        <v>4022</v>
      </c>
      <c r="F2086">
        <v>397.55</v>
      </c>
      <c r="G2086">
        <v>399.6</v>
      </c>
      <c r="H2086">
        <v>403</v>
      </c>
      <c r="I2086">
        <v>394.26</v>
      </c>
      <c r="J2086" s="1">
        <v>397.5</v>
      </c>
      <c r="K2086">
        <v>95727.74</v>
      </c>
      <c r="L2086">
        <v>240</v>
      </c>
      <c r="M2086" t="s">
        <v>78</v>
      </c>
      <c r="N2086" t="s">
        <v>17</v>
      </c>
      <c r="O2086">
        <v>28</v>
      </c>
      <c r="P2086">
        <v>459.4</v>
      </c>
      <c r="Q2086">
        <v>258.73</v>
      </c>
    </row>
    <row r="2087" spans="2:17" x14ac:dyDescent="0.25">
      <c r="B2087" t="s">
        <v>78</v>
      </c>
      <c r="C2087" t="s">
        <v>79</v>
      </c>
      <c r="D2087" t="s">
        <v>4023</v>
      </c>
      <c r="E2087" t="s">
        <v>4024</v>
      </c>
      <c r="F2087">
        <v>357.51</v>
      </c>
      <c r="G2087">
        <v>350</v>
      </c>
      <c r="H2087">
        <v>353.39</v>
      </c>
      <c r="I2087">
        <v>348.87</v>
      </c>
      <c r="J2087" s="1">
        <v>349.87</v>
      </c>
      <c r="K2087">
        <v>388868.36</v>
      </c>
      <c r="L2087">
        <v>1110</v>
      </c>
      <c r="M2087" t="s">
        <v>78</v>
      </c>
      <c r="N2087" t="s">
        <v>17</v>
      </c>
      <c r="O2087">
        <v>82</v>
      </c>
      <c r="P2087">
        <v>377.18</v>
      </c>
      <c r="Q2087">
        <v>241.11</v>
      </c>
    </row>
    <row r="2088" spans="2:17" x14ac:dyDescent="0.25">
      <c r="B2088" t="s">
        <v>78</v>
      </c>
      <c r="C2088" t="s">
        <v>79</v>
      </c>
      <c r="D2088" t="s">
        <v>4025</v>
      </c>
      <c r="E2088" t="s">
        <v>4026</v>
      </c>
      <c r="F2088">
        <v>10.14</v>
      </c>
      <c r="G2088">
        <v>10.14</v>
      </c>
      <c r="H2088">
        <v>10.15</v>
      </c>
      <c r="I2088">
        <v>10.14</v>
      </c>
      <c r="J2088" s="1">
        <v>10.14</v>
      </c>
      <c r="K2088">
        <v>167344.07</v>
      </c>
      <c r="L2088">
        <v>16493</v>
      </c>
      <c r="M2088" t="s">
        <v>78</v>
      </c>
      <c r="N2088" t="s">
        <v>17</v>
      </c>
      <c r="O2088">
        <v>111</v>
      </c>
      <c r="P2088">
        <v>10.44</v>
      </c>
      <c r="Q2088">
        <v>10.07</v>
      </c>
    </row>
    <row r="2089" spans="2:17" x14ac:dyDescent="0.25">
      <c r="B2089" t="s">
        <v>78</v>
      </c>
      <c r="C2089" t="s">
        <v>79</v>
      </c>
      <c r="D2089" t="s">
        <v>4027</v>
      </c>
      <c r="E2089" t="s">
        <v>4028</v>
      </c>
      <c r="F2089">
        <v>41.74</v>
      </c>
      <c r="G2089">
        <v>41.51</v>
      </c>
      <c r="H2089">
        <v>41.73</v>
      </c>
      <c r="I2089">
        <v>41.41</v>
      </c>
      <c r="J2089" s="1">
        <v>41.48</v>
      </c>
      <c r="K2089">
        <v>2594788.2599999998</v>
      </c>
      <c r="L2089">
        <v>62424</v>
      </c>
      <c r="M2089" t="s">
        <v>78</v>
      </c>
      <c r="N2089" t="s">
        <v>17</v>
      </c>
      <c r="O2089">
        <v>5724</v>
      </c>
      <c r="P2089">
        <v>4374.8</v>
      </c>
      <c r="Q2089">
        <v>36.6</v>
      </c>
    </row>
    <row r="2090" spans="2:17" x14ac:dyDescent="0.25">
      <c r="B2090" t="s">
        <v>78</v>
      </c>
      <c r="C2090" t="s">
        <v>79</v>
      </c>
      <c r="D2090" t="s">
        <v>4029</v>
      </c>
      <c r="E2090" t="s">
        <v>4030</v>
      </c>
      <c r="F2090">
        <v>88.64</v>
      </c>
      <c r="G2090">
        <v>91.98</v>
      </c>
      <c r="H2090">
        <v>91.98</v>
      </c>
      <c r="I2090">
        <v>88.5</v>
      </c>
      <c r="J2090" s="1">
        <v>88.53</v>
      </c>
      <c r="K2090">
        <v>661263.46</v>
      </c>
      <c r="L2090">
        <v>7448</v>
      </c>
      <c r="M2090" t="s">
        <v>78</v>
      </c>
      <c r="N2090" t="s">
        <v>17</v>
      </c>
      <c r="O2090">
        <v>415</v>
      </c>
      <c r="P2090">
        <v>100</v>
      </c>
      <c r="Q2090">
        <v>82.53</v>
      </c>
    </row>
    <row r="2091" spans="2:17" x14ac:dyDescent="0.25">
      <c r="B2091" t="s">
        <v>78</v>
      </c>
      <c r="C2091" t="s">
        <v>79</v>
      </c>
      <c r="D2091" t="s">
        <v>4031</v>
      </c>
      <c r="E2091" t="s">
        <v>4032</v>
      </c>
      <c r="F2091">
        <v>165.8</v>
      </c>
      <c r="G2091">
        <v>164.06</v>
      </c>
      <c r="H2091">
        <v>190.7</v>
      </c>
      <c r="I2091">
        <v>163.78</v>
      </c>
      <c r="J2091" s="1">
        <v>164.61</v>
      </c>
      <c r="K2091">
        <v>9679894.9000000004</v>
      </c>
      <c r="L2091">
        <v>56357</v>
      </c>
      <c r="M2091" t="s">
        <v>78</v>
      </c>
      <c r="N2091" t="s">
        <v>17</v>
      </c>
      <c r="O2091">
        <v>283</v>
      </c>
      <c r="P2091">
        <v>1155</v>
      </c>
      <c r="Q2091">
        <v>110.11</v>
      </c>
    </row>
    <row r="2092" spans="2:17" x14ac:dyDescent="0.25">
      <c r="B2092" t="s">
        <v>78</v>
      </c>
      <c r="C2092" t="s">
        <v>79</v>
      </c>
      <c r="D2092" t="s">
        <v>4033</v>
      </c>
      <c r="E2092" t="s">
        <v>4034</v>
      </c>
      <c r="F2092">
        <v>294.42</v>
      </c>
      <c r="G2092">
        <v>288.3</v>
      </c>
      <c r="H2092">
        <v>302</v>
      </c>
      <c r="I2092">
        <v>288.3</v>
      </c>
      <c r="J2092" s="1">
        <v>295.45999999999998</v>
      </c>
      <c r="K2092">
        <v>277500.5</v>
      </c>
      <c r="L2092">
        <v>936</v>
      </c>
      <c r="M2092" t="s">
        <v>78</v>
      </c>
      <c r="N2092" t="s">
        <v>17</v>
      </c>
      <c r="O2092">
        <v>52</v>
      </c>
      <c r="P2092">
        <v>332.5</v>
      </c>
      <c r="Q2092">
        <v>250.95</v>
      </c>
    </row>
    <row r="2093" spans="2:17" x14ac:dyDescent="0.25">
      <c r="B2093" t="s">
        <v>78</v>
      </c>
      <c r="C2093" t="s">
        <v>79</v>
      </c>
      <c r="D2093" t="s">
        <v>4035</v>
      </c>
      <c r="E2093" t="s">
        <v>4036</v>
      </c>
      <c r="F2093">
        <v>360.06</v>
      </c>
      <c r="G2093">
        <v>392.5</v>
      </c>
      <c r="H2093">
        <v>392.5</v>
      </c>
      <c r="I2093">
        <v>352.01</v>
      </c>
      <c r="J2093" s="1">
        <v>353.8</v>
      </c>
      <c r="K2093">
        <v>242830392.88</v>
      </c>
      <c r="L2093">
        <v>685844</v>
      </c>
      <c r="M2093" t="s">
        <v>78</v>
      </c>
      <c r="N2093" t="s">
        <v>17</v>
      </c>
      <c r="O2093">
        <v>15258</v>
      </c>
      <c r="P2093">
        <v>392.5</v>
      </c>
      <c r="Q2093">
        <v>205.86</v>
      </c>
    </row>
    <row r="2094" spans="2:17" x14ac:dyDescent="0.25">
      <c r="B2094" t="s">
        <v>78</v>
      </c>
      <c r="C2094" t="s">
        <v>79</v>
      </c>
      <c r="D2094" t="s">
        <v>4037</v>
      </c>
      <c r="E2094" t="s">
        <v>4038</v>
      </c>
      <c r="F2094">
        <v>4420</v>
      </c>
      <c r="G2094">
        <v>4402.8999999999996</v>
      </c>
      <c r="H2094">
        <v>4417.95</v>
      </c>
      <c r="I2094">
        <v>4381.05</v>
      </c>
      <c r="J2094" s="1">
        <v>4392.1000000000004</v>
      </c>
      <c r="K2094">
        <v>703268.05</v>
      </c>
      <c r="L2094">
        <v>160</v>
      </c>
      <c r="M2094" t="s">
        <v>78</v>
      </c>
      <c r="N2094" t="s">
        <v>17</v>
      </c>
      <c r="O2094">
        <v>86</v>
      </c>
      <c r="P2094">
        <v>5445</v>
      </c>
      <c r="Q2094">
        <v>4033.1</v>
      </c>
    </row>
    <row r="2095" spans="2:17" x14ac:dyDescent="0.25">
      <c r="B2095" t="s">
        <v>78</v>
      </c>
      <c r="C2095" t="s">
        <v>79</v>
      </c>
      <c r="D2095" t="s">
        <v>4039</v>
      </c>
      <c r="E2095" t="s">
        <v>4040</v>
      </c>
      <c r="F2095">
        <v>176.18</v>
      </c>
      <c r="G2095">
        <v>176</v>
      </c>
      <c r="H2095">
        <v>176</v>
      </c>
      <c r="I2095">
        <v>172.7</v>
      </c>
      <c r="J2095" s="1">
        <v>174.58</v>
      </c>
      <c r="K2095">
        <v>158494.32999999999</v>
      </c>
      <c r="L2095">
        <v>906</v>
      </c>
      <c r="M2095" t="s">
        <v>78</v>
      </c>
      <c r="N2095" t="s">
        <v>17</v>
      </c>
      <c r="O2095">
        <v>55</v>
      </c>
      <c r="P2095">
        <v>195.2</v>
      </c>
      <c r="Q2095">
        <v>112</v>
      </c>
    </row>
    <row r="2096" spans="2:17" x14ac:dyDescent="0.25">
      <c r="B2096" t="s">
        <v>78</v>
      </c>
      <c r="C2096" t="s">
        <v>79</v>
      </c>
      <c r="D2096" t="s">
        <v>4041</v>
      </c>
      <c r="E2096" t="s">
        <v>4042</v>
      </c>
      <c r="F2096">
        <v>26.13</v>
      </c>
      <c r="G2096">
        <v>27.5</v>
      </c>
      <c r="H2096">
        <v>28.5</v>
      </c>
      <c r="I2096">
        <v>25.78</v>
      </c>
      <c r="J2096" s="1">
        <v>26.12</v>
      </c>
      <c r="K2096">
        <v>55175897.530000001</v>
      </c>
      <c r="L2096">
        <v>2113654</v>
      </c>
      <c r="M2096" t="s">
        <v>78</v>
      </c>
      <c r="N2096" t="s">
        <v>17</v>
      </c>
      <c r="O2096">
        <v>64590</v>
      </c>
      <c r="P2096">
        <v>28.5</v>
      </c>
      <c r="Q2096">
        <v>15.65</v>
      </c>
    </row>
    <row r="2097" spans="2:17" x14ac:dyDescent="0.25">
      <c r="B2097" t="s">
        <v>78</v>
      </c>
      <c r="C2097" t="s">
        <v>79</v>
      </c>
      <c r="D2097" t="s">
        <v>4043</v>
      </c>
      <c r="E2097" t="s">
        <v>4044</v>
      </c>
      <c r="F2097">
        <v>1139.43</v>
      </c>
      <c r="G2097">
        <v>1140</v>
      </c>
      <c r="H2097">
        <v>1141</v>
      </c>
      <c r="I2097">
        <v>1139.05</v>
      </c>
      <c r="J2097" s="1">
        <v>1140.1500000000001</v>
      </c>
      <c r="K2097">
        <v>5199164.1399999997</v>
      </c>
      <c r="L2097">
        <v>4561</v>
      </c>
      <c r="M2097" t="s">
        <v>78</v>
      </c>
      <c r="N2097" t="s">
        <v>17</v>
      </c>
      <c r="O2097">
        <v>102</v>
      </c>
      <c r="P2097">
        <v>1199</v>
      </c>
      <c r="Q2097">
        <v>875.9</v>
      </c>
    </row>
    <row r="2098" spans="2:17" x14ac:dyDescent="0.25">
      <c r="B2098" t="s">
        <v>78</v>
      </c>
      <c r="C2098" t="s">
        <v>79</v>
      </c>
      <c r="D2098" t="s">
        <v>4045</v>
      </c>
      <c r="E2098" t="s">
        <v>4046</v>
      </c>
      <c r="F2098">
        <v>1048.53</v>
      </c>
      <c r="G2098">
        <v>1047.57</v>
      </c>
      <c r="H2098">
        <v>1049.44</v>
      </c>
      <c r="I2098">
        <v>1046.98</v>
      </c>
      <c r="J2098" s="1">
        <v>1047.81</v>
      </c>
      <c r="K2098">
        <v>4422272.2300000004</v>
      </c>
      <c r="L2098">
        <v>4221</v>
      </c>
      <c r="M2098" t="s">
        <v>78</v>
      </c>
      <c r="N2098" t="s">
        <v>17</v>
      </c>
      <c r="O2098">
        <v>73</v>
      </c>
      <c r="P2098">
        <v>1115.9000000000001</v>
      </c>
      <c r="Q2098">
        <v>925</v>
      </c>
    </row>
    <row r="2099" spans="2:17" x14ac:dyDescent="0.25">
      <c r="B2099" t="s">
        <v>78</v>
      </c>
      <c r="C2099" t="s">
        <v>79</v>
      </c>
      <c r="D2099" t="s">
        <v>4047</v>
      </c>
      <c r="E2099" t="s">
        <v>4048</v>
      </c>
      <c r="F2099">
        <v>1160.32</v>
      </c>
      <c r="G2099">
        <v>1166.18</v>
      </c>
      <c r="H2099">
        <v>1166.18</v>
      </c>
      <c r="I2099">
        <v>1157.04</v>
      </c>
      <c r="J2099" s="1">
        <v>1159.1500000000001</v>
      </c>
      <c r="K2099">
        <v>11657477.15</v>
      </c>
      <c r="L2099">
        <v>10054</v>
      </c>
      <c r="M2099" t="s">
        <v>78</v>
      </c>
      <c r="N2099" t="s">
        <v>17</v>
      </c>
      <c r="O2099">
        <v>204</v>
      </c>
      <c r="P2099">
        <v>1200</v>
      </c>
      <c r="Q2099">
        <v>895</v>
      </c>
    </row>
    <row r="2100" spans="2:17" x14ac:dyDescent="0.25">
      <c r="B2100" t="s">
        <v>78</v>
      </c>
      <c r="C2100" t="s">
        <v>79</v>
      </c>
      <c r="D2100" t="s">
        <v>4049</v>
      </c>
      <c r="E2100" t="s">
        <v>4050</v>
      </c>
      <c r="F2100">
        <v>1040.74</v>
      </c>
      <c r="G2100">
        <v>1040</v>
      </c>
      <c r="H2100">
        <v>1043.49</v>
      </c>
      <c r="I2100">
        <v>1038.5</v>
      </c>
      <c r="J2100" s="1">
        <v>1040.92</v>
      </c>
      <c r="K2100">
        <v>26199814.039999999</v>
      </c>
      <c r="L2100">
        <v>25174</v>
      </c>
      <c r="M2100" t="s">
        <v>78</v>
      </c>
      <c r="N2100" t="s">
        <v>17</v>
      </c>
      <c r="O2100">
        <v>148</v>
      </c>
      <c r="P2100">
        <v>1106</v>
      </c>
      <c r="Q2100">
        <v>972</v>
      </c>
    </row>
    <row r="2101" spans="2:17" x14ac:dyDescent="0.25">
      <c r="B2101" t="s">
        <v>78</v>
      </c>
      <c r="C2101" t="s">
        <v>79</v>
      </c>
      <c r="D2101" t="s">
        <v>4051</v>
      </c>
      <c r="E2101" t="s">
        <v>4052</v>
      </c>
      <c r="F2101">
        <v>389.8</v>
      </c>
      <c r="G2101">
        <v>389.8</v>
      </c>
      <c r="H2101">
        <v>390</v>
      </c>
      <c r="I2101">
        <v>382</v>
      </c>
      <c r="J2101" s="1">
        <v>385.36</v>
      </c>
      <c r="K2101">
        <v>217940.7</v>
      </c>
      <c r="L2101">
        <v>563</v>
      </c>
      <c r="M2101" t="s">
        <v>78</v>
      </c>
      <c r="N2101" t="s">
        <v>17</v>
      </c>
      <c r="O2101">
        <v>150</v>
      </c>
      <c r="P2101">
        <v>448.13</v>
      </c>
      <c r="Q2101">
        <v>300.14999999999998</v>
      </c>
    </row>
    <row r="2102" spans="2:17" x14ac:dyDescent="0.25">
      <c r="B2102" t="s">
        <v>78</v>
      </c>
      <c r="C2102" t="s">
        <v>79</v>
      </c>
      <c r="D2102" t="s">
        <v>4053</v>
      </c>
      <c r="E2102" t="s">
        <v>4054</v>
      </c>
      <c r="F2102">
        <v>41.85</v>
      </c>
      <c r="G2102">
        <v>43.6</v>
      </c>
      <c r="H2102">
        <v>43.6</v>
      </c>
      <c r="I2102">
        <v>41.54</v>
      </c>
      <c r="J2102" s="1">
        <v>41.62</v>
      </c>
      <c r="K2102">
        <v>76607809.280000001</v>
      </c>
      <c r="L2102">
        <v>1838895</v>
      </c>
      <c r="M2102" t="s">
        <v>78</v>
      </c>
      <c r="N2102" t="s">
        <v>17</v>
      </c>
      <c r="O2102">
        <v>24178</v>
      </c>
      <c r="P2102">
        <v>51.5</v>
      </c>
      <c r="Q2102">
        <v>35.799999999999997</v>
      </c>
    </row>
    <row r="2103" spans="2:17" x14ac:dyDescent="0.25">
      <c r="B2103" t="s">
        <v>78</v>
      </c>
      <c r="C2103" t="s">
        <v>79</v>
      </c>
      <c r="D2103" t="s">
        <v>4055</v>
      </c>
      <c r="E2103" t="s">
        <v>4056</v>
      </c>
      <c r="F2103">
        <v>41.9</v>
      </c>
      <c r="G2103">
        <v>41.9</v>
      </c>
      <c r="H2103">
        <v>41.9</v>
      </c>
      <c r="I2103">
        <v>41.5</v>
      </c>
      <c r="J2103" s="1">
        <v>41.65</v>
      </c>
      <c r="K2103">
        <v>3677495.85</v>
      </c>
      <c r="L2103">
        <v>88221</v>
      </c>
      <c r="M2103" t="s">
        <v>78</v>
      </c>
      <c r="N2103" t="s">
        <v>17</v>
      </c>
      <c r="O2103">
        <v>511</v>
      </c>
      <c r="P2103">
        <v>5374.8</v>
      </c>
      <c r="Q2103">
        <v>36.299999999999997</v>
      </c>
    </row>
    <row r="2104" spans="2:17" x14ac:dyDescent="0.25">
      <c r="B2104" t="s">
        <v>78</v>
      </c>
      <c r="C2104" t="s">
        <v>79</v>
      </c>
      <c r="D2104" t="s">
        <v>4057</v>
      </c>
      <c r="E2104" t="s">
        <v>4058</v>
      </c>
      <c r="F2104">
        <v>355.99</v>
      </c>
      <c r="G2104">
        <v>354</v>
      </c>
      <c r="H2104">
        <v>359.88</v>
      </c>
      <c r="I2104">
        <v>349.36</v>
      </c>
      <c r="J2104" s="1">
        <v>350.93</v>
      </c>
      <c r="K2104">
        <v>1181303.98</v>
      </c>
      <c r="L2104">
        <v>3353</v>
      </c>
      <c r="M2104" t="s">
        <v>78</v>
      </c>
      <c r="N2104" t="s">
        <v>17</v>
      </c>
      <c r="O2104">
        <v>214</v>
      </c>
      <c r="P2104">
        <v>384.2</v>
      </c>
      <c r="Q2104">
        <v>200.1</v>
      </c>
    </row>
    <row r="2105" spans="2:17" x14ac:dyDescent="0.25">
      <c r="B2105" t="s">
        <v>78</v>
      </c>
      <c r="C2105" t="s">
        <v>79</v>
      </c>
      <c r="D2105" t="s">
        <v>4059</v>
      </c>
      <c r="E2105" t="s">
        <v>4060</v>
      </c>
      <c r="F2105">
        <v>42.9</v>
      </c>
      <c r="G2105">
        <v>42.9</v>
      </c>
      <c r="H2105">
        <v>42.9</v>
      </c>
      <c r="I2105">
        <v>42.61</v>
      </c>
      <c r="J2105" s="1">
        <v>42.69</v>
      </c>
      <c r="K2105">
        <v>12323383.41</v>
      </c>
      <c r="L2105">
        <v>288020</v>
      </c>
      <c r="M2105" t="s">
        <v>78</v>
      </c>
      <c r="N2105" t="s">
        <v>17</v>
      </c>
      <c r="O2105">
        <v>958</v>
      </c>
      <c r="P2105">
        <v>5338.5</v>
      </c>
      <c r="Q2105">
        <v>36.6</v>
      </c>
    </row>
    <row r="2106" spans="2:17" x14ac:dyDescent="0.25">
      <c r="B2106" t="s">
        <v>78</v>
      </c>
      <c r="C2106" t="s">
        <v>79</v>
      </c>
      <c r="D2106" t="s">
        <v>4061</v>
      </c>
      <c r="E2106" t="s">
        <v>4062</v>
      </c>
      <c r="F2106">
        <v>170.07</v>
      </c>
      <c r="G2106">
        <v>170.07</v>
      </c>
      <c r="H2106">
        <v>170.07</v>
      </c>
      <c r="I2106">
        <v>167.32</v>
      </c>
      <c r="J2106" s="1">
        <v>168.15</v>
      </c>
      <c r="K2106">
        <v>3756720.77</v>
      </c>
      <c r="L2106">
        <v>22309</v>
      </c>
      <c r="M2106" t="s">
        <v>78</v>
      </c>
      <c r="N2106" t="s">
        <v>17</v>
      </c>
      <c r="O2106">
        <v>468</v>
      </c>
      <c r="P2106">
        <v>1900</v>
      </c>
      <c r="Q2106">
        <v>145.69999999999999</v>
      </c>
    </row>
    <row r="2107" spans="2:17" x14ac:dyDescent="0.25">
      <c r="B2107" t="s">
        <v>78</v>
      </c>
      <c r="C2107" t="s">
        <v>79</v>
      </c>
      <c r="D2107" t="s">
        <v>4063</v>
      </c>
      <c r="E2107" t="s">
        <v>4064</v>
      </c>
      <c r="F2107">
        <v>567.79999999999995</v>
      </c>
      <c r="G2107">
        <v>566.99</v>
      </c>
      <c r="H2107">
        <v>569.9</v>
      </c>
      <c r="I2107">
        <v>563.01</v>
      </c>
      <c r="J2107" s="1">
        <v>565.87</v>
      </c>
      <c r="K2107">
        <v>1159197.42</v>
      </c>
      <c r="L2107">
        <v>2047</v>
      </c>
      <c r="M2107" t="s">
        <v>78</v>
      </c>
      <c r="N2107" t="s">
        <v>17</v>
      </c>
      <c r="O2107">
        <v>231</v>
      </c>
      <c r="P2107">
        <v>6300</v>
      </c>
      <c r="Q2107">
        <v>455</v>
      </c>
    </row>
    <row r="2108" spans="2:17" x14ac:dyDescent="0.25">
      <c r="B2108" t="s">
        <v>78</v>
      </c>
      <c r="C2108" t="s">
        <v>79</v>
      </c>
      <c r="D2108" t="s">
        <v>4065</v>
      </c>
      <c r="E2108" t="s">
        <v>4066</v>
      </c>
      <c r="F2108">
        <v>352.84</v>
      </c>
      <c r="G2108">
        <v>356</v>
      </c>
      <c r="H2108">
        <v>356</v>
      </c>
      <c r="I2108">
        <v>352</v>
      </c>
      <c r="J2108" s="1">
        <v>354.77</v>
      </c>
      <c r="K2108">
        <v>466332.04</v>
      </c>
      <c r="L2108">
        <v>1317</v>
      </c>
      <c r="M2108" t="s">
        <v>78</v>
      </c>
      <c r="N2108" t="s">
        <v>17</v>
      </c>
      <c r="O2108">
        <v>137</v>
      </c>
      <c r="P2108">
        <v>398</v>
      </c>
      <c r="Q2108">
        <v>269.10000000000002</v>
      </c>
    </row>
    <row r="2109" spans="2:17" x14ac:dyDescent="0.25">
      <c r="B2109" t="s">
        <v>78</v>
      </c>
      <c r="C2109" t="s">
        <v>79</v>
      </c>
      <c r="D2109" t="s">
        <v>4067</v>
      </c>
      <c r="E2109" t="s">
        <v>4068</v>
      </c>
      <c r="F2109">
        <v>158.46</v>
      </c>
      <c r="G2109">
        <v>159.5</v>
      </c>
      <c r="H2109">
        <v>159.5</v>
      </c>
      <c r="I2109">
        <v>155.22999999999999</v>
      </c>
      <c r="J2109" s="1">
        <v>156.66999999999999</v>
      </c>
      <c r="K2109">
        <v>186371.75</v>
      </c>
      <c r="L2109">
        <v>1184</v>
      </c>
      <c r="M2109" t="s">
        <v>78</v>
      </c>
      <c r="N2109" t="s">
        <v>17</v>
      </c>
      <c r="O2109">
        <v>161</v>
      </c>
      <c r="P2109">
        <v>174</v>
      </c>
      <c r="Q2109">
        <v>110.33</v>
      </c>
    </row>
    <row r="2110" spans="2:17" x14ac:dyDescent="0.25">
      <c r="B2110" t="s">
        <v>78</v>
      </c>
      <c r="C2110" t="s">
        <v>79</v>
      </c>
      <c r="D2110" t="s">
        <v>4069</v>
      </c>
      <c r="E2110" t="s">
        <v>4070</v>
      </c>
      <c r="F2110">
        <v>225.85</v>
      </c>
      <c r="G2110">
        <v>226.97</v>
      </c>
      <c r="H2110">
        <v>226.97</v>
      </c>
      <c r="I2110">
        <v>224.04</v>
      </c>
      <c r="J2110" s="1">
        <v>224.07</v>
      </c>
      <c r="K2110">
        <v>1923030.22</v>
      </c>
      <c r="L2110">
        <v>8548</v>
      </c>
      <c r="M2110" t="s">
        <v>78</v>
      </c>
      <c r="N2110" t="s">
        <v>17</v>
      </c>
      <c r="O2110">
        <v>248</v>
      </c>
      <c r="P2110">
        <v>227.5</v>
      </c>
      <c r="Q2110">
        <v>141.5</v>
      </c>
    </row>
    <row r="2111" spans="2:17" x14ac:dyDescent="0.25">
      <c r="B2111" t="s">
        <v>78</v>
      </c>
      <c r="C2111" t="s">
        <v>79</v>
      </c>
      <c r="D2111" t="s">
        <v>4071</v>
      </c>
      <c r="E2111" t="s">
        <v>4072</v>
      </c>
      <c r="F2111">
        <v>161.79</v>
      </c>
      <c r="G2111">
        <v>169.7</v>
      </c>
      <c r="H2111">
        <v>169.7</v>
      </c>
      <c r="I2111">
        <v>157.94999999999999</v>
      </c>
      <c r="J2111" s="1">
        <v>161.32</v>
      </c>
      <c r="K2111">
        <v>810328.24</v>
      </c>
      <c r="L2111">
        <v>5020</v>
      </c>
      <c r="M2111" t="s">
        <v>78</v>
      </c>
      <c r="N2111" t="s">
        <v>17</v>
      </c>
      <c r="O2111">
        <v>354</v>
      </c>
      <c r="P2111">
        <v>185</v>
      </c>
      <c r="Q2111">
        <v>99.9</v>
      </c>
    </row>
    <row r="2112" spans="2:17" x14ac:dyDescent="0.25">
      <c r="B2112" t="s">
        <v>78</v>
      </c>
      <c r="C2112" t="s">
        <v>79</v>
      </c>
      <c r="D2112" t="s">
        <v>4073</v>
      </c>
      <c r="E2112" t="s">
        <v>4074</v>
      </c>
      <c r="F2112">
        <v>40.659999999999997</v>
      </c>
      <c r="G2112">
        <v>40.61</v>
      </c>
      <c r="H2112">
        <v>40.92</v>
      </c>
      <c r="I2112">
        <v>39.799999999999997</v>
      </c>
      <c r="J2112" s="1">
        <v>40.6</v>
      </c>
      <c r="K2112">
        <v>17227870.27</v>
      </c>
      <c r="L2112">
        <v>423148</v>
      </c>
      <c r="M2112" t="s">
        <v>78</v>
      </c>
      <c r="N2112" t="s">
        <v>17</v>
      </c>
      <c r="O2112">
        <v>3730</v>
      </c>
      <c r="P2112">
        <v>40.92</v>
      </c>
      <c r="Q2112">
        <v>23.46</v>
      </c>
    </row>
    <row r="2113" spans="2:17" x14ac:dyDescent="0.25">
      <c r="B2113" t="s">
        <v>78</v>
      </c>
      <c r="C2113" t="s">
        <v>79</v>
      </c>
      <c r="D2113" t="s">
        <v>4075</v>
      </c>
      <c r="E2113" t="s">
        <v>4076</v>
      </c>
      <c r="F2113">
        <v>356.31</v>
      </c>
      <c r="G2113">
        <v>354</v>
      </c>
      <c r="H2113">
        <v>354</v>
      </c>
      <c r="I2113">
        <v>342.1</v>
      </c>
      <c r="J2113" s="1">
        <v>349.84</v>
      </c>
      <c r="K2113">
        <v>1157381.8500000001</v>
      </c>
      <c r="L2113">
        <v>3306</v>
      </c>
      <c r="M2113" t="s">
        <v>78</v>
      </c>
      <c r="N2113" t="s">
        <v>17</v>
      </c>
      <c r="O2113">
        <v>295</v>
      </c>
      <c r="P2113">
        <v>422.2</v>
      </c>
      <c r="Q2113">
        <v>192.1</v>
      </c>
    </row>
    <row r="2114" spans="2:17" x14ac:dyDescent="0.25">
      <c r="B2114" t="s">
        <v>78</v>
      </c>
      <c r="C2114" t="s">
        <v>79</v>
      </c>
      <c r="D2114" t="s">
        <v>4077</v>
      </c>
      <c r="E2114" t="s">
        <v>4078</v>
      </c>
      <c r="F2114">
        <v>184.4</v>
      </c>
      <c r="G2114">
        <v>180</v>
      </c>
      <c r="H2114">
        <v>183.88</v>
      </c>
      <c r="I2114">
        <v>180</v>
      </c>
      <c r="J2114" s="1">
        <v>180.54</v>
      </c>
      <c r="K2114">
        <v>2829416.42</v>
      </c>
      <c r="L2114">
        <v>15617</v>
      </c>
      <c r="M2114" t="s">
        <v>78</v>
      </c>
      <c r="N2114" t="s">
        <v>17</v>
      </c>
      <c r="O2114">
        <v>264</v>
      </c>
      <c r="P2114">
        <v>218</v>
      </c>
      <c r="Q2114">
        <v>110</v>
      </c>
    </row>
    <row r="2115" spans="2:17" x14ac:dyDescent="0.25">
      <c r="B2115" t="s">
        <v>78</v>
      </c>
      <c r="C2115" t="s">
        <v>79</v>
      </c>
      <c r="D2115" t="s">
        <v>4079</v>
      </c>
      <c r="E2115" t="s">
        <v>4080</v>
      </c>
      <c r="F2115">
        <v>42.78</v>
      </c>
      <c r="G2115">
        <v>42.78</v>
      </c>
      <c r="H2115">
        <v>44.35</v>
      </c>
      <c r="I2115">
        <v>42.31</v>
      </c>
      <c r="J2115" s="1">
        <v>42.46</v>
      </c>
      <c r="K2115">
        <v>11486968.880000001</v>
      </c>
      <c r="L2115">
        <v>270237</v>
      </c>
      <c r="M2115" t="s">
        <v>78</v>
      </c>
      <c r="N2115" t="s">
        <v>17</v>
      </c>
      <c r="O2115">
        <v>2048</v>
      </c>
      <c r="P2115">
        <v>54.1</v>
      </c>
      <c r="Q2115">
        <v>37.049999999999997</v>
      </c>
    </row>
    <row r="2116" spans="2:17" x14ac:dyDescent="0.25">
      <c r="B2116" t="s">
        <v>78</v>
      </c>
      <c r="C2116" t="s">
        <v>79</v>
      </c>
      <c r="D2116" t="s">
        <v>4081</v>
      </c>
      <c r="E2116" t="s">
        <v>4082</v>
      </c>
      <c r="F2116">
        <v>999.99</v>
      </c>
      <c r="G2116">
        <v>1000</v>
      </c>
      <c r="H2116">
        <v>1010</v>
      </c>
      <c r="I2116">
        <v>999.5</v>
      </c>
      <c r="J2116" s="1">
        <v>999.99</v>
      </c>
      <c r="K2116">
        <v>12441012.83</v>
      </c>
      <c r="L2116">
        <v>12441</v>
      </c>
      <c r="M2116" t="s">
        <v>78</v>
      </c>
      <c r="N2116" t="s">
        <v>17</v>
      </c>
      <c r="O2116">
        <v>35</v>
      </c>
      <c r="P2116">
        <v>1040</v>
      </c>
      <c r="Q2116">
        <v>984</v>
      </c>
    </row>
    <row r="2117" spans="2:17" x14ac:dyDescent="0.25">
      <c r="B2117" t="s">
        <v>78</v>
      </c>
      <c r="C2117" t="s">
        <v>79</v>
      </c>
      <c r="D2117" t="s">
        <v>4083</v>
      </c>
      <c r="E2117" t="s">
        <v>4084</v>
      </c>
      <c r="F2117">
        <v>131.05000000000001</v>
      </c>
      <c r="G2117">
        <v>132.69999999999999</v>
      </c>
      <c r="H2117">
        <v>132.69999999999999</v>
      </c>
      <c r="I2117">
        <v>129.30000000000001</v>
      </c>
      <c r="J2117" s="1">
        <v>130.44</v>
      </c>
      <c r="K2117">
        <v>16508202.08</v>
      </c>
      <c r="L2117">
        <v>126201</v>
      </c>
      <c r="M2117" t="s">
        <v>78</v>
      </c>
      <c r="N2117" t="s">
        <v>17</v>
      </c>
      <c r="O2117">
        <v>1417</v>
      </c>
      <c r="P2117">
        <v>137.69999999999999</v>
      </c>
      <c r="Q2117">
        <v>86</v>
      </c>
    </row>
    <row r="2118" spans="2:17" x14ac:dyDescent="0.25">
      <c r="B2118" t="s">
        <v>78</v>
      </c>
      <c r="C2118" t="s">
        <v>79</v>
      </c>
      <c r="D2118" t="s">
        <v>4085</v>
      </c>
      <c r="E2118" t="s">
        <v>4086</v>
      </c>
      <c r="F2118">
        <v>105.8</v>
      </c>
      <c r="G2118">
        <v>105.7</v>
      </c>
      <c r="H2118">
        <v>106.38</v>
      </c>
      <c r="I2118">
        <v>104.25</v>
      </c>
      <c r="J2118" s="1">
        <v>105.01</v>
      </c>
      <c r="K2118">
        <v>1913463.64</v>
      </c>
      <c r="L2118">
        <v>18137</v>
      </c>
      <c r="M2118" t="s">
        <v>78</v>
      </c>
      <c r="N2118" t="s">
        <v>17</v>
      </c>
      <c r="O2118">
        <v>638</v>
      </c>
      <c r="P2118">
        <v>118.9</v>
      </c>
      <c r="Q2118">
        <v>58.05</v>
      </c>
    </row>
    <row r="2119" spans="2:17" x14ac:dyDescent="0.25">
      <c r="B2119" t="s">
        <v>78</v>
      </c>
      <c r="C2119" t="s">
        <v>79</v>
      </c>
      <c r="D2119" t="s">
        <v>4087</v>
      </c>
      <c r="E2119" t="s">
        <v>4088</v>
      </c>
      <c r="F2119">
        <v>96.29</v>
      </c>
      <c r="G2119">
        <v>97.3</v>
      </c>
      <c r="H2119">
        <v>97.3</v>
      </c>
      <c r="I2119">
        <v>95.15</v>
      </c>
      <c r="J2119" s="1">
        <v>95.99</v>
      </c>
      <c r="K2119">
        <v>1215677.03</v>
      </c>
      <c r="L2119">
        <v>12644</v>
      </c>
      <c r="M2119" t="s">
        <v>78</v>
      </c>
      <c r="N2119" t="s">
        <v>17</v>
      </c>
      <c r="O2119">
        <v>321</v>
      </c>
      <c r="P2119">
        <v>109</v>
      </c>
      <c r="Q2119">
        <v>57.4</v>
      </c>
    </row>
    <row r="2120" spans="2:17" x14ac:dyDescent="0.25">
      <c r="B2120" t="s">
        <v>78</v>
      </c>
      <c r="C2120" t="s">
        <v>79</v>
      </c>
      <c r="D2120" t="s">
        <v>4089</v>
      </c>
      <c r="E2120" t="s">
        <v>4090</v>
      </c>
      <c r="F2120">
        <v>174.56</v>
      </c>
      <c r="G2120">
        <v>197.3</v>
      </c>
      <c r="H2120">
        <v>197.3</v>
      </c>
      <c r="I2120">
        <v>172.7</v>
      </c>
      <c r="J2120" s="1">
        <v>173.06</v>
      </c>
      <c r="K2120">
        <v>1186342.69</v>
      </c>
      <c r="L2120">
        <v>6834</v>
      </c>
      <c r="M2120" t="s">
        <v>78</v>
      </c>
      <c r="N2120" t="s">
        <v>17</v>
      </c>
      <c r="O2120">
        <v>481</v>
      </c>
      <c r="P2120">
        <v>197.3</v>
      </c>
      <c r="Q2120">
        <v>101</v>
      </c>
    </row>
    <row r="2121" spans="2:17" x14ac:dyDescent="0.25">
      <c r="B2121" t="s">
        <v>78</v>
      </c>
      <c r="C2121" t="s">
        <v>79</v>
      </c>
      <c r="D2121" t="s">
        <v>4091</v>
      </c>
      <c r="E2121" t="s">
        <v>4092</v>
      </c>
      <c r="F2121">
        <v>170.52</v>
      </c>
      <c r="G2121">
        <v>177.7</v>
      </c>
      <c r="H2121">
        <v>177.7</v>
      </c>
      <c r="I2121">
        <v>168.05</v>
      </c>
      <c r="J2121" s="1">
        <v>168.73</v>
      </c>
      <c r="K2121">
        <v>16267938.09</v>
      </c>
      <c r="L2121">
        <v>96187</v>
      </c>
      <c r="M2121" t="s">
        <v>78</v>
      </c>
      <c r="N2121" t="s">
        <v>17</v>
      </c>
      <c r="O2121">
        <v>7041</v>
      </c>
      <c r="P2121">
        <v>195</v>
      </c>
      <c r="Q2121">
        <v>102.7</v>
      </c>
    </row>
    <row r="2122" spans="2:17" x14ac:dyDescent="0.25">
      <c r="B2122" t="s">
        <v>78</v>
      </c>
      <c r="C2122" t="s">
        <v>79</v>
      </c>
      <c r="D2122" t="s">
        <v>4093</v>
      </c>
      <c r="E2122" t="s">
        <v>4094</v>
      </c>
      <c r="F2122">
        <v>86.1</v>
      </c>
      <c r="G2122">
        <v>89.7</v>
      </c>
      <c r="H2122">
        <v>89.7</v>
      </c>
      <c r="I2122">
        <v>84.05</v>
      </c>
      <c r="J2122" s="1">
        <v>85.42</v>
      </c>
      <c r="K2122">
        <v>1054117.6100000001</v>
      </c>
      <c r="L2122">
        <v>12307</v>
      </c>
      <c r="M2122" t="s">
        <v>78</v>
      </c>
      <c r="N2122" t="s">
        <v>17</v>
      </c>
      <c r="O2122">
        <v>1675</v>
      </c>
      <c r="P2122">
        <v>97.5</v>
      </c>
      <c r="Q2122">
        <v>47.15</v>
      </c>
    </row>
    <row r="2123" spans="2:17" x14ac:dyDescent="0.25">
      <c r="B2123" t="s">
        <v>78</v>
      </c>
      <c r="C2123" t="s">
        <v>79</v>
      </c>
      <c r="D2123" t="s">
        <v>4095</v>
      </c>
      <c r="E2123" t="s">
        <v>4096</v>
      </c>
      <c r="F2123">
        <v>39.85</v>
      </c>
      <c r="G2123">
        <v>45</v>
      </c>
      <c r="H2123">
        <v>45</v>
      </c>
      <c r="I2123">
        <v>39.299999999999997</v>
      </c>
      <c r="J2123" s="1">
        <v>40.03</v>
      </c>
      <c r="K2123">
        <v>3726666.62</v>
      </c>
      <c r="L2123">
        <v>93048</v>
      </c>
      <c r="M2123" t="s">
        <v>78</v>
      </c>
      <c r="N2123" t="s">
        <v>17</v>
      </c>
      <c r="O2123">
        <v>1071</v>
      </c>
      <c r="P2123">
        <v>45.5</v>
      </c>
      <c r="Q2123">
        <v>25.7</v>
      </c>
    </row>
    <row r="2124" spans="2:17" x14ac:dyDescent="0.25">
      <c r="B2124" t="s">
        <v>78</v>
      </c>
      <c r="C2124" t="s">
        <v>79</v>
      </c>
      <c r="D2124" t="s">
        <v>4097</v>
      </c>
      <c r="E2124" t="s">
        <v>4098</v>
      </c>
      <c r="F2124">
        <v>89.47</v>
      </c>
      <c r="G2124">
        <v>89.98</v>
      </c>
      <c r="H2124">
        <v>89.99</v>
      </c>
      <c r="I2124">
        <v>88.07</v>
      </c>
      <c r="J2124" s="1">
        <v>89.75</v>
      </c>
      <c r="K2124">
        <v>452899.05</v>
      </c>
      <c r="L2124">
        <v>5055</v>
      </c>
      <c r="M2124" t="s">
        <v>78</v>
      </c>
      <c r="N2124" t="s">
        <v>17</v>
      </c>
      <c r="O2124">
        <v>137</v>
      </c>
      <c r="P2124">
        <v>94</v>
      </c>
      <c r="Q2124">
        <v>82.05</v>
      </c>
    </row>
    <row r="2125" spans="2:17" x14ac:dyDescent="0.25">
      <c r="B2125" t="s">
        <v>78</v>
      </c>
      <c r="C2125" t="s">
        <v>79</v>
      </c>
      <c r="D2125" t="s">
        <v>4099</v>
      </c>
      <c r="E2125" t="s">
        <v>4100</v>
      </c>
      <c r="F2125">
        <v>576.74</v>
      </c>
      <c r="G2125">
        <v>565.21</v>
      </c>
      <c r="H2125">
        <v>577.99</v>
      </c>
      <c r="I2125">
        <v>564.27</v>
      </c>
      <c r="J2125" s="1">
        <v>569.08000000000004</v>
      </c>
      <c r="K2125">
        <v>1531899.68</v>
      </c>
      <c r="L2125">
        <v>2687</v>
      </c>
      <c r="M2125" t="s">
        <v>78</v>
      </c>
      <c r="N2125" t="s">
        <v>17</v>
      </c>
      <c r="O2125">
        <v>154</v>
      </c>
      <c r="P2125">
        <v>609.4</v>
      </c>
      <c r="Q2125">
        <v>381.9</v>
      </c>
    </row>
    <row r="2126" spans="2:17" x14ac:dyDescent="0.25">
      <c r="B2126" t="s">
        <v>78</v>
      </c>
      <c r="C2126" t="s">
        <v>79</v>
      </c>
      <c r="D2126" t="s">
        <v>4101</v>
      </c>
      <c r="E2126" t="s">
        <v>4102</v>
      </c>
      <c r="F2126">
        <v>297.5</v>
      </c>
      <c r="G2126">
        <v>303.25</v>
      </c>
      <c r="H2126">
        <v>303.25</v>
      </c>
      <c r="I2126">
        <v>295</v>
      </c>
      <c r="J2126" s="1">
        <v>296.02</v>
      </c>
      <c r="K2126">
        <v>2341300.79</v>
      </c>
      <c r="L2126">
        <v>7902</v>
      </c>
      <c r="M2126" t="s">
        <v>78</v>
      </c>
      <c r="N2126" t="s">
        <v>17</v>
      </c>
      <c r="O2126">
        <v>242</v>
      </c>
      <c r="P2126">
        <v>318.89999999999998</v>
      </c>
      <c r="Q2126">
        <v>158.94999999999999</v>
      </c>
    </row>
    <row r="2127" spans="2:17" x14ac:dyDescent="0.25">
      <c r="B2127" t="s">
        <v>78</v>
      </c>
      <c r="C2127" t="s">
        <v>79</v>
      </c>
      <c r="D2127" t="s">
        <v>4103</v>
      </c>
      <c r="E2127" t="s">
        <v>4104</v>
      </c>
      <c r="F2127">
        <v>4415.5</v>
      </c>
      <c r="G2127">
        <v>4448</v>
      </c>
      <c r="H2127">
        <v>4448</v>
      </c>
      <c r="I2127">
        <v>4410</v>
      </c>
      <c r="J2127" s="1">
        <v>4410</v>
      </c>
      <c r="K2127">
        <v>512820.85</v>
      </c>
      <c r="L2127">
        <v>116</v>
      </c>
      <c r="M2127" t="s">
        <v>78</v>
      </c>
      <c r="N2127" t="s">
        <v>17</v>
      </c>
      <c r="O2127">
        <v>19</v>
      </c>
      <c r="P2127">
        <v>5899</v>
      </c>
      <c r="Q2127">
        <v>4035.95</v>
      </c>
    </row>
    <row r="2128" spans="2:17" x14ac:dyDescent="0.25">
      <c r="B2128" t="s">
        <v>78</v>
      </c>
      <c r="C2128" t="s">
        <v>79</v>
      </c>
      <c r="D2128" t="s">
        <v>4105</v>
      </c>
      <c r="E2128" t="s">
        <v>4106</v>
      </c>
      <c r="F2128">
        <v>166.78</v>
      </c>
      <c r="G2128">
        <v>161.78</v>
      </c>
      <c r="H2128">
        <v>166.08</v>
      </c>
      <c r="I2128">
        <v>161.78</v>
      </c>
      <c r="J2128" s="1">
        <v>165.85</v>
      </c>
      <c r="K2128">
        <v>134777.13</v>
      </c>
      <c r="L2128">
        <v>813</v>
      </c>
      <c r="M2128" t="s">
        <v>78</v>
      </c>
      <c r="N2128" t="s">
        <v>17</v>
      </c>
      <c r="O2128">
        <v>23</v>
      </c>
      <c r="P2128">
        <v>178</v>
      </c>
      <c r="Q2128">
        <v>110</v>
      </c>
    </row>
    <row r="2129" spans="2:17" x14ac:dyDescent="0.25">
      <c r="B2129" t="s">
        <v>78</v>
      </c>
      <c r="C2129" t="s">
        <v>79</v>
      </c>
      <c r="D2129" t="s">
        <v>4107</v>
      </c>
      <c r="E2129" t="s">
        <v>4108</v>
      </c>
      <c r="F2129">
        <v>458.72</v>
      </c>
      <c r="G2129">
        <v>458</v>
      </c>
      <c r="H2129">
        <v>461.99</v>
      </c>
      <c r="I2129">
        <v>457.01</v>
      </c>
      <c r="J2129" s="1">
        <v>457.72</v>
      </c>
      <c r="K2129">
        <v>895527.64</v>
      </c>
      <c r="L2129">
        <v>1948</v>
      </c>
      <c r="M2129" t="s">
        <v>78</v>
      </c>
      <c r="N2129" t="s">
        <v>17</v>
      </c>
      <c r="O2129">
        <v>153</v>
      </c>
      <c r="P2129">
        <v>501.2</v>
      </c>
      <c r="Q2129">
        <v>306.13</v>
      </c>
    </row>
    <row r="2130" spans="2:17" x14ac:dyDescent="0.25">
      <c r="B2130" t="s">
        <v>78</v>
      </c>
      <c r="C2130" t="s">
        <v>79</v>
      </c>
      <c r="D2130" t="s">
        <v>4109</v>
      </c>
      <c r="E2130" t="s">
        <v>4110</v>
      </c>
      <c r="F2130">
        <v>4339</v>
      </c>
      <c r="G2130">
        <v>4334.6000000000004</v>
      </c>
      <c r="H2130">
        <v>4375.2</v>
      </c>
      <c r="I2130">
        <v>4315.3</v>
      </c>
      <c r="J2130" s="1">
        <v>4315.6000000000004</v>
      </c>
      <c r="K2130">
        <v>264981.25</v>
      </c>
      <c r="L2130">
        <v>61</v>
      </c>
      <c r="M2130" t="s">
        <v>78</v>
      </c>
      <c r="N2130" t="s">
        <v>17</v>
      </c>
      <c r="O2130">
        <v>29</v>
      </c>
      <c r="P2130">
        <v>5599.9</v>
      </c>
      <c r="Q2130">
        <v>3610</v>
      </c>
    </row>
    <row r="2131" spans="2:17" x14ac:dyDescent="0.25">
      <c r="B2131" t="s">
        <v>78</v>
      </c>
      <c r="C2131" t="s">
        <v>79</v>
      </c>
      <c r="D2131" t="s">
        <v>4111</v>
      </c>
      <c r="E2131" t="s">
        <v>4112</v>
      </c>
      <c r="F2131">
        <v>1721.25</v>
      </c>
      <c r="G2131">
        <v>1711.1</v>
      </c>
      <c r="H2131">
        <v>1711.1</v>
      </c>
      <c r="I2131">
        <v>1710.25</v>
      </c>
      <c r="J2131" s="1">
        <v>1710.25</v>
      </c>
      <c r="K2131">
        <v>3421.35</v>
      </c>
      <c r="L2131">
        <v>2</v>
      </c>
      <c r="M2131" t="s">
        <v>78</v>
      </c>
      <c r="N2131" t="s">
        <v>17</v>
      </c>
      <c r="O2131">
        <v>2</v>
      </c>
      <c r="P2131">
        <v>1995</v>
      </c>
      <c r="Q2131">
        <v>1161.05</v>
      </c>
    </row>
    <row r="2132" spans="2:17" x14ac:dyDescent="0.25">
      <c r="B2132" t="s">
        <v>78</v>
      </c>
      <c r="C2132" t="s">
        <v>79</v>
      </c>
      <c r="D2132" t="s">
        <v>4113</v>
      </c>
      <c r="E2132" t="s">
        <v>4114</v>
      </c>
      <c r="F2132">
        <v>409.76</v>
      </c>
      <c r="G2132">
        <v>471.2</v>
      </c>
      <c r="H2132">
        <v>471.2</v>
      </c>
      <c r="I2132">
        <v>404</v>
      </c>
      <c r="J2132" s="1">
        <v>408.03</v>
      </c>
      <c r="K2132">
        <v>59994266.920000002</v>
      </c>
      <c r="L2132">
        <v>146399</v>
      </c>
      <c r="M2132" t="s">
        <v>78</v>
      </c>
      <c r="N2132" t="s">
        <v>17</v>
      </c>
      <c r="O2132">
        <v>8284</v>
      </c>
      <c r="P2132">
        <v>471.2</v>
      </c>
      <c r="Q2132">
        <v>240</v>
      </c>
    </row>
    <row r="2133" spans="2:17" x14ac:dyDescent="0.25">
      <c r="B2133" t="s">
        <v>78</v>
      </c>
      <c r="C2133" t="s">
        <v>79</v>
      </c>
      <c r="D2133" t="s">
        <v>4115</v>
      </c>
      <c r="E2133" t="s">
        <v>4116</v>
      </c>
      <c r="F2133">
        <v>361.09</v>
      </c>
      <c r="G2133">
        <v>358</v>
      </c>
      <c r="H2133">
        <v>358</v>
      </c>
      <c r="I2133">
        <v>352.95</v>
      </c>
      <c r="J2133" s="1">
        <v>354.39</v>
      </c>
      <c r="K2133">
        <v>82124142.420000002</v>
      </c>
      <c r="L2133">
        <v>231428</v>
      </c>
      <c r="M2133" t="s">
        <v>78</v>
      </c>
      <c r="N2133" t="s">
        <v>17</v>
      </c>
      <c r="O2133">
        <v>21015</v>
      </c>
      <c r="P2133">
        <v>414.7</v>
      </c>
      <c r="Q2133">
        <v>206.51</v>
      </c>
    </row>
    <row r="2134" spans="2:17" x14ac:dyDescent="0.25">
      <c r="B2134" t="s">
        <v>78</v>
      </c>
      <c r="C2134" t="s">
        <v>79</v>
      </c>
      <c r="D2134" t="s">
        <v>4117</v>
      </c>
      <c r="E2134" t="s">
        <v>4118</v>
      </c>
      <c r="F2134">
        <v>420.5</v>
      </c>
      <c r="G2134">
        <v>420.15</v>
      </c>
      <c r="H2134">
        <v>420.85</v>
      </c>
      <c r="I2134">
        <v>418.35</v>
      </c>
      <c r="J2134" s="1">
        <v>419.1</v>
      </c>
      <c r="K2134">
        <v>9460578.6999999993</v>
      </c>
      <c r="L2134">
        <v>22548</v>
      </c>
      <c r="M2134" t="s">
        <v>78</v>
      </c>
      <c r="N2134" t="s">
        <v>17</v>
      </c>
      <c r="O2134">
        <v>870</v>
      </c>
      <c r="P2134">
        <v>508.1</v>
      </c>
      <c r="Q2134">
        <v>385</v>
      </c>
    </row>
    <row r="2135" spans="2:17" x14ac:dyDescent="0.25">
      <c r="B2135" t="s">
        <v>78</v>
      </c>
      <c r="C2135" t="s">
        <v>79</v>
      </c>
      <c r="D2135" t="s">
        <v>4119</v>
      </c>
      <c r="E2135" t="s">
        <v>4120</v>
      </c>
      <c r="F2135">
        <v>29.8</v>
      </c>
      <c r="G2135">
        <v>24</v>
      </c>
      <c r="H2135">
        <v>30.38</v>
      </c>
      <c r="I2135">
        <v>24</v>
      </c>
      <c r="J2135" s="1">
        <v>29.5</v>
      </c>
      <c r="K2135">
        <v>726201.89</v>
      </c>
      <c r="L2135">
        <v>24458</v>
      </c>
      <c r="M2135" t="s">
        <v>78</v>
      </c>
      <c r="N2135" t="s">
        <v>17</v>
      </c>
      <c r="O2135">
        <v>221</v>
      </c>
      <c r="P2135">
        <v>31.48</v>
      </c>
      <c r="Q2135">
        <v>23.36</v>
      </c>
    </row>
    <row r="2136" spans="2:17" x14ac:dyDescent="0.25">
      <c r="B2136" t="s">
        <v>78</v>
      </c>
      <c r="C2136" t="s">
        <v>79</v>
      </c>
      <c r="D2136" t="s">
        <v>4121</v>
      </c>
      <c r="E2136" t="s">
        <v>4122</v>
      </c>
      <c r="F2136">
        <v>167.38</v>
      </c>
      <c r="G2136">
        <v>165.91</v>
      </c>
      <c r="H2136">
        <v>166.5</v>
      </c>
      <c r="I2136">
        <v>165.1</v>
      </c>
      <c r="J2136" s="1">
        <v>165.65</v>
      </c>
      <c r="K2136">
        <v>15700492.42</v>
      </c>
      <c r="L2136">
        <v>94533</v>
      </c>
      <c r="M2136" t="s">
        <v>78</v>
      </c>
      <c r="N2136" t="s">
        <v>17</v>
      </c>
      <c r="O2136">
        <v>578</v>
      </c>
      <c r="P2136">
        <v>188.7</v>
      </c>
      <c r="Q2136">
        <v>111</v>
      </c>
    </row>
    <row r="2137" spans="2:17" x14ac:dyDescent="0.25">
      <c r="B2137" t="s">
        <v>78</v>
      </c>
      <c r="C2137" t="s">
        <v>79</v>
      </c>
      <c r="D2137" t="s">
        <v>4123</v>
      </c>
      <c r="E2137" t="s">
        <v>4124</v>
      </c>
      <c r="F2137">
        <v>87.5</v>
      </c>
      <c r="G2137">
        <v>87</v>
      </c>
      <c r="H2137">
        <v>88.4</v>
      </c>
      <c r="I2137">
        <v>86.01</v>
      </c>
      <c r="J2137" s="1">
        <v>87.35</v>
      </c>
      <c r="K2137">
        <v>709840.85</v>
      </c>
      <c r="L2137">
        <v>8104</v>
      </c>
      <c r="M2137" t="s">
        <v>78</v>
      </c>
      <c r="N2137" t="s">
        <v>17</v>
      </c>
      <c r="O2137">
        <v>225</v>
      </c>
      <c r="P2137">
        <v>93.3</v>
      </c>
      <c r="Q2137">
        <v>50.3</v>
      </c>
    </row>
    <row r="2138" spans="2:17" x14ac:dyDescent="0.25">
      <c r="B2138" t="s">
        <v>78</v>
      </c>
      <c r="C2138" t="s">
        <v>79</v>
      </c>
      <c r="D2138" t="s">
        <v>4125</v>
      </c>
      <c r="E2138" t="s">
        <v>4126</v>
      </c>
      <c r="F2138">
        <v>241.42</v>
      </c>
      <c r="G2138">
        <v>241.9</v>
      </c>
      <c r="H2138">
        <v>241.9</v>
      </c>
      <c r="I2138">
        <v>237.15</v>
      </c>
      <c r="J2138" s="1">
        <v>240.43</v>
      </c>
      <c r="K2138">
        <v>3676706.75</v>
      </c>
      <c r="L2138">
        <v>15356</v>
      </c>
      <c r="M2138" t="s">
        <v>78</v>
      </c>
      <c r="N2138" t="s">
        <v>17</v>
      </c>
      <c r="O2138">
        <v>270</v>
      </c>
      <c r="P2138">
        <v>265</v>
      </c>
      <c r="Q2138">
        <v>120</v>
      </c>
    </row>
    <row r="2139" spans="2:17" x14ac:dyDescent="0.25">
      <c r="B2139" t="s">
        <v>78</v>
      </c>
      <c r="C2139" t="s">
        <v>79</v>
      </c>
      <c r="D2139" t="s">
        <v>4127</v>
      </c>
      <c r="E2139" t="s">
        <v>4128</v>
      </c>
      <c r="F2139">
        <v>22.04</v>
      </c>
      <c r="G2139">
        <v>22.04</v>
      </c>
      <c r="H2139">
        <v>22.1</v>
      </c>
      <c r="I2139">
        <v>21.88</v>
      </c>
      <c r="J2139" s="1">
        <v>21.9</v>
      </c>
      <c r="K2139">
        <v>126758.43</v>
      </c>
      <c r="L2139">
        <v>5762</v>
      </c>
      <c r="M2139" t="s">
        <v>78</v>
      </c>
      <c r="N2139" t="s">
        <v>17</v>
      </c>
      <c r="O2139">
        <v>138</v>
      </c>
      <c r="P2139">
        <v>23.39</v>
      </c>
      <c r="Q2139">
        <v>20.329999999999998</v>
      </c>
    </row>
    <row r="2140" spans="2:17" x14ac:dyDescent="0.25">
      <c r="B2140" t="s">
        <v>78</v>
      </c>
      <c r="C2140" t="s">
        <v>79</v>
      </c>
      <c r="D2140" t="s">
        <v>4129</v>
      </c>
      <c r="E2140" t="s">
        <v>4130</v>
      </c>
      <c r="F2140">
        <v>202.06</v>
      </c>
      <c r="G2140">
        <v>202.3</v>
      </c>
      <c r="H2140">
        <v>203</v>
      </c>
      <c r="I2140">
        <v>196</v>
      </c>
      <c r="J2140" s="1">
        <v>203</v>
      </c>
      <c r="K2140">
        <v>36138.800000000003</v>
      </c>
      <c r="L2140">
        <v>179</v>
      </c>
      <c r="M2140" t="s">
        <v>78</v>
      </c>
      <c r="N2140" t="s">
        <v>17</v>
      </c>
      <c r="O2140">
        <v>28</v>
      </c>
      <c r="P2140">
        <v>203</v>
      </c>
      <c r="Q2140">
        <v>108</v>
      </c>
    </row>
    <row r="2141" spans="2:17" x14ac:dyDescent="0.25">
      <c r="B2141" t="s">
        <v>78</v>
      </c>
      <c r="C2141" t="s">
        <v>79</v>
      </c>
      <c r="D2141" t="s">
        <v>4131</v>
      </c>
      <c r="E2141" t="s">
        <v>4132</v>
      </c>
      <c r="F2141">
        <v>561.25</v>
      </c>
      <c r="G2141">
        <v>564.9</v>
      </c>
      <c r="H2141">
        <v>567</v>
      </c>
      <c r="I2141">
        <v>560.07000000000005</v>
      </c>
      <c r="J2141" s="1">
        <v>560.24</v>
      </c>
      <c r="K2141">
        <v>37609.1</v>
      </c>
      <c r="L2141">
        <v>67</v>
      </c>
      <c r="M2141" t="s">
        <v>78</v>
      </c>
      <c r="N2141" t="s">
        <v>17</v>
      </c>
      <c r="O2141">
        <v>28</v>
      </c>
      <c r="P2141">
        <v>624.6</v>
      </c>
      <c r="Q2141">
        <v>353.95</v>
      </c>
    </row>
    <row r="2142" spans="2:17" x14ac:dyDescent="0.25">
      <c r="B2142" t="s">
        <v>78</v>
      </c>
      <c r="C2142" t="s">
        <v>79</v>
      </c>
      <c r="D2142" t="s">
        <v>4133</v>
      </c>
      <c r="E2142" t="s">
        <v>4134</v>
      </c>
      <c r="F2142">
        <v>163.66999999999999</v>
      </c>
      <c r="G2142">
        <v>165</v>
      </c>
      <c r="H2142">
        <v>165</v>
      </c>
      <c r="I2142">
        <v>162.12</v>
      </c>
      <c r="J2142" s="1">
        <v>162.65</v>
      </c>
      <c r="K2142">
        <v>37650.83</v>
      </c>
      <c r="L2142">
        <v>231</v>
      </c>
      <c r="M2142" t="s">
        <v>78</v>
      </c>
      <c r="N2142" t="s">
        <v>17</v>
      </c>
      <c r="O2142">
        <v>62</v>
      </c>
      <c r="P2142">
        <v>185</v>
      </c>
      <c r="Q2142">
        <v>110.75</v>
      </c>
    </row>
    <row r="2143" spans="2:17" x14ac:dyDescent="0.25">
      <c r="B2143" t="s">
        <v>78</v>
      </c>
      <c r="C2143" t="s">
        <v>79</v>
      </c>
      <c r="D2143" t="s">
        <v>4135</v>
      </c>
      <c r="E2143" t="s">
        <v>4136</v>
      </c>
      <c r="F2143">
        <v>1000</v>
      </c>
      <c r="G2143">
        <v>1000.87</v>
      </c>
      <c r="H2143">
        <v>1000.87</v>
      </c>
      <c r="I2143">
        <v>999.99</v>
      </c>
      <c r="J2143" s="1">
        <v>1000</v>
      </c>
      <c r="K2143">
        <v>1461059007.27</v>
      </c>
      <c r="L2143">
        <v>1461052</v>
      </c>
      <c r="M2143" t="s">
        <v>78</v>
      </c>
      <c r="N2143" t="s">
        <v>17</v>
      </c>
      <c r="O2143">
        <v>6361</v>
      </c>
      <c r="P2143">
        <v>1007.98</v>
      </c>
      <c r="Q2143">
        <v>990</v>
      </c>
    </row>
    <row r="2144" spans="2:17" x14ac:dyDescent="0.25">
      <c r="B2144" t="s">
        <v>78</v>
      </c>
      <c r="C2144" t="s">
        <v>79</v>
      </c>
      <c r="D2144" t="s">
        <v>4137</v>
      </c>
      <c r="E2144" t="s">
        <v>4138</v>
      </c>
      <c r="F2144">
        <v>999.99</v>
      </c>
      <c r="G2144">
        <v>999.95</v>
      </c>
      <c r="H2144">
        <v>1000.01</v>
      </c>
      <c r="I2144">
        <v>999.95</v>
      </c>
      <c r="J2144" s="1">
        <v>1000</v>
      </c>
      <c r="K2144">
        <v>19085933.260000002</v>
      </c>
      <c r="L2144">
        <v>19086</v>
      </c>
      <c r="M2144" t="s">
        <v>78</v>
      </c>
      <c r="N2144" t="s">
        <v>17</v>
      </c>
      <c r="O2144">
        <v>66</v>
      </c>
      <c r="P2144">
        <v>1020</v>
      </c>
      <c r="Q2144">
        <v>810.9</v>
      </c>
    </row>
    <row r="2145" spans="2:17" x14ac:dyDescent="0.25">
      <c r="B2145" t="s">
        <v>78</v>
      </c>
      <c r="C2145" t="s">
        <v>79</v>
      </c>
      <c r="D2145" t="s">
        <v>4139</v>
      </c>
      <c r="E2145" t="s">
        <v>4140</v>
      </c>
      <c r="F2145">
        <v>27.14</v>
      </c>
      <c r="G2145">
        <v>26.94</v>
      </c>
      <c r="H2145">
        <v>27.02</v>
      </c>
      <c r="I2145">
        <v>26.84</v>
      </c>
      <c r="J2145" s="1">
        <v>26.88</v>
      </c>
      <c r="K2145">
        <v>101137</v>
      </c>
      <c r="L2145">
        <v>3754</v>
      </c>
      <c r="M2145" t="s">
        <v>78</v>
      </c>
      <c r="N2145" t="s">
        <v>17</v>
      </c>
      <c r="O2145">
        <v>121</v>
      </c>
      <c r="P2145">
        <v>31</v>
      </c>
      <c r="Q2145">
        <v>21.75</v>
      </c>
    </row>
    <row r="2146" spans="2:17" x14ac:dyDescent="0.25">
      <c r="B2146" t="s">
        <v>78</v>
      </c>
      <c r="C2146" t="s">
        <v>79</v>
      </c>
      <c r="D2146" t="s">
        <v>4141</v>
      </c>
      <c r="E2146" t="s">
        <v>4142</v>
      </c>
      <c r="F2146">
        <v>54.44</v>
      </c>
      <c r="G2146">
        <v>54</v>
      </c>
      <c r="H2146">
        <v>54.8</v>
      </c>
      <c r="I2146">
        <v>53.52</v>
      </c>
      <c r="J2146" s="1">
        <v>53.63</v>
      </c>
      <c r="K2146">
        <v>29324200.370000001</v>
      </c>
      <c r="L2146">
        <v>546130</v>
      </c>
      <c r="M2146" t="s">
        <v>78</v>
      </c>
      <c r="N2146" t="s">
        <v>17</v>
      </c>
      <c r="O2146">
        <v>4694</v>
      </c>
      <c r="P2146">
        <v>57.5</v>
      </c>
      <c r="Q2146">
        <v>44</v>
      </c>
    </row>
    <row r="2147" spans="2:17" x14ac:dyDescent="0.25">
      <c r="B2147" t="s">
        <v>78</v>
      </c>
      <c r="C2147" t="s">
        <v>79</v>
      </c>
      <c r="D2147" t="s">
        <v>4143</v>
      </c>
      <c r="E2147" t="s">
        <v>4144</v>
      </c>
      <c r="F2147">
        <v>163.92</v>
      </c>
      <c r="G2147">
        <v>162.11000000000001</v>
      </c>
      <c r="H2147">
        <v>162.94999999999999</v>
      </c>
      <c r="I2147">
        <v>161.69999999999999</v>
      </c>
      <c r="J2147" s="1">
        <v>161.94</v>
      </c>
      <c r="K2147">
        <v>684235.12</v>
      </c>
      <c r="L2147">
        <v>4217</v>
      </c>
      <c r="M2147" t="s">
        <v>78</v>
      </c>
      <c r="N2147" t="s">
        <v>17</v>
      </c>
      <c r="O2147">
        <v>192</v>
      </c>
      <c r="P2147">
        <v>172.2</v>
      </c>
      <c r="Q2147">
        <v>110</v>
      </c>
    </row>
    <row r="2148" spans="2:17" x14ac:dyDescent="0.25">
      <c r="B2148" t="s">
        <v>78</v>
      </c>
      <c r="C2148" t="s">
        <v>79</v>
      </c>
      <c r="D2148" t="s">
        <v>4145</v>
      </c>
      <c r="E2148" t="s">
        <v>4146</v>
      </c>
      <c r="F2148">
        <v>391</v>
      </c>
      <c r="G2148">
        <v>388.81</v>
      </c>
      <c r="H2148">
        <v>391.57</v>
      </c>
      <c r="I2148">
        <v>387.78</v>
      </c>
      <c r="J2148" s="1">
        <v>388.72</v>
      </c>
      <c r="K2148">
        <v>1275592.6499999999</v>
      </c>
      <c r="L2148">
        <v>3279</v>
      </c>
      <c r="M2148" t="s">
        <v>78</v>
      </c>
      <c r="N2148" t="s">
        <v>17</v>
      </c>
      <c r="O2148">
        <v>114</v>
      </c>
      <c r="P2148">
        <v>398</v>
      </c>
      <c r="Q2148">
        <v>223.9</v>
      </c>
    </row>
    <row r="2149" spans="2:17" x14ac:dyDescent="0.25">
      <c r="B2149" t="s">
        <v>78</v>
      </c>
      <c r="C2149" t="s">
        <v>79</v>
      </c>
      <c r="D2149" t="s">
        <v>4147</v>
      </c>
      <c r="E2149" t="s">
        <v>4148</v>
      </c>
      <c r="F2149">
        <v>48.3</v>
      </c>
      <c r="G2149">
        <v>46.86</v>
      </c>
      <c r="H2149">
        <v>48.4</v>
      </c>
      <c r="I2149">
        <v>46.86</v>
      </c>
      <c r="J2149" s="1">
        <v>48.4</v>
      </c>
      <c r="K2149">
        <v>51586.36</v>
      </c>
      <c r="L2149">
        <v>1068</v>
      </c>
      <c r="M2149" t="s">
        <v>78</v>
      </c>
      <c r="N2149" t="s">
        <v>17</v>
      </c>
      <c r="O2149">
        <v>27</v>
      </c>
      <c r="P2149">
        <v>57.4</v>
      </c>
      <c r="Q2149">
        <v>45.89</v>
      </c>
    </row>
    <row r="2150" spans="2:17" x14ac:dyDescent="0.25">
      <c r="B2150" t="s">
        <v>78</v>
      </c>
      <c r="C2150" t="s">
        <v>79</v>
      </c>
      <c r="D2150" t="s">
        <v>4149</v>
      </c>
      <c r="E2150" t="s">
        <v>4150</v>
      </c>
      <c r="F2150">
        <v>29.16</v>
      </c>
      <c r="G2150">
        <v>29.65</v>
      </c>
      <c r="H2150">
        <v>29.65</v>
      </c>
      <c r="I2150">
        <v>28.95</v>
      </c>
      <c r="J2150" s="1">
        <v>29.16</v>
      </c>
      <c r="K2150">
        <v>3864672.41</v>
      </c>
      <c r="L2150">
        <v>132151</v>
      </c>
      <c r="M2150" t="s">
        <v>78</v>
      </c>
      <c r="N2150" t="s">
        <v>17</v>
      </c>
      <c r="O2150">
        <v>3713</v>
      </c>
      <c r="P2150">
        <v>29.65</v>
      </c>
      <c r="Q2150">
        <v>15.52</v>
      </c>
    </row>
    <row r="2151" spans="2:17" x14ac:dyDescent="0.25">
      <c r="B2151" t="s">
        <v>78</v>
      </c>
      <c r="C2151" t="s">
        <v>79</v>
      </c>
      <c r="D2151" t="s">
        <v>4151</v>
      </c>
      <c r="E2151" t="s">
        <v>4152</v>
      </c>
      <c r="F2151">
        <v>157.69999999999999</v>
      </c>
      <c r="G2151">
        <v>160.30000000000001</v>
      </c>
      <c r="H2151">
        <v>160.30000000000001</v>
      </c>
      <c r="I2151">
        <v>154.86000000000001</v>
      </c>
      <c r="J2151" s="1">
        <v>156.24</v>
      </c>
      <c r="K2151">
        <v>5598745.2599999998</v>
      </c>
      <c r="L2151">
        <v>35678</v>
      </c>
      <c r="M2151" t="s">
        <v>78</v>
      </c>
      <c r="N2151" t="s">
        <v>17</v>
      </c>
      <c r="O2151">
        <v>131</v>
      </c>
      <c r="P2151">
        <v>168.8</v>
      </c>
      <c r="Q2151">
        <v>105.6</v>
      </c>
    </row>
    <row r="2152" spans="2:17" x14ac:dyDescent="0.25">
      <c r="B2152" t="s">
        <v>78</v>
      </c>
      <c r="C2152" t="s">
        <v>79</v>
      </c>
      <c r="D2152" t="s">
        <v>4153</v>
      </c>
      <c r="E2152" t="s">
        <v>4154</v>
      </c>
      <c r="F2152">
        <v>109.02</v>
      </c>
      <c r="G2152">
        <v>125.4</v>
      </c>
      <c r="H2152">
        <v>125.4</v>
      </c>
      <c r="I2152">
        <v>107.1</v>
      </c>
      <c r="J2152" s="1">
        <v>107.95</v>
      </c>
      <c r="K2152">
        <v>57941919.770000003</v>
      </c>
      <c r="L2152">
        <v>536443</v>
      </c>
      <c r="M2152" t="s">
        <v>78</v>
      </c>
      <c r="N2152" t="s">
        <v>17</v>
      </c>
      <c r="O2152">
        <v>7137</v>
      </c>
      <c r="P2152">
        <v>1143.0999999999999</v>
      </c>
      <c r="Q2152">
        <v>100.66</v>
      </c>
    </row>
    <row r="2153" spans="2:17" x14ac:dyDescent="0.25">
      <c r="B2153" t="s">
        <v>78</v>
      </c>
      <c r="C2153" t="s">
        <v>79</v>
      </c>
      <c r="D2153" t="s">
        <v>4155</v>
      </c>
      <c r="E2153" t="s">
        <v>4156</v>
      </c>
      <c r="F2153">
        <v>104.92</v>
      </c>
      <c r="G2153">
        <v>105.1</v>
      </c>
      <c r="H2153">
        <v>105.15</v>
      </c>
      <c r="I2153">
        <v>105.03</v>
      </c>
      <c r="J2153" s="1">
        <v>105.15</v>
      </c>
      <c r="K2153">
        <v>152977.12</v>
      </c>
      <c r="L2153">
        <v>1456</v>
      </c>
      <c r="M2153" t="s">
        <v>78</v>
      </c>
      <c r="N2153" t="s">
        <v>17</v>
      </c>
      <c r="O2153">
        <v>25</v>
      </c>
      <c r="P2153">
        <v>123.26</v>
      </c>
      <c r="Q2153">
        <v>99.91</v>
      </c>
    </row>
    <row r="2154" spans="2:17" x14ac:dyDescent="0.25">
      <c r="B2154" t="s">
        <v>78</v>
      </c>
      <c r="C2154" t="s">
        <v>79</v>
      </c>
      <c r="D2154" t="s">
        <v>4157</v>
      </c>
      <c r="E2154" t="s">
        <v>4158</v>
      </c>
      <c r="F2154">
        <v>195.98</v>
      </c>
      <c r="G2154">
        <v>191</v>
      </c>
      <c r="H2154">
        <v>196.89</v>
      </c>
      <c r="I2154">
        <v>191</v>
      </c>
      <c r="J2154" s="1">
        <v>196.89</v>
      </c>
      <c r="K2154">
        <v>22635.8</v>
      </c>
      <c r="L2154">
        <v>115</v>
      </c>
      <c r="M2154" t="s">
        <v>78</v>
      </c>
      <c r="N2154" t="s">
        <v>17</v>
      </c>
      <c r="O2154">
        <v>30</v>
      </c>
      <c r="P2154">
        <v>196.89</v>
      </c>
      <c r="Q2154">
        <v>108</v>
      </c>
    </row>
    <row r="2155" spans="2:17" x14ac:dyDescent="0.25">
      <c r="B2155" t="s">
        <v>78</v>
      </c>
      <c r="C2155" t="s">
        <v>79</v>
      </c>
      <c r="D2155" t="s">
        <v>4159</v>
      </c>
      <c r="E2155" t="s">
        <v>4160</v>
      </c>
      <c r="F2155">
        <v>69.290000000000006</v>
      </c>
      <c r="G2155">
        <v>69.75</v>
      </c>
      <c r="H2155">
        <v>70.900000000000006</v>
      </c>
      <c r="I2155">
        <v>68.7</v>
      </c>
      <c r="J2155" s="1">
        <v>68.98</v>
      </c>
      <c r="K2155">
        <v>876861.63</v>
      </c>
      <c r="L2155">
        <v>12684</v>
      </c>
      <c r="M2155" t="s">
        <v>78</v>
      </c>
      <c r="N2155" t="s">
        <v>17</v>
      </c>
      <c r="O2155">
        <v>208</v>
      </c>
      <c r="P2155">
        <v>77</v>
      </c>
      <c r="Q2155">
        <v>42.5</v>
      </c>
    </row>
    <row r="2156" spans="2:17" x14ac:dyDescent="0.25">
      <c r="B2156" t="s">
        <v>78</v>
      </c>
      <c r="C2156" t="s">
        <v>79</v>
      </c>
      <c r="D2156" t="s">
        <v>4161</v>
      </c>
      <c r="E2156" t="s">
        <v>4162</v>
      </c>
      <c r="F2156">
        <v>40.46</v>
      </c>
      <c r="G2156">
        <v>41.14</v>
      </c>
      <c r="H2156">
        <v>41.14</v>
      </c>
      <c r="I2156">
        <v>40.1</v>
      </c>
      <c r="J2156" s="1">
        <v>40.909999999999997</v>
      </c>
      <c r="K2156">
        <v>141329.24</v>
      </c>
      <c r="L2156">
        <v>3471</v>
      </c>
      <c r="M2156" t="s">
        <v>78</v>
      </c>
      <c r="N2156" t="s">
        <v>17</v>
      </c>
      <c r="O2156">
        <v>88</v>
      </c>
      <c r="P2156">
        <v>48.3</v>
      </c>
      <c r="Q2156">
        <v>26.4</v>
      </c>
    </row>
    <row r="2157" spans="2:17" x14ac:dyDescent="0.25">
      <c r="B2157" t="s">
        <v>78</v>
      </c>
      <c r="C2157" t="s">
        <v>79</v>
      </c>
      <c r="D2157" t="s">
        <v>4163</v>
      </c>
      <c r="E2157" t="s">
        <v>4164</v>
      </c>
      <c r="F2157">
        <v>48.26</v>
      </c>
      <c r="G2157">
        <v>48.3</v>
      </c>
      <c r="H2157">
        <v>48.41</v>
      </c>
      <c r="I2157">
        <v>48.3</v>
      </c>
      <c r="J2157" s="1">
        <v>48.41</v>
      </c>
      <c r="K2157">
        <v>3869.47</v>
      </c>
      <c r="L2157">
        <v>80</v>
      </c>
      <c r="M2157" t="s">
        <v>78</v>
      </c>
      <c r="N2157" t="s">
        <v>17</v>
      </c>
      <c r="O2157">
        <v>8</v>
      </c>
      <c r="P2157">
        <v>50</v>
      </c>
      <c r="Q2157">
        <v>46.86</v>
      </c>
    </row>
    <row r="2158" spans="2:17" x14ac:dyDescent="0.25">
      <c r="B2158" t="s">
        <v>78</v>
      </c>
      <c r="C2158" t="s">
        <v>79</v>
      </c>
      <c r="D2158" t="s">
        <v>4165</v>
      </c>
      <c r="E2158" t="s">
        <v>4166</v>
      </c>
      <c r="F2158">
        <v>29.78</v>
      </c>
      <c r="G2158">
        <v>30.11</v>
      </c>
      <c r="H2158">
        <v>30.35</v>
      </c>
      <c r="I2158">
        <v>29.61</v>
      </c>
      <c r="J2158" s="1">
        <v>29.71</v>
      </c>
      <c r="K2158">
        <v>10182746.810000001</v>
      </c>
      <c r="L2158">
        <v>341796</v>
      </c>
      <c r="M2158" t="s">
        <v>78</v>
      </c>
      <c r="N2158" t="s">
        <v>17</v>
      </c>
      <c r="O2158">
        <v>2642</v>
      </c>
      <c r="P2158">
        <v>32.5</v>
      </c>
      <c r="Q2158">
        <v>16.34</v>
      </c>
    </row>
    <row r="2159" spans="2:17" x14ac:dyDescent="0.25">
      <c r="B2159" t="s">
        <v>78</v>
      </c>
      <c r="C2159" t="s">
        <v>79</v>
      </c>
      <c r="D2159" t="s">
        <v>4167</v>
      </c>
      <c r="E2159" t="s">
        <v>4168</v>
      </c>
      <c r="F2159">
        <v>22.49</v>
      </c>
      <c r="G2159">
        <v>22.47</v>
      </c>
      <c r="H2159">
        <v>22.48</v>
      </c>
      <c r="I2159">
        <v>22.41</v>
      </c>
      <c r="J2159" s="1">
        <v>22.48</v>
      </c>
      <c r="K2159">
        <v>178010.55</v>
      </c>
      <c r="L2159">
        <v>7925</v>
      </c>
      <c r="M2159" t="s">
        <v>78</v>
      </c>
      <c r="N2159" t="s">
        <v>17</v>
      </c>
      <c r="O2159">
        <v>74</v>
      </c>
      <c r="P2159">
        <v>25</v>
      </c>
      <c r="Q2159">
        <v>18</v>
      </c>
    </row>
    <row r="2160" spans="2:17" x14ac:dyDescent="0.25">
      <c r="B2160" t="s">
        <v>78</v>
      </c>
      <c r="C2160" t="s">
        <v>79</v>
      </c>
      <c r="D2160" t="s">
        <v>4169</v>
      </c>
      <c r="E2160" t="s">
        <v>4170</v>
      </c>
      <c r="F2160">
        <v>106.72</v>
      </c>
      <c r="G2160">
        <v>109.8</v>
      </c>
      <c r="H2160">
        <v>109.8</v>
      </c>
      <c r="I2160">
        <v>105.15</v>
      </c>
      <c r="J2160" s="1">
        <v>105.62</v>
      </c>
      <c r="K2160">
        <v>13726922.82</v>
      </c>
      <c r="L2160">
        <v>129566</v>
      </c>
      <c r="M2160" t="s">
        <v>78</v>
      </c>
      <c r="N2160" t="s">
        <v>17</v>
      </c>
      <c r="O2160">
        <v>1709</v>
      </c>
      <c r="P2160">
        <v>109.8</v>
      </c>
      <c r="Q2160">
        <v>47.65</v>
      </c>
    </row>
    <row r="2161" spans="2:17" x14ac:dyDescent="0.25">
      <c r="B2161" t="s">
        <v>78</v>
      </c>
      <c r="C2161" t="s">
        <v>79</v>
      </c>
      <c r="D2161" t="s">
        <v>4171</v>
      </c>
      <c r="E2161" t="s">
        <v>4172</v>
      </c>
      <c r="F2161">
        <v>166.85</v>
      </c>
      <c r="G2161">
        <v>168.5</v>
      </c>
      <c r="H2161">
        <v>168.94</v>
      </c>
      <c r="I2161">
        <v>163.44999999999999</v>
      </c>
      <c r="J2161" s="1">
        <v>165.04</v>
      </c>
      <c r="K2161">
        <v>132071.76</v>
      </c>
      <c r="L2161">
        <v>798</v>
      </c>
      <c r="M2161" t="s">
        <v>78</v>
      </c>
      <c r="N2161" t="s">
        <v>17</v>
      </c>
      <c r="O2161">
        <v>105</v>
      </c>
      <c r="P2161">
        <v>195</v>
      </c>
      <c r="Q2161">
        <v>96.05</v>
      </c>
    </row>
    <row r="2162" spans="2:17" x14ac:dyDescent="0.25">
      <c r="B2162" t="s">
        <v>78</v>
      </c>
      <c r="C2162" t="s">
        <v>79</v>
      </c>
      <c r="D2162" t="s">
        <v>4173</v>
      </c>
      <c r="E2162" t="s">
        <v>4174</v>
      </c>
      <c r="F2162">
        <v>88.49</v>
      </c>
      <c r="G2162">
        <v>89.8</v>
      </c>
      <c r="H2162">
        <v>89.8</v>
      </c>
      <c r="I2162">
        <v>87.61</v>
      </c>
      <c r="J2162" s="1">
        <v>88.3</v>
      </c>
      <c r="K2162">
        <v>763150.17</v>
      </c>
      <c r="L2162">
        <v>8664</v>
      </c>
      <c r="M2162" t="s">
        <v>78</v>
      </c>
      <c r="N2162" t="s">
        <v>17</v>
      </c>
      <c r="O2162">
        <v>160</v>
      </c>
      <c r="P2162">
        <v>95.1</v>
      </c>
      <c r="Q2162">
        <v>48</v>
      </c>
    </row>
    <row r="2163" spans="2:17" x14ac:dyDescent="0.25">
      <c r="B2163" t="s">
        <v>78</v>
      </c>
      <c r="C2163" t="s">
        <v>79</v>
      </c>
      <c r="D2163" t="s">
        <v>4175</v>
      </c>
      <c r="E2163" t="s">
        <v>4176</v>
      </c>
      <c r="F2163">
        <v>14.68</v>
      </c>
      <c r="G2163">
        <v>14.95</v>
      </c>
      <c r="H2163">
        <v>14.98</v>
      </c>
      <c r="I2163">
        <v>14.65</v>
      </c>
      <c r="J2163" s="1">
        <v>14.72</v>
      </c>
      <c r="K2163">
        <v>9522406.3699999992</v>
      </c>
      <c r="L2163">
        <v>645547</v>
      </c>
      <c r="M2163" t="s">
        <v>78</v>
      </c>
      <c r="N2163" t="s">
        <v>17</v>
      </c>
      <c r="O2163">
        <v>994</v>
      </c>
      <c r="P2163">
        <v>17.440000000000001</v>
      </c>
      <c r="Q2163">
        <v>13.37</v>
      </c>
    </row>
    <row r="2164" spans="2:17" x14ac:dyDescent="0.25">
      <c r="B2164" t="s">
        <v>78</v>
      </c>
      <c r="C2164" t="s">
        <v>79</v>
      </c>
      <c r="D2164" t="s">
        <v>4177</v>
      </c>
      <c r="E2164" t="s">
        <v>4178</v>
      </c>
      <c r="F2164">
        <v>103.6</v>
      </c>
      <c r="G2164">
        <v>103.65</v>
      </c>
      <c r="H2164">
        <v>103.69</v>
      </c>
      <c r="I2164">
        <v>103.64</v>
      </c>
      <c r="J2164" s="1">
        <v>103.69</v>
      </c>
      <c r="K2164">
        <v>686738.13</v>
      </c>
      <c r="L2164">
        <v>6623</v>
      </c>
      <c r="M2164" t="s">
        <v>78</v>
      </c>
      <c r="N2164" t="s">
        <v>17</v>
      </c>
      <c r="O2164">
        <v>8</v>
      </c>
      <c r="P2164">
        <v>106.67</v>
      </c>
      <c r="Q2164">
        <v>101.15</v>
      </c>
    </row>
    <row r="2165" spans="2:17" x14ac:dyDescent="0.25">
      <c r="B2165" t="s">
        <v>78</v>
      </c>
      <c r="C2165" t="s">
        <v>79</v>
      </c>
      <c r="D2165" t="s">
        <v>4179</v>
      </c>
      <c r="E2165" t="s">
        <v>4180</v>
      </c>
      <c r="F2165">
        <v>171.41</v>
      </c>
      <c r="G2165">
        <v>174.94</v>
      </c>
      <c r="H2165">
        <v>174.94</v>
      </c>
      <c r="I2165">
        <v>169.02</v>
      </c>
      <c r="J2165" s="1">
        <v>169.77</v>
      </c>
      <c r="K2165">
        <v>232305569.06</v>
      </c>
      <c r="L2165">
        <v>1366502</v>
      </c>
      <c r="M2165" t="s">
        <v>78</v>
      </c>
      <c r="N2165" t="s">
        <v>17</v>
      </c>
      <c r="O2165">
        <v>27208</v>
      </c>
      <c r="P2165">
        <v>184.9</v>
      </c>
      <c r="Q2165">
        <v>102.26</v>
      </c>
    </row>
    <row r="2166" spans="2:17" x14ac:dyDescent="0.25">
      <c r="B2166" t="s">
        <v>78</v>
      </c>
      <c r="C2166" t="s">
        <v>79</v>
      </c>
      <c r="D2166" t="s">
        <v>4181</v>
      </c>
      <c r="E2166" t="s">
        <v>4182</v>
      </c>
      <c r="F2166">
        <v>187.92</v>
      </c>
      <c r="G2166">
        <v>191</v>
      </c>
      <c r="H2166">
        <v>191.9</v>
      </c>
      <c r="I2166">
        <v>186.57</v>
      </c>
      <c r="J2166" s="1">
        <v>188.08</v>
      </c>
      <c r="K2166">
        <v>71532.83</v>
      </c>
      <c r="L2166">
        <v>379</v>
      </c>
      <c r="M2166" t="s">
        <v>78</v>
      </c>
      <c r="N2166" t="s">
        <v>17</v>
      </c>
      <c r="O2166">
        <v>43</v>
      </c>
      <c r="P2166">
        <v>219.98</v>
      </c>
      <c r="Q2166">
        <v>105.53</v>
      </c>
    </row>
    <row r="2167" spans="2:17" x14ac:dyDescent="0.25">
      <c r="B2167" t="s">
        <v>78</v>
      </c>
      <c r="C2167" t="s">
        <v>79</v>
      </c>
      <c r="D2167" t="s">
        <v>4183</v>
      </c>
      <c r="E2167" t="s">
        <v>4184</v>
      </c>
      <c r="F2167">
        <v>26.95</v>
      </c>
      <c r="G2167">
        <v>27.18</v>
      </c>
      <c r="H2167">
        <v>27.18</v>
      </c>
      <c r="I2167">
        <v>26.5</v>
      </c>
      <c r="J2167" s="1">
        <v>26.61</v>
      </c>
      <c r="K2167">
        <v>13283052.130000001</v>
      </c>
      <c r="L2167">
        <v>497802</v>
      </c>
      <c r="M2167" t="s">
        <v>78</v>
      </c>
      <c r="N2167" t="s">
        <v>17</v>
      </c>
      <c r="O2167">
        <v>1788</v>
      </c>
      <c r="P2167">
        <v>29.83</v>
      </c>
      <c r="Q2167">
        <v>13.56</v>
      </c>
    </row>
    <row r="2168" spans="2:17" x14ac:dyDescent="0.25">
      <c r="B2168" t="s">
        <v>78</v>
      </c>
      <c r="C2168" t="s">
        <v>79</v>
      </c>
      <c r="D2168" t="s">
        <v>4185</v>
      </c>
      <c r="E2168" t="s">
        <v>4186</v>
      </c>
      <c r="F2168">
        <v>2077</v>
      </c>
      <c r="G2168">
        <v>2076</v>
      </c>
      <c r="H2168">
        <v>2077</v>
      </c>
      <c r="I2168">
        <v>2061</v>
      </c>
      <c r="J2168" s="1">
        <v>2066.9499999999998</v>
      </c>
      <c r="K2168">
        <v>1007251.7</v>
      </c>
      <c r="L2168">
        <v>487</v>
      </c>
      <c r="M2168" t="s">
        <v>78</v>
      </c>
      <c r="N2168" t="s">
        <v>17</v>
      </c>
      <c r="O2168">
        <v>80</v>
      </c>
      <c r="P2168">
        <v>2522.4</v>
      </c>
      <c r="Q2168">
        <v>1836.4</v>
      </c>
    </row>
    <row r="2169" spans="2:17" x14ac:dyDescent="0.25">
      <c r="B2169" t="s">
        <v>78</v>
      </c>
      <c r="C2169" t="s">
        <v>79</v>
      </c>
      <c r="D2169" t="s">
        <v>4187</v>
      </c>
      <c r="E2169" t="s">
        <v>4188</v>
      </c>
      <c r="F2169">
        <v>1656</v>
      </c>
      <c r="G2169">
        <v>1656</v>
      </c>
      <c r="H2169">
        <v>1656</v>
      </c>
      <c r="I2169">
        <v>1642</v>
      </c>
      <c r="J2169" s="1">
        <v>1646</v>
      </c>
      <c r="K2169">
        <v>24658.2</v>
      </c>
      <c r="L2169">
        <v>15</v>
      </c>
      <c r="M2169" t="s">
        <v>78</v>
      </c>
      <c r="N2169" t="s">
        <v>17</v>
      </c>
      <c r="O2169">
        <v>9</v>
      </c>
      <c r="P2169">
        <v>1677.87</v>
      </c>
      <c r="Q2169">
        <v>1106</v>
      </c>
    </row>
    <row r="2170" spans="2:17" x14ac:dyDescent="0.25">
      <c r="B2170" t="s">
        <v>78</v>
      </c>
      <c r="C2170" t="s">
        <v>79</v>
      </c>
      <c r="D2170" t="s">
        <v>4189</v>
      </c>
      <c r="E2170" t="s">
        <v>4190</v>
      </c>
      <c r="F2170">
        <v>297.89999999999998</v>
      </c>
      <c r="G2170">
        <v>295</v>
      </c>
      <c r="H2170">
        <v>299.08999999999997</v>
      </c>
      <c r="I2170">
        <v>295</v>
      </c>
      <c r="J2170" s="1">
        <v>297.36</v>
      </c>
      <c r="K2170">
        <v>308408.14</v>
      </c>
      <c r="L2170">
        <v>1037</v>
      </c>
      <c r="M2170" t="s">
        <v>78</v>
      </c>
      <c r="N2170" t="s">
        <v>17</v>
      </c>
      <c r="O2170">
        <v>87</v>
      </c>
      <c r="P2170">
        <v>323.2</v>
      </c>
      <c r="Q2170">
        <v>201.2</v>
      </c>
    </row>
    <row r="2171" spans="2:17" x14ac:dyDescent="0.25">
      <c r="B2171" t="s">
        <v>78</v>
      </c>
      <c r="C2171" t="s">
        <v>79</v>
      </c>
      <c r="D2171" t="s">
        <v>4191</v>
      </c>
      <c r="E2171" t="s">
        <v>4192</v>
      </c>
      <c r="F2171">
        <v>187.89</v>
      </c>
      <c r="G2171">
        <v>186</v>
      </c>
      <c r="H2171">
        <v>186.1</v>
      </c>
      <c r="I2171">
        <v>183</v>
      </c>
      <c r="J2171" s="1">
        <v>183.73</v>
      </c>
      <c r="K2171">
        <v>424888.4</v>
      </c>
      <c r="L2171">
        <v>2307</v>
      </c>
      <c r="M2171" t="s">
        <v>78</v>
      </c>
      <c r="N2171" t="s">
        <v>17</v>
      </c>
      <c r="O2171">
        <v>135</v>
      </c>
      <c r="P2171">
        <v>202.95</v>
      </c>
      <c r="Q2171">
        <v>130.6</v>
      </c>
    </row>
    <row r="2172" spans="2:17" x14ac:dyDescent="0.25">
      <c r="B2172" t="s">
        <v>78</v>
      </c>
      <c r="C2172" t="s">
        <v>79</v>
      </c>
      <c r="D2172" t="s">
        <v>4193</v>
      </c>
      <c r="E2172" t="s">
        <v>4194</v>
      </c>
      <c r="F2172">
        <v>140.78</v>
      </c>
      <c r="G2172">
        <v>140.78</v>
      </c>
      <c r="H2172">
        <v>143</v>
      </c>
      <c r="I2172">
        <v>137.04</v>
      </c>
      <c r="J2172" s="1">
        <v>140.52000000000001</v>
      </c>
      <c r="K2172">
        <v>272772.32</v>
      </c>
      <c r="L2172">
        <v>1945</v>
      </c>
      <c r="M2172" t="s">
        <v>78</v>
      </c>
      <c r="N2172" t="s">
        <v>17</v>
      </c>
      <c r="O2172">
        <v>93</v>
      </c>
      <c r="P2172">
        <v>143</v>
      </c>
      <c r="Q2172">
        <v>90.5</v>
      </c>
    </row>
    <row r="2173" spans="2:17" x14ac:dyDescent="0.25">
      <c r="B2173" t="s">
        <v>78</v>
      </c>
      <c r="C2173" t="s">
        <v>79</v>
      </c>
      <c r="D2173" t="s">
        <v>4195</v>
      </c>
      <c r="E2173" t="s">
        <v>4196</v>
      </c>
      <c r="F2173">
        <v>204.16</v>
      </c>
      <c r="G2173">
        <v>204</v>
      </c>
      <c r="H2173">
        <v>204.95</v>
      </c>
      <c r="I2173">
        <v>204</v>
      </c>
      <c r="J2173" s="1">
        <v>204.94</v>
      </c>
      <c r="K2173">
        <v>15319.94</v>
      </c>
      <c r="L2173">
        <v>75</v>
      </c>
      <c r="M2173" t="s">
        <v>78</v>
      </c>
      <c r="N2173" t="s">
        <v>17</v>
      </c>
      <c r="O2173">
        <v>5</v>
      </c>
      <c r="P2173">
        <v>241.7</v>
      </c>
      <c r="Q2173">
        <v>181.02</v>
      </c>
    </row>
    <row r="2174" spans="2:17" x14ac:dyDescent="0.25">
      <c r="B2174" t="s">
        <v>78</v>
      </c>
      <c r="C2174" t="s">
        <v>79</v>
      </c>
      <c r="D2174" t="s">
        <v>4197</v>
      </c>
      <c r="E2174" t="s">
        <v>4198</v>
      </c>
      <c r="F2174">
        <v>4292.8</v>
      </c>
      <c r="G2174">
        <v>4290</v>
      </c>
      <c r="H2174">
        <v>4290</v>
      </c>
      <c r="I2174">
        <v>4256.25</v>
      </c>
      <c r="J2174" s="1">
        <v>4262.55</v>
      </c>
      <c r="K2174">
        <v>21483957.350000001</v>
      </c>
      <c r="L2174">
        <v>5033</v>
      </c>
      <c r="M2174" t="s">
        <v>78</v>
      </c>
      <c r="N2174" t="s">
        <v>17</v>
      </c>
      <c r="O2174">
        <v>855</v>
      </c>
      <c r="P2174">
        <v>5135.75</v>
      </c>
      <c r="Q2174">
        <v>3935</v>
      </c>
    </row>
    <row r="2175" spans="2:17" x14ac:dyDescent="0.25">
      <c r="B2175" t="s">
        <v>78</v>
      </c>
      <c r="C2175" t="s">
        <v>79</v>
      </c>
      <c r="D2175" t="s">
        <v>4199</v>
      </c>
      <c r="E2175" t="s">
        <v>4200</v>
      </c>
      <c r="F2175">
        <v>162.09</v>
      </c>
      <c r="G2175">
        <v>162.09</v>
      </c>
      <c r="H2175">
        <v>163.72</v>
      </c>
      <c r="I2175">
        <v>160.16999999999999</v>
      </c>
      <c r="J2175" s="1">
        <v>160.65</v>
      </c>
      <c r="K2175">
        <v>48821698.039999999</v>
      </c>
      <c r="L2175">
        <v>303640</v>
      </c>
      <c r="M2175" t="s">
        <v>78</v>
      </c>
      <c r="N2175" t="s">
        <v>17</v>
      </c>
      <c r="O2175">
        <v>2326</v>
      </c>
      <c r="P2175">
        <v>178</v>
      </c>
      <c r="Q2175">
        <v>107.8</v>
      </c>
    </row>
    <row r="2176" spans="2:17" x14ac:dyDescent="0.25">
      <c r="B2176" t="s">
        <v>78</v>
      </c>
      <c r="C2176" t="s">
        <v>79</v>
      </c>
      <c r="D2176" t="s">
        <v>4201</v>
      </c>
      <c r="E2176" t="s">
        <v>4202</v>
      </c>
      <c r="F2176">
        <v>357.4</v>
      </c>
      <c r="G2176">
        <v>357</v>
      </c>
      <c r="H2176">
        <v>357</v>
      </c>
      <c r="I2176">
        <v>349.25</v>
      </c>
      <c r="J2176" s="1">
        <v>350.43</v>
      </c>
      <c r="K2176">
        <v>112004463.7</v>
      </c>
      <c r="L2176">
        <v>319137</v>
      </c>
      <c r="M2176" t="s">
        <v>78</v>
      </c>
      <c r="N2176" t="s">
        <v>17</v>
      </c>
      <c r="O2176">
        <v>1489</v>
      </c>
      <c r="P2176">
        <v>386.8</v>
      </c>
      <c r="Q2176">
        <v>204</v>
      </c>
    </row>
    <row r="2177" spans="2:17" x14ac:dyDescent="0.25">
      <c r="B2177" t="s">
        <v>78</v>
      </c>
      <c r="C2177" t="s">
        <v>79</v>
      </c>
      <c r="D2177" t="s">
        <v>4203</v>
      </c>
      <c r="E2177" t="s">
        <v>4204</v>
      </c>
      <c r="F2177">
        <v>406.16</v>
      </c>
      <c r="G2177">
        <v>405.99</v>
      </c>
      <c r="H2177">
        <v>407</v>
      </c>
      <c r="I2177">
        <v>400</v>
      </c>
      <c r="J2177" s="1">
        <v>404.8</v>
      </c>
      <c r="K2177">
        <v>2539717.94</v>
      </c>
      <c r="L2177">
        <v>6282</v>
      </c>
      <c r="M2177" t="s">
        <v>78</v>
      </c>
      <c r="N2177" t="s">
        <v>17</v>
      </c>
      <c r="O2177">
        <v>638</v>
      </c>
      <c r="P2177">
        <v>454.8</v>
      </c>
      <c r="Q2177">
        <v>250.8</v>
      </c>
    </row>
    <row r="2178" spans="2:17" x14ac:dyDescent="0.25">
      <c r="B2178" t="s">
        <v>78</v>
      </c>
      <c r="C2178" t="s">
        <v>79</v>
      </c>
      <c r="D2178" t="s">
        <v>4205</v>
      </c>
      <c r="E2178" t="s">
        <v>4206</v>
      </c>
      <c r="F2178">
        <v>406.11</v>
      </c>
      <c r="G2178">
        <v>411.96</v>
      </c>
      <c r="H2178">
        <v>414.25</v>
      </c>
      <c r="I2178">
        <v>401.99</v>
      </c>
      <c r="J2178" s="1">
        <v>404.69</v>
      </c>
      <c r="K2178">
        <v>221959.4</v>
      </c>
      <c r="L2178">
        <v>550</v>
      </c>
      <c r="M2178" t="s">
        <v>78</v>
      </c>
      <c r="N2178" t="s">
        <v>17</v>
      </c>
      <c r="O2178">
        <v>56</v>
      </c>
      <c r="P2178">
        <v>463.2</v>
      </c>
      <c r="Q2178">
        <v>261.10000000000002</v>
      </c>
    </row>
    <row r="2179" spans="2:17" x14ac:dyDescent="0.25">
      <c r="B2179" t="s">
        <v>78</v>
      </c>
      <c r="C2179" t="s">
        <v>79</v>
      </c>
      <c r="D2179" t="s">
        <v>4207</v>
      </c>
      <c r="E2179" t="s">
        <v>4208</v>
      </c>
      <c r="F2179">
        <v>35.92</v>
      </c>
      <c r="G2179">
        <v>35.979999999999997</v>
      </c>
      <c r="H2179">
        <v>36</v>
      </c>
      <c r="I2179">
        <v>35.03</v>
      </c>
      <c r="J2179" s="1">
        <v>35.869999999999997</v>
      </c>
      <c r="K2179">
        <v>197022.02</v>
      </c>
      <c r="L2179">
        <v>5526</v>
      </c>
      <c r="M2179" t="s">
        <v>78</v>
      </c>
      <c r="N2179" t="s">
        <v>17</v>
      </c>
      <c r="O2179">
        <v>191</v>
      </c>
      <c r="P2179">
        <v>428</v>
      </c>
      <c r="Q2179">
        <v>26.4</v>
      </c>
    </row>
    <row r="2180" spans="2:17" x14ac:dyDescent="0.25">
      <c r="B2180" t="s">
        <v>78</v>
      </c>
      <c r="C2180" t="s">
        <v>79</v>
      </c>
      <c r="D2180" t="s">
        <v>4209</v>
      </c>
      <c r="E2180" t="s">
        <v>4210</v>
      </c>
      <c r="F2180">
        <v>40.630000000000003</v>
      </c>
      <c r="G2180">
        <v>40.99</v>
      </c>
      <c r="H2180">
        <v>41.3</v>
      </c>
      <c r="I2180">
        <v>40.270000000000003</v>
      </c>
      <c r="J2180" s="1">
        <v>40.76</v>
      </c>
      <c r="K2180">
        <v>1853386.27</v>
      </c>
      <c r="L2180">
        <v>45226</v>
      </c>
      <c r="M2180" t="s">
        <v>78</v>
      </c>
      <c r="N2180" t="s">
        <v>17</v>
      </c>
      <c r="O2180">
        <v>243</v>
      </c>
      <c r="P2180">
        <v>435.3</v>
      </c>
      <c r="Q2180">
        <v>33</v>
      </c>
    </row>
    <row r="2181" spans="2:17" x14ac:dyDescent="0.25">
      <c r="B2181" t="s">
        <v>78</v>
      </c>
      <c r="C2181" t="s">
        <v>79</v>
      </c>
      <c r="D2181" t="s">
        <v>4211</v>
      </c>
      <c r="E2181" t="s">
        <v>4212</v>
      </c>
      <c r="F2181">
        <v>1670</v>
      </c>
      <c r="G2181">
        <v>1670</v>
      </c>
      <c r="H2181">
        <v>1670</v>
      </c>
      <c r="I2181">
        <v>1636.6</v>
      </c>
      <c r="J2181" s="1">
        <v>1647.8</v>
      </c>
      <c r="K2181">
        <v>3428654.4</v>
      </c>
      <c r="L2181">
        <v>2075</v>
      </c>
      <c r="M2181" t="s">
        <v>78</v>
      </c>
      <c r="N2181" t="s">
        <v>17</v>
      </c>
      <c r="O2181">
        <v>85</v>
      </c>
      <c r="P2181">
        <v>1726.5</v>
      </c>
      <c r="Q2181">
        <v>1150</v>
      </c>
    </row>
    <row r="2182" spans="2:17" x14ac:dyDescent="0.25">
      <c r="B2182" t="s">
        <v>78</v>
      </c>
      <c r="C2182" t="s">
        <v>79</v>
      </c>
      <c r="D2182" t="s">
        <v>4213</v>
      </c>
      <c r="E2182" t="s">
        <v>4214</v>
      </c>
      <c r="F2182">
        <v>552.67999999999995</v>
      </c>
      <c r="G2182">
        <v>552.73</v>
      </c>
      <c r="H2182">
        <v>555.25</v>
      </c>
      <c r="I2182">
        <v>548.41999999999996</v>
      </c>
      <c r="J2182" s="1">
        <v>550.94000000000005</v>
      </c>
      <c r="K2182">
        <v>1047557.06</v>
      </c>
      <c r="L2182">
        <v>1898</v>
      </c>
      <c r="M2182" t="s">
        <v>78</v>
      </c>
      <c r="N2182" t="s">
        <v>17</v>
      </c>
      <c r="O2182">
        <v>150</v>
      </c>
      <c r="P2182">
        <v>597.29999999999995</v>
      </c>
      <c r="Q2182">
        <v>387.74</v>
      </c>
    </row>
    <row r="2183" spans="2:17" x14ac:dyDescent="0.25">
      <c r="B2183" t="s">
        <v>78</v>
      </c>
      <c r="C2183" t="s">
        <v>79</v>
      </c>
      <c r="D2183" t="s">
        <v>4215</v>
      </c>
      <c r="E2183" t="s">
        <v>4216</v>
      </c>
      <c r="F2183">
        <v>45.57</v>
      </c>
      <c r="G2183">
        <v>46.05</v>
      </c>
      <c r="H2183">
        <v>46.98</v>
      </c>
      <c r="I2183">
        <v>44.1</v>
      </c>
      <c r="J2183" s="1">
        <v>44.81</v>
      </c>
      <c r="K2183">
        <v>73831.89</v>
      </c>
      <c r="L2183">
        <v>1629</v>
      </c>
      <c r="M2183" t="s">
        <v>78</v>
      </c>
      <c r="N2183" t="s">
        <v>17</v>
      </c>
      <c r="O2183">
        <v>80</v>
      </c>
      <c r="P2183">
        <v>426.9</v>
      </c>
      <c r="Q2183">
        <v>37.1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818B-B3B1-4F49-A1D0-637DC77255E5}">
  <sheetPr codeName="Sheet3"/>
  <dimension ref="A1:Q2003"/>
  <sheetViews>
    <sheetView topLeftCell="A1420" workbookViewId="0">
      <selection activeCell="D1432" sqref="D1432"/>
    </sheetView>
  </sheetViews>
  <sheetFormatPr defaultRowHeight="15" x14ac:dyDescent="0.25"/>
  <cols>
    <col min="2" max="2" width="4.7109375" bestFit="1" customWidth="1"/>
    <col min="3" max="3" width="6.7109375" bestFit="1" customWidth="1"/>
    <col min="4" max="4" width="14.140625" bestFit="1" customWidth="1"/>
    <col min="5" max="5" width="30" bestFit="1" customWidth="1"/>
    <col min="6" max="6" width="11.42578125" bestFit="1" customWidth="1"/>
    <col min="7" max="7" width="11.85546875" bestFit="1" customWidth="1"/>
    <col min="8" max="8" width="11.28515625" bestFit="1" customWidth="1"/>
    <col min="9" max="9" width="10.85546875" bestFit="1" customWidth="1"/>
    <col min="10" max="10" width="12.28515625" style="1" bestFit="1" customWidth="1"/>
    <col min="11" max="11" width="12" bestFit="1" customWidth="1"/>
    <col min="12" max="12" width="12.140625" bestFit="1" customWidth="1"/>
    <col min="13" max="13" width="8.28515625" bestFit="1" customWidth="1"/>
    <col min="14" max="14" width="10" bestFit="1" customWidth="1"/>
    <col min="15" max="15" width="9" bestFit="1" customWidth="1"/>
    <col min="16" max="16" width="9.42578125" bestFit="1" customWidth="1"/>
    <col min="17" max="17" width="9.85546875" bestFit="1" customWidth="1"/>
  </cols>
  <sheetData>
    <row r="1" spans="2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2:17" x14ac:dyDescent="0.25">
      <c r="B2" t="s">
        <v>16</v>
      </c>
      <c r="C2" t="s">
        <v>17</v>
      </c>
      <c r="D2" t="s">
        <v>17</v>
      </c>
      <c r="E2" t="s">
        <v>18</v>
      </c>
      <c r="F2">
        <v>11596.9</v>
      </c>
      <c r="G2">
        <v>11627.95</v>
      </c>
      <c r="H2">
        <v>11640.35</v>
      </c>
      <c r="I2">
        <v>11399.3</v>
      </c>
      <c r="J2" s="1">
        <v>11419.25</v>
      </c>
      <c r="K2">
        <v>340704512525.65997</v>
      </c>
      <c r="L2">
        <v>1465936511</v>
      </c>
      <c r="M2" t="s">
        <v>16</v>
      </c>
      <c r="N2" t="s">
        <v>17</v>
      </c>
      <c r="O2">
        <v>12619226</v>
      </c>
      <c r="P2">
        <v>12103.05</v>
      </c>
      <c r="Q2">
        <v>10004.549999999999</v>
      </c>
    </row>
    <row r="3" spans="2:17" x14ac:dyDescent="0.25">
      <c r="B3" t="s">
        <v>16</v>
      </c>
      <c r="C3" t="s">
        <v>17</v>
      </c>
      <c r="D3" t="s">
        <v>17</v>
      </c>
      <c r="E3" t="s">
        <v>19</v>
      </c>
      <c r="F3">
        <v>12218.3</v>
      </c>
      <c r="G3">
        <v>12268.9</v>
      </c>
      <c r="H3">
        <v>12294.15</v>
      </c>
      <c r="I3">
        <v>11984.95</v>
      </c>
      <c r="J3" s="1">
        <v>12004.75</v>
      </c>
      <c r="K3">
        <v>0</v>
      </c>
      <c r="L3">
        <v>0</v>
      </c>
      <c r="M3" t="s">
        <v>16</v>
      </c>
      <c r="N3" t="s">
        <v>17</v>
      </c>
      <c r="O3">
        <v>0</v>
      </c>
      <c r="P3">
        <v>0</v>
      </c>
      <c r="Q3">
        <v>0</v>
      </c>
    </row>
    <row r="4" spans="2:17" x14ac:dyDescent="0.25">
      <c r="B4" t="s">
        <v>16</v>
      </c>
      <c r="C4" t="s">
        <v>17</v>
      </c>
      <c r="D4" t="s">
        <v>17</v>
      </c>
      <c r="E4" t="s">
        <v>20</v>
      </c>
      <c r="F4">
        <v>12962.7</v>
      </c>
      <c r="G4">
        <v>13023.25</v>
      </c>
      <c r="H4">
        <v>13047.65</v>
      </c>
      <c r="I4">
        <v>12719.4</v>
      </c>
      <c r="J4" s="1">
        <v>12742.4</v>
      </c>
      <c r="K4">
        <v>0</v>
      </c>
      <c r="L4">
        <v>0</v>
      </c>
      <c r="M4" t="s">
        <v>16</v>
      </c>
      <c r="N4" t="s">
        <v>17</v>
      </c>
      <c r="O4">
        <v>0</v>
      </c>
      <c r="P4">
        <v>0</v>
      </c>
      <c r="Q4">
        <v>0</v>
      </c>
    </row>
    <row r="5" spans="2:17" x14ac:dyDescent="0.25">
      <c r="B5" t="s">
        <v>16</v>
      </c>
      <c r="C5" t="s">
        <v>17</v>
      </c>
      <c r="D5" t="s">
        <v>17</v>
      </c>
      <c r="E5" t="s">
        <v>21</v>
      </c>
      <c r="F5">
        <v>8639.1</v>
      </c>
      <c r="G5">
        <v>8676.35</v>
      </c>
      <c r="H5">
        <v>8689</v>
      </c>
      <c r="I5">
        <v>8486</v>
      </c>
      <c r="J5" s="1">
        <v>8501.0499999999993</v>
      </c>
      <c r="K5">
        <v>0</v>
      </c>
      <c r="L5">
        <v>0</v>
      </c>
      <c r="M5" t="s">
        <v>16</v>
      </c>
      <c r="N5" t="s">
        <v>17</v>
      </c>
      <c r="O5">
        <v>0</v>
      </c>
      <c r="P5">
        <v>0</v>
      </c>
      <c r="Q5">
        <v>0</v>
      </c>
    </row>
    <row r="6" spans="2:17" x14ac:dyDescent="0.25">
      <c r="B6" t="s">
        <v>16</v>
      </c>
      <c r="C6" t="s">
        <v>17</v>
      </c>
      <c r="D6" t="s">
        <v>17</v>
      </c>
      <c r="E6" t="s">
        <v>22</v>
      </c>
      <c r="F6">
        <v>12263.65</v>
      </c>
      <c r="G6">
        <v>12299.3</v>
      </c>
      <c r="H6">
        <v>12327.05</v>
      </c>
      <c r="I6">
        <v>11998.85</v>
      </c>
      <c r="J6" s="1">
        <v>12037.1</v>
      </c>
      <c r="K6">
        <v>0</v>
      </c>
      <c r="L6">
        <v>0</v>
      </c>
      <c r="M6" t="s">
        <v>16</v>
      </c>
      <c r="N6" t="s">
        <v>17</v>
      </c>
      <c r="O6">
        <v>0</v>
      </c>
      <c r="P6">
        <v>0</v>
      </c>
      <c r="Q6">
        <v>0</v>
      </c>
    </row>
    <row r="7" spans="2:17" x14ac:dyDescent="0.25">
      <c r="B7" t="s">
        <v>16</v>
      </c>
      <c r="C7" t="s">
        <v>17</v>
      </c>
      <c r="D7" t="s">
        <v>17</v>
      </c>
      <c r="E7" t="s">
        <v>23</v>
      </c>
      <c r="F7">
        <v>6054.8</v>
      </c>
      <c r="G7">
        <v>6075.75</v>
      </c>
      <c r="H7">
        <v>6085.75</v>
      </c>
      <c r="I7">
        <v>5930.85</v>
      </c>
      <c r="J7" s="1">
        <v>5942.95</v>
      </c>
      <c r="K7">
        <v>0</v>
      </c>
      <c r="L7">
        <v>0</v>
      </c>
      <c r="M7" t="s">
        <v>16</v>
      </c>
      <c r="N7" t="s">
        <v>17</v>
      </c>
      <c r="O7">
        <v>0</v>
      </c>
      <c r="P7">
        <v>7034.75</v>
      </c>
      <c r="Q7">
        <v>5672.85</v>
      </c>
    </row>
    <row r="8" spans="2:17" x14ac:dyDescent="0.25">
      <c r="B8" t="s">
        <v>16</v>
      </c>
      <c r="C8" t="s">
        <v>17</v>
      </c>
      <c r="D8" t="s">
        <v>17</v>
      </c>
      <c r="E8" t="s">
        <v>24</v>
      </c>
      <c r="F8">
        <v>2864.6</v>
      </c>
      <c r="G8">
        <v>2867.55</v>
      </c>
      <c r="H8">
        <v>2868.9</v>
      </c>
      <c r="I8">
        <v>2800.25</v>
      </c>
      <c r="J8" s="1">
        <v>2804.85</v>
      </c>
      <c r="K8">
        <v>0</v>
      </c>
      <c r="L8">
        <v>0</v>
      </c>
      <c r="M8" t="s">
        <v>16</v>
      </c>
      <c r="N8" t="s">
        <v>17</v>
      </c>
      <c r="O8">
        <v>0</v>
      </c>
      <c r="P8">
        <v>3864.35</v>
      </c>
      <c r="Q8">
        <v>2721.3</v>
      </c>
    </row>
    <row r="9" spans="2:17" x14ac:dyDescent="0.25">
      <c r="B9" t="s">
        <v>16</v>
      </c>
      <c r="C9" t="s">
        <v>17</v>
      </c>
      <c r="D9" t="s">
        <v>17</v>
      </c>
      <c r="E9" t="s">
        <v>25</v>
      </c>
      <c r="F9">
        <v>4924.45</v>
      </c>
      <c r="G9">
        <v>4933.25</v>
      </c>
      <c r="H9">
        <v>4938.55</v>
      </c>
      <c r="I9">
        <v>4837.6000000000004</v>
      </c>
      <c r="J9" s="1">
        <v>4841.05</v>
      </c>
      <c r="K9">
        <v>0</v>
      </c>
      <c r="L9">
        <v>0</v>
      </c>
      <c r="M9" t="s">
        <v>16</v>
      </c>
      <c r="N9" t="s">
        <v>17</v>
      </c>
      <c r="O9">
        <v>0</v>
      </c>
      <c r="P9">
        <v>6160.45</v>
      </c>
      <c r="Q9">
        <v>4687.8</v>
      </c>
    </row>
    <row r="10" spans="2:17" x14ac:dyDescent="0.25">
      <c r="B10" t="s">
        <v>16</v>
      </c>
      <c r="C10" t="s">
        <v>17</v>
      </c>
      <c r="D10" t="s">
        <v>17</v>
      </c>
      <c r="E10" t="s">
        <v>26</v>
      </c>
      <c r="F10">
        <v>5653.8</v>
      </c>
      <c r="G10">
        <v>5670.35</v>
      </c>
      <c r="H10">
        <v>5677.9</v>
      </c>
      <c r="I10">
        <v>5543.7</v>
      </c>
      <c r="J10" s="1">
        <v>5552.15</v>
      </c>
      <c r="K10">
        <v>0</v>
      </c>
      <c r="L10">
        <v>0</v>
      </c>
      <c r="M10" t="s">
        <v>16</v>
      </c>
      <c r="N10" t="s">
        <v>17</v>
      </c>
      <c r="O10">
        <v>0</v>
      </c>
      <c r="P10">
        <v>6727.2</v>
      </c>
      <c r="Q10">
        <v>5375.8</v>
      </c>
    </row>
    <row r="11" spans="2:17" x14ac:dyDescent="0.25">
      <c r="B11" t="s">
        <v>16</v>
      </c>
      <c r="C11" t="s">
        <v>17</v>
      </c>
      <c r="D11" t="s">
        <v>17</v>
      </c>
      <c r="E11" t="s">
        <v>27</v>
      </c>
      <c r="F11">
        <v>9281</v>
      </c>
      <c r="G11">
        <v>9306.5499999999993</v>
      </c>
      <c r="H11">
        <v>9321.2000000000007</v>
      </c>
      <c r="I11">
        <v>9113.35</v>
      </c>
      <c r="J11" s="1">
        <v>9130.1</v>
      </c>
      <c r="K11">
        <v>0</v>
      </c>
      <c r="L11">
        <v>0</v>
      </c>
      <c r="M11" t="s">
        <v>16</v>
      </c>
      <c r="N11" t="s">
        <v>17</v>
      </c>
      <c r="O11">
        <v>0</v>
      </c>
      <c r="P11">
        <v>0</v>
      </c>
      <c r="Q11">
        <v>0</v>
      </c>
    </row>
    <row r="12" spans="2:17" x14ac:dyDescent="0.25">
      <c r="B12" t="s">
        <v>16</v>
      </c>
      <c r="C12" t="s">
        <v>17</v>
      </c>
      <c r="D12" t="s">
        <v>17</v>
      </c>
      <c r="E12" t="s">
        <v>32</v>
      </c>
      <c r="F12">
        <v>15498.45</v>
      </c>
      <c r="G12">
        <v>15520.7</v>
      </c>
      <c r="H12">
        <v>15611.6</v>
      </c>
      <c r="I12">
        <v>15363.05</v>
      </c>
      <c r="J12" s="1">
        <v>15383.65</v>
      </c>
      <c r="K12">
        <v>0</v>
      </c>
      <c r="L12">
        <v>0</v>
      </c>
      <c r="M12" t="s">
        <v>16</v>
      </c>
      <c r="N12" t="s">
        <v>17</v>
      </c>
      <c r="O12">
        <v>0</v>
      </c>
      <c r="P12">
        <v>16720.400000000001</v>
      </c>
      <c r="Q12">
        <v>13581.35</v>
      </c>
    </row>
    <row r="13" spans="2:17" x14ac:dyDescent="0.25">
      <c r="B13" t="s">
        <v>16</v>
      </c>
      <c r="C13" t="s">
        <v>17</v>
      </c>
      <c r="D13" t="s">
        <v>17</v>
      </c>
      <c r="E13" t="s">
        <v>33</v>
      </c>
      <c r="F13">
        <v>27120.05</v>
      </c>
      <c r="G13">
        <v>27264.6</v>
      </c>
      <c r="H13">
        <v>27323.200000000001</v>
      </c>
      <c r="I13">
        <v>26598.3</v>
      </c>
      <c r="J13" s="1">
        <v>26656.15</v>
      </c>
      <c r="K13">
        <v>0</v>
      </c>
      <c r="L13">
        <v>0</v>
      </c>
      <c r="M13" t="s">
        <v>16</v>
      </c>
      <c r="N13" t="s">
        <v>17</v>
      </c>
      <c r="O13">
        <v>0</v>
      </c>
      <c r="P13">
        <v>31436.75</v>
      </c>
      <c r="Q13">
        <v>25040.45</v>
      </c>
    </row>
    <row r="14" spans="2:17" x14ac:dyDescent="0.25">
      <c r="B14" t="s">
        <v>16</v>
      </c>
      <c r="C14" t="s">
        <v>17</v>
      </c>
      <c r="D14" t="s">
        <v>17</v>
      </c>
      <c r="E14" t="s">
        <v>34</v>
      </c>
      <c r="F14">
        <v>30430.6</v>
      </c>
      <c r="G14">
        <v>30515.1</v>
      </c>
      <c r="H14">
        <v>30543.75</v>
      </c>
      <c r="I14">
        <v>29705.75</v>
      </c>
      <c r="J14" s="1">
        <v>29770.35</v>
      </c>
      <c r="K14">
        <v>0</v>
      </c>
      <c r="L14">
        <v>0</v>
      </c>
      <c r="M14" t="s">
        <v>16</v>
      </c>
      <c r="N14" t="s">
        <v>17</v>
      </c>
      <c r="O14">
        <v>0</v>
      </c>
      <c r="P14">
        <v>31783.599999999999</v>
      </c>
      <c r="Q14">
        <v>24240.05</v>
      </c>
    </row>
    <row r="15" spans="2:17" x14ac:dyDescent="0.25">
      <c r="B15" t="s">
        <v>16</v>
      </c>
      <c r="C15" t="s">
        <v>17</v>
      </c>
      <c r="D15" t="s">
        <v>17</v>
      </c>
      <c r="E15" t="s">
        <v>35</v>
      </c>
      <c r="F15">
        <v>16791</v>
      </c>
      <c r="G15">
        <v>16851.05</v>
      </c>
      <c r="H15">
        <v>16877.3</v>
      </c>
      <c r="I15">
        <v>16393.349999999999</v>
      </c>
      <c r="J15" s="1">
        <v>16430.099999999999</v>
      </c>
      <c r="K15">
        <v>0</v>
      </c>
      <c r="L15">
        <v>0</v>
      </c>
      <c r="M15" t="s">
        <v>16</v>
      </c>
      <c r="N15" t="s">
        <v>17</v>
      </c>
      <c r="O15">
        <v>0</v>
      </c>
      <c r="P15">
        <v>20088.05</v>
      </c>
      <c r="Q15">
        <v>15802.95</v>
      </c>
    </row>
    <row r="16" spans="2:17" x14ac:dyDescent="0.25">
      <c r="B16" t="s">
        <v>16</v>
      </c>
      <c r="C16" t="s">
        <v>17</v>
      </c>
      <c r="D16" t="s">
        <v>17</v>
      </c>
      <c r="E16" t="s">
        <v>36</v>
      </c>
      <c r="F16">
        <v>9456.15</v>
      </c>
      <c r="G16">
        <v>9484.5499999999993</v>
      </c>
      <c r="H16">
        <v>9494.9</v>
      </c>
      <c r="I16">
        <v>9288.7999999999993</v>
      </c>
      <c r="J16" s="1">
        <v>9304.65</v>
      </c>
      <c r="K16">
        <v>0</v>
      </c>
      <c r="L16">
        <v>0</v>
      </c>
      <c r="M16" t="s">
        <v>16</v>
      </c>
      <c r="N16" t="s">
        <v>17</v>
      </c>
      <c r="O16">
        <v>0</v>
      </c>
      <c r="P16">
        <v>10049.85</v>
      </c>
      <c r="Q16">
        <v>8370.7999999999993</v>
      </c>
    </row>
    <row r="17" spans="2:17" x14ac:dyDescent="0.25">
      <c r="B17" t="s">
        <v>16</v>
      </c>
      <c r="C17" t="s">
        <v>17</v>
      </c>
      <c r="D17" t="s">
        <v>17</v>
      </c>
      <c r="E17" t="s">
        <v>37</v>
      </c>
      <c r="F17">
        <v>11701.4</v>
      </c>
      <c r="G17">
        <v>11736.75</v>
      </c>
      <c r="H17">
        <v>11750.45</v>
      </c>
      <c r="I17">
        <v>11498.95</v>
      </c>
      <c r="J17" s="1">
        <v>11519.25</v>
      </c>
      <c r="K17">
        <v>0</v>
      </c>
      <c r="L17">
        <v>0</v>
      </c>
      <c r="M17" t="s">
        <v>16</v>
      </c>
      <c r="N17" t="s">
        <v>17</v>
      </c>
      <c r="O17">
        <v>0</v>
      </c>
      <c r="P17">
        <v>12204.05</v>
      </c>
      <c r="Q17">
        <v>10186</v>
      </c>
    </row>
    <row r="18" spans="2:17" x14ac:dyDescent="0.25">
      <c r="B18" t="s">
        <v>16</v>
      </c>
      <c r="C18" t="s">
        <v>17</v>
      </c>
      <c r="D18" t="s">
        <v>17</v>
      </c>
      <c r="E18" t="s">
        <v>38</v>
      </c>
      <c r="F18">
        <v>4620.1499999999996</v>
      </c>
      <c r="G18">
        <v>4639.1000000000004</v>
      </c>
      <c r="H18">
        <v>4650.8999999999996</v>
      </c>
      <c r="I18">
        <v>4493.6499999999996</v>
      </c>
      <c r="J18" s="1">
        <v>4504.1000000000004</v>
      </c>
      <c r="K18">
        <v>0</v>
      </c>
      <c r="L18">
        <v>0</v>
      </c>
      <c r="M18" t="s">
        <v>16</v>
      </c>
      <c r="N18" t="s">
        <v>17</v>
      </c>
      <c r="O18">
        <v>0</v>
      </c>
      <c r="P18">
        <v>5387.9</v>
      </c>
      <c r="Q18">
        <v>4288.8</v>
      </c>
    </row>
    <row r="19" spans="2:17" x14ac:dyDescent="0.25">
      <c r="B19" t="s">
        <v>16</v>
      </c>
      <c r="C19" t="s">
        <v>17</v>
      </c>
      <c r="D19" t="s">
        <v>17</v>
      </c>
      <c r="E19" t="s">
        <v>39</v>
      </c>
      <c r="F19">
        <v>281.7</v>
      </c>
      <c r="G19">
        <v>282.60000000000002</v>
      </c>
      <c r="H19">
        <v>283.45</v>
      </c>
      <c r="I19">
        <v>275.95</v>
      </c>
      <c r="J19" s="1">
        <v>277.55</v>
      </c>
      <c r="K19">
        <v>0</v>
      </c>
      <c r="L19">
        <v>0</v>
      </c>
      <c r="M19" t="s">
        <v>16</v>
      </c>
      <c r="N19" t="s">
        <v>17</v>
      </c>
      <c r="O19">
        <v>0</v>
      </c>
      <c r="P19">
        <v>295.5</v>
      </c>
      <c r="Q19">
        <v>198.25</v>
      </c>
    </row>
    <row r="20" spans="2:17" x14ac:dyDescent="0.25">
      <c r="B20" t="s">
        <v>16</v>
      </c>
      <c r="C20" t="s">
        <v>17</v>
      </c>
      <c r="D20" t="s">
        <v>17</v>
      </c>
      <c r="E20" t="s">
        <v>40</v>
      </c>
      <c r="F20">
        <v>3194.2</v>
      </c>
      <c r="G20">
        <v>3211.4</v>
      </c>
      <c r="H20">
        <v>3219.85</v>
      </c>
      <c r="I20">
        <v>3159.45</v>
      </c>
      <c r="J20" s="1">
        <v>3171.1</v>
      </c>
      <c r="K20">
        <v>0</v>
      </c>
      <c r="L20">
        <v>0</v>
      </c>
      <c r="M20" t="s">
        <v>16</v>
      </c>
      <c r="N20" t="s">
        <v>17</v>
      </c>
      <c r="O20">
        <v>0</v>
      </c>
      <c r="P20">
        <v>3453.3</v>
      </c>
      <c r="Q20">
        <v>2777.9</v>
      </c>
    </row>
    <row r="21" spans="2:17" x14ac:dyDescent="0.25">
      <c r="B21" t="s">
        <v>16</v>
      </c>
      <c r="C21" t="s">
        <v>17</v>
      </c>
      <c r="D21" t="s">
        <v>17</v>
      </c>
      <c r="E21" t="s">
        <v>41</v>
      </c>
      <c r="F21">
        <v>15256.65</v>
      </c>
      <c r="G21">
        <v>15341.45</v>
      </c>
      <c r="H21">
        <v>15372.45</v>
      </c>
      <c r="I21">
        <v>15146.3</v>
      </c>
      <c r="J21" s="1">
        <v>15223.1</v>
      </c>
      <c r="K21">
        <v>0</v>
      </c>
      <c r="L21">
        <v>0</v>
      </c>
      <c r="M21" t="s">
        <v>16</v>
      </c>
      <c r="N21" t="s">
        <v>17</v>
      </c>
      <c r="O21">
        <v>0</v>
      </c>
      <c r="P21">
        <v>16841.849999999999</v>
      </c>
      <c r="Q21">
        <v>13104</v>
      </c>
    </row>
    <row r="22" spans="2:17" x14ac:dyDescent="0.25">
      <c r="B22" t="s">
        <v>16</v>
      </c>
      <c r="C22" t="s">
        <v>17</v>
      </c>
      <c r="D22" t="s">
        <v>17</v>
      </c>
      <c r="E22" t="s">
        <v>42</v>
      </c>
      <c r="F22">
        <v>29553.9</v>
      </c>
      <c r="G22">
        <v>29665.25</v>
      </c>
      <c r="H22">
        <v>29685.95</v>
      </c>
      <c r="I22">
        <v>28936.9</v>
      </c>
      <c r="J22" s="1">
        <v>29027.55</v>
      </c>
      <c r="K22">
        <v>0</v>
      </c>
      <c r="L22">
        <v>0</v>
      </c>
      <c r="M22" t="s">
        <v>16</v>
      </c>
      <c r="N22" t="s">
        <v>17</v>
      </c>
      <c r="O22">
        <v>0</v>
      </c>
      <c r="P22">
        <v>33167.9</v>
      </c>
      <c r="Q22">
        <v>26889.65</v>
      </c>
    </row>
    <row r="23" spans="2:17" x14ac:dyDescent="0.25">
      <c r="B23" t="s">
        <v>16</v>
      </c>
      <c r="C23" t="s">
        <v>17</v>
      </c>
      <c r="D23" t="s">
        <v>17</v>
      </c>
      <c r="E23" t="s">
        <v>43</v>
      </c>
      <c r="F23">
        <v>12635.9</v>
      </c>
      <c r="G23">
        <v>12689.15</v>
      </c>
      <c r="H23">
        <v>12708.75</v>
      </c>
      <c r="I23">
        <v>12387.65</v>
      </c>
      <c r="J23" s="1">
        <v>12423.8</v>
      </c>
      <c r="K23">
        <v>0</v>
      </c>
      <c r="L23">
        <v>0</v>
      </c>
      <c r="M23" t="s">
        <v>16</v>
      </c>
      <c r="N23" t="s">
        <v>17</v>
      </c>
      <c r="O23">
        <v>0</v>
      </c>
      <c r="P23">
        <v>15184.1</v>
      </c>
      <c r="Q23">
        <v>12363.4</v>
      </c>
    </row>
    <row r="24" spans="2:17" x14ac:dyDescent="0.25">
      <c r="B24" t="s">
        <v>16</v>
      </c>
      <c r="C24" t="s">
        <v>17</v>
      </c>
      <c r="D24" t="s">
        <v>17</v>
      </c>
      <c r="E24" t="s">
        <v>44</v>
      </c>
      <c r="F24">
        <v>8223.15</v>
      </c>
      <c r="G24">
        <v>8253.75</v>
      </c>
      <c r="H24">
        <v>8288</v>
      </c>
      <c r="I24">
        <v>8029.95</v>
      </c>
      <c r="J24" s="1">
        <v>8040.1</v>
      </c>
      <c r="K24">
        <v>0</v>
      </c>
      <c r="L24">
        <v>0</v>
      </c>
      <c r="M24" t="s">
        <v>16</v>
      </c>
      <c r="N24" t="s">
        <v>17</v>
      </c>
      <c r="O24">
        <v>0</v>
      </c>
      <c r="P24">
        <v>10786.35</v>
      </c>
      <c r="Q24">
        <v>7737</v>
      </c>
    </row>
    <row r="25" spans="2:17" x14ac:dyDescent="0.25">
      <c r="B25" t="s">
        <v>16</v>
      </c>
      <c r="C25" t="s">
        <v>17</v>
      </c>
      <c r="D25" t="s">
        <v>17</v>
      </c>
      <c r="E25" t="s">
        <v>45</v>
      </c>
      <c r="F25">
        <v>3349.1</v>
      </c>
      <c r="G25">
        <v>3366.45</v>
      </c>
      <c r="H25">
        <v>3376.65</v>
      </c>
      <c r="I25">
        <v>3319</v>
      </c>
      <c r="J25" s="1">
        <v>3352.95</v>
      </c>
      <c r="K25">
        <v>0</v>
      </c>
      <c r="L25">
        <v>0</v>
      </c>
      <c r="M25" t="s">
        <v>16</v>
      </c>
      <c r="N25" t="s">
        <v>17</v>
      </c>
      <c r="O25">
        <v>0</v>
      </c>
      <c r="P25">
        <v>3754.35</v>
      </c>
      <c r="Q25">
        <v>2965.9</v>
      </c>
    </row>
    <row r="26" spans="2:17" x14ac:dyDescent="0.25">
      <c r="B26" t="s">
        <v>16</v>
      </c>
      <c r="C26" t="s">
        <v>17</v>
      </c>
      <c r="D26" t="s">
        <v>17</v>
      </c>
      <c r="E26" t="s">
        <v>46</v>
      </c>
      <c r="F26">
        <v>3076.5</v>
      </c>
      <c r="G26">
        <v>3094.15</v>
      </c>
      <c r="H26">
        <v>3100.15</v>
      </c>
      <c r="I26">
        <v>3009.25</v>
      </c>
      <c r="J26" s="1">
        <v>3018.1</v>
      </c>
      <c r="K26">
        <v>0</v>
      </c>
      <c r="L26">
        <v>0</v>
      </c>
      <c r="M26" t="s">
        <v>16</v>
      </c>
      <c r="N26" t="s">
        <v>17</v>
      </c>
      <c r="O26">
        <v>0</v>
      </c>
      <c r="P26">
        <v>3492.7</v>
      </c>
      <c r="Q26">
        <v>2564.5</v>
      </c>
    </row>
    <row r="27" spans="2:17" x14ac:dyDescent="0.25">
      <c r="B27" t="s">
        <v>16</v>
      </c>
      <c r="C27" t="s">
        <v>17</v>
      </c>
      <c r="D27" t="s">
        <v>17</v>
      </c>
      <c r="E27" t="s">
        <v>47</v>
      </c>
      <c r="F27">
        <v>16731.150000000001</v>
      </c>
      <c r="G27">
        <v>16749.599999999999</v>
      </c>
      <c r="H27">
        <v>16779.650000000001</v>
      </c>
      <c r="I27">
        <v>16435.5</v>
      </c>
      <c r="J27" s="1">
        <v>16460.7</v>
      </c>
      <c r="K27">
        <v>0</v>
      </c>
      <c r="L27">
        <v>0</v>
      </c>
      <c r="M27" t="s">
        <v>16</v>
      </c>
      <c r="N27" t="s">
        <v>17</v>
      </c>
      <c r="O27">
        <v>0</v>
      </c>
      <c r="P27">
        <v>17156.8</v>
      </c>
      <c r="Q27">
        <v>13535.9</v>
      </c>
    </row>
    <row r="28" spans="2:17" x14ac:dyDescent="0.25">
      <c r="B28" t="s">
        <v>16</v>
      </c>
      <c r="C28" t="s">
        <v>17</v>
      </c>
      <c r="D28" t="s">
        <v>17</v>
      </c>
      <c r="E28" t="s">
        <v>48</v>
      </c>
      <c r="F28">
        <v>11.75</v>
      </c>
      <c r="G28">
        <v>11.75</v>
      </c>
      <c r="H28">
        <v>12.675000000000001</v>
      </c>
      <c r="I28">
        <v>10.592499999999999</v>
      </c>
      <c r="J28" s="1">
        <v>12.515000000000001</v>
      </c>
      <c r="K28">
        <v>0</v>
      </c>
      <c r="L28">
        <v>0</v>
      </c>
      <c r="M28" t="s">
        <v>16</v>
      </c>
      <c r="N28" t="s">
        <v>17</v>
      </c>
      <c r="O28">
        <v>0</v>
      </c>
      <c r="P28">
        <v>30.182500000000001</v>
      </c>
      <c r="Q28">
        <v>9.1624999999999996</v>
      </c>
    </row>
    <row r="29" spans="2:17" x14ac:dyDescent="0.25">
      <c r="B29" t="s">
        <v>16</v>
      </c>
      <c r="C29" t="s">
        <v>17</v>
      </c>
      <c r="D29" t="s">
        <v>17</v>
      </c>
      <c r="E29" t="s">
        <v>49</v>
      </c>
      <c r="F29">
        <v>7438.7</v>
      </c>
      <c r="G29">
        <v>7462.6</v>
      </c>
      <c r="H29">
        <v>7475.2</v>
      </c>
      <c r="I29">
        <v>7180.05</v>
      </c>
      <c r="J29" s="1">
        <v>7192.75</v>
      </c>
      <c r="K29">
        <v>0</v>
      </c>
      <c r="L29">
        <v>0</v>
      </c>
      <c r="M29" t="s">
        <v>16</v>
      </c>
      <c r="N29" t="s">
        <v>17</v>
      </c>
      <c r="O29">
        <v>0</v>
      </c>
      <c r="P29">
        <v>11105.5</v>
      </c>
      <c r="Q29">
        <v>7180.05</v>
      </c>
    </row>
    <row r="30" spans="2:17" x14ac:dyDescent="0.25">
      <c r="B30" t="s">
        <v>16</v>
      </c>
      <c r="C30" t="s">
        <v>17</v>
      </c>
      <c r="D30" t="s">
        <v>17</v>
      </c>
      <c r="E30" t="s">
        <v>50</v>
      </c>
      <c r="F30">
        <v>2778.6</v>
      </c>
      <c r="G30">
        <v>2795.4</v>
      </c>
      <c r="H30">
        <v>2807.9</v>
      </c>
      <c r="I30">
        <v>2734</v>
      </c>
      <c r="J30" s="1">
        <v>2741.85</v>
      </c>
      <c r="K30">
        <v>0</v>
      </c>
      <c r="L30">
        <v>0</v>
      </c>
      <c r="M30" t="s">
        <v>16</v>
      </c>
      <c r="N30" t="s">
        <v>17</v>
      </c>
      <c r="O30">
        <v>0</v>
      </c>
      <c r="P30">
        <v>3776.05</v>
      </c>
      <c r="Q30">
        <v>2649.25</v>
      </c>
    </row>
    <row r="31" spans="2:17" x14ac:dyDescent="0.25">
      <c r="B31" t="s">
        <v>16</v>
      </c>
      <c r="C31" t="s">
        <v>17</v>
      </c>
      <c r="D31" t="s">
        <v>17</v>
      </c>
      <c r="E31" t="s">
        <v>51</v>
      </c>
      <c r="F31">
        <v>2072.1999999999998</v>
      </c>
      <c r="G31">
        <v>2077.6</v>
      </c>
      <c r="H31">
        <v>2083.1</v>
      </c>
      <c r="I31">
        <v>1991</v>
      </c>
      <c r="J31" s="1">
        <v>2020.1</v>
      </c>
      <c r="K31">
        <v>0</v>
      </c>
      <c r="L31">
        <v>0</v>
      </c>
      <c r="M31" t="s">
        <v>16</v>
      </c>
      <c r="N31" t="s">
        <v>17</v>
      </c>
      <c r="O31">
        <v>0</v>
      </c>
      <c r="P31">
        <v>2967.9</v>
      </c>
      <c r="Q31">
        <v>1895.9</v>
      </c>
    </row>
    <row r="32" spans="2:17" x14ac:dyDescent="0.25">
      <c r="B32" t="s">
        <v>16</v>
      </c>
      <c r="C32" t="s">
        <v>17</v>
      </c>
      <c r="D32" t="s">
        <v>17</v>
      </c>
      <c r="E32" t="s">
        <v>52</v>
      </c>
      <c r="F32">
        <v>5960.75</v>
      </c>
      <c r="G32">
        <v>5973.35</v>
      </c>
      <c r="H32">
        <v>5975.8</v>
      </c>
      <c r="I32">
        <v>5843.6</v>
      </c>
      <c r="J32" s="1">
        <v>5854.65</v>
      </c>
      <c r="K32">
        <v>0</v>
      </c>
      <c r="L32">
        <v>0</v>
      </c>
      <c r="M32" t="s">
        <v>16</v>
      </c>
      <c r="N32" t="s">
        <v>17</v>
      </c>
      <c r="O32">
        <v>0</v>
      </c>
      <c r="P32">
        <v>7745.15</v>
      </c>
      <c r="Q32">
        <v>5660.15</v>
      </c>
    </row>
    <row r="33" spans="2:17" x14ac:dyDescent="0.25">
      <c r="B33" t="s">
        <v>16</v>
      </c>
      <c r="C33" t="s">
        <v>17</v>
      </c>
      <c r="D33" t="s">
        <v>17</v>
      </c>
      <c r="E33" t="s">
        <v>53</v>
      </c>
      <c r="F33">
        <v>5984.3</v>
      </c>
      <c r="G33">
        <v>6002.7</v>
      </c>
      <c r="H33">
        <v>6009.75</v>
      </c>
      <c r="I33">
        <v>5876.8</v>
      </c>
      <c r="J33" s="1">
        <v>5887.4</v>
      </c>
      <c r="K33">
        <v>0</v>
      </c>
      <c r="L33">
        <v>0</v>
      </c>
      <c r="M33" t="s">
        <v>16</v>
      </c>
      <c r="N33" t="s">
        <v>17</v>
      </c>
      <c r="O33">
        <v>0</v>
      </c>
      <c r="P33">
        <v>6277.35</v>
      </c>
      <c r="Q33">
        <v>5262.8</v>
      </c>
    </row>
    <row r="34" spans="2:17" x14ac:dyDescent="0.25">
      <c r="B34" t="s">
        <v>16</v>
      </c>
      <c r="C34" t="s">
        <v>17</v>
      </c>
      <c r="D34" t="s">
        <v>17</v>
      </c>
      <c r="E34" t="s">
        <v>54</v>
      </c>
      <c r="F34">
        <v>2565.6</v>
      </c>
      <c r="G34">
        <v>2574.5</v>
      </c>
      <c r="H34">
        <v>2579.5</v>
      </c>
      <c r="I34">
        <v>2538.4</v>
      </c>
      <c r="J34" s="1">
        <v>2542.0500000000002</v>
      </c>
      <c r="K34">
        <v>0</v>
      </c>
      <c r="L34">
        <v>0</v>
      </c>
      <c r="M34" t="s">
        <v>16</v>
      </c>
      <c r="N34" t="s">
        <v>17</v>
      </c>
      <c r="O34">
        <v>0</v>
      </c>
      <c r="P34">
        <v>2825.5</v>
      </c>
      <c r="Q34">
        <v>2422.25</v>
      </c>
    </row>
    <row r="35" spans="2:17" x14ac:dyDescent="0.25">
      <c r="B35" t="s">
        <v>16</v>
      </c>
      <c r="C35" t="s">
        <v>17</v>
      </c>
      <c r="D35" t="s">
        <v>17</v>
      </c>
      <c r="E35" t="s">
        <v>55</v>
      </c>
      <c r="F35">
        <v>3469.25</v>
      </c>
      <c r="G35">
        <v>3495.05</v>
      </c>
      <c r="H35">
        <v>3505.1</v>
      </c>
      <c r="I35">
        <v>3426.95</v>
      </c>
      <c r="J35" s="1">
        <v>3437.3</v>
      </c>
      <c r="K35">
        <v>0</v>
      </c>
      <c r="L35">
        <v>0</v>
      </c>
      <c r="M35" t="s">
        <v>16</v>
      </c>
      <c r="N35" t="s">
        <v>17</v>
      </c>
      <c r="O35">
        <v>0</v>
      </c>
      <c r="P35">
        <v>3872.6</v>
      </c>
      <c r="Q35">
        <v>3082.4</v>
      </c>
    </row>
    <row r="36" spans="2:17" x14ac:dyDescent="0.25">
      <c r="B36" t="s">
        <v>16</v>
      </c>
      <c r="C36" t="s">
        <v>17</v>
      </c>
      <c r="D36" t="s">
        <v>17</v>
      </c>
      <c r="E36" t="s">
        <v>56</v>
      </c>
      <c r="F36">
        <v>4600.5</v>
      </c>
      <c r="G36">
        <v>4617.25</v>
      </c>
      <c r="H36">
        <v>4623.75</v>
      </c>
      <c r="I36">
        <v>4509.95</v>
      </c>
      <c r="J36" s="1">
        <v>4519.3</v>
      </c>
      <c r="K36">
        <v>0</v>
      </c>
      <c r="L36">
        <v>0</v>
      </c>
      <c r="M36" t="s">
        <v>16</v>
      </c>
      <c r="N36" t="s">
        <v>17</v>
      </c>
      <c r="O36">
        <v>0</v>
      </c>
      <c r="P36">
        <v>5416.45</v>
      </c>
      <c r="Q36">
        <v>4369.95</v>
      </c>
    </row>
    <row r="37" spans="2:17" x14ac:dyDescent="0.25">
      <c r="B37" t="s">
        <v>16</v>
      </c>
      <c r="C37" t="s">
        <v>17</v>
      </c>
      <c r="D37" t="s">
        <v>17</v>
      </c>
      <c r="E37" t="s">
        <v>57</v>
      </c>
      <c r="F37">
        <v>13500.2</v>
      </c>
      <c r="G37">
        <v>13513.2</v>
      </c>
      <c r="H37">
        <v>13533.8</v>
      </c>
      <c r="I37">
        <v>13202.6</v>
      </c>
      <c r="J37" s="1">
        <v>13234.4</v>
      </c>
      <c r="K37">
        <v>0</v>
      </c>
      <c r="L37">
        <v>0</v>
      </c>
      <c r="M37" t="s">
        <v>16</v>
      </c>
      <c r="N37" t="s">
        <v>17</v>
      </c>
      <c r="O37">
        <v>0</v>
      </c>
      <c r="P37">
        <v>13881.35</v>
      </c>
      <c r="Q37">
        <v>10029.200000000001</v>
      </c>
    </row>
    <row r="38" spans="2:17" x14ac:dyDescent="0.25">
      <c r="B38" t="s">
        <v>16</v>
      </c>
      <c r="C38" t="s">
        <v>17</v>
      </c>
      <c r="D38" t="s">
        <v>17</v>
      </c>
      <c r="E38" t="s">
        <v>58</v>
      </c>
      <c r="F38">
        <v>54.47</v>
      </c>
      <c r="G38">
        <v>61.86</v>
      </c>
      <c r="H38">
        <v>61.86</v>
      </c>
      <c r="I38">
        <v>61.86</v>
      </c>
      <c r="J38" s="1">
        <v>61.86</v>
      </c>
      <c r="K38">
        <v>0</v>
      </c>
      <c r="L38">
        <v>0</v>
      </c>
      <c r="M38" t="s">
        <v>16</v>
      </c>
      <c r="N38" t="s">
        <v>17</v>
      </c>
      <c r="O38">
        <v>0</v>
      </c>
      <c r="P38">
        <v>0</v>
      </c>
      <c r="Q38">
        <v>0</v>
      </c>
    </row>
    <row r="39" spans="2:17" x14ac:dyDescent="0.25">
      <c r="B39" t="s">
        <v>16</v>
      </c>
      <c r="C39" t="s">
        <v>17</v>
      </c>
      <c r="D39" t="s">
        <v>17</v>
      </c>
      <c r="E39" t="s">
        <v>59</v>
      </c>
      <c r="F39">
        <v>3826.6</v>
      </c>
      <c r="G39">
        <v>3841.4</v>
      </c>
      <c r="H39">
        <v>3850.55</v>
      </c>
      <c r="I39">
        <v>3740.75</v>
      </c>
      <c r="J39" s="1">
        <v>3747.7</v>
      </c>
      <c r="K39">
        <v>0</v>
      </c>
      <c r="L39">
        <v>0</v>
      </c>
      <c r="M39" t="s">
        <v>16</v>
      </c>
      <c r="N39" t="s">
        <v>17</v>
      </c>
      <c r="O39">
        <v>0</v>
      </c>
      <c r="P39">
        <v>4567</v>
      </c>
      <c r="Q39">
        <v>3468.9</v>
      </c>
    </row>
    <row r="40" spans="2:17" x14ac:dyDescent="0.25">
      <c r="B40" t="s">
        <v>16</v>
      </c>
      <c r="C40" t="s">
        <v>17</v>
      </c>
      <c r="D40" t="s">
        <v>17</v>
      </c>
      <c r="E40" t="s">
        <v>60</v>
      </c>
      <c r="F40">
        <v>2103.8000000000002</v>
      </c>
      <c r="G40">
        <v>2117.1</v>
      </c>
      <c r="H40">
        <v>2130.6999999999998</v>
      </c>
      <c r="I40">
        <v>2077.65</v>
      </c>
      <c r="J40" s="1">
        <v>2111.35</v>
      </c>
      <c r="K40">
        <v>0</v>
      </c>
      <c r="L40">
        <v>0</v>
      </c>
      <c r="M40" t="s">
        <v>16</v>
      </c>
      <c r="N40" t="s">
        <v>17</v>
      </c>
      <c r="O40">
        <v>0</v>
      </c>
      <c r="P40">
        <v>2418.1999999999998</v>
      </c>
      <c r="Q40">
        <v>1825.4</v>
      </c>
    </row>
    <row r="41" spans="2:17" x14ac:dyDescent="0.25">
      <c r="B41" t="s">
        <v>16</v>
      </c>
      <c r="C41" t="s">
        <v>17</v>
      </c>
      <c r="D41" t="s">
        <v>17</v>
      </c>
      <c r="E41" t="s">
        <v>61</v>
      </c>
      <c r="F41">
        <v>5846.5</v>
      </c>
      <c r="G41">
        <v>5861.9</v>
      </c>
      <c r="H41">
        <v>5870.35</v>
      </c>
      <c r="I41">
        <v>5677.25</v>
      </c>
      <c r="J41" s="1">
        <v>5692.25</v>
      </c>
      <c r="K41">
        <v>0</v>
      </c>
      <c r="L41">
        <v>0</v>
      </c>
      <c r="M41" t="s">
        <v>16</v>
      </c>
      <c r="N41" t="s">
        <v>17</v>
      </c>
      <c r="O41">
        <v>0</v>
      </c>
      <c r="P41">
        <v>7354.55</v>
      </c>
      <c r="Q41">
        <v>5677.25</v>
      </c>
    </row>
    <row r="42" spans="2:17" x14ac:dyDescent="0.25">
      <c r="B42" t="s">
        <v>16</v>
      </c>
      <c r="C42" t="s">
        <v>17</v>
      </c>
      <c r="D42" t="s">
        <v>17</v>
      </c>
      <c r="E42" t="s">
        <v>62</v>
      </c>
      <c r="F42">
        <v>4963.1000000000004</v>
      </c>
      <c r="G42">
        <v>4988.8999999999996</v>
      </c>
      <c r="H42">
        <v>4999.1000000000004</v>
      </c>
      <c r="I42">
        <v>4794.05</v>
      </c>
      <c r="J42" s="1">
        <v>4810.25</v>
      </c>
      <c r="K42">
        <v>0</v>
      </c>
      <c r="L42">
        <v>0</v>
      </c>
      <c r="M42" t="s">
        <v>16</v>
      </c>
      <c r="N42" t="s">
        <v>17</v>
      </c>
      <c r="O42">
        <v>0</v>
      </c>
      <c r="P42">
        <v>5487.6</v>
      </c>
      <c r="Q42">
        <v>3910.3</v>
      </c>
    </row>
    <row r="43" spans="2:17" x14ac:dyDescent="0.25">
      <c r="B43" t="s">
        <v>16</v>
      </c>
      <c r="C43" t="s">
        <v>17</v>
      </c>
      <c r="D43" t="s">
        <v>17</v>
      </c>
      <c r="E43" t="s">
        <v>63</v>
      </c>
      <c r="F43">
        <v>398.2</v>
      </c>
      <c r="G43">
        <v>397.2</v>
      </c>
      <c r="H43">
        <v>405</v>
      </c>
      <c r="I43">
        <v>396.8</v>
      </c>
      <c r="J43" s="1">
        <v>404.35</v>
      </c>
      <c r="K43">
        <v>0</v>
      </c>
      <c r="L43">
        <v>0</v>
      </c>
      <c r="M43" t="s">
        <v>16</v>
      </c>
      <c r="N43" t="s">
        <v>17</v>
      </c>
      <c r="O43">
        <v>0</v>
      </c>
      <c r="P43">
        <v>446.5</v>
      </c>
      <c r="Q43">
        <v>377.9</v>
      </c>
    </row>
    <row r="44" spans="2:17" x14ac:dyDescent="0.25">
      <c r="B44" t="s">
        <v>16</v>
      </c>
      <c r="C44" t="s">
        <v>17</v>
      </c>
      <c r="D44" t="s">
        <v>17</v>
      </c>
      <c r="E44" t="s">
        <v>64</v>
      </c>
      <c r="F44">
        <v>6379.4</v>
      </c>
      <c r="G44">
        <v>6420.7</v>
      </c>
      <c r="H44">
        <v>6433.8</v>
      </c>
      <c r="I44">
        <v>6170.25</v>
      </c>
      <c r="J44" s="1">
        <v>6191.05</v>
      </c>
      <c r="K44">
        <v>0</v>
      </c>
      <c r="L44">
        <v>0</v>
      </c>
      <c r="M44" t="s">
        <v>16</v>
      </c>
      <c r="N44" t="s">
        <v>17</v>
      </c>
      <c r="O44">
        <v>0</v>
      </c>
      <c r="P44">
        <v>6964.35</v>
      </c>
      <c r="Q44">
        <v>4945.05</v>
      </c>
    </row>
    <row r="45" spans="2:17" x14ac:dyDescent="0.25">
      <c r="B45" t="s">
        <v>16</v>
      </c>
      <c r="C45" t="s">
        <v>17</v>
      </c>
      <c r="D45" t="s">
        <v>17</v>
      </c>
      <c r="E45" t="s">
        <v>65</v>
      </c>
      <c r="F45">
        <v>351.25</v>
      </c>
      <c r="G45">
        <v>350.15</v>
      </c>
      <c r="H45">
        <v>357</v>
      </c>
      <c r="I45">
        <v>349.75</v>
      </c>
      <c r="J45" s="1">
        <v>356.45</v>
      </c>
      <c r="K45">
        <v>0</v>
      </c>
      <c r="L45">
        <v>0</v>
      </c>
      <c r="M45" t="s">
        <v>16</v>
      </c>
      <c r="N45" t="s">
        <v>17</v>
      </c>
      <c r="O45">
        <v>0</v>
      </c>
      <c r="P45">
        <v>397.05</v>
      </c>
      <c r="Q45">
        <v>335.85</v>
      </c>
    </row>
    <row r="46" spans="2:17" x14ac:dyDescent="0.25">
      <c r="B46" t="s">
        <v>16</v>
      </c>
      <c r="C46" t="s">
        <v>17</v>
      </c>
      <c r="D46" t="s">
        <v>17</v>
      </c>
      <c r="E46" t="s">
        <v>66</v>
      </c>
      <c r="F46">
        <v>5269.6</v>
      </c>
      <c r="G46">
        <v>5286.7</v>
      </c>
      <c r="H46">
        <v>5295.85</v>
      </c>
      <c r="I46">
        <v>5224.3999999999996</v>
      </c>
      <c r="J46" s="1">
        <v>5232</v>
      </c>
      <c r="K46">
        <v>0</v>
      </c>
      <c r="L46">
        <v>0</v>
      </c>
      <c r="M46" t="s">
        <v>16</v>
      </c>
      <c r="N46" t="s">
        <v>17</v>
      </c>
      <c r="O46">
        <v>0</v>
      </c>
      <c r="P46">
        <v>5701.9</v>
      </c>
      <c r="Q46">
        <v>4756.1000000000004</v>
      </c>
    </row>
    <row r="47" spans="2:17" x14ac:dyDescent="0.25">
      <c r="B47" t="s">
        <v>16</v>
      </c>
      <c r="C47" t="s">
        <v>17</v>
      </c>
      <c r="D47" t="s">
        <v>17</v>
      </c>
      <c r="E47" t="s">
        <v>67</v>
      </c>
      <c r="F47">
        <v>3968.7</v>
      </c>
      <c r="G47">
        <v>3981.6</v>
      </c>
      <c r="H47">
        <v>3994.15</v>
      </c>
      <c r="I47">
        <v>3895.5</v>
      </c>
      <c r="J47" s="1">
        <v>3906.8</v>
      </c>
      <c r="K47">
        <v>0</v>
      </c>
      <c r="L47">
        <v>0</v>
      </c>
      <c r="M47" t="s">
        <v>16</v>
      </c>
      <c r="N47" t="s">
        <v>17</v>
      </c>
      <c r="O47">
        <v>0</v>
      </c>
      <c r="P47">
        <v>4355.75</v>
      </c>
      <c r="Q47">
        <v>3524.4</v>
      </c>
    </row>
    <row r="48" spans="2:17" x14ac:dyDescent="0.25">
      <c r="B48" t="s">
        <v>16</v>
      </c>
      <c r="C48" t="s">
        <v>17</v>
      </c>
      <c r="D48" t="s">
        <v>17</v>
      </c>
      <c r="E48" t="s">
        <v>68</v>
      </c>
      <c r="F48">
        <v>16707.849999999999</v>
      </c>
      <c r="G48">
        <v>16754.599999999999</v>
      </c>
      <c r="H48">
        <v>16771.400000000001</v>
      </c>
      <c r="I48">
        <v>16260.6</v>
      </c>
      <c r="J48" s="1">
        <v>16298.35</v>
      </c>
      <c r="K48">
        <v>0</v>
      </c>
      <c r="L48">
        <v>0</v>
      </c>
      <c r="M48" t="s">
        <v>16</v>
      </c>
      <c r="N48" t="s">
        <v>17</v>
      </c>
      <c r="O48">
        <v>0</v>
      </c>
      <c r="P48">
        <v>17763.95</v>
      </c>
      <c r="Q48">
        <v>13607.6</v>
      </c>
    </row>
    <row r="49" spans="2:17" x14ac:dyDescent="0.25">
      <c r="B49" t="s">
        <v>16</v>
      </c>
      <c r="C49" t="s">
        <v>17</v>
      </c>
      <c r="D49" t="s">
        <v>17</v>
      </c>
      <c r="E49" t="s">
        <v>69</v>
      </c>
      <c r="F49">
        <v>2595.9</v>
      </c>
      <c r="G49">
        <v>2603.6999999999998</v>
      </c>
      <c r="H49">
        <v>2606.9</v>
      </c>
      <c r="I49">
        <v>2545.5</v>
      </c>
      <c r="J49" s="1">
        <v>2549.5500000000002</v>
      </c>
      <c r="K49">
        <v>0</v>
      </c>
      <c r="L49">
        <v>0</v>
      </c>
      <c r="M49" t="s">
        <v>16</v>
      </c>
      <c r="N49" t="s">
        <v>17</v>
      </c>
      <c r="O49">
        <v>0</v>
      </c>
      <c r="P49">
        <v>0</v>
      </c>
      <c r="Q49">
        <v>0</v>
      </c>
    </row>
    <row r="50" spans="2:17" x14ac:dyDescent="0.25">
      <c r="B50" t="s">
        <v>16</v>
      </c>
      <c r="C50" t="s">
        <v>17</v>
      </c>
      <c r="D50" t="s">
        <v>17</v>
      </c>
      <c r="E50" t="s">
        <v>70</v>
      </c>
      <c r="F50">
        <v>2012.06</v>
      </c>
      <c r="G50">
        <v>2012.45</v>
      </c>
      <c r="H50">
        <v>2015.51</v>
      </c>
      <c r="I50">
        <v>2012.45</v>
      </c>
      <c r="J50" s="1">
        <v>2014.56</v>
      </c>
      <c r="K50">
        <v>0</v>
      </c>
      <c r="L50">
        <v>0</v>
      </c>
      <c r="M50" t="s">
        <v>16</v>
      </c>
      <c r="N50" t="s">
        <v>17</v>
      </c>
      <c r="O50">
        <v>0</v>
      </c>
      <c r="P50">
        <v>0</v>
      </c>
      <c r="Q50">
        <v>0</v>
      </c>
    </row>
    <row r="51" spans="2:17" x14ac:dyDescent="0.25">
      <c r="B51" t="s">
        <v>16</v>
      </c>
      <c r="C51" t="s">
        <v>17</v>
      </c>
      <c r="D51" t="s">
        <v>17</v>
      </c>
      <c r="E51" t="s">
        <v>71</v>
      </c>
      <c r="F51">
        <v>1860.24</v>
      </c>
      <c r="G51">
        <v>1860.59</v>
      </c>
      <c r="H51">
        <v>1865.32</v>
      </c>
      <c r="I51">
        <v>1860.59</v>
      </c>
      <c r="J51" s="1">
        <v>1862.87</v>
      </c>
      <c r="K51">
        <v>0</v>
      </c>
      <c r="L51">
        <v>0</v>
      </c>
      <c r="M51" t="s">
        <v>16</v>
      </c>
      <c r="N51" t="s">
        <v>17</v>
      </c>
      <c r="O51">
        <v>0</v>
      </c>
      <c r="P51">
        <v>0</v>
      </c>
      <c r="Q51">
        <v>0</v>
      </c>
    </row>
    <row r="52" spans="2:17" x14ac:dyDescent="0.25">
      <c r="B52" t="s">
        <v>16</v>
      </c>
      <c r="C52" t="s">
        <v>17</v>
      </c>
      <c r="D52" t="s">
        <v>17</v>
      </c>
      <c r="E52" t="s">
        <v>72</v>
      </c>
      <c r="F52">
        <v>968.95</v>
      </c>
      <c r="G52">
        <v>968.95</v>
      </c>
      <c r="H52">
        <v>971.42</v>
      </c>
      <c r="I52">
        <v>968.95</v>
      </c>
      <c r="J52" s="1">
        <v>970.14</v>
      </c>
      <c r="K52">
        <v>0</v>
      </c>
      <c r="L52">
        <v>0</v>
      </c>
      <c r="M52" t="s">
        <v>16</v>
      </c>
      <c r="N52" t="s">
        <v>17</v>
      </c>
      <c r="O52">
        <v>0</v>
      </c>
      <c r="P52">
        <v>0</v>
      </c>
      <c r="Q52">
        <v>0</v>
      </c>
    </row>
    <row r="53" spans="2:17" x14ac:dyDescent="0.25">
      <c r="B53" t="s">
        <v>16</v>
      </c>
      <c r="C53" t="s">
        <v>17</v>
      </c>
      <c r="D53" t="s">
        <v>17</v>
      </c>
      <c r="E53" t="s">
        <v>73</v>
      </c>
      <c r="F53">
        <v>2095.56</v>
      </c>
      <c r="G53">
        <v>2095.9699999999998</v>
      </c>
      <c r="H53">
        <v>2098.52</v>
      </c>
      <c r="I53">
        <v>2095.9699999999998</v>
      </c>
      <c r="J53" s="1">
        <v>2097.9899999999998</v>
      </c>
      <c r="K53">
        <v>0</v>
      </c>
      <c r="L53">
        <v>0</v>
      </c>
      <c r="M53" t="s">
        <v>16</v>
      </c>
      <c r="N53" t="s">
        <v>17</v>
      </c>
      <c r="O53">
        <v>0</v>
      </c>
      <c r="P53">
        <v>0</v>
      </c>
      <c r="Q53">
        <v>0</v>
      </c>
    </row>
    <row r="54" spans="2:17" x14ac:dyDescent="0.25">
      <c r="B54" t="s">
        <v>16</v>
      </c>
      <c r="C54" t="s">
        <v>17</v>
      </c>
      <c r="D54" t="s">
        <v>17</v>
      </c>
      <c r="E54" t="s">
        <v>74</v>
      </c>
      <c r="F54">
        <v>2140.79</v>
      </c>
      <c r="G54">
        <v>2141.1999999999998</v>
      </c>
      <c r="H54">
        <v>2143.69</v>
      </c>
      <c r="I54">
        <v>2141.1999999999998</v>
      </c>
      <c r="J54" s="1">
        <v>2143.69</v>
      </c>
      <c r="K54">
        <v>0</v>
      </c>
      <c r="L54">
        <v>0</v>
      </c>
      <c r="M54" t="s">
        <v>16</v>
      </c>
      <c r="N54" t="s">
        <v>17</v>
      </c>
      <c r="O54">
        <v>0</v>
      </c>
      <c r="P54">
        <v>0</v>
      </c>
      <c r="Q54">
        <v>0</v>
      </c>
    </row>
    <row r="55" spans="2:17" x14ac:dyDescent="0.25">
      <c r="B55" t="s">
        <v>16</v>
      </c>
      <c r="C55" t="s">
        <v>17</v>
      </c>
      <c r="D55" t="s">
        <v>17</v>
      </c>
      <c r="E55" t="s">
        <v>75</v>
      </c>
      <c r="F55">
        <v>2345.83</v>
      </c>
      <c r="G55">
        <v>2346.27</v>
      </c>
      <c r="H55">
        <v>2349.37</v>
      </c>
      <c r="I55">
        <v>2343.77</v>
      </c>
      <c r="J55" s="1">
        <v>2343.77</v>
      </c>
      <c r="K55">
        <v>0</v>
      </c>
      <c r="L55">
        <v>0</v>
      </c>
      <c r="M55" t="s">
        <v>16</v>
      </c>
      <c r="N55" t="s">
        <v>17</v>
      </c>
      <c r="O55">
        <v>0</v>
      </c>
      <c r="P55">
        <v>0</v>
      </c>
      <c r="Q55">
        <v>0</v>
      </c>
    </row>
    <row r="56" spans="2:17" x14ac:dyDescent="0.25">
      <c r="B56" t="s">
        <v>16</v>
      </c>
      <c r="C56" t="s">
        <v>17</v>
      </c>
      <c r="D56" t="s">
        <v>17</v>
      </c>
      <c r="E56" t="s">
        <v>76</v>
      </c>
      <c r="F56">
        <v>2037.37</v>
      </c>
      <c r="G56">
        <v>2037.76</v>
      </c>
      <c r="H56">
        <v>2040.4</v>
      </c>
      <c r="I56">
        <v>2037.76</v>
      </c>
      <c r="J56" s="1">
        <v>2039.78</v>
      </c>
      <c r="K56">
        <v>0</v>
      </c>
      <c r="L56">
        <v>0</v>
      </c>
      <c r="M56" t="s">
        <v>16</v>
      </c>
      <c r="N56" t="s">
        <v>17</v>
      </c>
      <c r="O56">
        <v>0</v>
      </c>
      <c r="P56">
        <v>0</v>
      </c>
      <c r="Q56">
        <v>0</v>
      </c>
    </row>
    <row r="57" spans="2:17" x14ac:dyDescent="0.25">
      <c r="B57" t="s">
        <v>17</v>
      </c>
      <c r="C57" t="s">
        <v>17</v>
      </c>
      <c r="D57" t="s">
        <v>17</v>
      </c>
      <c r="E57" t="s">
        <v>17</v>
      </c>
      <c r="F57" t="s">
        <v>17</v>
      </c>
      <c r="G57" t="s">
        <v>17</v>
      </c>
      <c r="H57" t="s">
        <v>17</v>
      </c>
      <c r="I57" t="s">
        <v>17</v>
      </c>
      <c r="J57" s="1" t="s">
        <v>17</v>
      </c>
      <c r="K57" t="s">
        <v>17</v>
      </c>
      <c r="L57" t="s">
        <v>17</v>
      </c>
      <c r="M57" t="s">
        <v>16</v>
      </c>
      <c r="N57" t="s">
        <v>17</v>
      </c>
      <c r="O57" t="s">
        <v>17</v>
      </c>
      <c r="P57" t="s">
        <v>17</v>
      </c>
      <c r="Q57" t="s">
        <v>17</v>
      </c>
    </row>
    <row r="58" spans="2:17" x14ac:dyDescent="0.25">
      <c r="B58" t="s">
        <v>17</v>
      </c>
      <c r="C58" t="s">
        <v>17</v>
      </c>
      <c r="D58" t="s">
        <v>17</v>
      </c>
      <c r="E58" t="s">
        <v>17</v>
      </c>
      <c r="F58" t="s">
        <v>17</v>
      </c>
      <c r="H58" t="s">
        <v>17</v>
      </c>
      <c r="I58" t="s">
        <v>17</v>
      </c>
      <c r="J58" s="1" t="s">
        <v>17</v>
      </c>
      <c r="K58" t="s">
        <v>17</v>
      </c>
      <c r="L58" t="s">
        <v>17</v>
      </c>
      <c r="M58" t="s">
        <v>16</v>
      </c>
      <c r="N58" t="s">
        <v>17</v>
      </c>
      <c r="O58" t="s">
        <v>17</v>
      </c>
      <c r="P58" t="s">
        <v>17</v>
      </c>
      <c r="Q58" t="s">
        <v>17</v>
      </c>
    </row>
    <row r="59" spans="2:17" x14ac:dyDescent="0.25">
      <c r="B59" t="s">
        <v>17</v>
      </c>
      <c r="C59" t="s">
        <v>17</v>
      </c>
      <c r="D59" t="s">
        <v>17</v>
      </c>
      <c r="E59" t="s">
        <v>77</v>
      </c>
      <c r="F59" t="s">
        <v>17</v>
      </c>
      <c r="G59" t="s">
        <v>17</v>
      </c>
      <c r="H59" t="s">
        <v>17</v>
      </c>
      <c r="I59" t="s">
        <v>17</v>
      </c>
      <c r="J59" s="1" t="s">
        <v>17</v>
      </c>
      <c r="K59" t="s">
        <v>17</v>
      </c>
      <c r="L59" t="s">
        <v>17</v>
      </c>
      <c r="M59" t="s">
        <v>16</v>
      </c>
      <c r="N59" t="s">
        <v>17</v>
      </c>
      <c r="O59" t="s">
        <v>17</v>
      </c>
      <c r="P59" t="s">
        <v>17</v>
      </c>
      <c r="Q59" t="s">
        <v>17</v>
      </c>
    </row>
    <row r="60" spans="2:17" x14ac:dyDescent="0.25">
      <c r="B60" t="s">
        <v>78</v>
      </c>
      <c r="C60" t="s">
        <v>79</v>
      </c>
      <c r="D60" t="s">
        <v>80</v>
      </c>
      <c r="E60" t="s">
        <v>81</v>
      </c>
      <c r="F60">
        <v>412.4</v>
      </c>
      <c r="G60">
        <v>414.55</v>
      </c>
      <c r="H60">
        <v>416.65</v>
      </c>
      <c r="I60">
        <v>401.75</v>
      </c>
      <c r="J60" s="1">
        <v>405.5</v>
      </c>
      <c r="K60">
        <v>775933348.95000005</v>
      </c>
      <c r="L60">
        <v>1894624</v>
      </c>
      <c r="M60" t="s">
        <v>16</v>
      </c>
      <c r="N60" t="s">
        <v>17</v>
      </c>
      <c r="O60">
        <v>42890</v>
      </c>
      <c r="P60">
        <v>430.6</v>
      </c>
      <c r="Q60">
        <v>292.10000000000002</v>
      </c>
    </row>
    <row r="61" spans="2:17" x14ac:dyDescent="0.25">
      <c r="B61" t="s">
        <v>78</v>
      </c>
      <c r="C61" t="s">
        <v>79</v>
      </c>
      <c r="D61" t="s">
        <v>82</v>
      </c>
      <c r="E61" t="s">
        <v>83</v>
      </c>
      <c r="F61">
        <v>1384.95</v>
      </c>
      <c r="G61">
        <v>1390.1</v>
      </c>
      <c r="H61">
        <v>1399.4</v>
      </c>
      <c r="I61">
        <v>1365</v>
      </c>
      <c r="J61" s="1">
        <v>1369.1</v>
      </c>
      <c r="K61">
        <v>1159928889.3</v>
      </c>
      <c r="L61">
        <v>842552</v>
      </c>
      <c r="M61" t="s">
        <v>16</v>
      </c>
      <c r="N61" t="s">
        <v>17</v>
      </c>
      <c r="O61">
        <v>47644</v>
      </c>
      <c r="P61">
        <v>1529.85</v>
      </c>
      <c r="Q61">
        <v>1118</v>
      </c>
    </row>
    <row r="62" spans="2:17" x14ac:dyDescent="0.25">
      <c r="B62" t="s">
        <v>78</v>
      </c>
      <c r="C62" t="s">
        <v>79</v>
      </c>
      <c r="D62" t="s">
        <v>84</v>
      </c>
      <c r="E62" t="s">
        <v>85</v>
      </c>
      <c r="F62">
        <v>740.4</v>
      </c>
      <c r="G62">
        <v>743.55</v>
      </c>
      <c r="H62">
        <v>746.8</v>
      </c>
      <c r="I62">
        <v>723.3</v>
      </c>
      <c r="J62" s="1">
        <v>729.25</v>
      </c>
      <c r="K62">
        <v>5931205673.1499996</v>
      </c>
      <c r="L62">
        <v>8091007</v>
      </c>
      <c r="M62" t="s">
        <v>16</v>
      </c>
      <c r="N62" t="s">
        <v>17</v>
      </c>
      <c r="O62">
        <v>185588</v>
      </c>
      <c r="P62">
        <v>827.75</v>
      </c>
      <c r="Q62">
        <v>515</v>
      </c>
    </row>
    <row r="63" spans="2:17" x14ac:dyDescent="0.25">
      <c r="B63" t="s">
        <v>78</v>
      </c>
      <c r="C63" t="s">
        <v>79</v>
      </c>
      <c r="D63" t="s">
        <v>86</v>
      </c>
      <c r="E63" t="s">
        <v>87</v>
      </c>
      <c r="F63">
        <v>2630.8</v>
      </c>
      <c r="G63">
        <v>2640</v>
      </c>
      <c r="H63">
        <v>2654.95</v>
      </c>
      <c r="I63">
        <v>2550</v>
      </c>
      <c r="J63" s="1">
        <v>2558.25</v>
      </c>
      <c r="K63">
        <v>1179133069.3499999</v>
      </c>
      <c r="L63">
        <v>456542</v>
      </c>
      <c r="M63" t="s">
        <v>16</v>
      </c>
      <c r="N63" t="s">
        <v>17</v>
      </c>
      <c r="O63">
        <v>34569</v>
      </c>
      <c r="P63">
        <v>3165</v>
      </c>
      <c r="Q63">
        <v>2420</v>
      </c>
    </row>
    <row r="64" spans="2:17" x14ac:dyDescent="0.25">
      <c r="B64" t="s">
        <v>78</v>
      </c>
      <c r="C64" t="s">
        <v>79</v>
      </c>
      <c r="D64" t="s">
        <v>88</v>
      </c>
      <c r="E64" t="s">
        <v>89</v>
      </c>
      <c r="F64">
        <f>7847.65*(1/5)</f>
        <v>1569.53</v>
      </c>
      <c r="G64">
        <f>7900*(1/5)</f>
        <v>1580</v>
      </c>
      <c r="H64">
        <v>1580</v>
      </c>
      <c r="I64">
        <v>1501.2</v>
      </c>
      <c r="J64" s="1">
        <v>1513.2700000000002</v>
      </c>
      <c r="K64">
        <v>3097988130.9000001</v>
      </c>
      <c r="L64">
        <v>406851</v>
      </c>
      <c r="M64" t="s">
        <v>16</v>
      </c>
      <c r="N64" t="s">
        <v>17</v>
      </c>
      <c r="O64">
        <v>48311</v>
      </c>
      <c r="P64">
        <v>8580</v>
      </c>
      <c r="Q64">
        <v>4955</v>
      </c>
    </row>
    <row r="65" spans="2:17" x14ac:dyDescent="0.25">
      <c r="B65" t="s">
        <v>78</v>
      </c>
      <c r="C65" t="s">
        <v>79</v>
      </c>
      <c r="D65" t="s">
        <v>90</v>
      </c>
      <c r="E65" t="s">
        <v>91</v>
      </c>
      <c r="F65">
        <v>3467.65</v>
      </c>
      <c r="G65">
        <v>3476</v>
      </c>
      <c r="H65">
        <v>3501.25</v>
      </c>
      <c r="I65">
        <v>3263.1</v>
      </c>
      <c r="J65" s="1">
        <v>3323.1</v>
      </c>
      <c r="K65">
        <v>10121333228.85</v>
      </c>
      <c r="L65">
        <v>3033909</v>
      </c>
      <c r="M65" t="s">
        <v>16</v>
      </c>
      <c r="N65" t="s">
        <v>17</v>
      </c>
      <c r="O65">
        <v>184245</v>
      </c>
      <c r="P65">
        <v>3762</v>
      </c>
      <c r="Q65">
        <v>1912.2</v>
      </c>
    </row>
    <row r="66" spans="2:17" x14ac:dyDescent="0.25">
      <c r="B66" t="s">
        <v>78</v>
      </c>
      <c r="C66" t="s">
        <v>79</v>
      </c>
      <c r="D66" t="s">
        <v>92</v>
      </c>
      <c r="E66" t="s">
        <v>93</v>
      </c>
      <c r="F66">
        <v>342.5</v>
      </c>
      <c r="G66">
        <v>343.5</v>
      </c>
      <c r="H66">
        <v>346</v>
      </c>
      <c r="I66">
        <v>336.1</v>
      </c>
      <c r="J66" s="1">
        <v>339.95</v>
      </c>
      <c r="K66">
        <v>840777393.39999998</v>
      </c>
      <c r="L66">
        <v>2470956</v>
      </c>
      <c r="M66" t="s">
        <v>16</v>
      </c>
      <c r="N66" t="s">
        <v>17</v>
      </c>
      <c r="O66">
        <v>46180</v>
      </c>
      <c r="P66">
        <v>399</v>
      </c>
      <c r="Q66">
        <v>276.85000000000002</v>
      </c>
    </row>
    <row r="67" spans="2:17" x14ac:dyDescent="0.25">
      <c r="B67" t="s">
        <v>78</v>
      </c>
      <c r="C67" t="s">
        <v>79</v>
      </c>
      <c r="D67" t="s">
        <v>94</v>
      </c>
      <c r="E67" t="s">
        <v>95</v>
      </c>
      <c r="F67">
        <v>349.25</v>
      </c>
      <c r="G67">
        <v>351.3</v>
      </c>
      <c r="H67">
        <v>353.4</v>
      </c>
      <c r="I67">
        <v>346.7</v>
      </c>
      <c r="J67" s="1">
        <v>351</v>
      </c>
      <c r="K67">
        <v>1262182629.05</v>
      </c>
      <c r="L67">
        <v>3602823</v>
      </c>
      <c r="M67" t="s">
        <v>16</v>
      </c>
      <c r="N67" t="s">
        <v>17</v>
      </c>
      <c r="O67">
        <v>48120</v>
      </c>
      <c r="P67">
        <v>421.7</v>
      </c>
      <c r="Q67">
        <v>238.55</v>
      </c>
    </row>
    <row r="68" spans="2:17" x14ac:dyDescent="0.25">
      <c r="B68" t="s">
        <v>78</v>
      </c>
      <c r="C68" t="s">
        <v>79</v>
      </c>
      <c r="D68" t="s">
        <v>96</v>
      </c>
      <c r="E68" t="s">
        <v>97</v>
      </c>
      <c r="F68">
        <v>2820.85</v>
      </c>
      <c r="G68">
        <v>2836.35</v>
      </c>
      <c r="H68">
        <v>2836.65</v>
      </c>
      <c r="I68">
        <v>2712.1</v>
      </c>
      <c r="J68" s="1">
        <v>2749.15</v>
      </c>
      <c r="K68">
        <v>1116940526.05</v>
      </c>
      <c r="L68">
        <v>403725</v>
      </c>
      <c r="M68" t="s">
        <v>16</v>
      </c>
      <c r="N68" t="s">
        <v>17</v>
      </c>
      <c r="O68">
        <v>35545</v>
      </c>
      <c r="P68">
        <v>6934.35</v>
      </c>
      <c r="Q68">
        <v>2615.85</v>
      </c>
    </row>
    <row r="69" spans="2:17" x14ac:dyDescent="0.25">
      <c r="B69" t="s">
        <v>78</v>
      </c>
      <c r="C69" t="s">
        <v>79</v>
      </c>
      <c r="D69" t="s">
        <v>98</v>
      </c>
      <c r="E69" t="s">
        <v>99</v>
      </c>
      <c r="F69">
        <v>547</v>
      </c>
      <c r="G69">
        <v>550.79999999999995</v>
      </c>
      <c r="H69">
        <v>552</v>
      </c>
      <c r="I69">
        <v>535.5</v>
      </c>
      <c r="J69" s="1">
        <v>536.70000000000005</v>
      </c>
      <c r="K69">
        <v>423555775.05000001</v>
      </c>
      <c r="L69">
        <v>783708</v>
      </c>
      <c r="M69" t="s">
        <v>16</v>
      </c>
      <c r="N69" t="s">
        <v>17</v>
      </c>
      <c r="O69">
        <v>24768</v>
      </c>
      <c r="P69">
        <v>678.45</v>
      </c>
      <c r="Q69">
        <v>483.75</v>
      </c>
    </row>
    <row r="70" spans="2:17" x14ac:dyDescent="0.25">
      <c r="B70" t="s">
        <v>78</v>
      </c>
      <c r="C70" t="s">
        <v>79</v>
      </c>
      <c r="D70" t="s">
        <v>100</v>
      </c>
      <c r="E70" t="s">
        <v>101</v>
      </c>
      <c r="F70">
        <v>220.3</v>
      </c>
      <c r="G70">
        <v>222</v>
      </c>
      <c r="H70">
        <v>224.05</v>
      </c>
      <c r="I70">
        <v>217.4</v>
      </c>
      <c r="J70" s="1">
        <v>221.9</v>
      </c>
      <c r="K70">
        <v>4215697325.6500001</v>
      </c>
      <c r="L70">
        <v>19100281</v>
      </c>
      <c r="M70" t="s">
        <v>16</v>
      </c>
      <c r="N70" t="s">
        <v>17</v>
      </c>
      <c r="O70">
        <v>123138</v>
      </c>
      <c r="P70">
        <v>299.75</v>
      </c>
      <c r="Q70">
        <v>211.4</v>
      </c>
    </row>
    <row r="71" spans="2:17" x14ac:dyDescent="0.25">
      <c r="B71" t="s">
        <v>78</v>
      </c>
      <c r="C71" t="s">
        <v>79</v>
      </c>
      <c r="D71" t="s">
        <v>104</v>
      </c>
      <c r="E71" t="s">
        <v>105</v>
      </c>
      <c r="F71">
        <v>2655.55</v>
      </c>
      <c r="G71">
        <v>2659.95</v>
      </c>
      <c r="H71">
        <v>2680</v>
      </c>
      <c r="I71">
        <v>2604.0500000000002</v>
      </c>
      <c r="J71" s="1">
        <v>2613.15</v>
      </c>
      <c r="K71">
        <v>1232571689.55</v>
      </c>
      <c r="L71">
        <v>468248</v>
      </c>
      <c r="M71" t="s">
        <v>16</v>
      </c>
      <c r="N71" t="s">
        <v>17</v>
      </c>
      <c r="O71">
        <v>35995</v>
      </c>
      <c r="P71">
        <v>2964</v>
      </c>
      <c r="Q71">
        <v>1872.95</v>
      </c>
    </row>
    <row r="72" spans="2:17" x14ac:dyDescent="0.25">
      <c r="B72" t="s">
        <v>78</v>
      </c>
      <c r="C72" t="s">
        <v>79</v>
      </c>
      <c r="D72" t="s">
        <v>106</v>
      </c>
      <c r="E72" t="s">
        <v>107</v>
      </c>
      <c r="F72">
        <v>18406</v>
      </c>
      <c r="G72">
        <v>18527</v>
      </c>
      <c r="H72">
        <v>18540</v>
      </c>
      <c r="I72">
        <v>17500</v>
      </c>
      <c r="J72" s="1">
        <v>17664</v>
      </c>
      <c r="K72">
        <v>3293788822.1999998</v>
      </c>
      <c r="L72">
        <v>184141</v>
      </c>
      <c r="M72" t="s">
        <v>16</v>
      </c>
      <c r="N72" t="s">
        <v>17</v>
      </c>
      <c r="O72">
        <v>48588</v>
      </c>
      <c r="P72">
        <v>29800</v>
      </c>
      <c r="Q72">
        <v>17500</v>
      </c>
    </row>
    <row r="73" spans="2:17" x14ac:dyDescent="0.25">
      <c r="B73" t="s">
        <v>78</v>
      </c>
      <c r="C73" t="s">
        <v>79</v>
      </c>
      <c r="D73" t="s">
        <v>108</v>
      </c>
      <c r="E73" t="s">
        <v>109</v>
      </c>
      <c r="F73">
        <v>141.94999999999999</v>
      </c>
      <c r="G73">
        <v>142.94999999999999</v>
      </c>
      <c r="H73">
        <v>142.94999999999999</v>
      </c>
      <c r="I73">
        <v>137.1</v>
      </c>
      <c r="J73" s="1">
        <v>137.6</v>
      </c>
      <c r="K73">
        <v>1309009010.75</v>
      </c>
      <c r="L73">
        <v>9436240</v>
      </c>
      <c r="M73" t="s">
        <v>16</v>
      </c>
      <c r="N73" t="s">
        <v>17</v>
      </c>
      <c r="O73">
        <v>67722</v>
      </c>
      <c r="P73">
        <v>399.4</v>
      </c>
      <c r="Q73">
        <v>137.1</v>
      </c>
    </row>
    <row r="74" spans="2:17" x14ac:dyDescent="0.25">
      <c r="B74" t="s">
        <v>78</v>
      </c>
      <c r="C74" t="s">
        <v>79</v>
      </c>
      <c r="D74" t="s">
        <v>110</v>
      </c>
      <c r="E74" t="s">
        <v>111</v>
      </c>
      <c r="F74">
        <v>907.7</v>
      </c>
      <c r="G74">
        <v>915</v>
      </c>
      <c r="H74">
        <v>925</v>
      </c>
      <c r="I74">
        <v>875</v>
      </c>
      <c r="J74" s="1">
        <v>879.95</v>
      </c>
      <c r="K74">
        <v>1100820066.25</v>
      </c>
      <c r="L74">
        <v>1232651</v>
      </c>
      <c r="M74" t="s">
        <v>16</v>
      </c>
      <c r="N74" t="s">
        <v>17</v>
      </c>
      <c r="O74">
        <v>31616</v>
      </c>
      <c r="P74">
        <v>1093</v>
      </c>
      <c r="Q74">
        <v>689.1</v>
      </c>
    </row>
    <row r="75" spans="2:17" x14ac:dyDescent="0.25">
      <c r="B75" t="s">
        <v>78</v>
      </c>
      <c r="C75" t="s">
        <v>79</v>
      </c>
      <c r="D75" t="s">
        <v>112</v>
      </c>
      <c r="E75" t="s">
        <v>113</v>
      </c>
      <c r="F75">
        <v>1018.55</v>
      </c>
      <c r="G75">
        <v>1024</v>
      </c>
      <c r="H75">
        <v>1030.8</v>
      </c>
      <c r="I75">
        <v>1009.2</v>
      </c>
      <c r="J75" s="1">
        <v>1015.6</v>
      </c>
      <c r="K75">
        <v>1088169619.8499999</v>
      </c>
      <c r="L75">
        <v>1069812</v>
      </c>
      <c r="M75" t="s">
        <v>16</v>
      </c>
      <c r="N75" t="s">
        <v>17</v>
      </c>
      <c r="O75">
        <v>66663</v>
      </c>
      <c r="P75">
        <v>1187.5999999999999</v>
      </c>
      <c r="Q75">
        <v>920</v>
      </c>
    </row>
    <row r="76" spans="2:17" x14ac:dyDescent="0.25">
      <c r="B76" t="s">
        <v>78</v>
      </c>
      <c r="C76" t="s">
        <v>79</v>
      </c>
      <c r="D76" t="s">
        <v>114</v>
      </c>
      <c r="E76" t="s">
        <v>115</v>
      </c>
      <c r="F76">
        <v>2345.15</v>
      </c>
      <c r="G76">
        <v>2332</v>
      </c>
      <c r="H76">
        <v>2339</v>
      </c>
      <c r="I76">
        <v>2292.8000000000002</v>
      </c>
      <c r="J76" s="1">
        <v>2303.5500000000002</v>
      </c>
      <c r="K76">
        <v>8283875882.8000002</v>
      </c>
      <c r="L76">
        <v>3581265</v>
      </c>
      <c r="M76" t="s">
        <v>16</v>
      </c>
      <c r="N76" t="s">
        <v>183</v>
      </c>
      <c r="O76">
        <v>230108</v>
      </c>
      <c r="P76">
        <v>2357.85</v>
      </c>
      <c r="Q76">
        <v>1644.5</v>
      </c>
    </row>
    <row r="77" spans="2:17" x14ac:dyDescent="0.25">
      <c r="B77" t="s">
        <v>78</v>
      </c>
      <c r="C77" t="s">
        <v>79</v>
      </c>
      <c r="D77" t="s">
        <v>116</v>
      </c>
      <c r="E77" t="s">
        <v>117</v>
      </c>
      <c r="F77">
        <v>2411.9</v>
      </c>
      <c r="G77">
        <v>2415</v>
      </c>
      <c r="H77">
        <v>2420.6999999999998</v>
      </c>
      <c r="I77">
        <v>2367</v>
      </c>
      <c r="J77" s="1">
        <v>2375.65</v>
      </c>
      <c r="K77">
        <v>5336417925.6999998</v>
      </c>
      <c r="L77">
        <v>2234807</v>
      </c>
      <c r="M77" t="s">
        <v>16</v>
      </c>
      <c r="N77" t="s">
        <v>17</v>
      </c>
      <c r="O77">
        <v>139292</v>
      </c>
      <c r="P77">
        <v>2503.3000000000002</v>
      </c>
      <c r="Q77">
        <v>1885</v>
      </c>
    </row>
    <row r="78" spans="2:17" x14ac:dyDescent="0.25">
      <c r="B78" t="s">
        <v>78</v>
      </c>
      <c r="C78" t="s">
        <v>79</v>
      </c>
      <c r="D78" t="s">
        <v>120</v>
      </c>
      <c r="E78" t="s">
        <v>121</v>
      </c>
      <c r="F78">
        <v>2479.4499999999998</v>
      </c>
      <c r="G78">
        <v>2480.0500000000002</v>
      </c>
      <c r="H78">
        <v>2507.35</v>
      </c>
      <c r="I78">
        <v>2378.9499999999998</v>
      </c>
      <c r="J78" s="1">
        <v>2387.4</v>
      </c>
      <c r="K78">
        <v>2570454441.0500002</v>
      </c>
      <c r="L78">
        <v>1059276</v>
      </c>
      <c r="M78" t="s">
        <v>16</v>
      </c>
      <c r="N78" t="s">
        <v>17</v>
      </c>
      <c r="O78">
        <v>59400</v>
      </c>
      <c r="P78">
        <v>3515</v>
      </c>
      <c r="Q78">
        <v>2360</v>
      </c>
    </row>
    <row r="79" spans="2:17" x14ac:dyDescent="0.25">
      <c r="B79" t="s">
        <v>78</v>
      </c>
      <c r="C79" t="s">
        <v>79</v>
      </c>
      <c r="D79" t="s">
        <v>122</v>
      </c>
      <c r="E79" t="s">
        <v>123</v>
      </c>
      <c r="F79">
        <v>200.55</v>
      </c>
      <c r="G79">
        <v>202</v>
      </c>
      <c r="H79">
        <v>203.7</v>
      </c>
      <c r="I79">
        <v>195</v>
      </c>
      <c r="J79" s="1">
        <v>196</v>
      </c>
      <c r="K79">
        <v>1338480857.9000001</v>
      </c>
      <c r="L79">
        <v>6741873</v>
      </c>
      <c r="M79" t="s">
        <v>16</v>
      </c>
      <c r="N79" t="s">
        <v>17</v>
      </c>
      <c r="O79">
        <v>60079</v>
      </c>
      <c r="P79">
        <v>259.75</v>
      </c>
      <c r="Q79">
        <v>182.2</v>
      </c>
    </row>
    <row r="80" spans="2:17" x14ac:dyDescent="0.25">
      <c r="B80" t="s">
        <v>78</v>
      </c>
      <c r="C80" t="s">
        <v>79</v>
      </c>
      <c r="D80" t="s">
        <v>124</v>
      </c>
      <c r="E80" t="s">
        <v>125</v>
      </c>
      <c r="F80">
        <v>1739.15</v>
      </c>
      <c r="G80">
        <v>1748</v>
      </c>
      <c r="H80">
        <v>1761.95</v>
      </c>
      <c r="I80">
        <v>1709.15</v>
      </c>
      <c r="J80" s="1">
        <v>1720.4</v>
      </c>
      <c r="K80">
        <v>1704240250.3499999</v>
      </c>
      <c r="L80">
        <v>983217</v>
      </c>
      <c r="M80" t="s">
        <v>16</v>
      </c>
      <c r="N80" t="s">
        <v>17</v>
      </c>
      <c r="O80">
        <v>45539</v>
      </c>
      <c r="P80">
        <v>1869.5</v>
      </c>
      <c r="Q80">
        <v>1477.2</v>
      </c>
    </row>
    <row r="81" spans="2:17" x14ac:dyDescent="0.25">
      <c r="B81" t="s">
        <v>78</v>
      </c>
      <c r="C81" t="s">
        <v>79</v>
      </c>
      <c r="D81" t="s">
        <v>1292</v>
      </c>
      <c r="E81" t="s">
        <v>1293</v>
      </c>
      <c r="F81">
        <v>659.1</v>
      </c>
      <c r="G81">
        <v>662.1</v>
      </c>
      <c r="H81">
        <v>671.4</v>
      </c>
      <c r="I81">
        <v>631.5</v>
      </c>
      <c r="J81" s="1">
        <v>634.95000000000005</v>
      </c>
      <c r="K81">
        <v>5790889019.75</v>
      </c>
      <c r="L81">
        <v>8904510</v>
      </c>
      <c r="M81" t="s">
        <v>16</v>
      </c>
      <c r="N81" t="s">
        <v>17</v>
      </c>
      <c r="O81">
        <v>173429</v>
      </c>
      <c r="P81">
        <v>1397</v>
      </c>
      <c r="Q81">
        <v>487.85</v>
      </c>
    </row>
    <row r="82" spans="2:17" x14ac:dyDescent="0.25">
      <c r="B82" t="s">
        <v>78</v>
      </c>
      <c r="C82" t="s">
        <v>79</v>
      </c>
      <c r="D82" t="s">
        <v>126</v>
      </c>
      <c r="E82" t="s">
        <v>127</v>
      </c>
      <c r="F82">
        <v>418.65</v>
      </c>
      <c r="G82">
        <v>419.9</v>
      </c>
      <c r="H82">
        <v>420.35</v>
      </c>
      <c r="I82">
        <v>408.5</v>
      </c>
      <c r="J82" s="1">
        <v>410.3</v>
      </c>
      <c r="K82">
        <v>5065177929.3000002</v>
      </c>
      <c r="L82">
        <v>12260757</v>
      </c>
      <c r="M82" t="s">
        <v>16</v>
      </c>
      <c r="N82" t="s">
        <v>17</v>
      </c>
      <c r="O82">
        <v>192447</v>
      </c>
      <c r="P82">
        <v>443.9</v>
      </c>
      <c r="Q82">
        <v>256.5</v>
      </c>
    </row>
    <row r="83" spans="2:17" x14ac:dyDescent="0.25">
      <c r="B83" t="s">
        <v>78</v>
      </c>
      <c r="C83" t="s">
        <v>79</v>
      </c>
      <c r="D83" t="s">
        <v>128</v>
      </c>
      <c r="E83" t="s">
        <v>129</v>
      </c>
      <c r="F83">
        <v>1471.45</v>
      </c>
      <c r="G83">
        <v>1480</v>
      </c>
      <c r="H83">
        <v>1488.7</v>
      </c>
      <c r="I83">
        <v>1407.2</v>
      </c>
      <c r="J83" s="1">
        <v>1422.15</v>
      </c>
      <c r="K83">
        <v>6746391429.25</v>
      </c>
      <c r="L83">
        <v>4698852</v>
      </c>
      <c r="M83" t="s">
        <v>16</v>
      </c>
      <c r="N83" t="s">
        <v>17</v>
      </c>
      <c r="O83">
        <v>138219</v>
      </c>
      <c r="P83">
        <v>2038</v>
      </c>
      <c r="Q83">
        <v>1333.15</v>
      </c>
    </row>
    <row r="84" spans="2:17" x14ac:dyDescent="0.25">
      <c r="B84" t="s">
        <v>78</v>
      </c>
      <c r="C84" t="s">
        <v>79</v>
      </c>
      <c r="D84" t="s">
        <v>6827</v>
      </c>
      <c r="E84" t="s">
        <v>6826</v>
      </c>
      <c r="F84">
        <v>263.14999999999998</v>
      </c>
      <c r="G84">
        <v>264</v>
      </c>
      <c r="H84">
        <v>266.85000000000002</v>
      </c>
      <c r="I84">
        <v>257.2</v>
      </c>
      <c r="J84" s="1">
        <v>259.5</v>
      </c>
      <c r="K84">
        <v>376908844.55000001</v>
      </c>
      <c r="L84">
        <v>1446163</v>
      </c>
      <c r="M84" t="s">
        <v>16</v>
      </c>
      <c r="N84" t="s">
        <v>17</v>
      </c>
      <c r="O84">
        <v>41399</v>
      </c>
      <c r="P84">
        <v>335</v>
      </c>
      <c r="Q84">
        <v>242.25</v>
      </c>
    </row>
    <row r="85" spans="2:17" x14ac:dyDescent="0.25">
      <c r="B85" t="s">
        <v>78</v>
      </c>
      <c r="C85" t="s">
        <v>79</v>
      </c>
      <c r="D85" t="s">
        <v>130</v>
      </c>
      <c r="E85" t="s">
        <v>131</v>
      </c>
      <c r="F85">
        <v>792.7</v>
      </c>
      <c r="G85">
        <v>788.7</v>
      </c>
      <c r="H85">
        <v>794.5</v>
      </c>
      <c r="I85">
        <v>781.25</v>
      </c>
      <c r="J85" s="1">
        <v>785.4</v>
      </c>
      <c r="K85">
        <v>5358405148.4499998</v>
      </c>
      <c r="L85">
        <v>6812754</v>
      </c>
      <c r="M85" t="s">
        <v>16</v>
      </c>
      <c r="N85" t="s">
        <v>17</v>
      </c>
      <c r="O85">
        <v>96268</v>
      </c>
      <c r="P85">
        <v>1467.9</v>
      </c>
      <c r="Q85">
        <v>599.85</v>
      </c>
    </row>
    <row r="86" spans="2:17" x14ac:dyDescent="0.25">
      <c r="B86" t="s">
        <v>78</v>
      </c>
      <c r="C86" t="s">
        <v>79</v>
      </c>
      <c r="D86" t="s">
        <v>132</v>
      </c>
      <c r="E86" t="s">
        <v>133</v>
      </c>
      <c r="F86">
        <v>147.6</v>
      </c>
      <c r="G86">
        <v>148.6</v>
      </c>
      <c r="H86">
        <v>149.94999999999999</v>
      </c>
      <c r="I86">
        <v>144.6</v>
      </c>
      <c r="J86" s="1">
        <v>146.5</v>
      </c>
      <c r="K86">
        <v>2059020165.95</v>
      </c>
      <c r="L86">
        <v>14030710</v>
      </c>
      <c r="M86" t="s">
        <v>16</v>
      </c>
      <c r="N86" t="s">
        <v>17</v>
      </c>
      <c r="O86">
        <v>83416</v>
      </c>
      <c r="P86">
        <v>171.8</v>
      </c>
      <c r="Q86">
        <v>105.25</v>
      </c>
    </row>
    <row r="87" spans="2:17" x14ac:dyDescent="0.25">
      <c r="B87" t="s">
        <v>78</v>
      </c>
      <c r="C87" t="s">
        <v>79</v>
      </c>
      <c r="D87" t="s">
        <v>134</v>
      </c>
      <c r="E87" t="s">
        <v>135</v>
      </c>
      <c r="F87">
        <v>273</v>
      </c>
      <c r="G87">
        <v>274.10000000000002</v>
      </c>
      <c r="H87">
        <v>274.25</v>
      </c>
      <c r="I87">
        <v>268</v>
      </c>
      <c r="J87" s="1">
        <v>268.3</v>
      </c>
      <c r="K87">
        <v>2154470437.0999999</v>
      </c>
      <c r="L87">
        <v>7986847</v>
      </c>
      <c r="M87" t="s">
        <v>16</v>
      </c>
      <c r="N87" t="s">
        <v>17</v>
      </c>
      <c r="O87">
        <v>88555</v>
      </c>
      <c r="P87">
        <v>322.95</v>
      </c>
      <c r="Q87">
        <v>263.64999999999998</v>
      </c>
    </row>
    <row r="88" spans="2:17" x14ac:dyDescent="0.25">
      <c r="B88" t="s">
        <v>78</v>
      </c>
      <c r="C88" t="s">
        <v>79</v>
      </c>
      <c r="D88" t="s">
        <v>136</v>
      </c>
      <c r="E88" t="s">
        <v>137</v>
      </c>
      <c r="F88">
        <v>266.10000000000002</v>
      </c>
      <c r="G88">
        <v>267.3</v>
      </c>
      <c r="H88">
        <v>269.2</v>
      </c>
      <c r="I88">
        <v>258.2</v>
      </c>
      <c r="J88" s="1">
        <v>259.05</v>
      </c>
      <c r="K88">
        <v>1006314519</v>
      </c>
      <c r="L88">
        <v>3828583</v>
      </c>
      <c r="M88" t="s">
        <v>16</v>
      </c>
      <c r="N88" t="s">
        <v>17</v>
      </c>
      <c r="O88">
        <v>35901</v>
      </c>
      <c r="P88">
        <v>427.55</v>
      </c>
      <c r="Q88">
        <v>252</v>
      </c>
    </row>
    <row r="89" spans="2:17" x14ac:dyDescent="0.25">
      <c r="B89" t="s">
        <v>78</v>
      </c>
      <c r="C89" t="s">
        <v>79</v>
      </c>
      <c r="D89" t="s">
        <v>138</v>
      </c>
      <c r="E89" t="s">
        <v>139</v>
      </c>
      <c r="F89">
        <v>1538.25</v>
      </c>
      <c r="G89">
        <v>1540</v>
      </c>
      <c r="H89">
        <v>1540.75</v>
      </c>
      <c r="I89">
        <v>1490</v>
      </c>
      <c r="J89" s="1">
        <v>1498.9</v>
      </c>
      <c r="K89">
        <v>3167975147.5999999</v>
      </c>
      <c r="L89">
        <v>2094229</v>
      </c>
      <c r="M89" t="s">
        <v>16</v>
      </c>
      <c r="N89" t="s">
        <v>17</v>
      </c>
      <c r="O89">
        <v>72615</v>
      </c>
      <c r="P89">
        <v>1555.9</v>
      </c>
      <c r="Q89">
        <v>1002.2</v>
      </c>
    </row>
    <row r="90" spans="2:17" x14ac:dyDescent="0.25">
      <c r="B90" t="s">
        <v>78</v>
      </c>
      <c r="C90" t="s">
        <v>79</v>
      </c>
      <c r="D90" t="s">
        <v>140</v>
      </c>
      <c r="E90" t="s">
        <v>141</v>
      </c>
      <c r="F90">
        <v>1435.2</v>
      </c>
      <c r="G90">
        <v>1446.4</v>
      </c>
      <c r="H90">
        <v>1446.8</v>
      </c>
      <c r="I90">
        <v>1402.1</v>
      </c>
      <c r="J90" s="1">
        <v>1411.55</v>
      </c>
      <c r="K90">
        <v>4531181276.25</v>
      </c>
      <c r="L90">
        <v>3199700</v>
      </c>
      <c r="M90" t="s">
        <v>16</v>
      </c>
      <c r="N90" t="s">
        <v>17</v>
      </c>
      <c r="O90">
        <v>145535</v>
      </c>
      <c r="P90">
        <v>1607</v>
      </c>
      <c r="Q90">
        <v>1182.5</v>
      </c>
    </row>
    <row r="91" spans="2:17" x14ac:dyDescent="0.25">
      <c r="B91" t="s">
        <v>78</v>
      </c>
      <c r="C91" t="s">
        <v>79</v>
      </c>
      <c r="D91" t="s">
        <v>142</v>
      </c>
      <c r="E91" t="s">
        <v>143</v>
      </c>
      <c r="F91">
        <v>597.4</v>
      </c>
      <c r="G91">
        <v>601.15</v>
      </c>
      <c r="H91">
        <v>601.5</v>
      </c>
      <c r="I91">
        <v>570</v>
      </c>
      <c r="J91" s="1">
        <v>571.29999999999995</v>
      </c>
      <c r="K91">
        <v>3655511612.6500001</v>
      </c>
      <c r="L91">
        <v>6294798</v>
      </c>
      <c r="M91" t="s">
        <v>16</v>
      </c>
      <c r="N91" t="s">
        <v>17</v>
      </c>
      <c r="O91">
        <v>135956</v>
      </c>
      <c r="P91">
        <v>993</v>
      </c>
      <c r="Q91">
        <v>570</v>
      </c>
    </row>
    <row r="92" spans="2:17" x14ac:dyDescent="0.25">
      <c r="B92" t="s">
        <v>78</v>
      </c>
      <c r="C92" t="s">
        <v>79</v>
      </c>
      <c r="D92" t="s">
        <v>144</v>
      </c>
      <c r="E92" t="s">
        <v>145</v>
      </c>
      <c r="F92">
        <v>5882.35</v>
      </c>
      <c r="G92">
        <v>5885</v>
      </c>
      <c r="H92">
        <v>5910.95</v>
      </c>
      <c r="I92">
        <v>5710.1</v>
      </c>
      <c r="J92" s="1">
        <v>5769.1</v>
      </c>
      <c r="K92">
        <v>7115441159.25</v>
      </c>
      <c r="L92">
        <v>1228672</v>
      </c>
      <c r="M92" t="s">
        <v>16</v>
      </c>
      <c r="N92" t="s">
        <v>17</v>
      </c>
      <c r="O92">
        <v>145071</v>
      </c>
      <c r="P92">
        <v>9929</v>
      </c>
      <c r="Q92">
        <v>5710.1</v>
      </c>
    </row>
    <row r="93" spans="2:17" x14ac:dyDescent="0.25">
      <c r="B93" t="s">
        <v>78</v>
      </c>
      <c r="C93" t="s">
        <v>79</v>
      </c>
      <c r="D93" t="s">
        <v>148</v>
      </c>
      <c r="E93" t="s">
        <v>149</v>
      </c>
      <c r="F93">
        <v>127.05</v>
      </c>
      <c r="G93">
        <v>127.95</v>
      </c>
      <c r="H93">
        <v>131</v>
      </c>
      <c r="I93">
        <v>126.05</v>
      </c>
      <c r="J93" s="1">
        <v>129.9</v>
      </c>
      <c r="K93">
        <v>4368266437.3999996</v>
      </c>
      <c r="L93">
        <v>33840376</v>
      </c>
      <c r="M93" t="s">
        <v>16</v>
      </c>
      <c r="N93" t="s">
        <v>17</v>
      </c>
      <c r="O93">
        <v>137353</v>
      </c>
      <c r="P93">
        <v>175.4</v>
      </c>
      <c r="Q93">
        <v>122.4</v>
      </c>
    </row>
    <row r="94" spans="2:17" x14ac:dyDescent="0.25">
      <c r="B94" t="s">
        <v>78</v>
      </c>
      <c r="C94" t="s">
        <v>79</v>
      </c>
      <c r="D94" t="s">
        <v>150</v>
      </c>
      <c r="E94" t="s">
        <v>151</v>
      </c>
      <c r="F94">
        <v>143.4</v>
      </c>
      <c r="G94">
        <v>144.5</v>
      </c>
      <c r="H94">
        <v>145.80000000000001</v>
      </c>
      <c r="I94">
        <v>140.4</v>
      </c>
      <c r="J94" s="1">
        <v>143.9</v>
      </c>
      <c r="K94">
        <v>3674217503.8499999</v>
      </c>
      <c r="L94">
        <v>25660025</v>
      </c>
      <c r="M94" t="s">
        <v>16</v>
      </c>
      <c r="N94" t="s">
        <v>17</v>
      </c>
      <c r="O94">
        <v>125488</v>
      </c>
      <c r="P94">
        <v>185.4</v>
      </c>
      <c r="Q94">
        <v>127.6</v>
      </c>
    </row>
    <row r="95" spans="2:17" x14ac:dyDescent="0.25">
      <c r="B95" t="s">
        <v>78</v>
      </c>
      <c r="C95" t="s">
        <v>79</v>
      </c>
      <c r="D95" t="s">
        <v>152</v>
      </c>
      <c r="E95" t="s">
        <v>153</v>
      </c>
      <c r="F95">
        <v>205.35</v>
      </c>
      <c r="G95">
        <v>205.8</v>
      </c>
      <c r="H95">
        <v>207.65</v>
      </c>
      <c r="I95">
        <v>202.8</v>
      </c>
      <c r="J95" s="1">
        <v>205.7</v>
      </c>
      <c r="K95">
        <v>1256709816.55</v>
      </c>
      <c r="L95">
        <v>6113900</v>
      </c>
      <c r="M95" t="s">
        <v>16</v>
      </c>
      <c r="N95" t="s">
        <v>17</v>
      </c>
      <c r="O95">
        <v>73825</v>
      </c>
      <c r="P95">
        <v>212</v>
      </c>
      <c r="Q95">
        <v>172.5</v>
      </c>
    </row>
    <row r="96" spans="2:17" x14ac:dyDescent="0.25">
      <c r="B96" t="s">
        <v>78</v>
      </c>
      <c r="C96" t="s">
        <v>79</v>
      </c>
      <c r="D96" t="s">
        <v>154</v>
      </c>
      <c r="E96" t="s">
        <v>155</v>
      </c>
      <c r="F96">
        <v>1261.8499999999999</v>
      </c>
      <c r="G96">
        <v>1268.2</v>
      </c>
      <c r="H96">
        <v>1272.95</v>
      </c>
      <c r="I96">
        <v>1242.7</v>
      </c>
      <c r="J96" s="1">
        <v>1249</v>
      </c>
      <c r="K96">
        <v>9386768752.3999996</v>
      </c>
      <c r="L96">
        <v>7468515</v>
      </c>
      <c r="M96" t="s">
        <v>16</v>
      </c>
      <c r="N96" t="s">
        <v>17</v>
      </c>
      <c r="O96">
        <v>218081</v>
      </c>
      <c r="P96">
        <v>1417.5</v>
      </c>
      <c r="Q96">
        <v>1016.4</v>
      </c>
    </row>
    <row r="97" spans="2:17" x14ac:dyDescent="0.25">
      <c r="B97" t="s">
        <v>78</v>
      </c>
      <c r="C97" t="s">
        <v>79</v>
      </c>
      <c r="D97" t="s">
        <v>158</v>
      </c>
      <c r="E97" t="s">
        <v>159</v>
      </c>
      <c r="F97">
        <v>363.65</v>
      </c>
      <c r="G97">
        <v>365.1</v>
      </c>
      <c r="H97">
        <v>366.05</v>
      </c>
      <c r="I97">
        <v>355.15</v>
      </c>
      <c r="J97" s="1">
        <v>356</v>
      </c>
      <c r="K97">
        <v>7968623078.1999998</v>
      </c>
      <c r="L97">
        <v>22213173</v>
      </c>
      <c r="M97" t="s">
        <v>16</v>
      </c>
      <c r="N97" t="s">
        <v>17</v>
      </c>
      <c r="O97">
        <v>164373</v>
      </c>
      <c r="P97">
        <v>373.8</v>
      </c>
      <c r="Q97">
        <v>247.4</v>
      </c>
    </row>
    <row r="98" spans="2:17" x14ac:dyDescent="0.25">
      <c r="B98" t="s">
        <v>78</v>
      </c>
      <c r="C98" t="s">
        <v>79</v>
      </c>
      <c r="D98" t="s">
        <v>162</v>
      </c>
      <c r="E98" t="s">
        <v>163</v>
      </c>
      <c r="F98">
        <v>426.2</v>
      </c>
      <c r="G98">
        <v>427</v>
      </c>
      <c r="H98">
        <v>429.4</v>
      </c>
      <c r="I98">
        <v>416.05</v>
      </c>
      <c r="J98" s="1">
        <v>421.35</v>
      </c>
      <c r="K98">
        <v>2152645630.1500001</v>
      </c>
      <c r="L98">
        <v>5104476</v>
      </c>
      <c r="M98" t="s">
        <v>16</v>
      </c>
      <c r="N98" t="s">
        <v>17</v>
      </c>
      <c r="O98">
        <v>75455</v>
      </c>
      <c r="P98">
        <v>679.3</v>
      </c>
      <c r="Q98">
        <v>344.55</v>
      </c>
    </row>
    <row r="99" spans="2:17" x14ac:dyDescent="0.25">
      <c r="B99" t="s">
        <v>78</v>
      </c>
      <c r="C99" t="s">
        <v>79</v>
      </c>
      <c r="D99" t="s">
        <v>164</v>
      </c>
      <c r="E99" t="s">
        <v>165</v>
      </c>
      <c r="F99">
        <v>160.75</v>
      </c>
      <c r="G99">
        <v>161.44999999999999</v>
      </c>
      <c r="H99">
        <v>162.4</v>
      </c>
      <c r="I99">
        <v>153.85</v>
      </c>
      <c r="J99" s="1">
        <v>154.85</v>
      </c>
      <c r="K99">
        <v>2974687238.8000002</v>
      </c>
      <c r="L99">
        <v>18954216</v>
      </c>
      <c r="M99" t="s">
        <v>16</v>
      </c>
      <c r="N99" t="s">
        <v>17</v>
      </c>
      <c r="O99">
        <v>105612</v>
      </c>
      <c r="P99">
        <v>282</v>
      </c>
      <c r="Q99">
        <v>129</v>
      </c>
    </row>
    <row r="100" spans="2:17" x14ac:dyDescent="0.25">
      <c r="B100" t="s">
        <v>78</v>
      </c>
      <c r="C100" t="s">
        <v>79</v>
      </c>
      <c r="D100" t="s">
        <v>166</v>
      </c>
      <c r="E100" t="s">
        <v>167</v>
      </c>
      <c r="F100">
        <v>466.6</v>
      </c>
      <c r="G100">
        <v>470</v>
      </c>
      <c r="H100">
        <v>473</v>
      </c>
      <c r="I100">
        <v>453.25</v>
      </c>
      <c r="J100" s="1">
        <v>458.05</v>
      </c>
      <c r="K100">
        <v>3366202226.9000001</v>
      </c>
      <c r="L100">
        <v>7284885</v>
      </c>
      <c r="M100" t="s">
        <v>16</v>
      </c>
      <c r="N100" t="s">
        <v>17</v>
      </c>
      <c r="O100">
        <v>90120</v>
      </c>
      <c r="P100">
        <v>647.6</v>
      </c>
      <c r="Q100">
        <v>441.35</v>
      </c>
    </row>
    <row r="101" spans="2:17" x14ac:dyDescent="0.25">
      <c r="B101" t="s">
        <v>78</v>
      </c>
      <c r="C101" t="s">
        <v>79</v>
      </c>
      <c r="D101" t="s">
        <v>168</v>
      </c>
      <c r="E101" t="s">
        <v>169</v>
      </c>
      <c r="F101">
        <v>2065.9499999999998</v>
      </c>
      <c r="G101">
        <v>2077</v>
      </c>
      <c r="H101">
        <v>2097</v>
      </c>
      <c r="I101">
        <v>2062.5</v>
      </c>
      <c r="J101" s="1">
        <v>2076.9499999999998</v>
      </c>
      <c r="K101">
        <v>4064152463.0999999</v>
      </c>
      <c r="L101">
        <v>1953177</v>
      </c>
      <c r="M101" t="s">
        <v>16</v>
      </c>
      <c r="N101" t="s">
        <v>17</v>
      </c>
      <c r="O101">
        <v>108418</v>
      </c>
      <c r="P101">
        <v>2292.5</v>
      </c>
      <c r="Q101">
        <v>1784.35</v>
      </c>
    </row>
    <row r="102" spans="2:17" x14ac:dyDescent="0.25">
      <c r="B102" t="s">
        <v>78</v>
      </c>
      <c r="C102" t="s">
        <v>79</v>
      </c>
      <c r="D102" t="s">
        <v>170</v>
      </c>
      <c r="E102" t="s">
        <v>171</v>
      </c>
      <c r="F102">
        <v>687.2</v>
      </c>
      <c r="G102">
        <v>687.2</v>
      </c>
      <c r="H102">
        <v>691.5</v>
      </c>
      <c r="I102">
        <v>664.4</v>
      </c>
      <c r="J102" s="1">
        <v>675.05</v>
      </c>
      <c r="K102">
        <v>1353302283.9000001</v>
      </c>
      <c r="L102">
        <v>2005513</v>
      </c>
      <c r="M102" t="s">
        <v>16</v>
      </c>
      <c r="N102" t="s">
        <v>17</v>
      </c>
      <c r="O102">
        <v>65173</v>
      </c>
      <c r="P102">
        <v>846.5</v>
      </c>
      <c r="Q102">
        <v>612.4</v>
      </c>
    </row>
    <row r="103" spans="2:17" x14ac:dyDescent="0.25">
      <c r="B103" t="s">
        <v>78</v>
      </c>
      <c r="C103" t="s">
        <v>79</v>
      </c>
      <c r="D103" t="s">
        <v>172</v>
      </c>
      <c r="E103" t="s">
        <v>173</v>
      </c>
      <c r="F103">
        <v>1080</v>
      </c>
      <c r="G103">
        <v>1090</v>
      </c>
      <c r="H103">
        <v>1103</v>
      </c>
      <c r="I103">
        <v>1077.95</v>
      </c>
      <c r="J103" s="1">
        <v>1091.05</v>
      </c>
      <c r="K103">
        <v>3602292859.9499998</v>
      </c>
      <c r="L103">
        <v>3302082</v>
      </c>
      <c r="M103" t="s">
        <v>16</v>
      </c>
      <c r="N103" t="s">
        <v>17</v>
      </c>
      <c r="O103">
        <v>91723</v>
      </c>
      <c r="P103">
        <v>1340.9</v>
      </c>
      <c r="Q103">
        <v>732.3</v>
      </c>
    </row>
    <row r="104" spans="2:17" x14ac:dyDescent="0.25">
      <c r="B104" t="s">
        <v>78</v>
      </c>
      <c r="C104" t="s">
        <v>79</v>
      </c>
      <c r="D104" t="s">
        <v>174</v>
      </c>
      <c r="E104" t="s">
        <v>175</v>
      </c>
      <c r="F104">
        <v>4601.75</v>
      </c>
      <c r="G104">
        <v>4655</v>
      </c>
      <c r="H104">
        <v>4710</v>
      </c>
      <c r="I104">
        <v>4490.1499999999996</v>
      </c>
      <c r="J104" s="1">
        <v>4522.95</v>
      </c>
      <c r="K104">
        <v>4234022253.0500002</v>
      </c>
      <c r="L104">
        <v>913097</v>
      </c>
      <c r="M104" t="s">
        <v>16</v>
      </c>
      <c r="N104" t="s">
        <v>17</v>
      </c>
      <c r="O104">
        <v>64771</v>
      </c>
      <c r="P104">
        <v>4904.95</v>
      </c>
      <c r="Q104">
        <v>3260.45</v>
      </c>
    </row>
    <row r="105" spans="2:17" x14ac:dyDescent="0.25">
      <c r="B105" t="s">
        <v>78</v>
      </c>
      <c r="C105" t="s">
        <v>79</v>
      </c>
      <c r="D105" t="s">
        <v>176</v>
      </c>
      <c r="E105" t="s">
        <v>177</v>
      </c>
      <c r="F105">
        <v>654.75</v>
      </c>
      <c r="G105">
        <v>655.1</v>
      </c>
      <c r="H105">
        <v>664.15</v>
      </c>
      <c r="I105">
        <v>630.5</v>
      </c>
      <c r="J105" s="1">
        <v>643.45000000000005</v>
      </c>
      <c r="K105">
        <v>2474068022.1500001</v>
      </c>
      <c r="L105">
        <v>3836625</v>
      </c>
      <c r="M105" t="s">
        <v>16</v>
      </c>
      <c r="N105" t="s">
        <v>17</v>
      </c>
      <c r="O105">
        <v>92658</v>
      </c>
      <c r="P105">
        <v>1043.75</v>
      </c>
      <c r="Q105">
        <v>537.25</v>
      </c>
    </row>
    <row r="106" spans="2:17" x14ac:dyDescent="0.25">
      <c r="B106" t="s">
        <v>78</v>
      </c>
      <c r="C106" t="s">
        <v>79</v>
      </c>
      <c r="D106" t="s">
        <v>2819</v>
      </c>
      <c r="E106" t="s">
        <v>2820</v>
      </c>
      <c r="F106">
        <v>163.05000000000001</v>
      </c>
      <c r="G106">
        <v>164.05</v>
      </c>
      <c r="H106">
        <v>165.85</v>
      </c>
      <c r="I106">
        <v>160.6</v>
      </c>
      <c r="J106" s="1">
        <v>161.25</v>
      </c>
      <c r="K106">
        <v>1135731745.25</v>
      </c>
      <c r="L106">
        <v>6974005</v>
      </c>
      <c r="M106" t="s">
        <v>16</v>
      </c>
      <c r="N106" t="s">
        <v>17</v>
      </c>
      <c r="O106">
        <v>47275</v>
      </c>
      <c r="P106">
        <v>246.9</v>
      </c>
      <c r="Q106">
        <v>145.80000000000001</v>
      </c>
    </row>
    <row r="107" spans="2:17" x14ac:dyDescent="0.25">
      <c r="B107" t="s">
        <v>78</v>
      </c>
      <c r="C107" t="s">
        <v>79</v>
      </c>
      <c r="D107" t="s">
        <v>178</v>
      </c>
      <c r="E107" t="s">
        <v>179</v>
      </c>
      <c r="F107">
        <v>269.10000000000002</v>
      </c>
      <c r="G107">
        <v>269.10000000000002</v>
      </c>
      <c r="H107">
        <v>269.64999999999998</v>
      </c>
      <c r="I107">
        <v>263.5</v>
      </c>
      <c r="J107" s="1">
        <v>264.7</v>
      </c>
      <c r="K107">
        <v>1123483931.9000001</v>
      </c>
      <c r="L107">
        <v>4229695</v>
      </c>
      <c r="M107" t="s">
        <v>16</v>
      </c>
      <c r="N107" t="s">
        <v>17</v>
      </c>
      <c r="O107">
        <v>48207</v>
      </c>
      <c r="P107">
        <v>388.95</v>
      </c>
      <c r="Q107">
        <v>253.4</v>
      </c>
    </row>
    <row r="108" spans="2:17" x14ac:dyDescent="0.25">
      <c r="B108" t="s">
        <v>78</v>
      </c>
      <c r="C108" t="s">
        <v>79</v>
      </c>
      <c r="D108" t="s">
        <v>2935</v>
      </c>
      <c r="E108" t="s">
        <v>2936</v>
      </c>
      <c r="F108">
        <v>85.8</v>
      </c>
      <c r="G108">
        <v>86</v>
      </c>
      <c r="H108">
        <v>86.9</v>
      </c>
      <c r="I108">
        <v>82.6</v>
      </c>
      <c r="J108" s="1">
        <v>83.25</v>
      </c>
      <c r="K108">
        <v>12359702339.799999</v>
      </c>
      <c r="L108">
        <v>145863654</v>
      </c>
      <c r="M108" t="s">
        <v>16</v>
      </c>
      <c r="N108" t="s">
        <v>17</v>
      </c>
      <c r="O108">
        <v>483706</v>
      </c>
      <c r="P108">
        <v>404</v>
      </c>
      <c r="Q108">
        <v>79.150000000000006</v>
      </c>
    </row>
    <row r="109" spans="2:17" x14ac:dyDescent="0.25">
      <c r="B109" t="s">
        <v>78</v>
      </c>
      <c r="C109" t="s">
        <v>79</v>
      </c>
      <c r="D109" t="s">
        <v>2937</v>
      </c>
      <c r="E109" t="s">
        <v>2938</v>
      </c>
      <c r="F109">
        <v>360.1</v>
      </c>
      <c r="G109">
        <v>361</v>
      </c>
      <c r="H109">
        <v>363.35</v>
      </c>
      <c r="I109">
        <v>343.8</v>
      </c>
      <c r="J109" s="1">
        <v>352.95</v>
      </c>
      <c r="K109">
        <v>3358952960.4499998</v>
      </c>
      <c r="L109">
        <v>9466701</v>
      </c>
      <c r="M109" t="s">
        <v>16</v>
      </c>
      <c r="N109" t="s">
        <v>17</v>
      </c>
      <c r="O109">
        <v>158655</v>
      </c>
      <c r="P109">
        <v>540.75</v>
      </c>
      <c r="Q109">
        <v>288.3</v>
      </c>
    </row>
    <row r="110" spans="2:17" x14ac:dyDescent="0.25">
      <c r="B110" t="s">
        <v>17</v>
      </c>
      <c r="C110" t="s">
        <v>17</v>
      </c>
      <c r="D110" t="s">
        <v>17</v>
      </c>
      <c r="E110" t="s">
        <v>17</v>
      </c>
      <c r="F110" t="s">
        <v>17</v>
      </c>
      <c r="G110" t="s">
        <v>17</v>
      </c>
      <c r="H110" t="s">
        <v>17</v>
      </c>
      <c r="I110" t="s">
        <v>17</v>
      </c>
      <c r="J110" s="1" t="s">
        <v>17</v>
      </c>
      <c r="K110" t="s">
        <v>17</v>
      </c>
      <c r="L110" t="s">
        <v>17</v>
      </c>
      <c r="M110" t="s">
        <v>78</v>
      </c>
      <c r="N110" t="s">
        <v>17</v>
      </c>
      <c r="O110" t="s">
        <v>17</v>
      </c>
      <c r="P110" t="s">
        <v>17</v>
      </c>
      <c r="Q110" t="s">
        <v>17</v>
      </c>
    </row>
    <row r="111" spans="2:17" x14ac:dyDescent="0.25">
      <c r="B111" t="s">
        <v>17</v>
      </c>
      <c r="C111" t="s">
        <v>17</v>
      </c>
      <c r="D111" t="s">
        <v>17</v>
      </c>
      <c r="E111" t="s">
        <v>180</v>
      </c>
      <c r="F111" t="s">
        <v>17</v>
      </c>
      <c r="G111" t="s">
        <v>17</v>
      </c>
      <c r="H111" t="s">
        <v>17</v>
      </c>
      <c r="I111" t="s">
        <v>17</v>
      </c>
      <c r="J111" s="1" t="s">
        <v>17</v>
      </c>
      <c r="K111" t="s">
        <v>17</v>
      </c>
      <c r="L111" t="s">
        <v>17</v>
      </c>
      <c r="M111" t="s">
        <v>78</v>
      </c>
      <c r="N111" t="s">
        <v>17</v>
      </c>
      <c r="O111" t="s">
        <v>17</v>
      </c>
      <c r="P111" t="s">
        <v>17</v>
      </c>
      <c r="Q111" t="s">
        <v>17</v>
      </c>
    </row>
    <row r="112" spans="2:17" x14ac:dyDescent="0.25">
      <c r="B112" t="s">
        <v>78</v>
      </c>
      <c r="C112" t="s">
        <v>79</v>
      </c>
      <c r="D112" t="s">
        <v>302</v>
      </c>
      <c r="E112" t="s">
        <v>303</v>
      </c>
      <c r="F112">
        <v>1454.1</v>
      </c>
      <c r="G112">
        <v>1461.35</v>
      </c>
      <c r="H112">
        <v>1468.65</v>
      </c>
      <c r="I112">
        <v>1411.05</v>
      </c>
      <c r="J112" s="1">
        <v>1415.1</v>
      </c>
      <c r="K112">
        <v>69019221.099999994</v>
      </c>
      <c r="L112">
        <v>48356</v>
      </c>
      <c r="M112" t="s">
        <v>78</v>
      </c>
      <c r="N112" t="s">
        <v>17</v>
      </c>
      <c r="O112">
        <v>4275</v>
      </c>
      <c r="P112">
        <v>1670</v>
      </c>
      <c r="Q112">
        <v>1129</v>
      </c>
    </row>
    <row r="113" spans="2:17" x14ac:dyDescent="0.25">
      <c r="B113" t="s">
        <v>78</v>
      </c>
      <c r="C113" t="s">
        <v>79</v>
      </c>
      <c r="D113" t="s">
        <v>184</v>
      </c>
      <c r="E113" t="s">
        <v>185</v>
      </c>
      <c r="F113">
        <v>1567.1</v>
      </c>
      <c r="G113">
        <v>1635</v>
      </c>
      <c r="H113">
        <v>1647.55</v>
      </c>
      <c r="I113">
        <v>1531.25</v>
      </c>
      <c r="J113" s="1">
        <v>1543.65</v>
      </c>
      <c r="K113">
        <v>10104155235.15</v>
      </c>
      <c r="L113">
        <v>6325502</v>
      </c>
      <c r="M113" t="s">
        <v>78</v>
      </c>
      <c r="N113" t="s">
        <v>17</v>
      </c>
      <c r="O113">
        <v>190577</v>
      </c>
      <c r="P113">
        <v>1769.05</v>
      </c>
      <c r="Q113">
        <v>1255.6500000000001</v>
      </c>
    </row>
    <row r="114" spans="2:17" x14ac:dyDescent="0.25">
      <c r="B114" t="s">
        <v>78</v>
      </c>
      <c r="C114" t="s">
        <v>79</v>
      </c>
      <c r="D114" t="s">
        <v>188</v>
      </c>
      <c r="E114" t="s">
        <v>189</v>
      </c>
      <c r="F114">
        <v>216.95</v>
      </c>
      <c r="G114">
        <v>222</v>
      </c>
      <c r="H114">
        <v>223.8</v>
      </c>
      <c r="I114">
        <v>212.05</v>
      </c>
      <c r="J114" s="1">
        <v>214</v>
      </c>
      <c r="K114">
        <v>1643491007.55</v>
      </c>
      <c r="L114">
        <v>7523729</v>
      </c>
      <c r="M114" t="s">
        <v>78</v>
      </c>
      <c r="N114" t="s">
        <v>17</v>
      </c>
      <c r="O114">
        <v>66081</v>
      </c>
      <c r="P114">
        <v>245.4</v>
      </c>
      <c r="Q114">
        <v>188.35</v>
      </c>
    </row>
    <row r="115" spans="2:17" x14ac:dyDescent="0.25">
      <c r="B115" t="s">
        <v>78</v>
      </c>
      <c r="C115" t="s">
        <v>79</v>
      </c>
      <c r="D115" t="s">
        <v>474</v>
      </c>
      <c r="E115" t="s">
        <v>475</v>
      </c>
      <c r="F115">
        <v>81.45</v>
      </c>
      <c r="G115">
        <v>82</v>
      </c>
      <c r="H115">
        <v>82.45</v>
      </c>
      <c r="I115">
        <v>79</v>
      </c>
      <c r="J115" s="1">
        <v>79.349999999999994</v>
      </c>
      <c r="K115">
        <v>1829681504.8</v>
      </c>
      <c r="L115">
        <v>22863618</v>
      </c>
      <c r="M115" t="s">
        <v>78</v>
      </c>
      <c r="N115" t="s">
        <v>17</v>
      </c>
      <c r="O115">
        <v>102306</v>
      </c>
      <c r="P115">
        <v>135</v>
      </c>
      <c r="Q115">
        <v>77.599999999999994</v>
      </c>
    </row>
    <row r="116" spans="2:17" x14ac:dyDescent="0.25">
      <c r="B116" t="s">
        <v>78</v>
      </c>
      <c r="C116" t="s">
        <v>79</v>
      </c>
      <c r="D116" t="s">
        <v>190</v>
      </c>
      <c r="E116" t="s">
        <v>191</v>
      </c>
      <c r="F116">
        <v>569.9</v>
      </c>
      <c r="G116">
        <v>574</v>
      </c>
      <c r="H116">
        <v>575.65</v>
      </c>
      <c r="I116">
        <v>550</v>
      </c>
      <c r="J116" s="1">
        <v>552.4</v>
      </c>
      <c r="K116">
        <v>1408538129.0999999</v>
      </c>
      <c r="L116">
        <v>2521008</v>
      </c>
      <c r="M116" t="s">
        <v>78</v>
      </c>
      <c r="N116" t="s">
        <v>17</v>
      </c>
      <c r="O116">
        <v>59564</v>
      </c>
      <c r="P116">
        <v>838</v>
      </c>
      <c r="Q116">
        <v>550</v>
      </c>
    </row>
    <row r="117" spans="2:17" x14ac:dyDescent="0.25">
      <c r="B117" t="s">
        <v>78</v>
      </c>
      <c r="C117" t="s">
        <v>79</v>
      </c>
      <c r="D117" t="s">
        <v>192</v>
      </c>
      <c r="E117" t="s">
        <v>193</v>
      </c>
      <c r="F117">
        <v>3523.4</v>
      </c>
      <c r="G117">
        <v>3530.15</v>
      </c>
      <c r="H117">
        <v>3583.55</v>
      </c>
      <c r="I117">
        <v>3445.85</v>
      </c>
      <c r="J117" s="1">
        <v>3500.05</v>
      </c>
      <c r="K117">
        <v>108917774</v>
      </c>
      <c r="L117">
        <v>31091</v>
      </c>
      <c r="M117" t="s">
        <v>78</v>
      </c>
      <c r="N117" t="s">
        <v>17</v>
      </c>
      <c r="O117">
        <v>4903</v>
      </c>
      <c r="P117">
        <v>3800</v>
      </c>
      <c r="Q117">
        <v>2451.1999999999998</v>
      </c>
    </row>
    <row r="118" spans="2:17" x14ac:dyDescent="0.25">
      <c r="B118" t="s">
        <v>78</v>
      </c>
      <c r="C118" t="s">
        <v>79</v>
      </c>
      <c r="D118" t="s">
        <v>194</v>
      </c>
      <c r="E118" t="s">
        <v>195</v>
      </c>
      <c r="F118">
        <v>528.79999999999995</v>
      </c>
      <c r="G118">
        <v>535</v>
      </c>
      <c r="H118">
        <v>541.79999999999995</v>
      </c>
      <c r="I118">
        <v>507.2</v>
      </c>
      <c r="J118" s="1">
        <v>527.35</v>
      </c>
      <c r="K118">
        <v>1083393879.75</v>
      </c>
      <c r="L118">
        <v>2074439</v>
      </c>
      <c r="M118" t="s">
        <v>78</v>
      </c>
      <c r="N118" t="s">
        <v>17</v>
      </c>
      <c r="O118">
        <v>69519</v>
      </c>
      <c r="P118">
        <v>741.8</v>
      </c>
      <c r="Q118">
        <v>368.1</v>
      </c>
    </row>
    <row r="119" spans="2:17" x14ac:dyDescent="0.25">
      <c r="B119" t="s">
        <v>78</v>
      </c>
      <c r="C119" t="s">
        <v>79</v>
      </c>
      <c r="D119" t="s">
        <v>196</v>
      </c>
      <c r="E119" t="s">
        <v>197</v>
      </c>
      <c r="F119">
        <v>121.35</v>
      </c>
      <c r="G119">
        <v>122.25</v>
      </c>
      <c r="H119">
        <v>122.7</v>
      </c>
      <c r="I119">
        <v>116.85</v>
      </c>
      <c r="J119" s="1">
        <v>118</v>
      </c>
      <c r="K119">
        <v>2361634449.5999999</v>
      </c>
      <c r="L119">
        <v>19834528</v>
      </c>
      <c r="M119" t="s">
        <v>78</v>
      </c>
      <c r="N119" t="s">
        <v>17</v>
      </c>
      <c r="O119">
        <v>72017</v>
      </c>
      <c r="P119">
        <v>157.5</v>
      </c>
      <c r="Q119">
        <v>91</v>
      </c>
    </row>
    <row r="120" spans="2:17" x14ac:dyDescent="0.25">
      <c r="B120" t="s">
        <v>78</v>
      </c>
      <c r="C120" t="s">
        <v>79</v>
      </c>
      <c r="D120" t="s">
        <v>611</v>
      </c>
      <c r="E120" t="s">
        <v>611</v>
      </c>
      <c r="F120">
        <v>64</v>
      </c>
      <c r="G120">
        <v>64.25</v>
      </c>
      <c r="H120">
        <v>64.45</v>
      </c>
      <c r="I120">
        <v>63.4</v>
      </c>
      <c r="J120" s="1">
        <v>63.7</v>
      </c>
      <c r="K120">
        <v>468157443.39999998</v>
      </c>
      <c r="L120">
        <v>7321238</v>
      </c>
      <c r="M120" t="s">
        <v>78</v>
      </c>
      <c r="N120" t="s">
        <v>17</v>
      </c>
      <c r="O120">
        <v>25174</v>
      </c>
      <c r="P120">
        <v>83.3</v>
      </c>
      <c r="Q120">
        <v>56.2</v>
      </c>
    </row>
    <row r="121" spans="2:17" x14ac:dyDescent="0.25">
      <c r="B121" t="s">
        <v>78</v>
      </c>
      <c r="C121" t="s">
        <v>79</v>
      </c>
      <c r="D121" t="s">
        <v>200</v>
      </c>
      <c r="E121" t="s">
        <v>201</v>
      </c>
      <c r="F121">
        <v>263.05</v>
      </c>
      <c r="G121">
        <v>263.25</v>
      </c>
      <c r="H121">
        <v>264.7</v>
      </c>
      <c r="I121">
        <v>238</v>
      </c>
      <c r="J121" s="1">
        <v>240.3</v>
      </c>
      <c r="K121">
        <v>4537264825.5</v>
      </c>
      <c r="L121">
        <v>17950305</v>
      </c>
      <c r="M121" t="s">
        <v>78</v>
      </c>
      <c r="N121" t="s">
        <v>17</v>
      </c>
      <c r="O121">
        <v>90327</v>
      </c>
      <c r="P121">
        <v>718</v>
      </c>
      <c r="Q121">
        <v>230</v>
      </c>
    </row>
    <row r="122" spans="2:17" x14ac:dyDescent="0.25">
      <c r="B122" t="s">
        <v>78</v>
      </c>
      <c r="C122" t="s">
        <v>79</v>
      </c>
      <c r="D122" t="s">
        <v>202</v>
      </c>
      <c r="E122" t="s">
        <v>203</v>
      </c>
      <c r="F122">
        <v>15570.35</v>
      </c>
      <c r="G122">
        <v>15697</v>
      </c>
      <c r="H122">
        <v>15697</v>
      </c>
      <c r="I122">
        <v>15051</v>
      </c>
      <c r="J122" s="1">
        <v>15163.1</v>
      </c>
      <c r="K122">
        <v>194181749.40000001</v>
      </c>
      <c r="L122">
        <v>12744</v>
      </c>
      <c r="M122" t="s">
        <v>78</v>
      </c>
      <c r="N122" t="s">
        <v>17</v>
      </c>
      <c r="O122">
        <v>5494</v>
      </c>
      <c r="P122">
        <v>22400</v>
      </c>
      <c r="Q122">
        <v>15051</v>
      </c>
    </row>
    <row r="123" spans="2:17" x14ac:dyDescent="0.25">
      <c r="B123" t="s">
        <v>78</v>
      </c>
      <c r="C123" t="s">
        <v>79</v>
      </c>
      <c r="D123" t="s">
        <v>204</v>
      </c>
      <c r="E123" t="s">
        <v>205</v>
      </c>
      <c r="F123">
        <v>231.15</v>
      </c>
      <c r="G123">
        <v>234.7</v>
      </c>
      <c r="H123">
        <v>235.55</v>
      </c>
      <c r="I123">
        <v>227.3</v>
      </c>
      <c r="J123" s="1">
        <v>228.4</v>
      </c>
      <c r="K123">
        <v>342051055.44999999</v>
      </c>
      <c r="L123">
        <v>1479637</v>
      </c>
      <c r="M123" t="s">
        <v>78</v>
      </c>
      <c r="N123" t="s">
        <v>17</v>
      </c>
      <c r="O123">
        <v>21180</v>
      </c>
      <c r="P123">
        <v>432.5</v>
      </c>
      <c r="Q123">
        <v>222.55</v>
      </c>
    </row>
    <row r="124" spans="2:17" x14ac:dyDescent="0.25">
      <c r="B124" t="s">
        <v>78</v>
      </c>
      <c r="C124" t="s">
        <v>79</v>
      </c>
      <c r="D124" t="s">
        <v>206</v>
      </c>
      <c r="E124" t="s">
        <v>207</v>
      </c>
      <c r="F124">
        <v>1203.6500000000001</v>
      </c>
      <c r="G124">
        <v>1207</v>
      </c>
      <c r="H124">
        <v>1218</v>
      </c>
      <c r="I124">
        <v>1151.0999999999999</v>
      </c>
      <c r="J124" s="1">
        <v>1173.55</v>
      </c>
      <c r="K124">
        <v>1552933310.9000001</v>
      </c>
      <c r="L124">
        <v>1301254</v>
      </c>
      <c r="M124" t="s">
        <v>78</v>
      </c>
      <c r="N124" t="s">
        <v>17</v>
      </c>
      <c r="O124">
        <v>46719</v>
      </c>
      <c r="P124">
        <v>1354.8</v>
      </c>
      <c r="Q124">
        <v>1018.3</v>
      </c>
    </row>
    <row r="125" spans="2:17" x14ac:dyDescent="0.25">
      <c r="B125" t="s">
        <v>78</v>
      </c>
      <c r="C125" t="s">
        <v>79</v>
      </c>
      <c r="D125" t="s">
        <v>208</v>
      </c>
      <c r="E125" t="s">
        <v>209</v>
      </c>
      <c r="F125">
        <v>538.95000000000005</v>
      </c>
      <c r="G125">
        <v>537.04999999999995</v>
      </c>
      <c r="H125">
        <v>542.35</v>
      </c>
      <c r="I125">
        <v>531.45000000000005</v>
      </c>
      <c r="J125" s="1">
        <v>535.25</v>
      </c>
      <c r="K125">
        <v>311681767.19999999</v>
      </c>
      <c r="L125">
        <v>579344</v>
      </c>
      <c r="M125" t="s">
        <v>78</v>
      </c>
      <c r="N125" t="s">
        <v>17</v>
      </c>
      <c r="O125">
        <v>17497</v>
      </c>
      <c r="P125">
        <v>705</v>
      </c>
      <c r="Q125">
        <v>461.1</v>
      </c>
    </row>
    <row r="126" spans="2:17" x14ac:dyDescent="0.25">
      <c r="B126" t="s">
        <v>78</v>
      </c>
      <c r="C126" t="s">
        <v>79</v>
      </c>
      <c r="D126" t="s">
        <v>210</v>
      </c>
      <c r="E126" t="s">
        <v>211</v>
      </c>
      <c r="F126">
        <v>428.9</v>
      </c>
      <c r="G126">
        <v>431.05</v>
      </c>
      <c r="H126">
        <v>435.4</v>
      </c>
      <c r="I126">
        <v>415.85</v>
      </c>
      <c r="J126" s="1">
        <v>420.2</v>
      </c>
      <c r="K126">
        <v>5268228479.6000004</v>
      </c>
      <c r="L126">
        <v>12364368</v>
      </c>
      <c r="M126" t="s">
        <v>78</v>
      </c>
      <c r="N126" t="s">
        <v>17</v>
      </c>
      <c r="O126">
        <v>161372</v>
      </c>
      <c r="P126">
        <v>490.65</v>
      </c>
      <c r="Q126">
        <v>357.55</v>
      </c>
    </row>
    <row r="127" spans="2:17" x14ac:dyDescent="0.25">
      <c r="B127" t="s">
        <v>78</v>
      </c>
      <c r="C127" t="s">
        <v>79</v>
      </c>
      <c r="D127" t="s">
        <v>102</v>
      </c>
      <c r="E127" t="s">
        <v>103</v>
      </c>
      <c r="F127">
        <v>1641.9</v>
      </c>
      <c r="G127">
        <v>1644.1</v>
      </c>
      <c r="H127">
        <v>1659.9</v>
      </c>
      <c r="I127">
        <v>1620.05</v>
      </c>
      <c r="J127" s="1">
        <v>1624.4</v>
      </c>
      <c r="K127">
        <v>758794075.04999995</v>
      </c>
      <c r="L127">
        <v>464691</v>
      </c>
      <c r="M127" t="s">
        <v>78</v>
      </c>
      <c r="N127" t="s">
        <v>17</v>
      </c>
      <c r="O127">
        <v>53265</v>
      </c>
      <c r="P127">
        <v>1774.95</v>
      </c>
      <c r="Q127">
        <v>1040</v>
      </c>
    </row>
    <row r="128" spans="2:17" x14ac:dyDescent="0.25">
      <c r="B128" t="s">
        <v>78</v>
      </c>
      <c r="C128" t="s">
        <v>79</v>
      </c>
      <c r="D128" t="s">
        <v>212</v>
      </c>
      <c r="E128" t="s">
        <v>213</v>
      </c>
      <c r="F128">
        <v>183.2</v>
      </c>
      <c r="G128">
        <v>184</v>
      </c>
      <c r="H128">
        <v>186.15</v>
      </c>
      <c r="I128">
        <v>177.25</v>
      </c>
      <c r="J128" s="1">
        <v>180.05</v>
      </c>
      <c r="K128">
        <v>1142613208.9000001</v>
      </c>
      <c r="L128">
        <v>6320721</v>
      </c>
      <c r="M128" t="s">
        <v>78</v>
      </c>
      <c r="N128" t="s">
        <v>17</v>
      </c>
      <c r="O128">
        <v>41586</v>
      </c>
      <c r="P128">
        <v>223.5</v>
      </c>
      <c r="Q128">
        <v>142</v>
      </c>
    </row>
    <row r="129" spans="2:17" x14ac:dyDescent="0.25">
      <c r="B129" t="s">
        <v>78</v>
      </c>
      <c r="C129" t="s">
        <v>79</v>
      </c>
      <c r="D129" t="s">
        <v>214</v>
      </c>
      <c r="E129" t="s">
        <v>215</v>
      </c>
      <c r="F129">
        <v>1439.4</v>
      </c>
      <c r="G129">
        <v>1445</v>
      </c>
      <c r="H129">
        <v>1449.9</v>
      </c>
      <c r="I129">
        <v>1393</v>
      </c>
      <c r="J129" s="1">
        <v>1402.05</v>
      </c>
      <c r="K129">
        <v>445227485.64999998</v>
      </c>
      <c r="L129">
        <v>315158</v>
      </c>
      <c r="M129" t="s">
        <v>78</v>
      </c>
      <c r="N129" t="s">
        <v>17</v>
      </c>
      <c r="O129">
        <v>19470</v>
      </c>
      <c r="P129">
        <v>1698.7</v>
      </c>
      <c r="Q129">
        <v>1125.75</v>
      </c>
    </row>
    <row r="130" spans="2:17" x14ac:dyDescent="0.25">
      <c r="B130" t="s">
        <v>78</v>
      </c>
      <c r="C130" t="s">
        <v>79</v>
      </c>
      <c r="D130" t="s">
        <v>216</v>
      </c>
      <c r="E130" t="s">
        <v>217</v>
      </c>
      <c r="F130">
        <v>225.5</v>
      </c>
      <c r="G130">
        <v>220.95</v>
      </c>
      <c r="H130">
        <v>225.7</v>
      </c>
      <c r="I130">
        <v>216.8</v>
      </c>
      <c r="J130" s="1">
        <v>225.1</v>
      </c>
      <c r="K130">
        <v>40641863.049999997</v>
      </c>
      <c r="L130">
        <v>181976</v>
      </c>
      <c r="M130" t="s">
        <v>78</v>
      </c>
      <c r="N130" t="s">
        <v>1555</v>
      </c>
      <c r="O130">
        <v>3419</v>
      </c>
      <c r="P130">
        <v>383</v>
      </c>
      <c r="Q130">
        <v>204.1</v>
      </c>
    </row>
    <row r="131" spans="2:17" x14ac:dyDescent="0.25">
      <c r="B131" t="s">
        <v>78</v>
      </c>
      <c r="C131" t="s">
        <v>79</v>
      </c>
      <c r="D131" t="s">
        <v>218</v>
      </c>
      <c r="E131" t="s">
        <v>219</v>
      </c>
      <c r="F131">
        <v>644.1</v>
      </c>
      <c r="G131">
        <v>644.5</v>
      </c>
      <c r="H131">
        <v>654</v>
      </c>
      <c r="I131">
        <v>625.75</v>
      </c>
      <c r="J131" s="1">
        <v>627.85</v>
      </c>
      <c r="K131">
        <v>424127466.85000002</v>
      </c>
      <c r="L131">
        <v>663154</v>
      </c>
      <c r="M131" t="s">
        <v>78</v>
      </c>
      <c r="N131" t="s">
        <v>17</v>
      </c>
      <c r="O131">
        <v>28890</v>
      </c>
      <c r="P131">
        <v>1468</v>
      </c>
      <c r="Q131">
        <v>618.04999999999995</v>
      </c>
    </row>
    <row r="132" spans="2:17" x14ac:dyDescent="0.25">
      <c r="B132" t="s">
        <v>78</v>
      </c>
      <c r="C132" t="s">
        <v>79</v>
      </c>
      <c r="D132" t="s">
        <v>220</v>
      </c>
      <c r="E132" t="s">
        <v>221</v>
      </c>
      <c r="F132">
        <v>717.55</v>
      </c>
      <c r="G132">
        <v>718.2</v>
      </c>
      <c r="H132">
        <v>722.7</v>
      </c>
      <c r="I132">
        <v>705.1</v>
      </c>
      <c r="J132" s="1">
        <v>717.05</v>
      </c>
      <c r="K132">
        <v>871632075.25</v>
      </c>
      <c r="L132">
        <v>1223141</v>
      </c>
      <c r="M132" t="s">
        <v>78</v>
      </c>
      <c r="N132" t="s">
        <v>17</v>
      </c>
      <c r="O132">
        <v>36327</v>
      </c>
      <c r="P132">
        <v>806.85</v>
      </c>
      <c r="Q132">
        <v>544.5</v>
      </c>
    </row>
    <row r="133" spans="2:17" x14ac:dyDescent="0.25">
      <c r="B133" t="s">
        <v>78</v>
      </c>
      <c r="C133" t="s">
        <v>79</v>
      </c>
      <c r="D133" t="s">
        <v>222</v>
      </c>
      <c r="E133" t="s">
        <v>223</v>
      </c>
      <c r="F133">
        <v>2170</v>
      </c>
      <c r="G133">
        <v>2194</v>
      </c>
      <c r="H133">
        <v>2370</v>
      </c>
      <c r="I133">
        <v>2190.0500000000002</v>
      </c>
      <c r="J133" s="1">
        <v>2318.4</v>
      </c>
      <c r="K133">
        <v>5979121573.5</v>
      </c>
      <c r="L133">
        <v>2608148</v>
      </c>
      <c r="M133" t="s">
        <v>78</v>
      </c>
      <c r="N133" t="s">
        <v>17</v>
      </c>
      <c r="O133">
        <v>136382</v>
      </c>
      <c r="P133">
        <v>2370</v>
      </c>
      <c r="Q133">
        <v>1250</v>
      </c>
    </row>
    <row r="134" spans="2:17" x14ac:dyDescent="0.25">
      <c r="B134" t="s">
        <v>78</v>
      </c>
      <c r="C134" t="s">
        <v>79</v>
      </c>
      <c r="D134" t="s">
        <v>118</v>
      </c>
      <c r="E134" t="s">
        <v>119</v>
      </c>
      <c r="F134">
        <v>503.55</v>
      </c>
      <c r="G134">
        <v>506</v>
      </c>
      <c r="H134">
        <v>509.45</v>
      </c>
      <c r="I134">
        <v>485</v>
      </c>
      <c r="J134" s="1">
        <v>487.6</v>
      </c>
      <c r="K134">
        <v>1185178220.3499999</v>
      </c>
      <c r="L134">
        <v>2396384</v>
      </c>
      <c r="M134" t="s">
        <v>78</v>
      </c>
      <c r="N134" t="s">
        <v>17</v>
      </c>
      <c r="O134">
        <v>71715</v>
      </c>
      <c r="P134">
        <v>510.8</v>
      </c>
      <c r="Q134">
        <v>344.4</v>
      </c>
    </row>
    <row r="135" spans="2:17" x14ac:dyDescent="0.25">
      <c r="B135" t="s">
        <v>78</v>
      </c>
      <c r="C135" t="s">
        <v>79</v>
      </c>
      <c r="D135" t="s">
        <v>224</v>
      </c>
      <c r="E135" t="s">
        <v>225</v>
      </c>
      <c r="F135">
        <v>291.2</v>
      </c>
      <c r="G135">
        <v>293.3</v>
      </c>
      <c r="H135">
        <v>294.60000000000002</v>
      </c>
      <c r="I135">
        <v>289.05</v>
      </c>
      <c r="J135" s="1">
        <v>292.25</v>
      </c>
      <c r="K135">
        <v>1071527175.9</v>
      </c>
      <c r="L135">
        <v>3680205</v>
      </c>
      <c r="M135" t="s">
        <v>78</v>
      </c>
      <c r="N135" t="s">
        <v>17</v>
      </c>
      <c r="O135">
        <v>45355</v>
      </c>
      <c r="P135">
        <v>333.5</v>
      </c>
      <c r="Q135">
        <v>163</v>
      </c>
    </row>
    <row r="136" spans="2:17" x14ac:dyDescent="0.25">
      <c r="B136" t="s">
        <v>78</v>
      </c>
      <c r="C136" t="s">
        <v>79</v>
      </c>
      <c r="D136" t="s">
        <v>226</v>
      </c>
      <c r="E136" t="s">
        <v>227</v>
      </c>
      <c r="F136">
        <v>225.1</v>
      </c>
      <c r="G136">
        <v>225.1</v>
      </c>
      <c r="H136">
        <v>228.8</v>
      </c>
      <c r="I136">
        <v>217.55</v>
      </c>
      <c r="J136" s="1">
        <v>220.05</v>
      </c>
      <c r="K136">
        <v>325442168.94999999</v>
      </c>
      <c r="L136">
        <v>1470948</v>
      </c>
      <c r="M136" t="s">
        <v>78</v>
      </c>
      <c r="N136" t="s">
        <v>17</v>
      </c>
      <c r="O136">
        <v>20409</v>
      </c>
      <c r="P136">
        <v>309.45</v>
      </c>
      <c r="Q136">
        <v>217.55</v>
      </c>
    </row>
    <row r="137" spans="2:17" x14ac:dyDescent="0.25">
      <c r="B137" t="s">
        <v>78</v>
      </c>
      <c r="C137" t="s">
        <v>79</v>
      </c>
      <c r="D137" t="s">
        <v>228</v>
      </c>
      <c r="E137" t="s">
        <v>229</v>
      </c>
      <c r="F137">
        <v>1090.2</v>
      </c>
      <c r="G137">
        <v>1104</v>
      </c>
      <c r="H137">
        <v>1109.9000000000001</v>
      </c>
      <c r="I137">
        <v>1061</v>
      </c>
      <c r="J137" s="1">
        <v>1088.05</v>
      </c>
      <c r="K137">
        <v>415150657.14999998</v>
      </c>
      <c r="L137">
        <v>383482</v>
      </c>
      <c r="M137" t="s">
        <v>78</v>
      </c>
      <c r="N137" t="s">
        <v>17</v>
      </c>
      <c r="O137">
        <v>26896</v>
      </c>
      <c r="P137">
        <v>1283.4000000000001</v>
      </c>
      <c r="Q137">
        <v>638.79999999999995</v>
      </c>
    </row>
    <row r="138" spans="2:17" x14ac:dyDescent="0.25">
      <c r="B138" t="s">
        <v>78</v>
      </c>
      <c r="C138" t="s">
        <v>79</v>
      </c>
      <c r="D138" t="s">
        <v>230</v>
      </c>
      <c r="E138" t="s">
        <v>231</v>
      </c>
      <c r="F138">
        <v>383.7</v>
      </c>
      <c r="G138">
        <v>385.5</v>
      </c>
      <c r="H138">
        <v>387.65</v>
      </c>
      <c r="I138">
        <v>377.05</v>
      </c>
      <c r="J138" s="1">
        <v>379.6</v>
      </c>
      <c r="K138">
        <v>403489563.89999998</v>
      </c>
      <c r="L138">
        <v>1059319</v>
      </c>
      <c r="M138" t="s">
        <v>78</v>
      </c>
      <c r="N138" t="s">
        <v>17</v>
      </c>
      <c r="O138">
        <v>35024</v>
      </c>
      <c r="P138">
        <v>428</v>
      </c>
      <c r="Q138">
        <v>277.35000000000002</v>
      </c>
    </row>
    <row r="139" spans="2:17" x14ac:dyDescent="0.25">
      <c r="B139" t="s">
        <v>78</v>
      </c>
      <c r="C139" t="s">
        <v>79</v>
      </c>
      <c r="D139" t="s">
        <v>1302</v>
      </c>
      <c r="E139" t="s">
        <v>1303</v>
      </c>
      <c r="F139">
        <v>11.3</v>
      </c>
      <c r="G139">
        <v>11.45</v>
      </c>
      <c r="H139">
        <v>11.55</v>
      </c>
      <c r="I139">
        <v>10.7</v>
      </c>
      <c r="J139" s="1">
        <v>10.95</v>
      </c>
      <c r="K139">
        <v>892025877.29999995</v>
      </c>
      <c r="L139">
        <v>80656229</v>
      </c>
      <c r="M139" t="s">
        <v>78</v>
      </c>
      <c r="N139" t="s">
        <v>17</v>
      </c>
      <c r="O139">
        <v>27908</v>
      </c>
      <c r="P139">
        <v>61.25</v>
      </c>
      <c r="Q139">
        <v>10.7</v>
      </c>
    </row>
    <row r="140" spans="2:17" x14ac:dyDescent="0.25">
      <c r="B140" t="s">
        <v>78</v>
      </c>
      <c r="C140" t="s">
        <v>79</v>
      </c>
      <c r="D140" t="s">
        <v>234</v>
      </c>
      <c r="E140" t="s">
        <v>235</v>
      </c>
      <c r="F140">
        <v>1458.9</v>
      </c>
      <c r="G140">
        <v>1478</v>
      </c>
      <c r="H140">
        <v>1488</v>
      </c>
      <c r="I140">
        <v>1452</v>
      </c>
      <c r="J140" s="1">
        <v>1462.95</v>
      </c>
      <c r="K140">
        <v>4412802336.6000004</v>
      </c>
      <c r="L140">
        <v>3004690</v>
      </c>
      <c r="M140" t="s">
        <v>78</v>
      </c>
      <c r="N140" t="s">
        <v>17</v>
      </c>
      <c r="O140">
        <v>94060</v>
      </c>
      <c r="P140">
        <v>1716</v>
      </c>
      <c r="Q140">
        <v>691</v>
      </c>
    </row>
    <row r="141" spans="2:17" x14ac:dyDescent="0.25">
      <c r="B141" t="s">
        <v>78</v>
      </c>
      <c r="C141" t="s">
        <v>79</v>
      </c>
      <c r="D141" t="s">
        <v>1630</v>
      </c>
      <c r="E141" t="s">
        <v>1631</v>
      </c>
      <c r="F141">
        <v>117.2</v>
      </c>
      <c r="G141">
        <v>117.3</v>
      </c>
      <c r="H141">
        <v>117.4</v>
      </c>
      <c r="I141">
        <v>109.75</v>
      </c>
      <c r="J141" s="1">
        <v>110.5</v>
      </c>
      <c r="K141">
        <v>1237723314.8</v>
      </c>
      <c r="L141">
        <v>10913792</v>
      </c>
      <c r="M141" t="s">
        <v>78</v>
      </c>
      <c r="N141" t="s">
        <v>183</v>
      </c>
      <c r="O141">
        <v>63579</v>
      </c>
      <c r="P141">
        <v>189.5</v>
      </c>
      <c r="Q141">
        <v>106.3</v>
      </c>
    </row>
    <row r="142" spans="2:17" x14ac:dyDescent="0.25">
      <c r="B142" t="s">
        <v>78</v>
      </c>
      <c r="C142" t="s">
        <v>79</v>
      </c>
      <c r="D142" t="s">
        <v>238</v>
      </c>
      <c r="E142" t="s">
        <v>239</v>
      </c>
      <c r="F142">
        <v>756.15</v>
      </c>
      <c r="G142">
        <v>758</v>
      </c>
      <c r="H142">
        <v>763</v>
      </c>
      <c r="I142">
        <v>742.15</v>
      </c>
      <c r="J142" s="1">
        <v>747.35</v>
      </c>
      <c r="K142">
        <v>596314302.29999995</v>
      </c>
      <c r="L142">
        <v>796473</v>
      </c>
      <c r="M142" t="s">
        <v>78</v>
      </c>
      <c r="N142" t="s">
        <v>17</v>
      </c>
      <c r="O142">
        <v>36997</v>
      </c>
      <c r="P142">
        <v>986.1</v>
      </c>
      <c r="Q142">
        <v>697.2</v>
      </c>
    </row>
    <row r="143" spans="2:17" x14ac:dyDescent="0.25">
      <c r="B143" t="s">
        <v>78</v>
      </c>
      <c r="C143" t="s">
        <v>79</v>
      </c>
      <c r="D143" t="s">
        <v>240</v>
      </c>
      <c r="E143" t="s">
        <v>241</v>
      </c>
      <c r="F143">
        <v>370.35</v>
      </c>
      <c r="G143">
        <v>370.55</v>
      </c>
      <c r="H143">
        <v>372.95</v>
      </c>
      <c r="I143">
        <v>363</v>
      </c>
      <c r="J143" s="1">
        <v>364.95</v>
      </c>
      <c r="K143">
        <v>534544428.89999998</v>
      </c>
      <c r="L143">
        <v>1447909</v>
      </c>
      <c r="M143" t="s">
        <v>78</v>
      </c>
      <c r="N143" t="s">
        <v>17</v>
      </c>
      <c r="O143">
        <v>24339</v>
      </c>
      <c r="P143">
        <v>396.6</v>
      </c>
      <c r="Q143">
        <v>282.95</v>
      </c>
    </row>
    <row r="144" spans="2:17" x14ac:dyDescent="0.25">
      <c r="B144" t="s">
        <v>78</v>
      </c>
      <c r="C144" t="s">
        <v>79</v>
      </c>
      <c r="D144" t="s">
        <v>242</v>
      </c>
      <c r="E144" t="s">
        <v>243</v>
      </c>
      <c r="F144">
        <v>601.85</v>
      </c>
      <c r="G144">
        <v>604.20000000000005</v>
      </c>
      <c r="H144">
        <v>607.70000000000005</v>
      </c>
      <c r="I144">
        <v>577.79999999999995</v>
      </c>
      <c r="J144" s="1">
        <v>581.95000000000005</v>
      </c>
      <c r="K144">
        <v>1352799859.2</v>
      </c>
      <c r="L144">
        <v>2291454</v>
      </c>
      <c r="M144" t="s">
        <v>78</v>
      </c>
      <c r="N144" t="s">
        <v>17</v>
      </c>
      <c r="O144">
        <v>54285</v>
      </c>
      <c r="P144">
        <v>676.6</v>
      </c>
      <c r="Q144">
        <v>438.2</v>
      </c>
    </row>
    <row r="145" spans="2:17" x14ac:dyDescent="0.25">
      <c r="B145" t="s">
        <v>78</v>
      </c>
      <c r="C145" t="s">
        <v>79</v>
      </c>
      <c r="D145" t="s">
        <v>244</v>
      </c>
      <c r="E145" t="s">
        <v>245</v>
      </c>
      <c r="F145">
        <v>116.5</v>
      </c>
      <c r="G145">
        <v>116.5</v>
      </c>
      <c r="H145">
        <v>117.1</v>
      </c>
      <c r="I145">
        <v>110</v>
      </c>
      <c r="J145" s="1">
        <v>110.5</v>
      </c>
      <c r="K145">
        <v>654801578.29999995</v>
      </c>
      <c r="L145">
        <v>5781987</v>
      </c>
      <c r="M145" t="s">
        <v>78</v>
      </c>
      <c r="N145" t="s">
        <v>17</v>
      </c>
      <c r="O145">
        <v>55581</v>
      </c>
      <c r="P145">
        <v>327</v>
      </c>
      <c r="Q145">
        <v>110</v>
      </c>
    </row>
    <row r="146" spans="2:17" x14ac:dyDescent="0.25">
      <c r="B146" t="s">
        <v>78</v>
      </c>
      <c r="C146" t="s">
        <v>79</v>
      </c>
      <c r="D146" t="s">
        <v>1850</v>
      </c>
      <c r="E146" t="s">
        <v>1851</v>
      </c>
      <c r="F146">
        <v>55538.400000000001</v>
      </c>
      <c r="G146">
        <v>55740</v>
      </c>
      <c r="H146">
        <v>55900</v>
      </c>
      <c r="I146">
        <v>53175.85</v>
      </c>
      <c r="J146" s="1">
        <v>53502.85</v>
      </c>
      <c r="K146">
        <v>474704885.75</v>
      </c>
      <c r="L146">
        <v>8765</v>
      </c>
      <c r="M146" t="s">
        <v>78</v>
      </c>
      <c r="N146" t="s">
        <v>17</v>
      </c>
      <c r="O146">
        <v>4935</v>
      </c>
      <c r="P146">
        <v>81190.95</v>
      </c>
      <c r="Q146">
        <v>51586.3</v>
      </c>
    </row>
    <row r="147" spans="2:17" x14ac:dyDescent="0.25">
      <c r="B147" t="s">
        <v>78</v>
      </c>
      <c r="C147" t="s">
        <v>79</v>
      </c>
      <c r="D147" t="s">
        <v>1935</v>
      </c>
      <c r="E147" t="s">
        <v>1936</v>
      </c>
      <c r="F147">
        <v>23.4</v>
      </c>
      <c r="G147">
        <v>23.4</v>
      </c>
      <c r="H147">
        <v>23.85</v>
      </c>
      <c r="I147">
        <v>23.3</v>
      </c>
      <c r="J147" s="1">
        <v>23.5</v>
      </c>
      <c r="K147">
        <v>25454479.300000001</v>
      </c>
      <c r="L147">
        <v>1079891</v>
      </c>
      <c r="M147" t="s">
        <v>78</v>
      </c>
      <c r="N147" t="s">
        <v>17</v>
      </c>
      <c r="O147">
        <v>3937</v>
      </c>
      <c r="P147">
        <v>27.5</v>
      </c>
      <c r="Q147">
        <v>21.65</v>
      </c>
    </row>
    <row r="148" spans="2:17" x14ac:dyDescent="0.25">
      <c r="B148" t="s">
        <v>78</v>
      </c>
      <c r="C148" t="s">
        <v>79</v>
      </c>
      <c r="D148" t="s">
        <v>1937</v>
      </c>
      <c r="E148" t="s">
        <v>1938</v>
      </c>
      <c r="F148">
        <v>132</v>
      </c>
      <c r="G148">
        <v>133.6</v>
      </c>
      <c r="H148">
        <v>133.6</v>
      </c>
      <c r="I148">
        <v>128.1</v>
      </c>
      <c r="J148" s="1">
        <v>129.30000000000001</v>
      </c>
      <c r="K148">
        <v>9375883.0500000007</v>
      </c>
      <c r="L148">
        <v>72241</v>
      </c>
      <c r="M148" t="s">
        <v>78</v>
      </c>
      <c r="N148" t="s">
        <v>17</v>
      </c>
      <c r="O148">
        <v>1809</v>
      </c>
      <c r="P148">
        <v>309.7</v>
      </c>
      <c r="Q148">
        <v>128.1</v>
      </c>
    </row>
    <row r="149" spans="2:17" x14ac:dyDescent="0.25">
      <c r="B149" t="s">
        <v>78</v>
      </c>
      <c r="C149" t="s">
        <v>79</v>
      </c>
      <c r="D149" t="s">
        <v>250</v>
      </c>
      <c r="E149" t="s">
        <v>251</v>
      </c>
      <c r="F149">
        <v>114.65</v>
      </c>
      <c r="G149">
        <v>115.15</v>
      </c>
      <c r="H149">
        <v>117.3</v>
      </c>
      <c r="I149">
        <v>114.5</v>
      </c>
      <c r="J149" s="1">
        <v>115.3</v>
      </c>
      <c r="K149">
        <v>557278273.85000002</v>
      </c>
      <c r="L149">
        <v>4813932</v>
      </c>
      <c r="M149" t="s">
        <v>78</v>
      </c>
      <c r="N149" t="s">
        <v>17</v>
      </c>
      <c r="O149">
        <v>24275</v>
      </c>
      <c r="P149">
        <v>124.4</v>
      </c>
      <c r="Q149">
        <v>88.6</v>
      </c>
    </row>
    <row r="150" spans="2:17" x14ac:dyDescent="0.25">
      <c r="B150" t="s">
        <v>78</v>
      </c>
      <c r="C150" t="s">
        <v>79</v>
      </c>
      <c r="D150" t="s">
        <v>252</v>
      </c>
      <c r="E150" t="s">
        <v>253</v>
      </c>
      <c r="F150">
        <v>3350.15</v>
      </c>
      <c r="G150">
        <v>3345</v>
      </c>
      <c r="H150">
        <v>3395</v>
      </c>
      <c r="I150">
        <v>3300</v>
      </c>
      <c r="J150" s="1">
        <v>3330.85</v>
      </c>
      <c r="K150">
        <v>106551998.55</v>
      </c>
      <c r="L150">
        <v>31944</v>
      </c>
      <c r="M150" t="s">
        <v>78</v>
      </c>
      <c r="N150" t="s">
        <v>17</v>
      </c>
      <c r="O150">
        <v>4372</v>
      </c>
      <c r="P150">
        <v>4658.3999999999996</v>
      </c>
      <c r="Q150">
        <v>3020.45</v>
      </c>
    </row>
    <row r="151" spans="2:17" x14ac:dyDescent="0.25">
      <c r="B151" t="s">
        <v>78</v>
      </c>
      <c r="C151" t="s">
        <v>79</v>
      </c>
      <c r="D151" t="s">
        <v>2025</v>
      </c>
      <c r="E151" t="s">
        <v>2026</v>
      </c>
      <c r="F151">
        <v>20633.150000000001</v>
      </c>
      <c r="G151">
        <v>20674</v>
      </c>
      <c r="H151">
        <v>20674</v>
      </c>
      <c r="I151">
        <v>20005</v>
      </c>
      <c r="J151" s="1">
        <v>20082.8</v>
      </c>
      <c r="K151">
        <v>475635515.19999999</v>
      </c>
      <c r="L151">
        <v>23388</v>
      </c>
      <c r="M151" t="s">
        <v>78</v>
      </c>
      <c r="N151" t="s">
        <v>17</v>
      </c>
      <c r="O151">
        <v>7214</v>
      </c>
      <c r="P151">
        <v>36370</v>
      </c>
      <c r="Q151">
        <v>19007.400000000001</v>
      </c>
    </row>
    <row r="152" spans="2:17" x14ac:dyDescent="0.25">
      <c r="B152" t="s">
        <v>78</v>
      </c>
      <c r="C152" t="s">
        <v>79</v>
      </c>
      <c r="D152" t="s">
        <v>254</v>
      </c>
      <c r="E152" t="s">
        <v>255</v>
      </c>
      <c r="F152">
        <v>1990.85</v>
      </c>
      <c r="G152">
        <v>2005</v>
      </c>
      <c r="H152">
        <v>2033</v>
      </c>
      <c r="I152">
        <v>1885</v>
      </c>
      <c r="J152" s="1">
        <v>1903.95</v>
      </c>
      <c r="K152">
        <v>2735715374.75</v>
      </c>
      <c r="L152">
        <v>1399940</v>
      </c>
      <c r="M152" t="s">
        <v>78</v>
      </c>
      <c r="N152" t="s">
        <v>17</v>
      </c>
      <c r="O152">
        <v>58809</v>
      </c>
      <c r="P152">
        <v>3307.95</v>
      </c>
      <c r="Q152">
        <v>1705.5</v>
      </c>
    </row>
    <row r="153" spans="2:17" x14ac:dyDescent="0.25">
      <c r="B153" t="s">
        <v>78</v>
      </c>
      <c r="C153" t="s">
        <v>79</v>
      </c>
      <c r="D153" t="s">
        <v>256</v>
      </c>
      <c r="E153" t="s">
        <v>257</v>
      </c>
      <c r="F153">
        <v>244.05</v>
      </c>
      <c r="G153">
        <v>244.9</v>
      </c>
      <c r="H153">
        <v>246.25</v>
      </c>
      <c r="I153">
        <v>240.6</v>
      </c>
      <c r="J153" s="1">
        <v>241.95</v>
      </c>
      <c r="K153">
        <v>599443907.64999998</v>
      </c>
      <c r="L153">
        <v>2468321</v>
      </c>
      <c r="M153" t="s">
        <v>78</v>
      </c>
      <c r="N153" t="s">
        <v>17</v>
      </c>
      <c r="O153">
        <v>40378</v>
      </c>
      <c r="P153">
        <v>254.9</v>
      </c>
      <c r="Q153">
        <v>203.4</v>
      </c>
    </row>
    <row r="154" spans="2:17" x14ac:dyDescent="0.25">
      <c r="B154" t="s">
        <v>78</v>
      </c>
      <c r="C154" t="s">
        <v>79</v>
      </c>
      <c r="D154" t="s">
        <v>260</v>
      </c>
      <c r="E154" t="s">
        <v>261</v>
      </c>
      <c r="F154">
        <v>10767.95</v>
      </c>
      <c r="G154">
        <v>10743.2</v>
      </c>
      <c r="H154">
        <v>10763.85</v>
      </c>
      <c r="I154">
        <v>10455</v>
      </c>
      <c r="J154" s="1">
        <v>10506.15</v>
      </c>
      <c r="K154">
        <v>39957369.850000001</v>
      </c>
      <c r="L154">
        <v>3796</v>
      </c>
      <c r="M154" t="s">
        <v>78</v>
      </c>
      <c r="N154" t="s">
        <v>17</v>
      </c>
      <c r="O154">
        <v>1121</v>
      </c>
      <c r="P154">
        <v>11337</v>
      </c>
      <c r="Q154">
        <v>8801.75</v>
      </c>
    </row>
    <row r="155" spans="2:17" x14ac:dyDescent="0.25">
      <c r="B155" t="s">
        <v>78</v>
      </c>
      <c r="C155" t="s">
        <v>79</v>
      </c>
      <c r="D155" t="s">
        <v>262</v>
      </c>
      <c r="E155" t="s">
        <v>263</v>
      </c>
      <c r="F155">
        <v>1227.8499999999999</v>
      </c>
      <c r="G155">
        <v>1229</v>
      </c>
      <c r="H155">
        <v>1230.4000000000001</v>
      </c>
      <c r="I155">
        <v>1192.05</v>
      </c>
      <c r="J155" s="1">
        <v>1195.3499999999999</v>
      </c>
      <c r="K155">
        <v>564370847.14999998</v>
      </c>
      <c r="L155">
        <v>468517</v>
      </c>
      <c r="M155" t="s">
        <v>78</v>
      </c>
      <c r="N155" t="s">
        <v>17</v>
      </c>
      <c r="O155">
        <v>18856</v>
      </c>
      <c r="P155">
        <v>1312.6</v>
      </c>
      <c r="Q155">
        <v>895</v>
      </c>
    </row>
    <row r="156" spans="2:17" x14ac:dyDescent="0.25">
      <c r="B156" t="s">
        <v>78</v>
      </c>
      <c r="C156" t="s">
        <v>79</v>
      </c>
      <c r="D156" t="s">
        <v>2307</v>
      </c>
      <c r="E156" t="s">
        <v>2308</v>
      </c>
      <c r="F156">
        <v>45.55</v>
      </c>
      <c r="G156">
        <v>45.75</v>
      </c>
      <c r="H156">
        <v>46.1</v>
      </c>
      <c r="I156">
        <v>44.3</v>
      </c>
      <c r="J156" s="1">
        <v>44.6</v>
      </c>
      <c r="K156">
        <v>806485324.85000002</v>
      </c>
      <c r="L156">
        <v>17876731</v>
      </c>
      <c r="M156" t="s">
        <v>78</v>
      </c>
      <c r="N156" t="s">
        <v>17</v>
      </c>
      <c r="O156">
        <v>25792</v>
      </c>
      <c r="P156">
        <v>82</v>
      </c>
      <c r="Q156">
        <v>44</v>
      </c>
    </row>
    <row r="157" spans="2:17" x14ac:dyDescent="0.25">
      <c r="B157" t="s">
        <v>78</v>
      </c>
      <c r="C157" t="s">
        <v>79</v>
      </c>
      <c r="D157" t="s">
        <v>156</v>
      </c>
      <c r="E157" t="s">
        <v>157</v>
      </c>
      <c r="F157">
        <v>740.85</v>
      </c>
      <c r="G157">
        <v>745.35</v>
      </c>
      <c r="H157">
        <v>751</v>
      </c>
      <c r="I157">
        <v>731.85</v>
      </c>
      <c r="J157" s="1">
        <v>744.85</v>
      </c>
      <c r="K157">
        <v>429384545.44999999</v>
      </c>
      <c r="L157">
        <v>577254</v>
      </c>
      <c r="M157" t="s">
        <v>78</v>
      </c>
      <c r="N157" t="s">
        <v>17</v>
      </c>
      <c r="O157">
        <v>14477</v>
      </c>
      <c r="P157">
        <v>794.9</v>
      </c>
      <c r="Q157">
        <v>485</v>
      </c>
    </row>
    <row r="158" spans="2:17" x14ac:dyDescent="0.25">
      <c r="B158" t="s">
        <v>78</v>
      </c>
      <c r="C158" t="s">
        <v>79</v>
      </c>
      <c r="D158" t="s">
        <v>160</v>
      </c>
      <c r="E158" t="s">
        <v>161</v>
      </c>
      <c r="F158">
        <v>21421</v>
      </c>
      <c r="G158">
        <v>21549</v>
      </c>
      <c r="H158">
        <v>21704.6</v>
      </c>
      <c r="I158">
        <v>21000</v>
      </c>
      <c r="J158" s="1">
        <v>21145.8</v>
      </c>
      <c r="K158">
        <v>604962574.85000002</v>
      </c>
      <c r="L158">
        <v>28283</v>
      </c>
      <c r="M158" t="s">
        <v>78</v>
      </c>
      <c r="N158" t="s">
        <v>17</v>
      </c>
      <c r="O158">
        <v>12833</v>
      </c>
      <c r="P158">
        <v>22399.9</v>
      </c>
      <c r="Q158">
        <v>13100</v>
      </c>
    </row>
    <row r="159" spans="2:17" x14ac:dyDescent="0.25">
      <c r="B159" t="s">
        <v>78</v>
      </c>
      <c r="C159" t="s">
        <v>79</v>
      </c>
      <c r="D159" t="s">
        <v>268</v>
      </c>
      <c r="E159" t="s">
        <v>269</v>
      </c>
      <c r="F159">
        <v>1205.1500000000001</v>
      </c>
      <c r="G159">
        <v>1207.1500000000001</v>
      </c>
      <c r="H159">
        <v>1220.8499999999999</v>
      </c>
      <c r="I159">
        <v>1188.2</v>
      </c>
      <c r="J159" s="1">
        <v>1193.95</v>
      </c>
      <c r="K159">
        <v>329529342.75</v>
      </c>
      <c r="L159">
        <v>274853</v>
      </c>
      <c r="M159" t="s">
        <v>78</v>
      </c>
      <c r="N159" t="s">
        <v>17</v>
      </c>
      <c r="O159">
        <v>14663</v>
      </c>
      <c r="P159">
        <v>1367.05</v>
      </c>
      <c r="Q159">
        <v>850.25</v>
      </c>
    </row>
    <row r="160" spans="2:17" x14ac:dyDescent="0.25">
      <c r="B160" t="s">
        <v>78</v>
      </c>
      <c r="C160" t="s">
        <v>79</v>
      </c>
      <c r="D160" t="s">
        <v>2517</v>
      </c>
      <c r="E160" t="s">
        <v>2518</v>
      </c>
      <c r="F160">
        <v>1051</v>
      </c>
      <c r="G160">
        <v>1058.4000000000001</v>
      </c>
      <c r="H160">
        <v>1071</v>
      </c>
      <c r="I160">
        <v>1040</v>
      </c>
      <c r="J160" s="1">
        <v>1061.5999999999999</v>
      </c>
      <c r="K160">
        <v>2725347772.9000001</v>
      </c>
      <c r="L160">
        <v>2591247</v>
      </c>
      <c r="M160" t="s">
        <v>78</v>
      </c>
      <c r="N160" t="s">
        <v>17</v>
      </c>
      <c r="O160">
        <v>57064</v>
      </c>
      <c r="P160">
        <v>1477.25</v>
      </c>
      <c r="Q160">
        <v>902.3</v>
      </c>
    </row>
    <row r="161" spans="2:17" x14ac:dyDescent="0.25">
      <c r="B161" t="s">
        <v>78</v>
      </c>
      <c r="C161" t="s">
        <v>79</v>
      </c>
      <c r="D161" t="s">
        <v>274</v>
      </c>
      <c r="E161" t="s">
        <v>275</v>
      </c>
      <c r="F161">
        <v>1398.55</v>
      </c>
      <c r="G161">
        <v>1399.5</v>
      </c>
      <c r="H161">
        <v>1409</v>
      </c>
      <c r="I161">
        <v>1368</v>
      </c>
      <c r="J161" s="1">
        <v>1372.6</v>
      </c>
      <c r="K161">
        <v>336377613.5</v>
      </c>
      <c r="L161">
        <v>242634</v>
      </c>
      <c r="M161" t="s">
        <v>78</v>
      </c>
      <c r="N161" t="s">
        <v>17</v>
      </c>
      <c r="O161">
        <v>12478</v>
      </c>
      <c r="P161">
        <v>1491.4</v>
      </c>
      <c r="Q161">
        <v>1031.8</v>
      </c>
    </row>
    <row r="162" spans="2:17" x14ac:dyDescent="0.25">
      <c r="B162" t="s">
        <v>17</v>
      </c>
      <c r="C162" t="s">
        <v>79</v>
      </c>
      <c r="D162" t="s">
        <v>17</v>
      </c>
      <c r="E162" t="s">
        <v>17</v>
      </c>
      <c r="F162" t="s">
        <v>17</v>
      </c>
      <c r="G162" t="s">
        <v>17</v>
      </c>
      <c r="H162" t="s">
        <v>17</v>
      </c>
      <c r="I162" t="s">
        <v>17</v>
      </c>
      <c r="J162" s="1" t="s">
        <v>17</v>
      </c>
      <c r="K162" t="s">
        <v>17</v>
      </c>
      <c r="L162" t="s">
        <v>17</v>
      </c>
      <c r="M162" t="s">
        <v>17</v>
      </c>
      <c r="N162" t="s">
        <v>17</v>
      </c>
      <c r="O162" t="s">
        <v>17</v>
      </c>
      <c r="P162" t="s">
        <v>17</v>
      </c>
      <c r="Q162" t="s">
        <v>17</v>
      </c>
    </row>
    <row r="163" spans="2:17" x14ac:dyDescent="0.25">
      <c r="B163" t="s">
        <v>17</v>
      </c>
      <c r="C163" t="s">
        <v>79</v>
      </c>
      <c r="D163" t="s">
        <v>17</v>
      </c>
      <c r="E163" t="s">
        <v>276</v>
      </c>
      <c r="F163" t="s">
        <v>17</v>
      </c>
      <c r="G163" t="s">
        <v>17</v>
      </c>
      <c r="H163" t="s">
        <v>17</v>
      </c>
      <c r="I163" t="s">
        <v>17</v>
      </c>
      <c r="J163" s="1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  <c r="Q163" t="s">
        <v>17</v>
      </c>
    </row>
    <row r="164" spans="2:17" x14ac:dyDescent="0.25">
      <c r="B164" t="s">
        <v>78</v>
      </c>
      <c r="C164" t="s">
        <v>79</v>
      </c>
      <c r="D164" t="s">
        <v>277</v>
      </c>
      <c r="E164" t="s">
        <v>278</v>
      </c>
      <c r="F164">
        <v>36</v>
      </c>
      <c r="G164">
        <v>36.4</v>
      </c>
      <c r="H164">
        <v>36.4</v>
      </c>
      <c r="I164">
        <v>35.25</v>
      </c>
      <c r="J164" s="1">
        <v>35.4</v>
      </c>
      <c r="K164">
        <v>314834.95</v>
      </c>
      <c r="L164">
        <v>8844</v>
      </c>
      <c r="M164" t="s">
        <v>78</v>
      </c>
      <c r="N164" t="s">
        <v>17</v>
      </c>
      <c r="O164">
        <v>123</v>
      </c>
      <c r="P164">
        <v>52.9</v>
      </c>
      <c r="Q164">
        <v>32.25</v>
      </c>
    </row>
    <row r="165" spans="2:17" x14ac:dyDescent="0.25">
      <c r="B165" t="s">
        <v>78</v>
      </c>
      <c r="C165" t="s">
        <v>79</v>
      </c>
      <c r="D165" t="s">
        <v>279</v>
      </c>
      <c r="E165" t="s">
        <v>280</v>
      </c>
      <c r="F165">
        <v>16.55</v>
      </c>
      <c r="G165">
        <v>16.25</v>
      </c>
      <c r="H165">
        <v>16.55</v>
      </c>
      <c r="I165">
        <v>16.25</v>
      </c>
      <c r="J165" s="1">
        <v>16.55</v>
      </c>
      <c r="K165">
        <v>2925.3</v>
      </c>
      <c r="L165">
        <v>180</v>
      </c>
      <c r="M165" t="s">
        <v>78</v>
      </c>
      <c r="N165" t="s">
        <v>17</v>
      </c>
      <c r="O165">
        <v>5</v>
      </c>
      <c r="P165">
        <v>38</v>
      </c>
      <c r="Q165">
        <v>16.25</v>
      </c>
    </row>
    <row r="166" spans="2:17" x14ac:dyDescent="0.25">
      <c r="B166" t="s">
        <v>78</v>
      </c>
      <c r="C166" t="s">
        <v>79</v>
      </c>
      <c r="D166" t="s">
        <v>2962</v>
      </c>
      <c r="E166" t="s">
        <v>2963</v>
      </c>
      <c r="F166">
        <v>2.6</v>
      </c>
      <c r="G166">
        <v>2.6</v>
      </c>
      <c r="H166">
        <v>2.65</v>
      </c>
      <c r="I166">
        <v>2.5</v>
      </c>
      <c r="J166" s="1">
        <v>2.6</v>
      </c>
      <c r="K166">
        <v>4492136.45</v>
      </c>
      <c r="L166">
        <v>1754443</v>
      </c>
      <c r="M166" t="s">
        <v>78</v>
      </c>
      <c r="N166" t="s">
        <v>17</v>
      </c>
      <c r="O166">
        <v>755</v>
      </c>
      <c r="P166">
        <v>4.75</v>
      </c>
      <c r="Q166">
        <v>2.5</v>
      </c>
    </row>
    <row r="167" spans="2:17" x14ac:dyDescent="0.25">
      <c r="B167" t="s">
        <v>78</v>
      </c>
      <c r="C167" t="s">
        <v>79</v>
      </c>
      <c r="D167" t="s">
        <v>281</v>
      </c>
      <c r="E167" t="s">
        <v>282</v>
      </c>
      <c r="F167">
        <v>21915.85</v>
      </c>
      <c r="G167">
        <v>22054.1</v>
      </c>
      <c r="H167">
        <v>22054.1</v>
      </c>
      <c r="I167">
        <v>21730</v>
      </c>
      <c r="J167" s="1">
        <v>21884.85</v>
      </c>
      <c r="K167">
        <v>10006057.15</v>
      </c>
      <c r="L167">
        <v>458</v>
      </c>
      <c r="M167" t="s">
        <v>78</v>
      </c>
      <c r="N167" t="s">
        <v>17</v>
      </c>
      <c r="O167">
        <v>316</v>
      </c>
      <c r="P167">
        <v>26662</v>
      </c>
      <c r="Q167">
        <v>19015</v>
      </c>
    </row>
    <row r="168" spans="2:17" x14ac:dyDescent="0.25">
      <c r="B168" t="s">
        <v>78</v>
      </c>
      <c r="C168" t="s">
        <v>79</v>
      </c>
      <c r="D168" t="s">
        <v>283</v>
      </c>
      <c r="E168" t="s">
        <v>284</v>
      </c>
      <c r="F168">
        <v>7.95</v>
      </c>
      <c r="G168">
        <v>7.6</v>
      </c>
      <c r="H168">
        <v>8.1</v>
      </c>
      <c r="I168">
        <v>7.6</v>
      </c>
      <c r="J168" s="1">
        <v>7.8</v>
      </c>
      <c r="K168">
        <v>2849.8</v>
      </c>
      <c r="L168">
        <v>374</v>
      </c>
      <c r="M168" t="s">
        <v>78</v>
      </c>
      <c r="N168" t="s">
        <v>17</v>
      </c>
      <c r="O168">
        <v>13</v>
      </c>
      <c r="P168">
        <v>15.5</v>
      </c>
      <c r="Q168">
        <v>7.55</v>
      </c>
    </row>
    <row r="169" spans="2:17" x14ac:dyDescent="0.25">
      <c r="B169" t="s">
        <v>78</v>
      </c>
      <c r="C169" t="s">
        <v>79</v>
      </c>
      <c r="D169" t="s">
        <v>285</v>
      </c>
      <c r="E169" t="s">
        <v>286</v>
      </c>
      <c r="F169">
        <v>218.15</v>
      </c>
      <c r="G169">
        <v>207.25</v>
      </c>
      <c r="H169">
        <v>207.25</v>
      </c>
      <c r="I169">
        <v>207.25</v>
      </c>
      <c r="J169" s="1">
        <v>207.25</v>
      </c>
      <c r="K169">
        <v>414500</v>
      </c>
      <c r="L169">
        <v>2000</v>
      </c>
      <c r="M169" t="s">
        <v>78</v>
      </c>
      <c r="N169" t="s">
        <v>17</v>
      </c>
      <c r="O169">
        <v>58</v>
      </c>
      <c r="P169">
        <v>415</v>
      </c>
      <c r="Q169">
        <v>170.05</v>
      </c>
    </row>
    <row r="170" spans="2:17" x14ac:dyDescent="0.25">
      <c r="B170" t="s">
        <v>78</v>
      </c>
      <c r="C170" t="s">
        <v>79</v>
      </c>
      <c r="D170" t="s">
        <v>2964</v>
      </c>
      <c r="E170" t="s">
        <v>2965</v>
      </c>
      <c r="F170">
        <v>100</v>
      </c>
      <c r="G170">
        <v>102</v>
      </c>
      <c r="H170">
        <v>102.45</v>
      </c>
      <c r="I170">
        <v>95.85</v>
      </c>
      <c r="J170" s="1">
        <v>96.9</v>
      </c>
      <c r="K170">
        <v>6353633.6500000004</v>
      </c>
      <c r="L170">
        <v>64374</v>
      </c>
      <c r="M170" t="s">
        <v>78</v>
      </c>
      <c r="N170" t="s">
        <v>17</v>
      </c>
      <c r="O170">
        <v>1211</v>
      </c>
      <c r="P170">
        <v>184.75</v>
      </c>
      <c r="Q170">
        <v>62.05</v>
      </c>
    </row>
    <row r="171" spans="2:17" x14ac:dyDescent="0.25">
      <c r="B171" t="s">
        <v>78</v>
      </c>
      <c r="C171" t="s">
        <v>79</v>
      </c>
      <c r="D171" t="s">
        <v>6825</v>
      </c>
      <c r="E171" t="s">
        <v>6824</v>
      </c>
      <c r="F171">
        <v>81.55</v>
      </c>
      <c r="G171">
        <v>77.5</v>
      </c>
      <c r="H171">
        <v>77.5</v>
      </c>
      <c r="I171">
        <v>77.5</v>
      </c>
      <c r="J171" s="1">
        <v>77.5</v>
      </c>
      <c r="K171">
        <v>1466610</v>
      </c>
      <c r="L171">
        <v>18924</v>
      </c>
      <c r="M171" t="s">
        <v>78</v>
      </c>
      <c r="N171" t="s">
        <v>17</v>
      </c>
      <c r="O171">
        <v>256</v>
      </c>
      <c r="P171">
        <v>392.5</v>
      </c>
      <c r="Q171">
        <v>55.4</v>
      </c>
    </row>
    <row r="172" spans="2:17" x14ac:dyDescent="0.25">
      <c r="B172" t="s">
        <v>78</v>
      </c>
      <c r="C172" t="s">
        <v>79</v>
      </c>
      <c r="D172" t="s">
        <v>2966</v>
      </c>
      <c r="E172" t="s">
        <v>2967</v>
      </c>
      <c r="F172">
        <v>10</v>
      </c>
      <c r="G172">
        <v>10.4</v>
      </c>
      <c r="H172">
        <v>10.4</v>
      </c>
      <c r="I172">
        <v>9.75</v>
      </c>
      <c r="J172" s="1">
        <v>9.9</v>
      </c>
      <c r="K172">
        <v>1824588.15</v>
      </c>
      <c r="L172">
        <v>183889</v>
      </c>
      <c r="M172" t="s">
        <v>78</v>
      </c>
      <c r="N172" t="s">
        <v>17</v>
      </c>
      <c r="O172">
        <v>482</v>
      </c>
      <c r="P172">
        <v>25.5</v>
      </c>
      <c r="Q172">
        <v>8.15</v>
      </c>
    </row>
    <row r="173" spans="2:17" x14ac:dyDescent="0.25">
      <c r="B173" t="s">
        <v>78</v>
      </c>
      <c r="C173" t="s">
        <v>287</v>
      </c>
      <c r="D173" t="s">
        <v>2968</v>
      </c>
      <c r="E173" t="s">
        <v>2969</v>
      </c>
      <c r="F173">
        <v>48.5</v>
      </c>
      <c r="G173">
        <v>46.65</v>
      </c>
      <c r="H173">
        <v>46.65</v>
      </c>
      <c r="I173">
        <v>45</v>
      </c>
      <c r="J173" s="1">
        <v>46.65</v>
      </c>
      <c r="K173">
        <v>414900</v>
      </c>
      <c r="L173">
        <v>9000</v>
      </c>
      <c r="M173" t="s">
        <v>78</v>
      </c>
      <c r="N173" t="s">
        <v>17</v>
      </c>
      <c r="O173">
        <v>3</v>
      </c>
      <c r="P173">
        <v>51.5</v>
      </c>
      <c r="Q173">
        <v>35.65</v>
      </c>
    </row>
    <row r="174" spans="2:17" x14ac:dyDescent="0.25">
      <c r="B174" t="s">
        <v>78</v>
      </c>
      <c r="C174" t="s">
        <v>79</v>
      </c>
      <c r="D174" t="s">
        <v>292</v>
      </c>
      <c r="E174" t="s">
        <v>293</v>
      </c>
      <c r="F174">
        <v>496.2</v>
      </c>
      <c r="G174">
        <v>496</v>
      </c>
      <c r="H174">
        <v>500</v>
      </c>
      <c r="I174">
        <v>480.75</v>
      </c>
      <c r="J174" s="1">
        <v>486.2</v>
      </c>
      <c r="K174">
        <v>3432403.55</v>
      </c>
      <c r="L174">
        <v>7066</v>
      </c>
      <c r="M174" t="s">
        <v>78</v>
      </c>
      <c r="N174" t="s">
        <v>17</v>
      </c>
      <c r="O174">
        <v>472</v>
      </c>
      <c r="P174">
        <v>707</v>
      </c>
      <c r="Q174">
        <v>475</v>
      </c>
    </row>
    <row r="175" spans="2:17" x14ac:dyDescent="0.25">
      <c r="B175" t="s">
        <v>78</v>
      </c>
      <c r="C175" t="s">
        <v>79</v>
      </c>
      <c r="D175" t="s">
        <v>294</v>
      </c>
      <c r="E175" t="s">
        <v>295</v>
      </c>
      <c r="F175">
        <v>1679.2</v>
      </c>
      <c r="G175">
        <v>1695</v>
      </c>
      <c r="H175">
        <v>1695</v>
      </c>
      <c r="I175">
        <v>1600</v>
      </c>
      <c r="J175" s="1">
        <v>1638.7</v>
      </c>
      <c r="K175">
        <v>218120008.19999999</v>
      </c>
      <c r="L175">
        <v>131464</v>
      </c>
      <c r="M175" t="s">
        <v>78</v>
      </c>
      <c r="N175" t="s">
        <v>17</v>
      </c>
      <c r="O175">
        <v>6365</v>
      </c>
      <c r="P175">
        <v>1899</v>
      </c>
      <c r="Q175">
        <v>1100</v>
      </c>
    </row>
    <row r="176" spans="2:17" x14ac:dyDescent="0.25">
      <c r="B176" t="s">
        <v>78</v>
      </c>
      <c r="C176" t="s">
        <v>79</v>
      </c>
      <c r="D176" t="s">
        <v>2970</v>
      </c>
      <c r="E176" t="s">
        <v>2971</v>
      </c>
      <c r="F176">
        <v>17.350000000000001</v>
      </c>
      <c r="G176">
        <v>17.45</v>
      </c>
      <c r="H176">
        <v>17.5</v>
      </c>
      <c r="I176">
        <v>16</v>
      </c>
      <c r="J176" s="1">
        <v>16.899999999999999</v>
      </c>
      <c r="K176">
        <v>117101</v>
      </c>
      <c r="L176">
        <v>6994</v>
      </c>
      <c r="M176" t="s">
        <v>78</v>
      </c>
      <c r="N176" t="s">
        <v>17</v>
      </c>
      <c r="O176">
        <v>175</v>
      </c>
      <c r="P176">
        <v>37.9</v>
      </c>
      <c r="Q176">
        <v>16</v>
      </c>
    </row>
    <row r="177" spans="2:17" x14ac:dyDescent="0.25">
      <c r="B177" t="s">
        <v>78</v>
      </c>
      <c r="C177" t="s">
        <v>79</v>
      </c>
      <c r="D177" t="s">
        <v>300</v>
      </c>
      <c r="E177" t="s">
        <v>301</v>
      </c>
      <c r="F177">
        <v>1491.6</v>
      </c>
      <c r="G177">
        <v>1511.7</v>
      </c>
      <c r="H177">
        <v>1512.5</v>
      </c>
      <c r="I177">
        <v>1488</v>
      </c>
      <c r="J177" s="1">
        <v>1493.05</v>
      </c>
      <c r="K177">
        <v>29165539.550000001</v>
      </c>
      <c r="L177">
        <v>19509</v>
      </c>
      <c r="M177" t="s">
        <v>78</v>
      </c>
      <c r="N177" t="s">
        <v>17</v>
      </c>
      <c r="O177">
        <v>2464</v>
      </c>
      <c r="P177">
        <v>1563.5</v>
      </c>
      <c r="Q177">
        <v>612.25</v>
      </c>
    </row>
    <row r="178" spans="2:17" x14ac:dyDescent="0.25">
      <c r="B178" t="s">
        <v>78</v>
      </c>
      <c r="C178" t="s">
        <v>79</v>
      </c>
      <c r="D178" t="s">
        <v>2972</v>
      </c>
      <c r="E178" t="s">
        <v>2973</v>
      </c>
      <c r="F178">
        <v>35.25</v>
      </c>
      <c r="G178">
        <v>36.799999999999997</v>
      </c>
      <c r="H178">
        <v>36.799999999999997</v>
      </c>
      <c r="I178">
        <v>33.799999999999997</v>
      </c>
      <c r="J178" s="1">
        <v>34.35</v>
      </c>
      <c r="K178">
        <v>2217378.75</v>
      </c>
      <c r="L178">
        <v>64589</v>
      </c>
      <c r="M178" t="s">
        <v>78</v>
      </c>
      <c r="N178" t="s">
        <v>17</v>
      </c>
      <c r="O178">
        <v>884</v>
      </c>
      <c r="P178">
        <v>122.5</v>
      </c>
      <c r="Q178">
        <v>33.799999999999997</v>
      </c>
    </row>
    <row r="179" spans="2:17" x14ac:dyDescent="0.25">
      <c r="B179" t="s">
        <v>78</v>
      </c>
      <c r="C179" t="s">
        <v>79</v>
      </c>
      <c r="D179" t="s">
        <v>181</v>
      </c>
      <c r="E179" t="s">
        <v>182</v>
      </c>
      <c r="F179">
        <v>8552.2000000000007</v>
      </c>
      <c r="G179">
        <v>8556</v>
      </c>
      <c r="H179">
        <v>8645</v>
      </c>
      <c r="I179">
        <v>8500</v>
      </c>
      <c r="J179" s="1">
        <v>8572.7999999999993</v>
      </c>
      <c r="K179">
        <v>44885245.649999999</v>
      </c>
      <c r="L179">
        <v>5249</v>
      </c>
      <c r="M179" t="s">
        <v>78</v>
      </c>
      <c r="N179" t="s">
        <v>17</v>
      </c>
      <c r="O179">
        <v>875</v>
      </c>
      <c r="P179">
        <v>9000.65</v>
      </c>
      <c r="Q179">
        <v>6900</v>
      </c>
    </row>
    <row r="180" spans="2:17" x14ac:dyDescent="0.25">
      <c r="B180" t="s">
        <v>78</v>
      </c>
      <c r="C180" t="s">
        <v>79</v>
      </c>
      <c r="D180" t="s">
        <v>304</v>
      </c>
      <c r="E180" t="s">
        <v>305</v>
      </c>
      <c r="F180">
        <v>89.05</v>
      </c>
      <c r="G180">
        <v>90.4</v>
      </c>
      <c r="H180">
        <v>90.4</v>
      </c>
      <c r="I180">
        <v>86.8</v>
      </c>
      <c r="J180" s="1">
        <v>87.2</v>
      </c>
      <c r="K180">
        <v>119189708.55</v>
      </c>
      <c r="L180">
        <v>1354521</v>
      </c>
      <c r="M180" t="s">
        <v>78</v>
      </c>
      <c r="N180" t="s">
        <v>17</v>
      </c>
      <c r="O180">
        <v>11803</v>
      </c>
      <c r="P180">
        <v>152.4</v>
      </c>
      <c r="Q180">
        <v>77.5</v>
      </c>
    </row>
    <row r="181" spans="2:17" x14ac:dyDescent="0.25">
      <c r="B181" t="s">
        <v>78</v>
      </c>
      <c r="C181" t="s">
        <v>79</v>
      </c>
      <c r="D181" t="s">
        <v>306</v>
      </c>
      <c r="E181" t="s">
        <v>307</v>
      </c>
      <c r="F181">
        <v>203.05</v>
      </c>
      <c r="G181">
        <v>203.1</v>
      </c>
      <c r="H181">
        <v>209</v>
      </c>
      <c r="I181">
        <v>199.55</v>
      </c>
      <c r="J181" s="1">
        <v>205.85</v>
      </c>
      <c r="K181">
        <v>53677583.100000001</v>
      </c>
      <c r="L181">
        <v>264491</v>
      </c>
      <c r="M181" t="s">
        <v>78</v>
      </c>
      <c r="N181" t="s">
        <v>17</v>
      </c>
      <c r="O181">
        <v>5512</v>
      </c>
      <c r="P181">
        <v>236.9</v>
      </c>
      <c r="Q181">
        <v>132.1</v>
      </c>
    </row>
    <row r="182" spans="2:17" x14ac:dyDescent="0.25">
      <c r="B182" t="s">
        <v>78</v>
      </c>
      <c r="C182" t="s">
        <v>79</v>
      </c>
      <c r="D182" t="s">
        <v>312</v>
      </c>
      <c r="E182" t="s">
        <v>313</v>
      </c>
      <c r="F182">
        <v>820.65</v>
      </c>
      <c r="G182">
        <v>821</v>
      </c>
      <c r="H182">
        <v>834</v>
      </c>
      <c r="I182">
        <v>801</v>
      </c>
      <c r="J182" s="1">
        <v>804.65</v>
      </c>
      <c r="K182">
        <v>2935764.05</v>
      </c>
      <c r="L182">
        <v>3631</v>
      </c>
      <c r="M182" t="s">
        <v>78</v>
      </c>
      <c r="N182" t="s">
        <v>17</v>
      </c>
      <c r="O182">
        <v>405</v>
      </c>
      <c r="P182">
        <v>1112.4000000000001</v>
      </c>
      <c r="Q182">
        <v>801</v>
      </c>
    </row>
    <row r="183" spans="2:17" x14ac:dyDescent="0.25">
      <c r="B183" t="s">
        <v>78</v>
      </c>
      <c r="C183" t="s">
        <v>287</v>
      </c>
      <c r="D183" t="s">
        <v>314</v>
      </c>
      <c r="E183" t="s">
        <v>315</v>
      </c>
      <c r="F183">
        <v>40</v>
      </c>
      <c r="G183">
        <v>38</v>
      </c>
      <c r="H183">
        <v>38</v>
      </c>
      <c r="I183">
        <v>38</v>
      </c>
      <c r="J183" s="1">
        <v>38</v>
      </c>
      <c r="K183">
        <v>60800</v>
      </c>
      <c r="L183">
        <v>1600</v>
      </c>
      <c r="M183" t="s">
        <v>78</v>
      </c>
      <c r="N183" t="s">
        <v>17</v>
      </c>
      <c r="O183">
        <v>1</v>
      </c>
      <c r="P183">
        <v>107.85</v>
      </c>
      <c r="Q183">
        <v>38</v>
      </c>
    </row>
    <row r="184" spans="2:17" x14ac:dyDescent="0.25">
      <c r="B184" t="s">
        <v>78</v>
      </c>
      <c r="C184" t="s">
        <v>79</v>
      </c>
      <c r="D184" t="s">
        <v>316</v>
      </c>
      <c r="E184" t="s">
        <v>317</v>
      </c>
      <c r="F184">
        <v>82.8</v>
      </c>
      <c r="G184">
        <v>83</v>
      </c>
      <c r="H184">
        <v>83.8</v>
      </c>
      <c r="I184">
        <v>79.5</v>
      </c>
      <c r="J184" s="1">
        <v>79.900000000000006</v>
      </c>
      <c r="K184">
        <v>6940886.5999999996</v>
      </c>
      <c r="L184">
        <v>85278</v>
      </c>
      <c r="M184" t="s">
        <v>78</v>
      </c>
      <c r="N184" t="s">
        <v>17</v>
      </c>
      <c r="O184">
        <v>902</v>
      </c>
      <c r="P184">
        <v>159.5</v>
      </c>
      <c r="Q184">
        <v>71.25</v>
      </c>
    </row>
    <row r="185" spans="2:17" x14ac:dyDescent="0.25">
      <c r="B185" t="s">
        <v>78</v>
      </c>
      <c r="C185" t="s">
        <v>79</v>
      </c>
      <c r="D185" t="s">
        <v>320</v>
      </c>
      <c r="E185" t="s">
        <v>321</v>
      </c>
      <c r="F185">
        <v>134.19999999999999</v>
      </c>
      <c r="G185">
        <v>134.25</v>
      </c>
      <c r="H185">
        <v>135.19999999999999</v>
      </c>
      <c r="I185">
        <v>130.30000000000001</v>
      </c>
      <c r="J185" s="1">
        <v>131.4</v>
      </c>
      <c r="K185">
        <v>561481118.64999998</v>
      </c>
      <c r="L185">
        <v>4256095</v>
      </c>
      <c r="M185" t="s">
        <v>78</v>
      </c>
      <c r="N185" t="s">
        <v>17</v>
      </c>
      <c r="O185">
        <v>27023</v>
      </c>
      <c r="P185">
        <v>236.65</v>
      </c>
      <c r="Q185">
        <v>113</v>
      </c>
    </row>
    <row r="186" spans="2:17" x14ac:dyDescent="0.25">
      <c r="B186" t="s">
        <v>78</v>
      </c>
      <c r="C186" t="s">
        <v>79</v>
      </c>
      <c r="D186" t="s">
        <v>6823</v>
      </c>
      <c r="E186" t="s">
        <v>6822</v>
      </c>
      <c r="F186">
        <v>169.95</v>
      </c>
      <c r="G186">
        <v>170.1</v>
      </c>
      <c r="H186">
        <v>171.9</v>
      </c>
      <c r="I186">
        <v>163.5</v>
      </c>
      <c r="J186" s="1">
        <v>164.25</v>
      </c>
      <c r="K186">
        <v>90072689.950000003</v>
      </c>
      <c r="L186">
        <v>540401</v>
      </c>
      <c r="M186" t="s">
        <v>78</v>
      </c>
      <c r="N186" t="s">
        <v>17</v>
      </c>
      <c r="O186">
        <v>7651</v>
      </c>
      <c r="P186">
        <v>184.15</v>
      </c>
      <c r="Q186">
        <v>72</v>
      </c>
    </row>
    <row r="187" spans="2:17" x14ac:dyDescent="0.25">
      <c r="B187" t="s">
        <v>78</v>
      </c>
      <c r="C187" t="s">
        <v>79</v>
      </c>
      <c r="D187" t="s">
        <v>2974</v>
      </c>
      <c r="E187" t="s">
        <v>2975</v>
      </c>
      <c r="F187">
        <v>47.5</v>
      </c>
      <c r="G187">
        <v>48</v>
      </c>
      <c r="H187">
        <v>48.15</v>
      </c>
      <c r="I187">
        <v>45.2</v>
      </c>
      <c r="J187" s="1">
        <v>45.8</v>
      </c>
      <c r="K187">
        <v>54616578.649999999</v>
      </c>
      <c r="L187">
        <v>1180434</v>
      </c>
      <c r="M187" t="s">
        <v>78</v>
      </c>
      <c r="N187" t="s">
        <v>17</v>
      </c>
      <c r="O187">
        <v>5064</v>
      </c>
      <c r="P187">
        <v>73.3</v>
      </c>
      <c r="Q187">
        <v>28.1</v>
      </c>
    </row>
    <row r="188" spans="2:17" x14ac:dyDescent="0.25">
      <c r="B188" t="s">
        <v>78</v>
      </c>
      <c r="C188" t="s">
        <v>79</v>
      </c>
      <c r="D188" t="s">
        <v>2976</v>
      </c>
      <c r="E188" t="s">
        <v>2977</v>
      </c>
      <c r="F188">
        <v>62.7</v>
      </c>
      <c r="G188">
        <v>62.7</v>
      </c>
      <c r="H188">
        <v>62.8</v>
      </c>
      <c r="I188">
        <v>59.9</v>
      </c>
      <c r="J188" s="1">
        <v>60.95</v>
      </c>
      <c r="K188">
        <v>933988963.85000002</v>
      </c>
      <c r="L188">
        <v>15192321</v>
      </c>
      <c r="M188" t="s">
        <v>78</v>
      </c>
      <c r="N188" t="s">
        <v>17</v>
      </c>
      <c r="O188">
        <v>35216</v>
      </c>
      <c r="P188">
        <v>68.75</v>
      </c>
      <c r="Q188">
        <v>18.850000000000001</v>
      </c>
    </row>
    <row r="189" spans="2:17" x14ac:dyDescent="0.25">
      <c r="B189" t="s">
        <v>78</v>
      </c>
      <c r="C189" t="s">
        <v>79</v>
      </c>
      <c r="D189" t="s">
        <v>2978</v>
      </c>
      <c r="E189" t="s">
        <v>2979</v>
      </c>
      <c r="F189">
        <v>214</v>
      </c>
      <c r="G189">
        <v>215.3</v>
      </c>
      <c r="H189">
        <v>217.8</v>
      </c>
      <c r="I189">
        <v>209.05</v>
      </c>
      <c r="J189" s="1">
        <v>210.35</v>
      </c>
      <c r="K189">
        <v>9359907.3000000007</v>
      </c>
      <c r="L189">
        <v>44097</v>
      </c>
      <c r="M189" t="s">
        <v>78</v>
      </c>
      <c r="N189" t="s">
        <v>17</v>
      </c>
      <c r="O189">
        <v>1370</v>
      </c>
      <c r="P189">
        <v>256.3</v>
      </c>
      <c r="Q189">
        <v>141</v>
      </c>
    </row>
    <row r="190" spans="2:17" x14ac:dyDescent="0.25">
      <c r="B190" t="s">
        <v>78</v>
      </c>
      <c r="C190" t="s">
        <v>79</v>
      </c>
      <c r="D190" t="s">
        <v>322</v>
      </c>
      <c r="E190" t="s">
        <v>323</v>
      </c>
      <c r="F190">
        <v>273.60000000000002</v>
      </c>
      <c r="G190">
        <v>271</v>
      </c>
      <c r="H190">
        <v>275.14999999999998</v>
      </c>
      <c r="I190">
        <v>265</v>
      </c>
      <c r="J190" s="1">
        <v>266.7</v>
      </c>
      <c r="K190">
        <v>3982634.95</v>
      </c>
      <c r="L190">
        <v>14860</v>
      </c>
      <c r="M190" t="s">
        <v>78</v>
      </c>
      <c r="N190" t="s">
        <v>17</v>
      </c>
      <c r="O190">
        <v>574</v>
      </c>
      <c r="P190">
        <v>305</v>
      </c>
      <c r="Q190">
        <v>192.3</v>
      </c>
    </row>
    <row r="191" spans="2:17" x14ac:dyDescent="0.25">
      <c r="B191" t="s">
        <v>78</v>
      </c>
      <c r="C191" t="s">
        <v>79</v>
      </c>
      <c r="D191" t="s">
        <v>6821</v>
      </c>
      <c r="E191" t="s">
        <v>6820</v>
      </c>
      <c r="F191">
        <v>1.1499999999999999</v>
      </c>
      <c r="G191">
        <v>1.1000000000000001</v>
      </c>
      <c r="H191">
        <v>1.2</v>
      </c>
      <c r="I191">
        <v>1.1000000000000001</v>
      </c>
      <c r="J191" s="1">
        <v>1.1000000000000001</v>
      </c>
      <c r="K191">
        <v>153732.5</v>
      </c>
      <c r="L191">
        <v>138719</v>
      </c>
      <c r="M191" t="s">
        <v>78</v>
      </c>
      <c r="N191" t="s">
        <v>17</v>
      </c>
      <c r="O191">
        <v>76</v>
      </c>
      <c r="P191">
        <v>4.3</v>
      </c>
      <c r="Q191">
        <v>1.1000000000000001</v>
      </c>
    </row>
    <row r="192" spans="2:17" x14ac:dyDescent="0.25">
      <c r="B192" t="s">
        <v>78</v>
      </c>
      <c r="C192" t="s">
        <v>79</v>
      </c>
      <c r="D192" t="s">
        <v>6819</v>
      </c>
      <c r="E192" t="s">
        <v>6818</v>
      </c>
      <c r="F192">
        <v>86.05</v>
      </c>
      <c r="G192">
        <v>86.5</v>
      </c>
      <c r="H192">
        <v>87.75</v>
      </c>
      <c r="I192">
        <v>86</v>
      </c>
      <c r="J192" s="1">
        <v>86.75</v>
      </c>
      <c r="K192">
        <v>1031513.95</v>
      </c>
      <c r="L192">
        <v>11890</v>
      </c>
      <c r="M192" t="s">
        <v>78</v>
      </c>
      <c r="N192" t="s">
        <v>17</v>
      </c>
      <c r="O192">
        <v>114</v>
      </c>
      <c r="P192">
        <v>93.8</v>
      </c>
      <c r="Q192">
        <v>35.5</v>
      </c>
    </row>
    <row r="193" spans="2:17" x14ac:dyDescent="0.25">
      <c r="B193" t="s">
        <v>78</v>
      </c>
      <c r="C193" t="s">
        <v>79</v>
      </c>
      <c r="D193" t="s">
        <v>6817</v>
      </c>
      <c r="E193" t="s">
        <v>6816</v>
      </c>
      <c r="F193">
        <v>4.55</v>
      </c>
      <c r="G193">
        <v>4.7</v>
      </c>
      <c r="H193">
        <v>4.7</v>
      </c>
      <c r="I193">
        <v>4.3499999999999996</v>
      </c>
      <c r="J193" s="1">
        <v>4.45</v>
      </c>
      <c r="K193">
        <v>486693.25</v>
      </c>
      <c r="L193">
        <v>109864</v>
      </c>
      <c r="M193" t="s">
        <v>78</v>
      </c>
      <c r="N193" t="s">
        <v>17</v>
      </c>
      <c r="O193">
        <v>335</v>
      </c>
      <c r="P193">
        <v>38.700000000000003</v>
      </c>
      <c r="Q193">
        <v>3.65</v>
      </c>
    </row>
    <row r="194" spans="2:17" x14ac:dyDescent="0.25">
      <c r="B194" t="s">
        <v>78</v>
      </c>
      <c r="C194" t="s">
        <v>79</v>
      </c>
      <c r="D194" t="s">
        <v>324</v>
      </c>
      <c r="E194" t="s">
        <v>325</v>
      </c>
      <c r="F194">
        <v>320.25</v>
      </c>
      <c r="G194">
        <v>319.95</v>
      </c>
      <c r="H194">
        <v>320.25</v>
      </c>
      <c r="I194">
        <v>310.10000000000002</v>
      </c>
      <c r="J194" s="1">
        <v>311.89999999999998</v>
      </c>
      <c r="K194">
        <v>787282.6</v>
      </c>
      <c r="L194">
        <v>2515</v>
      </c>
      <c r="M194" t="s">
        <v>78</v>
      </c>
      <c r="N194" t="s">
        <v>17</v>
      </c>
      <c r="O194">
        <v>194</v>
      </c>
      <c r="P194">
        <v>444.8</v>
      </c>
      <c r="Q194">
        <v>266.10000000000002</v>
      </c>
    </row>
    <row r="195" spans="2:17" x14ac:dyDescent="0.25">
      <c r="B195" t="s">
        <v>78</v>
      </c>
      <c r="C195" t="s">
        <v>79</v>
      </c>
      <c r="D195" t="s">
        <v>2982</v>
      </c>
      <c r="E195" t="s">
        <v>2983</v>
      </c>
      <c r="F195">
        <v>9</v>
      </c>
      <c r="G195">
        <v>8.8000000000000007</v>
      </c>
      <c r="H195">
        <v>9.4</v>
      </c>
      <c r="I195">
        <v>8.5500000000000007</v>
      </c>
      <c r="J195" s="1">
        <v>9.35</v>
      </c>
      <c r="K195">
        <v>118051.9</v>
      </c>
      <c r="L195">
        <v>13211</v>
      </c>
      <c r="M195" t="s">
        <v>78</v>
      </c>
      <c r="N195" t="s">
        <v>17</v>
      </c>
      <c r="O195">
        <v>29</v>
      </c>
      <c r="P195">
        <v>37.9</v>
      </c>
      <c r="Q195">
        <v>8.5500000000000007</v>
      </c>
    </row>
    <row r="196" spans="2:17" x14ac:dyDescent="0.25">
      <c r="B196" t="s">
        <v>78</v>
      </c>
      <c r="C196" t="s">
        <v>79</v>
      </c>
      <c r="D196" t="s">
        <v>326</v>
      </c>
      <c r="E196" t="s">
        <v>327</v>
      </c>
      <c r="F196">
        <v>13.3</v>
      </c>
      <c r="G196">
        <v>13.15</v>
      </c>
      <c r="H196">
        <v>13.5</v>
      </c>
      <c r="I196">
        <v>12.75</v>
      </c>
      <c r="J196" s="1">
        <v>13.15</v>
      </c>
      <c r="K196">
        <v>169586.45</v>
      </c>
      <c r="L196">
        <v>12956</v>
      </c>
      <c r="M196" t="s">
        <v>78</v>
      </c>
      <c r="N196" t="s">
        <v>17</v>
      </c>
      <c r="O196">
        <v>95</v>
      </c>
      <c r="P196">
        <v>19.2</v>
      </c>
      <c r="Q196">
        <v>10</v>
      </c>
    </row>
    <row r="197" spans="2:17" x14ac:dyDescent="0.25">
      <c r="B197" t="s">
        <v>78</v>
      </c>
      <c r="C197" t="s">
        <v>79</v>
      </c>
      <c r="D197" t="s">
        <v>328</v>
      </c>
      <c r="E197" t="s">
        <v>329</v>
      </c>
      <c r="F197">
        <v>56.15</v>
      </c>
      <c r="G197">
        <v>55.4</v>
      </c>
      <c r="H197">
        <v>57.15</v>
      </c>
      <c r="I197">
        <v>54.05</v>
      </c>
      <c r="J197" s="1">
        <v>55.9</v>
      </c>
      <c r="K197">
        <v>298927.84999999998</v>
      </c>
      <c r="L197">
        <v>5411</v>
      </c>
      <c r="M197" t="s">
        <v>78</v>
      </c>
      <c r="N197" t="s">
        <v>17</v>
      </c>
      <c r="O197">
        <v>102</v>
      </c>
      <c r="P197">
        <v>78.2</v>
      </c>
      <c r="Q197">
        <v>41.45</v>
      </c>
    </row>
    <row r="198" spans="2:17" x14ac:dyDescent="0.25">
      <c r="B198" t="s">
        <v>78</v>
      </c>
      <c r="C198" t="s">
        <v>79</v>
      </c>
      <c r="D198" t="s">
        <v>330</v>
      </c>
      <c r="E198" t="s">
        <v>331</v>
      </c>
      <c r="F198">
        <v>160.94999999999999</v>
      </c>
      <c r="G198">
        <v>161.6</v>
      </c>
      <c r="H198">
        <v>161.69999999999999</v>
      </c>
      <c r="I198">
        <v>159</v>
      </c>
      <c r="J198" s="1">
        <v>159.4</v>
      </c>
      <c r="K198">
        <v>7066898.1500000004</v>
      </c>
      <c r="L198">
        <v>44198</v>
      </c>
      <c r="M198" t="s">
        <v>78</v>
      </c>
      <c r="N198" t="s">
        <v>17</v>
      </c>
      <c r="O198">
        <v>1896</v>
      </c>
      <c r="P198">
        <v>232.9</v>
      </c>
      <c r="Q198">
        <v>146.80000000000001</v>
      </c>
    </row>
    <row r="199" spans="2:17" x14ac:dyDescent="0.25">
      <c r="B199" t="s">
        <v>78</v>
      </c>
      <c r="C199" t="s">
        <v>79</v>
      </c>
      <c r="D199" t="s">
        <v>332</v>
      </c>
      <c r="E199" t="s">
        <v>333</v>
      </c>
      <c r="F199">
        <v>205</v>
      </c>
      <c r="G199">
        <v>205.1</v>
      </c>
      <c r="H199">
        <v>206.5</v>
      </c>
      <c r="I199">
        <v>200</v>
      </c>
      <c r="J199" s="1">
        <v>202.85</v>
      </c>
      <c r="K199">
        <v>8806475.5999999996</v>
      </c>
      <c r="L199">
        <v>43496</v>
      </c>
      <c r="M199" t="s">
        <v>78</v>
      </c>
      <c r="N199" t="s">
        <v>183</v>
      </c>
      <c r="O199">
        <v>4288</v>
      </c>
      <c r="P199">
        <v>251.95</v>
      </c>
      <c r="Q199">
        <v>170</v>
      </c>
    </row>
    <row r="200" spans="2:17" x14ac:dyDescent="0.25">
      <c r="B200" t="s">
        <v>78</v>
      </c>
      <c r="C200" t="s">
        <v>79</v>
      </c>
      <c r="D200" t="s">
        <v>334</v>
      </c>
      <c r="E200" t="s">
        <v>335</v>
      </c>
      <c r="F200">
        <v>118.15</v>
      </c>
      <c r="G200">
        <v>119</v>
      </c>
      <c r="H200">
        <v>122</v>
      </c>
      <c r="I200">
        <v>115.1</v>
      </c>
      <c r="J200" s="1">
        <v>119.55</v>
      </c>
      <c r="K200">
        <v>2558518.65</v>
      </c>
      <c r="L200">
        <v>21526</v>
      </c>
      <c r="M200" t="s">
        <v>78</v>
      </c>
      <c r="N200" t="s">
        <v>17</v>
      </c>
      <c r="O200">
        <v>134</v>
      </c>
      <c r="P200">
        <v>360</v>
      </c>
      <c r="Q200">
        <v>100.5</v>
      </c>
    </row>
    <row r="201" spans="2:17" x14ac:dyDescent="0.25">
      <c r="B201" t="s">
        <v>78</v>
      </c>
      <c r="C201" t="s">
        <v>79</v>
      </c>
      <c r="D201" t="s">
        <v>2986</v>
      </c>
      <c r="E201" t="s">
        <v>2987</v>
      </c>
      <c r="F201">
        <v>105</v>
      </c>
      <c r="G201">
        <v>101.8</v>
      </c>
      <c r="H201">
        <v>103.35</v>
      </c>
      <c r="I201">
        <v>100.35</v>
      </c>
      <c r="J201" s="1">
        <v>102</v>
      </c>
      <c r="K201">
        <v>464506.55</v>
      </c>
      <c r="L201">
        <v>4536</v>
      </c>
      <c r="M201" t="s">
        <v>78</v>
      </c>
      <c r="N201" t="s">
        <v>17</v>
      </c>
      <c r="O201">
        <v>68</v>
      </c>
      <c r="P201">
        <v>128.44999999999999</v>
      </c>
      <c r="Q201">
        <v>49.1</v>
      </c>
    </row>
    <row r="202" spans="2:17" x14ac:dyDescent="0.25">
      <c r="B202" t="s">
        <v>78</v>
      </c>
      <c r="C202" t="s">
        <v>79</v>
      </c>
      <c r="D202" t="s">
        <v>6815</v>
      </c>
      <c r="E202" t="s">
        <v>6814</v>
      </c>
      <c r="F202">
        <v>51.2</v>
      </c>
      <c r="G202">
        <v>50</v>
      </c>
      <c r="H202">
        <v>52.9</v>
      </c>
      <c r="I202">
        <v>49.5</v>
      </c>
      <c r="J202" s="1">
        <v>51.05</v>
      </c>
      <c r="K202">
        <v>93809.05</v>
      </c>
      <c r="L202">
        <v>1848</v>
      </c>
      <c r="M202" t="s">
        <v>78</v>
      </c>
      <c r="N202" t="s">
        <v>17</v>
      </c>
      <c r="O202">
        <v>53</v>
      </c>
      <c r="P202">
        <v>92.5</v>
      </c>
      <c r="Q202">
        <v>48.2</v>
      </c>
    </row>
    <row r="203" spans="2:17" x14ac:dyDescent="0.25">
      <c r="B203" t="s">
        <v>78</v>
      </c>
      <c r="C203" t="s">
        <v>79</v>
      </c>
      <c r="D203" t="s">
        <v>336</v>
      </c>
      <c r="E203" t="s">
        <v>337</v>
      </c>
      <c r="F203">
        <v>51.75</v>
      </c>
      <c r="G203">
        <v>51.3</v>
      </c>
      <c r="H203">
        <v>53.5</v>
      </c>
      <c r="I203">
        <v>50.3</v>
      </c>
      <c r="J203" s="1">
        <v>51.65</v>
      </c>
      <c r="K203">
        <v>491980.75</v>
      </c>
      <c r="L203">
        <v>9535</v>
      </c>
      <c r="M203" t="s">
        <v>78</v>
      </c>
      <c r="N203" t="s">
        <v>17</v>
      </c>
      <c r="O203">
        <v>236</v>
      </c>
      <c r="P203">
        <v>103.7</v>
      </c>
      <c r="Q203">
        <v>46.65</v>
      </c>
    </row>
    <row r="204" spans="2:17" x14ac:dyDescent="0.25">
      <c r="B204" t="s">
        <v>78</v>
      </c>
      <c r="C204" t="s">
        <v>287</v>
      </c>
      <c r="D204" t="s">
        <v>6813</v>
      </c>
      <c r="E204" t="s">
        <v>6812</v>
      </c>
      <c r="F204">
        <v>31.6</v>
      </c>
      <c r="G204">
        <v>31.45</v>
      </c>
      <c r="H204">
        <v>31.45</v>
      </c>
      <c r="I204">
        <v>31.45</v>
      </c>
      <c r="J204" s="1">
        <v>31.45</v>
      </c>
      <c r="K204">
        <v>188700</v>
      </c>
      <c r="L204">
        <v>6000</v>
      </c>
      <c r="M204" t="s">
        <v>78</v>
      </c>
      <c r="N204" t="s">
        <v>17</v>
      </c>
      <c r="O204">
        <v>1</v>
      </c>
      <c r="P204">
        <v>31.6</v>
      </c>
      <c r="Q204">
        <v>18.399999999999999</v>
      </c>
    </row>
    <row r="205" spans="2:17" x14ac:dyDescent="0.25">
      <c r="B205" t="s">
        <v>78</v>
      </c>
      <c r="C205" t="s">
        <v>287</v>
      </c>
      <c r="D205" t="s">
        <v>340</v>
      </c>
      <c r="E205" t="s">
        <v>341</v>
      </c>
      <c r="F205">
        <v>65</v>
      </c>
      <c r="G205">
        <v>65.75</v>
      </c>
      <c r="H205">
        <v>65.75</v>
      </c>
      <c r="I205">
        <v>60.1</v>
      </c>
      <c r="J205" s="1">
        <v>60.4</v>
      </c>
      <c r="K205">
        <v>1402650</v>
      </c>
      <c r="L205">
        <v>22000</v>
      </c>
      <c r="M205" t="s">
        <v>78</v>
      </c>
      <c r="N205" t="s">
        <v>17</v>
      </c>
      <c r="O205">
        <v>8</v>
      </c>
      <c r="P205">
        <v>153</v>
      </c>
      <c r="Q205">
        <v>60.1</v>
      </c>
    </row>
    <row r="206" spans="2:17" x14ac:dyDescent="0.25">
      <c r="B206" t="s">
        <v>78</v>
      </c>
      <c r="C206" t="s">
        <v>79</v>
      </c>
      <c r="D206" t="s">
        <v>342</v>
      </c>
      <c r="E206" t="s">
        <v>343</v>
      </c>
      <c r="F206">
        <v>183.5</v>
      </c>
      <c r="G206">
        <v>186.9</v>
      </c>
      <c r="H206">
        <v>186.9</v>
      </c>
      <c r="I206">
        <v>177.1</v>
      </c>
      <c r="J206" s="1">
        <v>180.05</v>
      </c>
      <c r="K206">
        <v>108510.5</v>
      </c>
      <c r="L206">
        <v>603</v>
      </c>
      <c r="M206" t="s">
        <v>78</v>
      </c>
      <c r="N206" t="s">
        <v>17</v>
      </c>
      <c r="O206">
        <v>43</v>
      </c>
      <c r="P206">
        <v>316</v>
      </c>
      <c r="Q206">
        <v>175.75</v>
      </c>
    </row>
    <row r="207" spans="2:17" x14ac:dyDescent="0.25">
      <c r="B207" t="s">
        <v>78</v>
      </c>
      <c r="C207" t="s">
        <v>79</v>
      </c>
      <c r="D207" t="s">
        <v>344</v>
      </c>
      <c r="E207" t="s">
        <v>345</v>
      </c>
      <c r="F207">
        <v>323</v>
      </c>
      <c r="G207">
        <v>323.7</v>
      </c>
      <c r="H207">
        <v>323.7</v>
      </c>
      <c r="I207">
        <v>310.55</v>
      </c>
      <c r="J207" s="1">
        <v>314.14999999999998</v>
      </c>
      <c r="K207">
        <v>1521829.65</v>
      </c>
      <c r="L207">
        <v>4823</v>
      </c>
      <c r="M207" t="s">
        <v>78</v>
      </c>
      <c r="N207" t="s">
        <v>17</v>
      </c>
      <c r="O207">
        <v>206</v>
      </c>
      <c r="P207">
        <v>379.95</v>
      </c>
      <c r="Q207">
        <v>250.5</v>
      </c>
    </row>
    <row r="208" spans="2:17" x14ac:dyDescent="0.25">
      <c r="B208" t="s">
        <v>78</v>
      </c>
      <c r="C208" t="s">
        <v>79</v>
      </c>
      <c r="D208" t="s">
        <v>346</v>
      </c>
      <c r="E208" t="s">
        <v>347</v>
      </c>
      <c r="F208">
        <v>326.7</v>
      </c>
      <c r="G208">
        <v>325</v>
      </c>
      <c r="H208">
        <v>325</v>
      </c>
      <c r="I208">
        <v>301.10000000000002</v>
      </c>
      <c r="J208" s="1">
        <v>314.10000000000002</v>
      </c>
      <c r="K208">
        <v>54534.3</v>
      </c>
      <c r="L208">
        <v>177</v>
      </c>
      <c r="M208" t="s">
        <v>78</v>
      </c>
      <c r="N208" t="s">
        <v>17</v>
      </c>
      <c r="O208">
        <v>48</v>
      </c>
      <c r="P208">
        <v>394.9</v>
      </c>
      <c r="Q208">
        <v>255</v>
      </c>
    </row>
    <row r="209" spans="2:17" x14ac:dyDescent="0.25">
      <c r="B209" t="s">
        <v>78</v>
      </c>
      <c r="C209" t="s">
        <v>79</v>
      </c>
      <c r="D209" t="s">
        <v>348</v>
      </c>
      <c r="E209" t="s">
        <v>349</v>
      </c>
      <c r="F209">
        <v>1758.2</v>
      </c>
      <c r="G209">
        <v>1755</v>
      </c>
      <c r="H209">
        <v>1770</v>
      </c>
      <c r="I209">
        <v>1735.95</v>
      </c>
      <c r="J209" s="1">
        <v>1755.2</v>
      </c>
      <c r="K209">
        <v>9745177.8000000007</v>
      </c>
      <c r="L209">
        <v>5558</v>
      </c>
      <c r="M209" t="s">
        <v>78</v>
      </c>
      <c r="N209" t="s">
        <v>17</v>
      </c>
      <c r="O209">
        <v>943</v>
      </c>
      <c r="P209">
        <v>1880</v>
      </c>
      <c r="Q209">
        <v>1453.2</v>
      </c>
    </row>
    <row r="210" spans="2:17" x14ac:dyDescent="0.25">
      <c r="B210" t="s">
        <v>78</v>
      </c>
      <c r="C210" t="s">
        <v>79</v>
      </c>
      <c r="D210" t="s">
        <v>6811</v>
      </c>
      <c r="E210" t="s">
        <v>6810</v>
      </c>
      <c r="F210">
        <v>18.95</v>
      </c>
      <c r="G210">
        <v>18.899999999999999</v>
      </c>
      <c r="H210">
        <v>19.25</v>
      </c>
      <c r="I210">
        <v>18.25</v>
      </c>
      <c r="J210" s="1">
        <v>18.350000000000001</v>
      </c>
      <c r="K210">
        <v>295899.90000000002</v>
      </c>
      <c r="L210">
        <v>15874</v>
      </c>
      <c r="M210" t="s">
        <v>78</v>
      </c>
      <c r="N210" t="s">
        <v>17</v>
      </c>
      <c r="O210">
        <v>179</v>
      </c>
      <c r="P210">
        <v>47.75</v>
      </c>
      <c r="Q210">
        <v>15.25</v>
      </c>
    </row>
    <row r="211" spans="2:17" x14ac:dyDescent="0.25">
      <c r="B211" t="s">
        <v>78</v>
      </c>
      <c r="C211" t="s">
        <v>79</v>
      </c>
      <c r="D211" t="s">
        <v>2988</v>
      </c>
      <c r="E211" t="s">
        <v>2989</v>
      </c>
      <c r="F211">
        <v>21.5</v>
      </c>
      <c r="G211">
        <v>20.8</v>
      </c>
      <c r="H211">
        <v>21.4</v>
      </c>
      <c r="I211">
        <v>20.8</v>
      </c>
      <c r="J211" s="1">
        <v>21.25</v>
      </c>
      <c r="K211">
        <v>448906.25</v>
      </c>
      <c r="L211">
        <v>21234</v>
      </c>
      <c r="M211" t="s">
        <v>78</v>
      </c>
      <c r="N211" t="s">
        <v>17</v>
      </c>
      <c r="O211">
        <v>26</v>
      </c>
      <c r="P211">
        <v>49.6</v>
      </c>
      <c r="Q211">
        <v>20</v>
      </c>
    </row>
    <row r="212" spans="2:17" x14ac:dyDescent="0.25">
      <c r="B212" t="s">
        <v>78</v>
      </c>
      <c r="C212" t="s">
        <v>287</v>
      </c>
      <c r="D212" t="s">
        <v>354</v>
      </c>
      <c r="E212" t="s">
        <v>355</v>
      </c>
      <c r="F212">
        <v>34.5</v>
      </c>
      <c r="G212">
        <v>36.5</v>
      </c>
      <c r="H212">
        <v>36.5</v>
      </c>
      <c r="I212">
        <v>34</v>
      </c>
      <c r="J212" s="1">
        <v>34</v>
      </c>
      <c r="K212">
        <v>255600</v>
      </c>
      <c r="L212">
        <v>7200</v>
      </c>
      <c r="M212" t="s">
        <v>78</v>
      </c>
      <c r="N212" t="s">
        <v>17</v>
      </c>
      <c r="O212">
        <v>6</v>
      </c>
      <c r="P212">
        <v>98</v>
      </c>
      <c r="Q212">
        <v>34</v>
      </c>
    </row>
    <row r="213" spans="2:17" x14ac:dyDescent="0.25">
      <c r="B213" t="s">
        <v>78</v>
      </c>
      <c r="C213" t="s">
        <v>79</v>
      </c>
      <c r="D213" t="s">
        <v>356</v>
      </c>
      <c r="E213" t="s">
        <v>357</v>
      </c>
      <c r="F213">
        <v>922.95</v>
      </c>
      <c r="G213">
        <v>925</v>
      </c>
      <c r="H213">
        <v>942</v>
      </c>
      <c r="I213">
        <v>903.65</v>
      </c>
      <c r="J213" s="1">
        <v>933.3</v>
      </c>
      <c r="K213">
        <v>88559251.400000006</v>
      </c>
      <c r="L213">
        <v>95992</v>
      </c>
      <c r="M213" t="s">
        <v>78</v>
      </c>
      <c r="N213" t="s">
        <v>17</v>
      </c>
      <c r="O213">
        <v>6364</v>
      </c>
      <c r="P213">
        <v>1294</v>
      </c>
      <c r="Q213">
        <v>873.4</v>
      </c>
    </row>
    <row r="214" spans="2:17" x14ac:dyDescent="0.25">
      <c r="B214" t="s">
        <v>78</v>
      </c>
      <c r="C214" t="s">
        <v>79</v>
      </c>
      <c r="D214" t="s">
        <v>358</v>
      </c>
      <c r="E214" t="s">
        <v>359</v>
      </c>
      <c r="F214">
        <v>148.30000000000001</v>
      </c>
      <c r="G214">
        <v>148.80000000000001</v>
      </c>
      <c r="H214">
        <v>151.5</v>
      </c>
      <c r="I214">
        <v>139.80000000000001</v>
      </c>
      <c r="J214" s="1">
        <v>140.30000000000001</v>
      </c>
      <c r="K214">
        <v>7387899.3499999996</v>
      </c>
      <c r="L214">
        <v>51518</v>
      </c>
      <c r="M214" t="s">
        <v>78</v>
      </c>
      <c r="N214" t="s">
        <v>17</v>
      </c>
      <c r="O214">
        <v>1233</v>
      </c>
      <c r="P214">
        <v>234.9</v>
      </c>
      <c r="Q214">
        <v>132</v>
      </c>
    </row>
    <row r="215" spans="2:17" x14ac:dyDescent="0.25">
      <c r="B215" t="s">
        <v>78</v>
      </c>
      <c r="C215" t="s">
        <v>79</v>
      </c>
      <c r="D215" t="s">
        <v>364</v>
      </c>
      <c r="E215" t="s">
        <v>365</v>
      </c>
      <c r="F215">
        <v>251.2</v>
      </c>
      <c r="G215">
        <v>258</v>
      </c>
      <c r="H215">
        <v>258</v>
      </c>
      <c r="I215">
        <v>246</v>
      </c>
      <c r="J215" s="1">
        <v>246.7</v>
      </c>
      <c r="K215">
        <v>301641.3</v>
      </c>
      <c r="L215">
        <v>1210</v>
      </c>
      <c r="M215" t="s">
        <v>78</v>
      </c>
      <c r="N215" t="s">
        <v>17</v>
      </c>
      <c r="O215">
        <v>114</v>
      </c>
      <c r="P215">
        <v>576.70000000000005</v>
      </c>
      <c r="Q215">
        <v>243.6</v>
      </c>
    </row>
    <row r="216" spans="2:17" x14ac:dyDescent="0.25">
      <c r="B216" t="s">
        <v>78</v>
      </c>
      <c r="C216" t="s">
        <v>79</v>
      </c>
      <c r="D216" t="s">
        <v>2992</v>
      </c>
      <c r="E216" t="s">
        <v>6352</v>
      </c>
      <c r="F216">
        <v>10.15</v>
      </c>
      <c r="G216">
        <v>10.15</v>
      </c>
      <c r="H216">
        <v>10.4</v>
      </c>
      <c r="I216">
        <v>9.6999999999999993</v>
      </c>
      <c r="J216" s="1">
        <v>9.9</v>
      </c>
      <c r="K216">
        <v>5104989.4000000004</v>
      </c>
      <c r="L216">
        <v>509245</v>
      </c>
      <c r="M216" t="s">
        <v>78</v>
      </c>
      <c r="N216" t="s">
        <v>17</v>
      </c>
      <c r="O216">
        <v>1150</v>
      </c>
      <c r="P216">
        <v>36.299999999999997</v>
      </c>
      <c r="Q216">
        <v>9.6</v>
      </c>
    </row>
    <row r="217" spans="2:17" x14ac:dyDescent="0.25">
      <c r="B217" t="s">
        <v>78</v>
      </c>
      <c r="C217" t="s">
        <v>79</v>
      </c>
      <c r="D217" t="s">
        <v>366</v>
      </c>
      <c r="E217" t="s">
        <v>367</v>
      </c>
      <c r="F217">
        <v>1724.75</v>
      </c>
      <c r="G217">
        <v>1725</v>
      </c>
      <c r="H217">
        <v>1742.95</v>
      </c>
      <c r="I217">
        <v>1723.05</v>
      </c>
      <c r="J217" s="1">
        <v>1727.65</v>
      </c>
      <c r="K217">
        <v>3710123.55</v>
      </c>
      <c r="L217">
        <v>2148</v>
      </c>
      <c r="M217" t="s">
        <v>78</v>
      </c>
      <c r="N217" t="s">
        <v>17</v>
      </c>
      <c r="O217">
        <v>308</v>
      </c>
      <c r="P217">
        <v>1898</v>
      </c>
      <c r="Q217">
        <v>1474.95</v>
      </c>
    </row>
    <row r="218" spans="2:17" x14ac:dyDescent="0.25">
      <c r="B218" t="s">
        <v>78</v>
      </c>
      <c r="C218" t="s">
        <v>79</v>
      </c>
      <c r="D218" t="s">
        <v>368</v>
      </c>
      <c r="E218" t="s">
        <v>369</v>
      </c>
      <c r="F218">
        <v>27.4</v>
      </c>
      <c r="G218">
        <v>28</v>
      </c>
      <c r="H218">
        <v>28.05</v>
      </c>
      <c r="I218">
        <v>26.6</v>
      </c>
      <c r="J218" s="1">
        <v>26.8</v>
      </c>
      <c r="K218">
        <v>11975365.75</v>
      </c>
      <c r="L218">
        <v>443230</v>
      </c>
      <c r="M218" t="s">
        <v>78</v>
      </c>
      <c r="N218" t="s">
        <v>17</v>
      </c>
      <c r="O218">
        <v>5242</v>
      </c>
      <c r="P218">
        <v>40.700000000000003</v>
      </c>
      <c r="Q218">
        <v>16.899999999999999</v>
      </c>
    </row>
    <row r="219" spans="2:17" x14ac:dyDescent="0.25">
      <c r="B219" t="s">
        <v>78</v>
      </c>
      <c r="C219" t="s">
        <v>79</v>
      </c>
      <c r="D219" t="s">
        <v>370</v>
      </c>
      <c r="E219" t="s">
        <v>371</v>
      </c>
      <c r="F219">
        <v>386.75</v>
      </c>
      <c r="G219">
        <v>383.95</v>
      </c>
      <c r="H219">
        <v>386.75</v>
      </c>
      <c r="I219">
        <v>374</v>
      </c>
      <c r="J219" s="1">
        <v>376.8</v>
      </c>
      <c r="K219">
        <v>572327.44999999995</v>
      </c>
      <c r="L219">
        <v>1512</v>
      </c>
      <c r="M219" t="s">
        <v>78</v>
      </c>
      <c r="N219" t="s">
        <v>17</v>
      </c>
      <c r="O219">
        <v>124</v>
      </c>
      <c r="P219">
        <v>860</v>
      </c>
      <c r="Q219">
        <v>353.5</v>
      </c>
    </row>
    <row r="220" spans="2:17" x14ac:dyDescent="0.25">
      <c r="B220" t="s">
        <v>78</v>
      </c>
      <c r="C220" t="s">
        <v>79</v>
      </c>
      <c r="D220" t="s">
        <v>6809</v>
      </c>
      <c r="E220" t="s">
        <v>6808</v>
      </c>
      <c r="F220">
        <v>41.85</v>
      </c>
      <c r="G220">
        <v>42.2</v>
      </c>
      <c r="H220">
        <v>42.2</v>
      </c>
      <c r="I220">
        <v>40.5</v>
      </c>
      <c r="J220" s="1">
        <v>41</v>
      </c>
      <c r="K220">
        <v>80441694.900000006</v>
      </c>
      <c r="L220">
        <v>1953019</v>
      </c>
      <c r="M220" t="s">
        <v>78</v>
      </c>
      <c r="N220" t="s">
        <v>17</v>
      </c>
      <c r="O220">
        <v>12367</v>
      </c>
      <c r="P220">
        <v>59</v>
      </c>
      <c r="Q220">
        <v>33.15</v>
      </c>
    </row>
    <row r="221" spans="2:17" x14ac:dyDescent="0.25">
      <c r="B221" t="s">
        <v>78</v>
      </c>
      <c r="C221" t="s">
        <v>79</v>
      </c>
      <c r="D221" t="s">
        <v>372</v>
      </c>
      <c r="E221" t="s">
        <v>373</v>
      </c>
      <c r="F221">
        <v>43.15</v>
      </c>
      <c r="G221">
        <v>42.7</v>
      </c>
      <c r="H221">
        <v>43.35</v>
      </c>
      <c r="I221">
        <v>41.85</v>
      </c>
      <c r="J221" s="1">
        <v>42.5</v>
      </c>
      <c r="K221">
        <v>3644918.85</v>
      </c>
      <c r="L221">
        <v>85872</v>
      </c>
      <c r="M221" t="s">
        <v>78</v>
      </c>
      <c r="N221" t="s">
        <v>17</v>
      </c>
      <c r="O221">
        <v>835</v>
      </c>
      <c r="P221">
        <v>56.4</v>
      </c>
      <c r="Q221">
        <v>36</v>
      </c>
    </row>
    <row r="222" spans="2:17" x14ac:dyDescent="0.25">
      <c r="B222" t="s">
        <v>78</v>
      </c>
      <c r="C222" t="s">
        <v>79</v>
      </c>
      <c r="D222" t="s">
        <v>374</v>
      </c>
      <c r="E222" t="s">
        <v>375</v>
      </c>
      <c r="F222">
        <v>519.25</v>
      </c>
      <c r="G222">
        <v>505.05</v>
      </c>
      <c r="H222">
        <v>524.85</v>
      </c>
      <c r="I222">
        <v>505.05</v>
      </c>
      <c r="J222" s="1">
        <v>515.85</v>
      </c>
      <c r="K222">
        <v>290084.59999999998</v>
      </c>
      <c r="L222">
        <v>561</v>
      </c>
      <c r="M222" t="s">
        <v>78</v>
      </c>
      <c r="N222" t="s">
        <v>17</v>
      </c>
      <c r="O222">
        <v>101</v>
      </c>
      <c r="P222">
        <v>750</v>
      </c>
      <c r="Q222">
        <v>501</v>
      </c>
    </row>
    <row r="223" spans="2:17" x14ac:dyDescent="0.25">
      <c r="B223" t="s">
        <v>78</v>
      </c>
      <c r="C223" t="s">
        <v>79</v>
      </c>
      <c r="D223" t="s">
        <v>376</v>
      </c>
      <c r="E223" t="s">
        <v>377</v>
      </c>
      <c r="F223">
        <v>38</v>
      </c>
      <c r="G223">
        <v>37.450000000000003</v>
      </c>
      <c r="H223">
        <v>39.049999999999997</v>
      </c>
      <c r="I223">
        <v>37.1</v>
      </c>
      <c r="J223" s="1">
        <v>37.700000000000003</v>
      </c>
      <c r="K223">
        <v>104674.55</v>
      </c>
      <c r="L223">
        <v>2767</v>
      </c>
      <c r="M223" t="s">
        <v>78</v>
      </c>
      <c r="N223" t="s">
        <v>17</v>
      </c>
      <c r="O223">
        <v>94</v>
      </c>
      <c r="P223">
        <v>83</v>
      </c>
      <c r="Q223">
        <v>35.25</v>
      </c>
    </row>
    <row r="224" spans="2:17" x14ac:dyDescent="0.25">
      <c r="B224" t="s">
        <v>78</v>
      </c>
      <c r="C224" t="s">
        <v>79</v>
      </c>
      <c r="D224" t="s">
        <v>186</v>
      </c>
      <c r="E224" t="s">
        <v>187</v>
      </c>
      <c r="F224">
        <v>1758.05</v>
      </c>
      <c r="G224">
        <v>1757.35</v>
      </c>
      <c r="H224">
        <v>1809.1</v>
      </c>
      <c r="I224">
        <v>1735.3</v>
      </c>
      <c r="J224" s="1">
        <v>1798.45</v>
      </c>
      <c r="K224">
        <v>45724071.700000003</v>
      </c>
      <c r="L224">
        <v>25683</v>
      </c>
      <c r="M224" t="s">
        <v>78</v>
      </c>
      <c r="N224" t="s">
        <v>17</v>
      </c>
      <c r="O224">
        <v>3250</v>
      </c>
      <c r="P224">
        <v>2268</v>
      </c>
      <c r="Q224">
        <v>1661</v>
      </c>
    </row>
    <row r="225" spans="2:17" x14ac:dyDescent="0.25">
      <c r="B225" t="s">
        <v>78</v>
      </c>
      <c r="C225" t="s">
        <v>79</v>
      </c>
      <c r="D225" t="s">
        <v>378</v>
      </c>
      <c r="E225" t="s">
        <v>379</v>
      </c>
      <c r="F225">
        <v>791.2</v>
      </c>
      <c r="G225">
        <v>785.1</v>
      </c>
      <c r="H225">
        <v>801</v>
      </c>
      <c r="I225">
        <v>785.1</v>
      </c>
      <c r="J225" s="1">
        <v>793.7</v>
      </c>
      <c r="K225">
        <v>2362087</v>
      </c>
      <c r="L225">
        <v>2984</v>
      </c>
      <c r="M225" t="s">
        <v>78</v>
      </c>
      <c r="N225" t="s">
        <v>17</v>
      </c>
      <c r="O225">
        <v>169</v>
      </c>
      <c r="P225">
        <v>915.95</v>
      </c>
      <c r="Q225">
        <v>535</v>
      </c>
    </row>
    <row r="226" spans="2:17" x14ac:dyDescent="0.25">
      <c r="B226" t="s">
        <v>78</v>
      </c>
      <c r="C226" t="s">
        <v>79</v>
      </c>
      <c r="D226" t="s">
        <v>380</v>
      </c>
      <c r="E226" t="s">
        <v>381</v>
      </c>
      <c r="F226">
        <v>100.25</v>
      </c>
      <c r="G226">
        <v>101</v>
      </c>
      <c r="H226">
        <v>101</v>
      </c>
      <c r="I226">
        <v>97.65</v>
      </c>
      <c r="J226" s="1">
        <v>99.6</v>
      </c>
      <c r="K226">
        <v>8437127.75</v>
      </c>
      <c r="L226">
        <v>85097</v>
      </c>
      <c r="M226" t="s">
        <v>78</v>
      </c>
      <c r="N226" t="s">
        <v>17</v>
      </c>
      <c r="O226">
        <v>1116</v>
      </c>
      <c r="P226">
        <v>133</v>
      </c>
      <c r="Q226">
        <v>91.35</v>
      </c>
    </row>
    <row r="227" spans="2:17" x14ac:dyDescent="0.25">
      <c r="B227" t="s">
        <v>78</v>
      </c>
      <c r="C227" t="s">
        <v>79</v>
      </c>
      <c r="D227" t="s">
        <v>382</v>
      </c>
      <c r="E227" t="s">
        <v>383</v>
      </c>
      <c r="F227">
        <v>310</v>
      </c>
      <c r="G227">
        <v>310.10000000000002</v>
      </c>
      <c r="H227">
        <v>312.60000000000002</v>
      </c>
      <c r="I227">
        <v>308.25</v>
      </c>
      <c r="J227" s="1">
        <v>309.25</v>
      </c>
      <c r="K227">
        <v>2720245.2</v>
      </c>
      <c r="L227">
        <v>8781</v>
      </c>
      <c r="M227" t="s">
        <v>78</v>
      </c>
      <c r="N227" t="s">
        <v>17</v>
      </c>
      <c r="O227">
        <v>2336</v>
      </c>
      <c r="P227">
        <v>328.25</v>
      </c>
      <c r="Q227">
        <v>165</v>
      </c>
    </row>
    <row r="228" spans="2:17" x14ac:dyDescent="0.25">
      <c r="B228" t="s">
        <v>78</v>
      </c>
      <c r="C228" t="s">
        <v>79</v>
      </c>
      <c r="D228" t="s">
        <v>384</v>
      </c>
      <c r="E228" t="s">
        <v>385</v>
      </c>
      <c r="F228">
        <v>15.45</v>
      </c>
      <c r="G228">
        <v>16.2</v>
      </c>
      <c r="H228">
        <v>16.2</v>
      </c>
      <c r="I228">
        <v>14.8</v>
      </c>
      <c r="J228" s="1">
        <v>16.2</v>
      </c>
      <c r="K228">
        <v>83877</v>
      </c>
      <c r="L228">
        <v>5273</v>
      </c>
      <c r="M228" t="s">
        <v>78</v>
      </c>
      <c r="N228" t="s">
        <v>17</v>
      </c>
      <c r="O228">
        <v>24</v>
      </c>
      <c r="P228">
        <v>42</v>
      </c>
      <c r="Q228">
        <v>14.8</v>
      </c>
    </row>
    <row r="229" spans="2:17" x14ac:dyDescent="0.25">
      <c r="B229" t="s">
        <v>78</v>
      </c>
      <c r="C229" t="s">
        <v>79</v>
      </c>
      <c r="D229" t="s">
        <v>6807</v>
      </c>
      <c r="E229" t="s">
        <v>6806</v>
      </c>
      <c r="F229">
        <v>3</v>
      </c>
      <c r="G229">
        <v>3</v>
      </c>
      <c r="H229">
        <v>3.05</v>
      </c>
      <c r="I229">
        <v>2.95</v>
      </c>
      <c r="J229" s="1">
        <v>3</v>
      </c>
      <c r="K229">
        <v>6629764.9500000002</v>
      </c>
      <c r="L229">
        <v>2217578</v>
      </c>
      <c r="M229" t="s">
        <v>78</v>
      </c>
      <c r="N229" t="s">
        <v>17</v>
      </c>
      <c r="O229">
        <v>616</v>
      </c>
      <c r="P229">
        <v>6.65</v>
      </c>
      <c r="Q229">
        <v>2.9</v>
      </c>
    </row>
    <row r="230" spans="2:17" x14ac:dyDescent="0.25">
      <c r="B230" t="s">
        <v>78</v>
      </c>
      <c r="C230" t="s">
        <v>79</v>
      </c>
      <c r="D230" t="s">
        <v>2994</v>
      </c>
      <c r="E230" t="s">
        <v>2995</v>
      </c>
      <c r="F230">
        <v>16.5</v>
      </c>
      <c r="G230">
        <v>16.55</v>
      </c>
      <c r="H230">
        <v>19.8</v>
      </c>
      <c r="I230">
        <v>16</v>
      </c>
      <c r="J230" s="1">
        <v>19.7</v>
      </c>
      <c r="K230">
        <v>1721675.15</v>
      </c>
      <c r="L230">
        <v>90218</v>
      </c>
      <c r="M230" t="s">
        <v>78</v>
      </c>
      <c r="N230" t="s">
        <v>17</v>
      </c>
      <c r="O230">
        <v>791</v>
      </c>
      <c r="P230">
        <v>35.9</v>
      </c>
      <c r="Q230">
        <v>16</v>
      </c>
    </row>
    <row r="231" spans="2:17" x14ac:dyDescent="0.25">
      <c r="B231" t="s">
        <v>78</v>
      </c>
      <c r="C231" t="s">
        <v>79</v>
      </c>
      <c r="D231" t="s">
        <v>388</v>
      </c>
      <c r="E231" t="s">
        <v>389</v>
      </c>
      <c r="F231">
        <v>358.4</v>
      </c>
      <c r="G231">
        <v>355.25</v>
      </c>
      <c r="H231">
        <v>358.45</v>
      </c>
      <c r="I231">
        <v>349.1</v>
      </c>
      <c r="J231" s="1">
        <v>353.15</v>
      </c>
      <c r="K231">
        <v>1318246.3</v>
      </c>
      <c r="L231">
        <v>3739</v>
      </c>
      <c r="M231" t="s">
        <v>78</v>
      </c>
      <c r="N231" t="s">
        <v>17</v>
      </c>
      <c r="O231">
        <v>328</v>
      </c>
      <c r="P231">
        <v>719.85</v>
      </c>
      <c r="Q231">
        <v>349.1</v>
      </c>
    </row>
    <row r="232" spans="2:17" x14ac:dyDescent="0.25">
      <c r="B232" t="s">
        <v>78</v>
      </c>
      <c r="C232" t="s">
        <v>79</v>
      </c>
      <c r="D232" t="s">
        <v>390</v>
      </c>
      <c r="E232" t="s">
        <v>391</v>
      </c>
      <c r="F232">
        <v>640.6</v>
      </c>
      <c r="G232">
        <v>640</v>
      </c>
      <c r="H232">
        <v>640</v>
      </c>
      <c r="I232">
        <v>605.04999999999995</v>
      </c>
      <c r="J232" s="1">
        <v>610.65</v>
      </c>
      <c r="K232">
        <v>940517337.54999995</v>
      </c>
      <c r="L232">
        <v>1537746</v>
      </c>
      <c r="M232" t="s">
        <v>78</v>
      </c>
      <c r="N232" t="s">
        <v>17</v>
      </c>
      <c r="O232">
        <v>36330</v>
      </c>
      <c r="P232">
        <v>908.45</v>
      </c>
      <c r="Q232">
        <v>572.85</v>
      </c>
    </row>
    <row r="233" spans="2:17" x14ac:dyDescent="0.25">
      <c r="B233" t="s">
        <v>78</v>
      </c>
      <c r="C233" t="s">
        <v>287</v>
      </c>
      <c r="D233" t="s">
        <v>6805</v>
      </c>
      <c r="E233" t="s">
        <v>6804</v>
      </c>
      <c r="F233">
        <v>66</v>
      </c>
      <c r="G233">
        <v>70</v>
      </c>
      <c r="H233">
        <v>70</v>
      </c>
      <c r="I233">
        <v>70</v>
      </c>
      <c r="J233" s="1">
        <v>70</v>
      </c>
      <c r="K233">
        <v>2100000</v>
      </c>
      <c r="L233">
        <v>30000</v>
      </c>
      <c r="M233" t="s">
        <v>78</v>
      </c>
      <c r="N233" t="s">
        <v>17</v>
      </c>
      <c r="O233">
        <v>2</v>
      </c>
      <c r="P233">
        <v>73.5</v>
      </c>
      <c r="Q233">
        <v>66</v>
      </c>
    </row>
    <row r="234" spans="2:17" x14ac:dyDescent="0.25">
      <c r="B234" t="s">
        <v>78</v>
      </c>
      <c r="C234" t="s">
        <v>79</v>
      </c>
      <c r="D234" t="s">
        <v>392</v>
      </c>
      <c r="E234" t="s">
        <v>393</v>
      </c>
      <c r="F234">
        <v>827.9</v>
      </c>
      <c r="G234">
        <v>820.05</v>
      </c>
      <c r="H234">
        <v>854</v>
      </c>
      <c r="I234">
        <v>820.05</v>
      </c>
      <c r="J234" s="1">
        <v>833.15</v>
      </c>
      <c r="K234">
        <v>8220025.5</v>
      </c>
      <c r="L234">
        <v>9841</v>
      </c>
      <c r="M234" t="s">
        <v>78</v>
      </c>
      <c r="N234" t="s">
        <v>17</v>
      </c>
      <c r="O234">
        <v>848</v>
      </c>
      <c r="P234">
        <v>1127.9000000000001</v>
      </c>
      <c r="Q234">
        <v>622</v>
      </c>
    </row>
    <row r="235" spans="2:17" x14ac:dyDescent="0.25">
      <c r="B235" t="s">
        <v>78</v>
      </c>
      <c r="C235" t="s">
        <v>79</v>
      </c>
      <c r="D235" t="s">
        <v>396</v>
      </c>
      <c r="E235" t="s">
        <v>397</v>
      </c>
      <c r="F235">
        <v>987.15</v>
      </c>
      <c r="G235">
        <v>988</v>
      </c>
      <c r="H235">
        <v>998.5</v>
      </c>
      <c r="I235">
        <v>977</v>
      </c>
      <c r="J235" s="1">
        <v>990.45</v>
      </c>
      <c r="K235">
        <v>2299308.1</v>
      </c>
      <c r="L235">
        <v>2333</v>
      </c>
      <c r="M235" t="s">
        <v>78</v>
      </c>
      <c r="N235" t="s">
        <v>17</v>
      </c>
      <c r="O235">
        <v>319</v>
      </c>
      <c r="P235">
        <v>1379</v>
      </c>
      <c r="Q235">
        <v>977</v>
      </c>
    </row>
    <row r="236" spans="2:17" x14ac:dyDescent="0.25">
      <c r="B236" t="s">
        <v>78</v>
      </c>
      <c r="C236" t="s">
        <v>79</v>
      </c>
      <c r="D236" t="s">
        <v>398</v>
      </c>
      <c r="E236" t="s">
        <v>399</v>
      </c>
      <c r="F236">
        <v>16.75</v>
      </c>
      <c r="G236">
        <v>18.3</v>
      </c>
      <c r="H236">
        <v>18.3</v>
      </c>
      <c r="I236">
        <v>15.4</v>
      </c>
      <c r="J236" s="1">
        <v>15.9</v>
      </c>
      <c r="K236">
        <v>115613.25</v>
      </c>
      <c r="L236">
        <v>7143</v>
      </c>
      <c r="M236" t="s">
        <v>78</v>
      </c>
      <c r="N236" t="s">
        <v>17</v>
      </c>
      <c r="O236">
        <v>132</v>
      </c>
      <c r="P236">
        <v>29</v>
      </c>
      <c r="Q236">
        <v>15.4</v>
      </c>
    </row>
    <row r="237" spans="2:17" x14ac:dyDescent="0.25">
      <c r="B237" t="s">
        <v>78</v>
      </c>
      <c r="C237" t="s">
        <v>79</v>
      </c>
      <c r="D237" t="s">
        <v>400</v>
      </c>
      <c r="E237" t="s">
        <v>401</v>
      </c>
      <c r="F237">
        <v>17.3</v>
      </c>
      <c r="G237">
        <v>17.05</v>
      </c>
      <c r="H237">
        <v>17.399999999999999</v>
      </c>
      <c r="I237">
        <v>17.05</v>
      </c>
      <c r="J237" s="1">
        <v>17.2</v>
      </c>
      <c r="K237">
        <v>52620.7</v>
      </c>
      <c r="L237">
        <v>3068</v>
      </c>
      <c r="M237" t="s">
        <v>78</v>
      </c>
      <c r="N237" t="s">
        <v>17</v>
      </c>
      <c r="O237">
        <v>40</v>
      </c>
      <c r="P237">
        <v>29</v>
      </c>
      <c r="Q237">
        <v>15.2</v>
      </c>
    </row>
    <row r="238" spans="2:17" x14ac:dyDescent="0.25">
      <c r="B238" t="s">
        <v>78</v>
      </c>
      <c r="C238" t="s">
        <v>79</v>
      </c>
      <c r="D238" t="s">
        <v>402</v>
      </c>
      <c r="E238" t="s">
        <v>403</v>
      </c>
      <c r="F238">
        <v>300.2</v>
      </c>
      <c r="G238">
        <v>304.85000000000002</v>
      </c>
      <c r="H238">
        <v>304.89999999999998</v>
      </c>
      <c r="I238">
        <v>295</v>
      </c>
      <c r="J238" s="1">
        <v>297.5</v>
      </c>
      <c r="K238">
        <v>3389598.8</v>
      </c>
      <c r="L238">
        <v>11393</v>
      </c>
      <c r="M238" t="s">
        <v>78</v>
      </c>
      <c r="N238" t="s">
        <v>17</v>
      </c>
      <c r="O238">
        <v>540</v>
      </c>
      <c r="P238">
        <v>360</v>
      </c>
      <c r="Q238">
        <v>236.2</v>
      </c>
    </row>
    <row r="239" spans="2:17" x14ac:dyDescent="0.25">
      <c r="B239" t="s">
        <v>78</v>
      </c>
      <c r="C239" t="s">
        <v>79</v>
      </c>
      <c r="D239" t="s">
        <v>2998</v>
      </c>
      <c r="E239" t="s">
        <v>2999</v>
      </c>
      <c r="F239">
        <v>29.7</v>
      </c>
      <c r="G239">
        <v>29.8</v>
      </c>
      <c r="H239">
        <v>30.2</v>
      </c>
      <c r="I239">
        <v>29.2</v>
      </c>
      <c r="J239" s="1">
        <v>29.3</v>
      </c>
      <c r="K239">
        <v>8708431.0999999996</v>
      </c>
      <c r="L239">
        <v>293474</v>
      </c>
      <c r="M239" t="s">
        <v>78</v>
      </c>
      <c r="N239" t="s">
        <v>17</v>
      </c>
      <c r="O239">
        <v>1437</v>
      </c>
      <c r="P239">
        <v>53.7</v>
      </c>
      <c r="Q239">
        <v>26.65</v>
      </c>
    </row>
    <row r="240" spans="2:17" x14ac:dyDescent="0.25">
      <c r="B240" t="s">
        <v>78</v>
      </c>
      <c r="C240" t="s">
        <v>79</v>
      </c>
      <c r="D240" t="s">
        <v>6803</v>
      </c>
      <c r="E240" t="s">
        <v>6802</v>
      </c>
      <c r="F240">
        <v>22.3</v>
      </c>
      <c r="G240">
        <v>22.6</v>
      </c>
      <c r="H240">
        <v>22.6</v>
      </c>
      <c r="I240">
        <v>22</v>
      </c>
      <c r="J240" s="1">
        <v>22.1</v>
      </c>
      <c r="K240">
        <v>8408543.4499999993</v>
      </c>
      <c r="L240">
        <v>380239</v>
      </c>
      <c r="M240" t="s">
        <v>78</v>
      </c>
      <c r="N240" t="s">
        <v>546</v>
      </c>
      <c r="O240">
        <v>1412</v>
      </c>
      <c r="P240">
        <v>36.75</v>
      </c>
      <c r="Q240">
        <v>22</v>
      </c>
    </row>
    <row r="241" spans="2:17" x14ac:dyDescent="0.25">
      <c r="B241" t="s">
        <v>78</v>
      </c>
      <c r="C241" t="s">
        <v>79</v>
      </c>
      <c r="D241" t="s">
        <v>3000</v>
      </c>
      <c r="E241" t="s">
        <v>3001</v>
      </c>
      <c r="F241">
        <v>3.65</v>
      </c>
      <c r="G241">
        <v>3.65</v>
      </c>
      <c r="H241">
        <v>3.65</v>
      </c>
      <c r="I241">
        <v>3.5</v>
      </c>
      <c r="J241" s="1">
        <v>3.5</v>
      </c>
      <c r="K241">
        <v>112845.5</v>
      </c>
      <c r="L241">
        <v>31963</v>
      </c>
      <c r="M241" t="s">
        <v>78</v>
      </c>
      <c r="N241" t="s">
        <v>17</v>
      </c>
      <c r="O241">
        <v>63</v>
      </c>
      <c r="P241">
        <v>9.5</v>
      </c>
      <c r="Q241">
        <v>3.3</v>
      </c>
    </row>
    <row r="242" spans="2:17" x14ac:dyDescent="0.25">
      <c r="B242" t="s">
        <v>78</v>
      </c>
      <c r="C242" t="s">
        <v>79</v>
      </c>
      <c r="D242" t="s">
        <v>406</v>
      </c>
      <c r="E242" t="s">
        <v>407</v>
      </c>
      <c r="F242">
        <v>293.35000000000002</v>
      </c>
      <c r="G242">
        <v>296.85000000000002</v>
      </c>
      <c r="H242">
        <v>298</v>
      </c>
      <c r="I242">
        <v>289.64999999999998</v>
      </c>
      <c r="J242" s="1">
        <v>293</v>
      </c>
      <c r="K242">
        <v>10080698.050000001</v>
      </c>
      <c r="L242">
        <v>34317</v>
      </c>
      <c r="M242" t="s">
        <v>78</v>
      </c>
      <c r="N242" t="s">
        <v>17</v>
      </c>
      <c r="O242">
        <v>1297</v>
      </c>
      <c r="P242">
        <v>484.8</v>
      </c>
      <c r="Q242">
        <v>289.64999999999998</v>
      </c>
    </row>
    <row r="243" spans="2:17" x14ac:dyDescent="0.25">
      <c r="B243" t="s">
        <v>78</v>
      </c>
      <c r="C243" t="s">
        <v>79</v>
      </c>
      <c r="D243" t="s">
        <v>410</v>
      </c>
      <c r="E243" t="s">
        <v>411</v>
      </c>
      <c r="F243">
        <v>9.6</v>
      </c>
      <c r="G243">
        <v>9.1</v>
      </c>
      <c r="H243">
        <v>9.65</v>
      </c>
      <c r="I243">
        <v>8.65</v>
      </c>
      <c r="J243" s="1">
        <v>8.65</v>
      </c>
      <c r="K243">
        <v>112458.45</v>
      </c>
      <c r="L243">
        <v>12732</v>
      </c>
      <c r="M243" t="s">
        <v>78</v>
      </c>
      <c r="N243" t="s">
        <v>17</v>
      </c>
      <c r="O243">
        <v>63</v>
      </c>
      <c r="P243">
        <v>40.35</v>
      </c>
      <c r="Q243">
        <v>8.65</v>
      </c>
    </row>
    <row r="244" spans="2:17" x14ac:dyDescent="0.25">
      <c r="B244" t="s">
        <v>78</v>
      </c>
      <c r="C244" t="s">
        <v>79</v>
      </c>
      <c r="D244" t="s">
        <v>3004</v>
      </c>
      <c r="E244" t="s">
        <v>3005</v>
      </c>
      <c r="F244">
        <v>4.8499999999999996</v>
      </c>
      <c r="G244">
        <v>4.8499999999999996</v>
      </c>
      <c r="H244">
        <v>5.05</v>
      </c>
      <c r="I244">
        <v>4.6500000000000004</v>
      </c>
      <c r="J244" s="1">
        <v>4.9000000000000004</v>
      </c>
      <c r="K244">
        <v>211538.7</v>
      </c>
      <c r="L244">
        <v>43705</v>
      </c>
      <c r="M244" t="s">
        <v>78</v>
      </c>
      <c r="N244" t="s">
        <v>17</v>
      </c>
      <c r="O244">
        <v>97</v>
      </c>
      <c r="P244">
        <v>17.45</v>
      </c>
      <c r="Q244">
        <v>4.55</v>
      </c>
    </row>
    <row r="245" spans="2:17" x14ac:dyDescent="0.25">
      <c r="B245" t="s">
        <v>78</v>
      </c>
      <c r="C245" t="s">
        <v>79</v>
      </c>
      <c r="D245" t="s">
        <v>414</v>
      </c>
      <c r="E245" t="s">
        <v>415</v>
      </c>
      <c r="F245">
        <v>4.9000000000000004</v>
      </c>
      <c r="G245">
        <v>4.95</v>
      </c>
      <c r="H245">
        <v>5</v>
      </c>
      <c r="I245">
        <v>4.8</v>
      </c>
      <c r="J245" s="1">
        <v>4.95</v>
      </c>
      <c r="K245">
        <v>118646.6</v>
      </c>
      <c r="L245">
        <v>24235</v>
      </c>
      <c r="M245" t="s">
        <v>78</v>
      </c>
      <c r="N245" t="s">
        <v>17</v>
      </c>
      <c r="O245">
        <v>93</v>
      </c>
      <c r="P245">
        <v>17.75</v>
      </c>
      <c r="Q245">
        <v>4.8</v>
      </c>
    </row>
    <row r="246" spans="2:17" x14ac:dyDescent="0.25">
      <c r="B246" t="s">
        <v>78</v>
      </c>
      <c r="C246" t="s">
        <v>79</v>
      </c>
      <c r="D246" t="s">
        <v>416</v>
      </c>
      <c r="E246" t="s">
        <v>417</v>
      </c>
      <c r="F246">
        <v>475.3</v>
      </c>
      <c r="G246">
        <v>471.05</v>
      </c>
      <c r="H246">
        <v>479</v>
      </c>
      <c r="I246">
        <v>465.15</v>
      </c>
      <c r="J246" s="1">
        <v>475.7</v>
      </c>
      <c r="K246">
        <v>4411039.25</v>
      </c>
      <c r="L246">
        <v>9322</v>
      </c>
      <c r="M246" t="s">
        <v>78</v>
      </c>
      <c r="N246" t="s">
        <v>17</v>
      </c>
      <c r="O246">
        <v>309</v>
      </c>
      <c r="P246">
        <v>651</v>
      </c>
      <c r="Q246">
        <v>351</v>
      </c>
    </row>
    <row r="247" spans="2:17" x14ac:dyDescent="0.25">
      <c r="B247" t="s">
        <v>78</v>
      </c>
      <c r="C247" t="s">
        <v>79</v>
      </c>
      <c r="D247" t="s">
        <v>420</v>
      </c>
      <c r="E247" t="s">
        <v>421</v>
      </c>
      <c r="F247">
        <v>545.15</v>
      </c>
      <c r="G247">
        <v>542.1</v>
      </c>
      <c r="H247">
        <v>548</v>
      </c>
      <c r="I247">
        <v>520.1</v>
      </c>
      <c r="J247" s="1">
        <v>527.6</v>
      </c>
      <c r="K247">
        <v>9838955.8499999996</v>
      </c>
      <c r="L247">
        <v>18628</v>
      </c>
      <c r="M247" t="s">
        <v>78</v>
      </c>
      <c r="N247" t="s">
        <v>17</v>
      </c>
      <c r="O247">
        <v>4340</v>
      </c>
      <c r="P247">
        <v>702.3</v>
      </c>
      <c r="Q247">
        <v>520.1</v>
      </c>
    </row>
    <row r="248" spans="2:17" x14ac:dyDescent="0.25">
      <c r="B248" t="s">
        <v>78</v>
      </c>
      <c r="C248" t="s">
        <v>79</v>
      </c>
      <c r="D248" t="s">
        <v>422</v>
      </c>
      <c r="E248" t="s">
        <v>423</v>
      </c>
      <c r="F248">
        <v>157.9</v>
      </c>
      <c r="G248">
        <v>162</v>
      </c>
      <c r="H248">
        <v>166.15</v>
      </c>
      <c r="I248">
        <v>150.19999999999999</v>
      </c>
      <c r="J248" s="1">
        <v>152.35</v>
      </c>
      <c r="K248">
        <v>676691.25</v>
      </c>
      <c r="L248">
        <v>4328</v>
      </c>
      <c r="M248" t="s">
        <v>78</v>
      </c>
      <c r="N248" t="s">
        <v>17</v>
      </c>
      <c r="O248">
        <v>156</v>
      </c>
      <c r="P248">
        <v>192.7</v>
      </c>
      <c r="Q248">
        <v>96</v>
      </c>
    </row>
    <row r="249" spans="2:17" x14ac:dyDescent="0.25">
      <c r="B249" t="s">
        <v>78</v>
      </c>
      <c r="C249" t="s">
        <v>79</v>
      </c>
      <c r="D249" t="s">
        <v>424</v>
      </c>
      <c r="E249" t="s">
        <v>425</v>
      </c>
      <c r="F249">
        <v>205.55</v>
      </c>
      <c r="G249">
        <v>204.45</v>
      </c>
      <c r="H249">
        <v>207.4</v>
      </c>
      <c r="I249">
        <v>188</v>
      </c>
      <c r="J249" s="1">
        <v>194.05</v>
      </c>
      <c r="K249">
        <v>5146973.75</v>
      </c>
      <c r="L249">
        <v>26217</v>
      </c>
      <c r="M249" t="s">
        <v>78</v>
      </c>
      <c r="N249" t="s">
        <v>17</v>
      </c>
      <c r="O249">
        <v>1145</v>
      </c>
      <c r="P249">
        <v>668.7</v>
      </c>
      <c r="Q249">
        <v>188</v>
      </c>
    </row>
    <row r="250" spans="2:17" x14ac:dyDescent="0.25">
      <c r="B250" t="s">
        <v>78</v>
      </c>
      <c r="C250" t="s">
        <v>79</v>
      </c>
      <c r="D250" t="s">
        <v>426</v>
      </c>
      <c r="E250" t="s">
        <v>427</v>
      </c>
      <c r="F250">
        <v>243.55</v>
      </c>
      <c r="G250">
        <v>243.55</v>
      </c>
      <c r="H250">
        <v>244.45</v>
      </c>
      <c r="I250">
        <v>222.5</v>
      </c>
      <c r="J250" s="1">
        <v>236.1</v>
      </c>
      <c r="K250">
        <v>18609266.350000001</v>
      </c>
      <c r="L250">
        <v>79080</v>
      </c>
      <c r="M250" t="s">
        <v>78</v>
      </c>
      <c r="N250" t="s">
        <v>17</v>
      </c>
      <c r="O250">
        <v>3377</v>
      </c>
      <c r="P250">
        <v>534</v>
      </c>
      <c r="Q250">
        <v>222.5</v>
      </c>
    </row>
    <row r="251" spans="2:17" x14ac:dyDescent="0.25">
      <c r="B251" t="s">
        <v>78</v>
      </c>
      <c r="C251" t="s">
        <v>79</v>
      </c>
      <c r="D251" t="s">
        <v>428</v>
      </c>
      <c r="E251" t="s">
        <v>429</v>
      </c>
      <c r="F251">
        <v>1521.95</v>
      </c>
      <c r="G251">
        <v>1515</v>
      </c>
      <c r="H251">
        <v>1524.4</v>
      </c>
      <c r="I251">
        <v>1424</v>
      </c>
      <c r="J251" s="1">
        <v>1499.55</v>
      </c>
      <c r="K251">
        <v>32376822.5</v>
      </c>
      <c r="L251">
        <v>21832</v>
      </c>
      <c r="M251" t="s">
        <v>78</v>
      </c>
      <c r="N251" t="s">
        <v>17</v>
      </c>
      <c r="O251">
        <v>3674</v>
      </c>
      <c r="P251">
        <v>1840</v>
      </c>
      <c r="Q251">
        <v>1003.3</v>
      </c>
    </row>
    <row r="252" spans="2:17" x14ac:dyDescent="0.25">
      <c r="B252" t="s">
        <v>78</v>
      </c>
      <c r="C252" t="s">
        <v>79</v>
      </c>
      <c r="D252" t="s">
        <v>430</v>
      </c>
      <c r="E252" t="s">
        <v>431</v>
      </c>
      <c r="F252">
        <v>524.4</v>
      </c>
      <c r="G252">
        <v>524.4</v>
      </c>
      <c r="H252">
        <v>526.95000000000005</v>
      </c>
      <c r="I252">
        <v>506.95</v>
      </c>
      <c r="J252" s="1">
        <v>520.65</v>
      </c>
      <c r="K252">
        <v>7589670.6500000004</v>
      </c>
      <c r="L252">
        <v>14631</v>
      </c>
      <c r="M252" t="s">
        <v>78</v>
      </c>
      <c r="N252" t="s">
        <v>17</v>
      </c>
      <c r="O252">
        <v>1387</v>
      </c>
      <c r="P252">
        <v>664</v>
      </c>
      <c r="Q252">
        <v>435.15</v>
      </c>
    </row>
    <row r="253" spans="2:17" x14ac:dyDescent="0.25">
      <c r="B253" t="s">
        <v>78</v>
      </c>
      <c r="C253" t="s">
        <v>79</v>
      </c>
      <c r="D253" t="s">
        <v>432</v>
      </c>
      <c r="E253" t="s">
        <v>433</v>
      </c>
      <c r="F253">
        <v>102.8</v>
      </c>
      <c r="G253">
        <v>106.15</v>
      </c>
      <c r="H253">
        <v>106.15</v>
      </c>
      <c r="I253">
        <v>98.6</v>
      </c>
      <c r="J253" s="1">
        <v>99.2</v>
      </c>
      <c r="K253">
        <v>2911291.65</v>
      </c>
      <c r="L253">
        <v>29102</v>
      </c>
      <c r="M253" t="s">
        <v>78</v>
      </c>
      <c r="N253" t="s">
        <v>17</v>
      </c>
      <c r="O253">
        <v>954</v>
      </c>
      <c r="P253">
        <v>174</v>
      </c>
      <c r="Q253">
        <v>95</v>
      </c>
    </row>
    <row r="254" spans="2:17" x14ac:dyDescent="0.25">
      <c r="B254" t="s">
        <v>78</v>
      </c>
      <c r="C254" t="s">
        <v>79</v>
      </c>
      <c r="D254" t="s">
        <v>434</v>
      </c>
      <c r="E254" t="s">
        <v>435</v>
      </c>
      <c r="F254">
        <v>1388.05</v>
      </c>
      <c r="G254">
        <v>1388.15</v>
      </c>
      <c r="H254">
        <v>1398.95</v>
      </c>
      <c r="I254">
        <v>1367.05</v>
      </c>
      <c r="J254" s="1">
        <v>1373.45</v>
      </c>
      <c r="K254">
        <v>407485062.5</v>
      </c>
      <c r="L254">
        <v>294619</v>
      </c>
      <c r="M254" t="s">
        <v>78</v>
      </c>
      <c r="N254" t="s">
        <v>17</v>
      </c>
      <c r="O254">
        <v>16992</v>
      </c>
      <c r="P254">
        <v>1427</v>
      </c>
      <c r="Q254">
        <v>910.1</v>
      </c>
    </row>
    <row r="255" spans="2:17" x14ac:dyDescent="0.25">
      <c r="B255" t="s">
        <v>78</v>
      </c>
      <c r="C255" t="s">
        <v>79</v>
      </c>
      <c r="D255" t="s">
        <v>438</v>
      </c>
      <c r="E255" t="s">
        <v>439</v>
      </c>
      <c r="F255">
        <v>179.25</v>
      </c>
      <c r="G255">
        <v>180.5</v>
      </c>
      <c r="H255">
        <v>180.8</v>
      </c>
      <c r="I255">
        <v>174.25</v>
      </c>
      <c r="J255" s="1">
        <v>174.8</v>
      </c>
      <c r="K255">
        <v>578170783.85000002</v>
      </c>
      <c r="L255">
        <v>3277411</v>
      </c>
      <c r="M255" t="s">
        <v>78</v>
      </c>
      <c r="N255" t="s">
        <v>17</v>
      </c>
      <c r="O255">
        <v>27607</v>
      </c>
      <c r="P255">
        <v>299.5</v>
      </c>
      <c r="Q255">
        <v>174</v>
      </c>
    </row>
    <row r="256" spans="2:17" x14ac:dyDescent="0.25">
      <c r="B256" t="s">
        <v>78</v>
      </c>
      <c r="C256" t="s">
        <v>79</v>
      </c>
      <c r="D256" t="s">
        <v>440</v>
      </c>
      <c r="E256" t="s">
        <v>441</v>
      </c>
      <c r="F256">
        <v>900.7</v>
      </c>
      <c r="G256">
        <v>888.15</v>
      </c>
      <c r="H256">
        <v>888.15</v>
      </c>
      <c r="I256">
        <v>870</v>
      </c>
      <c r="J256" s="1">
        <v>871.6</v>
      </c>
      <c r="K256">
        <v>630775.69999999995</v>
      </c>
      <c r="L256">
        <v>719</v>
      </c>
      <c r="M256" t="s">
        <v>78</v>
      </c>
      <c r="N256" t="s">
        <v>17</v>
      </c>
      <c r="O256">
        <v>77</v>
      </c>
      <c r="P256">
        <v>1490</v>
      </c>
      <c r="Q256">
        <v>577.15</v>
      </c>
    </row>
    <row r="257" spans="2:17" x14ac:dyDescent="0.25">
      <c r="B257" t="s">
        <v>78</v>
      </c>
      <c r="C257" t="s">
        <v>79</v>
      </c>
      <c r="D257" t="s">
        <v>442</v>
      </c>
      <c r="E257" t="s">
        <v>443</v>
      </c>
      <c r="F257">
        <v>126.9</v>
      </c>
      <c r="G257">
        <v>126</v>
      </c>
      <c r="H257">
        <v>128.69999999999999</v>
      </c>
      <c r="I257">
        <v>120.2</v>
      </c>
      <c r="J257" s="1">
        <v>121.8</v>
      </c>
      <c r="K257">
        <v>16973163.649999999</v>
      </c>
      <c r="L257">
        <v>136977</v>
      </c>
      <c r="M257" t="s">
        <v>78</v>
      </c>
      <c r="N257" t="s">
        <v>17</v>
      </c>
      <c r="O257">
        <v>2196</v>
      </c>
      <c r="P257">
        <v>264.3</v>
      </c>
      <c r="Q257">
        <v>120</v>
      </c>
    </row>
    <row r="258" spans="2:17" x14ac:dyDescent="0.25">
      <c r="B258" t="s">
        <v>78</v>
      </c>
      <c r="C258" t="s">
        <v>79</v>
      </c>
      <c r="D258" t="s">
        <v>3008</v>
      </c>
      <c r="E258" t="s">
        <v>3009</v>
      </c>
      <c r="F258">
        <v>29.45</v>
      </c>
      <c r="G258">
        <v>29.25</v>
      </c>
      <c r="H258">
        <v>29.25</v>
      </c>
      <c r="I258">
        <v>29</v>
      </c>
      <c r="J258" s="1">
        <v>29</v>
      </c>
      <c r="K258">
        <v>257611.7</v>
      </c>
      <c r="L258">
        <v>8851</v>
      </c>
      <c r="M258" t="s">
        <v>78</v>
      </c>
      <c r="N258" t="s">
        <v>17</v>
      </c>
      <c r="O258">
        <v>96</v>
      </c>
      <c r="P258">
        <v>71.55</v>
      </c>
      <c r="Q258">
        <v>29</v>
      </c>
    </row>
    <row r="259" spans="2:17" x14ac:dyDescent="0.25">
      <c r="B259" t="s">
        <v>78</v>
      </c>
      <c r="C259" t="s">
        <v>79</v>
      </c>
      <c r="D259" t="s">
        <v>444</v>
      </c>
      <c r="E259" t="s">
        <v>445</v>
      </c>
      <c r="F259">
        <v>19.5</v>
      </c>
      <c r="G259">
        <v>19.75</v>
      </c>
      <c r="H259">
        <v>20</v>
      </c>
      <c r="I259">
        <v>19.149999999999999</v>
      </c>
      <c r="J259" s="1">
        <v>19.350000000000001</v>
      </c>
      <c r="K259">
        <v>615693.80000000005</v>
      </c>
      <c r="L259">
        <v>31624</v>
      </c>
      <c r="M259" t="s">
        <v>78</v>
      </c>
      <c r="N259" t="s">
        <v>17</v>
      </c>
      <c r="O259">
        <v>310</v>
      </c>
      <c r="P259">
        <v>40.700000000000003</v>
      </c>
      <c r="Q259">
        <v>19.149999999999999</v>
      </c>
    </row>
    <row r="260" spans="2:17" x14ac:dyDescent="0.25">
      <c r="B260" t="s">
        <v>78</v>
      </c>
      <c r="C260" t="s">
        <v>79</v>
      </c>
      <c r="D260" t="s">
        <v>3582</v>
      </c>
      <c r="E260" t="s">
        <v>3583</v>
      </c>
      <c r="F260">
        <v>2.65</v>
      </c>
      <c r="G260">
        <v>2.5499999999999998</v>
      </c>
      <c r="H260">
        <v>2.75</v>
      </c>
      <c r="I260">
        <v>2.5499999999999998</v>
      </c>
      <c r="J260" s="1">
        <v>2.65</v>
      </c>
      <c r="K260">
        <v>115875.05</v>
      </c>
      <c r="L260">
        <v>43607</v>
      </c>
      <c r="M260" t="s">
        <v>78</v>
      </c>
      <c r="N260" t="s">
        <v>17</v>
      </c>
      <c r="O260">
        <v>62</v>
      </c>
      <c r="P260">
        <v>19.600000000000001</v>
      </c>
      <c r="Q260">
        <v>2.5</v>
      </c>
    </row>
    <row r="261" spans="2:17" x14ac:dyDescent="0.25">
      <c r="B261" t="s">
        <v>78</v>
      </c>
      <c r="C261" t="s">
        <v>79</v>
      </c>
      <c r="D261" t="s">
        <v>448</v>
      </c>
      <c r="E261" t="s">
        <v>449</v>
      </c>
      <c r="F261">
        <v>55.5</v>
      </c>
      <c r="G261">
        <v>56.65</v>
      </c>
      <c r="H261">
        <v>56.7</v>
      </c>
      <c r="I261">
        <v>50.55</v>
      </c>
      <c r="J261" s="1">
        <v>51.8</v>
      </c>
      <c r="K261">
        <v>2399399.15</v>
      </c>
      <c r="L261">
        <v>45736</v>
      </c>
      <c r="M261" t="s">
        <v>78</v>
      </c>
      <c r="N261" t="s">
        <v>17</v>
      </c>
      <c r="O261">
        <v>632</v>
      </c>
      <c r="P261">
        <v>131</v>
      </c>
      <c r="Q261">
        <v>50.55</v>
      </c>
    </row>
    <row r="262" spans="2:17" x14ac:dyDescent="0.25">
      <c r="B262" t="s">
        <v>78</v>
      </c>
      <c r="C262" t="s">
        <v>79</v>
      </c>
      <c r="D262" t="s">
        <v>3010</v>
      </c>
      <c r="E262" t="s">
        <v>3011</v>
      </c>
      <c r="F262">
        <v>22.1</v>
      </c>
      <c r="G262">
        <v>21.95</v>
      </c>
      <c r="H262">
        <v>24.3</v>
      </c>
      <c r="I262">
        <v>21.1</v>
      </c>
      <c r="J262" s="1">
        <v>21.5</v>
      </c>
      <c r="K262">
        <v>24726</v>
      </c>
      <c r="L262">
        <v>1124</v>
      </c>
      <c r="M262" t="s">
        <v>78</v>
      </c>
      <c r="N262" t="s">
        <v>17</v>
      </c>
      <c r="O262">
        <v>25</v>
      </c>
      <c r="P262">
        <v>44.7</v>
      </c>
      <c r="Q262">
        <v>20.399999999999999</v>
      </c>
    </row>
    <row r="263" spans="2:17" x14ac:dyDescent="0.25">
      <c r="B263" t="s">
        <v>78</v>
      </c>
      <c r="C263" t="s">
        <v>79</v>
      </c>
      <c r="D263" t="s">
        <v>3012</v>
      </c>
      <c r="E263" t="s">
        <v>3013</v>
      </c>
      <c r="F263">
        <v>38.9</v>
      </c>
      <c r="G263">
        <v>37.25</v>
      </c>
      <c r="H263">
        <v>40.299999999999997</v>
      </c>
      <c r="I263">
        <v>37</v>
      </c>
      <c r="J263" s="1">
        <v>37.85</v>
      </c>
      <c r="K263">
        <v>1004754.3</v>
      </c>
      <c r="L263">
        <v>25898</v>
      </c>
      <c r="M263" t="s">
        <v>78</v>
      </c>
      <c r="N263" t="s">
        <v>17</v>
      </c>
      <c r="O263">
        <v>1054</v>
      </c>
      <c r="P263">
        <v>78</v>
      </c>
      <c r="Q263">
        <v>37</v>
      </c>
    </row>
    <row r="264" spans="2:17" x14ac:dyDescent="0.25">
      <c r="B264" t="s">
        <v>78</v>
      </c>
      <c r="C264" t="s">
        <v>79</v>
      </c>
      <c r="D264" t="s">
        <v>452</v>
      </c>
      <c r="E264" t="s">
        <v>453</v>
      </c>
      <c r="F264">
        <v>406.75</v>
      </c>
      <c r="G264">
        <v>406.85</v>
      </c>
      <c r="H264">
        <v>406.85</v>
      </c>
      <c r="I264">
        <v>375.5</v>
      </c>
      <c r="J264" s="1">
        <v>391.05</v>
      </c>
      <c r="K264">
        <v>1827312.6</v>
      </c>
      <c r="L264">
        <v>4589</v>
      </c>
      <c r="M264" t="s">
        <v>78</v>
      </c>
      <c r="N264" t="s">
        <v>17</v>
      </c>
      <c r="O264">
        <v>239</v>
      </c>
      <c r="P264">
        <v>444.8</v>
      </c>
      <c r="Q264">
        <v>257</v>
      </c>
    </row>
    <row r="265" spans="2:17" x14ac:dyDescent="0.25">
      <c r="B265" t="s">
        <v>78</v>
      </c>
      <c r="C265" t="s">
        <v>79</v>
      </c>
      <c r="D265" t="s">
        <v>454</v>
      </c>
      <c r="E265" t="s">
        <v>455</v>
      </c>
      <c r="F265">
        <v>40.799999999999997</v>
      </c>
      <c r="G265">
        <v>41.8</v>
      </c>
      <c r="H265">
        <v>41.8</v>
      </c>
      <c r="I265">
        <v>40.15</v>
      </c>
      <c r="J265" s="1">
        <v>40.200000000000003</v>
      </c>
      <c r="K265">
        <v>222677.9</v>
      </c>
      <c r="L265">
        <v>5476</v>
      </c>
      <c r="M265" t="s">
        <v>78</v>
      </c>
      <c r="N265" t="s">
        <v>17</v>
      </c>
      <c r="O265">
        <v>84</v>
      </c>
      <c r="P265">
        <v>64.5</v>
      </c>
      <c r="Q265">
        <v>40.1</v>
      </c>
    </row>
    <row r="266" spans="2:17" x14ac:dyDescent="0.25">
      <c r="B266" t="s">
        <v>78</v>
      </c>
      <c r="C266" t="s">
        <v>79</v>
      </c>
      <c r="D266" t="s">
        <v>6801</v>
      </c>
      <c r="E266" t="s">
        <v>6800</v>
      </c>
      <c r="F266">
        <v>11.5</v>
      </c>
      <c r="G266">
        <v>11.95</v>
      </c>
      <c r="H266">
        <v>11.95</v>
      </c>
      <c r="I266">
        <v>10.6</v>
      </c>
      <c r="J266" s="1">
        <v>10.95</v>
      </c>
      <c r="K266">
        <v>105821.9</v>
      </c>
      <c r="L266">
        <v>9515</v>
      </c>
      <c r="M266" t="s">
        <v>78</v>
      </c>
      <c r="N266" t="s">
        <v>17</v>
      </c>
      <c r="O266">
        <v>137</v>
      </c>
      <c r="P266">
        <v>32.5</v>
      </c>
      <c r="Q266">
        <v>10.6</v>
      </c>
    </row>
    <row r="267" spans="2:17" x14ac:dyDescent="0.25">
      <c r="B267" t="s">
        <v>78</v>
      </c>
      <c r="C267" t="s">
        <v>79</v>
      </c>
      <c r="D267" t="s">
        <v>456</v>
      </c>
      <c r="E267" t="s">
        <v>457</v>
      </c>
      <c r="F267">
        <v>19.25</v>
      </c>
      <c r="G267">
        <v>18.75</v>
      </c>
      <c r="H267">
        <v>20.149999999999999</v>
      </c>
      <c r="I267">
        <v>17.45</v>
      </c>
      <c r="J267" s="1">
        <v>17.600000000000001</v>
      </c>
      <c r="K267">
        <v>389356.9</v>
      </c>
      <c r="L267">
        <v>21040</v>
      </c>
      <c r="M267" t="s">
        <v>78</v>
      </c>
      <c r="N267" t="s">
        <v>17</v>
      </c>
      <c r="O267">
        <v>164</v>
      </c>
      <c r="P267">
        <v>62</v>
      </c>
      <c r="Q267">
        <v>14.55</v>
      </c>
    </row>
    <row r="268" spans="2:17" x14ac:dyDescent="0.25">
      <c r="B268" t="s">
        <v>78</v>
      </c>
      <c r="C268" t="s">
        <v>79</v>
      </c>
      <c r="D268" t="s">
        <v>3016</v>
      </c>
      <c r="E268" t="s">
        <v>3017</v>
      </c>
      <c r="F268">
        <v>34.25</v>
      </c>
      <c r="G268">
        <v>33.15</v>
      </c>
      <c r="H268">
        <v>34.85</v>
      </c>
      <c r="I268">
        <v>32.549999999999997</v>
      </c>
      <c r="J268" s="1">
        <v>32.549999999999997</v>
      </c>
      <c r="K268">
        <v>192761.45</v>
      </c>
      <c r="L268">
        <v>5877</v>
      </c>
      <c r="M268" t="s">
        <v>78</v>
      </c>
      <c r="N268" t="s">
        <v>17</v>
      </c>
      <c r="O268">
        <v>64</v>
      </c>
      <c r="P268">
        <v>63.3</v>
      </c>
      <c r="Q268">
        <v>17.3</v>
      </c>
    </row>
    <row r="269" spans="2:17" x14ac:dyDescent="0.25">
      <c r="B269" t="s">
        <v>78</v>
      </c>
      <c r="C269" t="s">
        <v>287</v>
      </c>
      <c r="D269" t="s">
        <v>3020</v>
      </c>
      <c r="E269" t="s">
        <v>3021</v>
      </c>
      <c r="F269">
        <v>59</v>
      </c>
      <c r="G269">
        <v>55</v>
      </c>
      <c r="H269">
        <v>55</v>
      </c>
      <c r="I269">
        <v>55</v>
      </c>
      <c r="J269" s="1">
        <v>55</v>
      </c>
      <c r="K269">
        <v>110000</v>
      </c>
      <c r="L269">
        <v>2000</v>
      </c>
      <c r="M269" t="s">
        <v>78</v>
      </c>
      <c r="N269" t="s">
        <v>17</v>
      </c>
      <c r="O269">
        <v>1</v>
      </c>
      <c r="P269">
        <v>63</v>
      </c>
      <c r="Q269">
        <v>48</v>
      </c>
    </row>
    <row r="270" spans="2:17" x14ac:dyDescent="0.25">
      <c r="B270" t="s">
        <v>78</v>
      </c>
      <c r="C270" t="s">
        <v>79</v>
      </c>
      <c r="D270" t="s">
        <v>458</v>
      </c>
      <c r="E270" t="s">
        <v>459</v>
      </c>
      <c r="F270">
        <v>59.7</v>
      </c>
      <c r="G270">
        <v>59.75</v>
      </c>
      <c r="H270">
        <v>60.85</v>
      </c>
      <c r="I270">
        <v>56.15</v>
      </c>
      <c r="J270" s="1">
        <v>57.4</v>
      </c>
      <c r="K270">
        <v>340212296.55000001</v>
      </c>
      <c r="L270">
        <v>5848454</v>
      </c>
      <c r="M270" t="s">
        <v>78</v>
      </c>
      <c r="N270" t="s">
        <v>17</v>
      </c>
      <c r="O270">
        <v>15774</v>
      </c>
      <c r="P270">
        <v>438.7</v>
      </c>
      <c r="Q270">
        <v>56.15</v>
      </c>
    </row>
    <row r="271" spans="2:17" x14ac:dyDescent="0.25">
      <c r="B271" t="s">
        <v>78</v>
      </c>
      <c r="C271" t="s">
        <v>79</v>
      </c>
      <c r="D271" t="s">
        <v>460</v>
      </c>
      <c r="E271" t="s">
        <v>461</v>
      </c>
      <c r="F271">
        <v>651</v>
      </c>
      <c r="G271">
        <v>651.04999999999995</v>
      </c>
      <c r="H271">
        <v>655.6</v>
      </c>
      <c r="I271">
        <v>645.04999999999995</v>
      </c>
      <c r="J271" s="1">
        <v>649.95000000000005</v>
      </c>
      <c r="K271">
        <v>27558213.149999999</v>
      </c>
      <c r="L271">
        <v>42235</v>
      </c>
      <c r="M271" t="s">
        <v>78</v>
      </c>
      <c r="N271" t="s">
        <v>17</v>
      </c>
      <c r="O271">
        <v>1520</v>
      </c>
      <c r="P271">
        <v>1089.7</v>
      </c>
      <c r="Q271">
        <v>590.95000000000005</v>
      </c>
    </row>
    <row r="272" spans="2:17" x14ac:dyDescent="0.25">
      <c r="B272" t="s">
        <v>78</v>
      </c>
      <c r="C272" t="s">
        <v>79</v>
      </c>
      <c r="D272" t="s">
        <v>462</v>
      </c>
      <c r="E272" t="s">
        <v>463</v>
      </c>
      <c r="F272">
        <v>93.15</v>
      </c>
      <c r="G272">
        <v>92</v>
      </c>
      <c r="H272">
        <v>96</v>
      </c>
      <c r="I272">
        <v>91.5</v>
      </c>
      <c r="J272" s="1">
        <v>92.85</v>
      </c>
      <c r="K272">
        <v>802647</v>
      </c>
      <c r="L272">
        <v>8662</v>
      </c>
      <c r="M272" t="s">
        <v>78</v>
      </c>
      <c r="N272" t="s">
        <v>17</v>
      </c>
      <c r="O272">
        <v>301</v>
      </c>
      <c r="P272">
        <v>181</v>
      </c>
      <c r="Q272">
        <v>91.5</v>
      </c>
    </row>
    <row r="273" spans="2:17" x14ac:dyDescent="0.25">
      <c r="B273" t="s">
        <v>78</v>
      </c>
      <c r="C273" t="s">
        <v>79</v>
      </c>
      <c r="D273" t="s">
        <v>464</v>
      </c>
      <c r="E273" t="s">
        <v>465</v>
      </c>
      <c r="F273">
        <v>200.15</v>
      </c>
      <c r="G273">
        <v>200.2</v>
      </c>
      <c r="H273">
        <v>202.15</v>
      </c>
      <c r="I273">
        <v>200</v>
      </c>
      <c r="J273" s="1">
        <v>200.25</v>
      </c>
      <c r="K273">
        <v>5341997.8499999996</v>
      </c>
      <c r="L273">
        <v>26645</v>
      </c>
      <c r="M273" t="s">
        <v>78</v>
      </c>
      <c r="N273" t="s">
        <v>17</v>
      </c>
      <c r="O273">
        <v>1034</v>
      </c>
      <c r="P273">
        <v>366</v>
      </c>
      <c r="Q273">
        <v>199</v>
      </c>
    </row>
    <row r="274" spans="2:17" x14ac:dyDescent="0.25">
      <c r="B274" t="s">
        <v>78</v>
      </c>
      <c r="C274" t="s">
        <v>79</v>
      </c>
      <c r="D274" t="s">
        <v>466</v>
      </c>
      <c r="E274" t="s">
        <v>467</v>
      </c>
      <c r="F274">
        <v>127.25</v>
      </c>
      <c r="G274">
        <v>133.94999999999999</v>
      </c>
      <c r="H274">
        <v>133.94999999999999</v>
      </c>
      <c r="I274">
        <v>127</v>
      </c>
      <c r="J274" s="1">
        <v>131</v>
      </c>
      <c r="K274">
        <v>173531.75</v>
      </c>
      <c r="L274">
        <v>1346</v>
      </c>
      <c r="M274" t="s">
        <v>78</v>
      </c>
      <c r="N274" t="s">
        <v>17</v>
      </c>
      <c r="O274">
        <v>199</v>
      </c>
      <c r="P274">
        <v>306.89999999999998</v>
      </c>
      <c r="Q274">
        <v>125</v>
      </c>
    </row>
    <row r="275" spans="2:17" x14ac:dyDescent="0.25">
      <c r="B275" t="s">
        <v>78</v>
      </c>
      <c r="C275" t="s">
        <v>79</v>
      </c>
      <c r="D275" t="s">
        <v>3022</v>
      </c>
      <c r="E275" t="s">
        <v>3023</v>
      </c>
      <c r="F275">
        <v>41.75</v>
      </c>
      <c r="G275">
        <v>40.4</v>
      </c>
      <c r="H275">
        <v>41.9</v>
      </c>
      <c r="I275">
        <v>38.5</v>
      </c>
      <c r="J275" s="1">
        <v>40</v>
      </c>
      <c r="K275">
        <v>505951.5</v>
      </c>
      <c r="L275">
        <v>12598</v>
      </c>
      <c r="M275" t="s">
        <v>78</v>
      </c>
      <c r="N275" t="s">
        <v>17</v>
      </c>
      <c r="O275">
        <v>169</v>
      </c>
      <c r="P275">
        <v>88.4</v>
      </c>
      <c r="Q275">
        <v>37.6</v>
      </c>
    </row>
    <row r="276" spans="2:17" x14ac:dyDescent="0.25">
      <c r="B276" t="s">
        <v>78</v>
      </c>
      <c r="C276" t="s">
        <v>79</v>
      </c>
      <c r="D276" t="s">
        <v>3024</v>
      </c>
      <c r="E276" t="s">
        <v>3025</v>
      </c>
      <c r="F276">
        <v>18.05</v>
      </c>
      <c r="G276">
        <v>18.600000000000001</v>
      </c>
      <c r="H276">
        <v>18.95</v>
      </c>
      <c r="I276">
        <v>18.600000000000001</v>
      </c>
      <c r="J276" s="1">
        <v>18.95</v>
      </c>
      <c r="K276">
        <v>2485712.5</v>
      </c>
      <c r="L276">
        <v>131328</v>
      </c>
      <c r="M276" t="s">
        <v>78</v>
      </c>
      <c r="N276" t="s">
        <v>17</v>
      </c>
      <c r="O276">
        <v>133</v>
      </c>
      <c r="P276">
        <v>56.85</v>
      </c>
      <c r="Q276">
        <v>16.3</v>
      </c>
    </row>
    <row r="277" spans="2:17" x14ac:dyDescent="0.25">
      <c r="B277" t="s">
        <v>78</v>
      </c>
      <c r="C277" t="s">
        <v>79</v>
      </c>
      <c r="D277" t="s">
        <v>470</v>
      </c>
      <c r="E277" t="s">
        <v>471</v>
      </c>
      <c r="F277">
        <v>117.75</v>
      </c>
      <c r="G277">
        <v>117.75</v>
      </c>
      <c r="H277">
        <v>119.65</v>
      </c>
      <c r="I277">
        <v>114.2</v>
      </c>
      <c r="J277" s="1">
        <v>114.85</v>
      </c>
      <c r="K277">
        <v>6421697.2000000002</v>
      </c>
      <c r="L277">
        <v>55626</v>
      </c>
      <c r="M277" t="s">
        <v>78</v>
      </c>
      <c r="N277" t="s">
        <v>17</v>
      </c>
      <c r="O277">
        <v>951</v>
      </c>
      <c r="P277">
        <v>154.44999999999999</v>
      </c>
      <c r="Q277">
        <v>100.8</v>
      </c>
    </row>
    <row r="278" spans="2:17" x14ac:dyDescent="0.25">
      <c r="B278" t="s">
        <v>78</v>
      </c>
      <c r="C278" t="s">
        <v>79</v>
      </c>
      <c r="D278" t="s">
        <v>3026</v>
      </c>
      <c r="E278" t="s">
        <v>3027</v>
      </c>
      <c r="F278">
        <v>9.35</v>
      </c>
      <c r="G278">
        <v>9.15</v>
      </c>
      <c r="H278">
        <v>9.35</v>
      </c>
      <c r="I278">
        <v>8.75</v>
      </c>
      <c r="J278" s="1">
        <v>8.9</v>
      </c>
      <c r="K278">
        <v>307836.09999999998</v>
      </c>
      <c r="L278">
        <v>34015</v>
      </c>
      <c r="M278" t="s">
        <v>78</v>
      </c>
      <c r="N278" t="s">
        <v>17</v>
      </c>
      <c r="O278">
        <v>175</v>
      </c>
      <c r="P278">
        <v>26.15</v>
      </c>
      <c r="Q278">
        <v>8.5</v>
      </c>
    </row>
    <row r="279" spans="2:17" x14ac:dyDescent="0.25">
      <c r="B279" t="s">
        <v>78</v>
      </c>
      <c r="C279" t="s">
        <v>79</v>
      </c>
      <c r="D279" t="s">
        <v>472</v>
      </c>
      <c r="E279" t="s">
        <v>473</v>
      </c>
      <c r="F279">
        <v>126.9</v>
      </c>
      <c r="G279">
        <v>127.5</v>
      </c>
      <c r="H279">
        <v>127.5</v>
      </c>
      <c r="I279">
        <v>121.55</v>
      </c>
      <c r="J279" s="1">
        <v>122.4</v>
      </c>
      <c r="K279">
        <v>15541325.1</v>
      </c>
      <c r="L279">
        <v>126106</v>
      </c>
      <c r="M279" t="s">
        <v>78</v>
      </c>
      <c r="N279" t="s">
        <v>17</v>
      </c>
      <c r="O279">
        <v>3279</v>
      </c>
      <c r="P279">
        <v>159.80000000000001</v>
      </c>
      <c r="Q279">
        <v>93.45</v>
      </c>
    </row>
    <row r="280" spans="2:17" x14ac:dyDescent="0.25">
      <c r="B280" t="s">
        <v>78</v>
      </c>
      <c r="C280" t="s">
        <v>79</v>
      </c>
      <c r="D280" t="s">
        <v>476</v>
      </c>
      <c r="E280" t="s">
        <v>477</v>
      </c>
      <c r="F280">
        <v>119.15</v>
      </c>
      <c r="G280">
        <v>117</v>
      </c>
      <c r="H280">
        <v>123.45</v>
      </c>
      <c r="I280">
        <v>117</v>
      </c>
      <c r="J280" s="1">
        <v>120.2</v>
      </c>
      <c r="K280">
        <v>170707.85</v>
      </c>
      <c r="L280">
        <v>1426</v>
      </c>
      <c r="M280" t="s">
        <v>78</v>
      </c>
      <c r="N280" t="s">
        <v>17</v>
      </c>
      <c r="O280">
        <v>431</v>
      </c>
      <c r="P280">
        <v>250.9</v>
      </c>
      <c r="Q280">
        <v>114.5</v>
      </c>
    </row>
    <row r="281" spans="2:17" x14ac:dyDescent="0.25">
      <c r="B281" t="s">
        <v>78</v>
      </c>
      <c r="C281" t="s">
        <v>79</v>
      </c>
      <c r="D281" t="s">
        <v>478</v>
      </c>
      <c r="E281" t="s">
        <v>479</v>
      </c>
      <c r="F281">
        <v>219.3</v>
      </c>
      <c r="G281">
        <v>219</v>
      </c>
      <c r="H281">
        <v>223.35</v>
      </c>
      <c r="I281">
        <v>215.6</v>
      </c>
      <c r="J281" s="1">
        <v>222.5</v>
      </c>
      <c r="K281">
        <v>23053740</v>
      </c>
      <c r="L281">
        <v>104647</v>
      </c>
      <c r="M281" t="s">
        <v>78</v>
      </c>
      <c r="N281" t="s">
        <v>17</v>
      </c>
      <c r="O281">
        <v>3640</v>
      </c>
      <c r="P281">
        <v>307.5</v>
      </c>
      <c r="Q281">
        <v>130.05000000000001</v>
      </c>
    </row>
    <row r="282" spans="2:17" x14ac:dyDescent="0.25">
      <c r="B282" t="s">
        <v>78</v>
      </c>
      <c r="C282" t="s">
        <v>79</v>
      </c>
      <c r="D282" t="s">
        <v>482</v>
      </c>
      <c r="E282" t="s">
        <v>483</v>
      </c>
      <c r="F282">
        <v>145.69999999999999</v>
      </c>
      <c r="G282">
        <v>141.6</v>
      </c>
      <c r="H282">
        <v>145.69999999999999</v>
      </c>
      <c r="I282">
        <v>141.6</v>
      </c>
      <c r="J282" s="1">
        <v>144.80000000000001</v>
      </c>
      <c r="K282">
        <v>4475.5</v>
      </c>
      <c r="L282">
        <v>31</v>
      </c>
      <c r="M282" t="s">
        <v>78</v>
      </c>
      <c r="N282" t="s">
        <v>17</v>
      </c>
      <c r="O282">
        <v>12</v>
      </c>
      <c r="P282">
        <v>269.85000000000002</v>
      </c>
      <c r="Q282">
        <v>133.6</v>
      </c>
    </row>
    <row r="283" spans="2:17" x14ac:dyDescent="0.25">
      <c r="B283" t="s">
        <v>78</v>
      </c>
      <c r="C283" t="s">
        <v>79</v>
      </c>
      <c r="D283" t="s">
        <v>484</v>
      </c>
      <c r="E283" t="s">
        <v>485</v>
      </c>
      <c r="F283">
        <v>324.39999999999998</v>
      </c>
      <c r="G283">
        <v>324.39999999999998</v>
      </c>
      <c r="H283">
        <v>334.65</v>
      </c>
      <c r="I283">
        <v>315</v>
      </c>
      <c r="J283" s="1">
        <v>324.5</v>
      </c>
      <c r="K283">
        <v>4414850.7</v>
      </c>
      <c r="L283">
        <v>13552</v>
      </c>
      <c r="M283" t="s">
        <v>78</v>
      </c>
      <c r="N283" t="s">
        <v>17</v>
      </c>
      <c r="O283">
        <v>581</v>
      </c>
      <c r="P283">
        <v>717.85</v>
      </c>
      <c r="Q283">
        <v>311.64999999999998</v>
      </c>
    </row>
    <row r="284" spans="2:17" x14ac:dyDescent="0.25">
      <c r="B284" t="s">
        <v>78</v>
      </c>
      <c r="C284" t="s">
        <v>79</v>
      </c>
      <c r="D284" t="s">
        <v>486</v>
      </c>
      <c r="E284" t="s">
        <v>487</v>
      </c>
      <c r="F284">
        <v>126.15</v>
      </c>
      <c r="G284">
        <v>126</v>
      </c>
      <c r="H284">
        <v>127.75</v>
      </c>
      <c r="I284">
        <v>123.5</v>
      </c>
      <c r="J284" s="1">
        <v>126.45</v>
      </c>
      <c r="K284">
        <v>31978785.25</v>
      </c>
      <c r="L284">
        <v>254271</v>
      </c>
      <c r="M284" t="s">
        <v>78</v>
      </c>
      <c r="N284" t="s">
        <v>17</v>
      </c>
      <c r="O284">
        <v>3666</v>
      </c>
      <c r="P284">
        <v>188</v>
      </c>
      <c r="Q284">
        <v>115.1</v>
      </c>
    </row>
    <row r="285" spans="2:17" x14ac:dyDescent="0.25">
      <c r="B285" t="s">
        <v>78</v>
      </c>
      <c r="C285" t="s">
        <v>79</v>
      </c>
      <c r="D285" t="s">
        <v>488</v>
      </c>
      <c r="E285" t="s">
        <v>6799</v>
      </c>
      <c r="F285">
        <v>1298.7</v>
      </c>
      <c r="G285">
        <v>1292.25</v>
      </c>
      <c r="H285">
        <v>1301</v>
      </c>
      <c r="I285">
        <v>1262.8499999999999</v>
      </c>
      <c r="J285" s="1">
        <v>1278.1500000000001</v>
      </c>
      <c r="K285">
        <v>24386884.050000001</v>
      </c>
      <c r="L285">
        <v>19086</v>
      </c>
      <c r="M285" t="s">
        <v>78</v>
      </c>
      <c r="N285" t="s">
        <v>17</v>
      </c>
      <c r="O285">
        <v>1491</v>
      </c>
      <c r="P285">
        <v>1380</v>
      </c>
      <c r="Q285">
        <v>816</v>
      </c>
    </row>
    <row r="286" spans="2:17" x14ac:dyDescent="0.25">
      <c r="B286" t="s">
        <v>78</v>
      </c>
      <c r="C286" t="s">
        <v>79</v>
      </c>
      <c r="D286" t="s">
        <v>490</v>
      </c>
      <c r="E286" t="s">
        <v>491</v>
      </c>
      <c r="F286">
        <v>78.900000000000006</v>
      </c>
      <c r="G286">
        <v>78.95</v>
      </c>
      <c r="H286">
        <v>79.55</v>
      </c>
      <c r="I286">
        <v>77.25</v>
      </c>
      <c r="J286" s="1">
        <v>77.900000000000006</v>
      </c>
      <c r="K286">
        <v>5778670.25</v>
      </c>
      <c r="L286">
        <v>74149</v>
      </c>
      <c r="M286" t="s">
        <v>78</v>
      </c>
      <c r="N286" t="s">
        <v>17</v>
      </c>
      <c r="O286">
        <v>421</v>
      </c>
      <c r="P286">
        <v>106.5</v>
      </c>
      <c r="Q286">
        <v>71.3</v>
      </c>
    </row>
    <row r="287" spans="2:17" x14ac:dyDescent="0.25">
      <c r="B287" t="s">
        <v>78</v>
      </c>
      <c r="C287" t="s">
        <v>79</v>
      </c>
      <c r="D287" t="s">
        <v>492</v>
      </c>
      <c r="E287" t="s">
        <v>493</v>
      </c>
      <c r="F287">
        <v>1950.5</v>
      </c>
      <c r="G287">
        <v>1984</v>
      </c>
      <c r="H287">
        <v>1984</v>
      </c>
      <c r="I287">
        <v>1881</v>
      </c>
      <c r="J287" s="1">
        <v>1891.45</v>
      </c>
      <c r="K287">
        <v>11314499.199999999</v>
      </c>
      <c r="L287">
        <v>5911</v>
      </c>
      <c r="M287" t="s">
        <v>78</v>
      </c>
      <c r="N287" t="s">
        <v>17</v>
      </c>
      <c r="O287">
        <v>905</v>
      </c>
      <c r="P287">
        <v>2397.6999999999998</v>
      </c>
      <c r="Q287">
        <v>1306.05</v>
      </c>
    </row>
    <row r="288" spans="2:17" x14ac:dyDescent="0.25">
      <c r="B288" t="s">
        <v>78</v>
      </c>
      <c r="C288" t="s">
        <v>79</v>
      </c>
      <c r="D288" t="s">
        <v>494</v>
      </c>
      <c r="E288" t="s">
        <v>495</v>
      </c>
      <c r="F288">
        <v>102.05</v>
      </c>
      <c r="G288">
        <v>101.15</v>
      </c>
      <c r="H288">
        <v>105</v>
      </c>
      <c r="I288">
        <v>98</v>
      </c>
      <c r="J288" s="1">
        <v>101.3</v>
      </c>
      <c r="K288">
        <v>38492571.350000001</v>
      </c>
      <c r="L288">
        <v>378601</v>
      </c>
      <c r="M288" t="s">
        <v>78</v>
      </c>
      <c r="N288" t="s">
        <v>17</v>
      </c>
      <c r="O288">
        <v>2420</v>
      </c>
      <c r="P288">
        <v>134</v>
      </c>
      <c r="Q288">
        <v>79.400000000000006</v>
      </c>
    </row>
    <row r="289" spans="2:17" x14ac:dyDescent="0.25">
      <c r="B289" t="s">
        <v>78</v>
      </c>
      <c r="C289" t="s">
        <v>79</v>
      </c>
      <c r="D289" t="s">
        <v>498</v>
      </c>
      <c r="E289" t="s">
        <v>499</v>
      </c>
      <c r="F289">
        <v>490.55</v>
      </c>
      <c r="G289">
        <v>490</v>
      </c>
      <c r="H289">
        <v>493.95</v>
      </c>
      <c r="I289">
        <v>480</v>
      </c>
      <c r="J289" s="1">
        <v>482.3</v>
      </c>
      <c r="K289">
        <v>2772043.75</v>
      </c>
      <c r="L289">
        <v>5655</v>
      </c>
      <c r="M289" t="s">
        <v>78</v>
      </c>
      <c r="N289" t="s">
        <v>17</v>
      </c>
      <c r="O289">
        <v>214</v>
      </c>
      <c r="P289">
        <v>683</v>
      </c>
      <c r="Q289">
        <v>459</v>
      </c>
    </row>
    <row r="290" spans="2:17" x14ac:dyDescent="0.25">
      <c r="B290" t="s">
        <v>78</v>
      </c>
      <c r="C290" t="s">
        <v>79</v>
      </c>
      <c r="D290" t="s">
        <v>3030</v>
      </c>
      <c r="E290" t="s">
        <v>3031</v>
      </c>
      <c r="F290">
        <v>8.9</v>
      </c>
      <c r="G290">
        <v>8.9</v>
      </c>
      <c r="H290">
        <v>9.15</v>
      </c>
      <c r="I290">
        <v>8.5</v>
      </c>
      <c r="J290" s="1">
        <v>8.5500000000000007</v>
      </c>
      <c r="K290">
        <v>179986.15</v>
      </c>
      <c r="L290">
        <v>20988</v>
      </c>
      <c r="M290" t="s">
        <v>78</v>
      </c>
      <c r="N290" t="s">
        <v>17</v>
      </c>
      <c r="O290">
        <v>131</v>
      </c>
      <c r="P290">
        <v>46</v>
      </c>
      <c r="Q290">
        <v>8.5</v>
      </c>
    </row>
    <row r="291" spans="2:17" x14ac:dyDescent="0.25">
      <c r="B291" t="s">
        <v>78</v>
      </c>
      <c r="C291" t="s">
        <v>79</v>
      </c>
      <c r="D291" t="s">
        <v>500</v>
      </c>
      <c r="E291" t="s">
        <v>501</v>
      </c>
      <c r="F291">
        <v>3798.15</v>
      </c>
      <c r="G291">
        <v>3803.35</v>
      </c>
      <c r="H291">
        <v>3819.5</v>
      </c>
      <c r="I291">
        <v>3586</v>
      </c>
      <c r="J291" s="1">
        <v>3670.2</v>
      </c>
      <c r="K291">
        <v>174744320.19999999</v>
      </c>
      <c r="L291">
        <v>47137</v>
      </c>
      <c r="M291" t="s">
        <v>78</v>
      </c>
      <c r="N291" t="s">
        <v>17</v>
      </c>
      <c r="O291">
        <v>6452</v>
      </c>
      <c r="P291">
        <v>4149</v>
      </c>
      <c r="Q291">
        <v>2716</v>
      </c>
    </row>
    <row r="292" spans="2:17" x14ac:dyDescent="0.25">
      <c r="B292" t="s">
        <v>78</v>
      </c>
      <c r="C292" t="s">
        <v>79</v>
      </c>
      <c r="D292" t="s">
        <v>502</v>
      </c>
      <c r="E292" t="s">
        <v>503</v>
      </c>
      <c r="F292">
        <v>270</v>
      </c>
      <c r="G292">
        <v>270</v>
      </c>
      <c r="H292">
        <v>274.35000000000002</v>
      </c>
      <c r="I292">
        <v>259.10000000000002</v>
      </c>
      <c r="J292" s="1">
        <v>262.7</v>
      </c>
      <c r="K292">
        <v>3852890.25</v>
      </c>
      <c r="L292">
        <v>14577</v>
      </c>
      <c r="M292" t="s">
        <v>78</v>
      </c>
      <c r="N292" t="s">
        <v>17</v>
      </c>
      <c r="O292">
        <v>631</v>
      </c>
      <c r="P292">
        <v>450</v>
      </c>
      <c r="Q292">
        <v>259.10000000000002</v>
      </c>
    </row>
    <row r="293" spans="2:17" x14ac:dyDescent="0.25">
      <c r="B293" t="s">
        <v>78</v>
      </c>
      <c r="C293" t="s">
        <v>79</v>
      </c>
      <c r="D293" t="s">
        <v>504</v>
      </c>
      <c r="E293" t="s">
        <v>505</v>
      </c>
      <c r="F293">
        <v>669.35</v>
      </c>
      <c r="G293">
        <v>672</v>
      </c>
      <c r="H293">
        <v>676.95</v>
      </c>
      <c r="I293">
        <v>655</v>
      </c>
      <c r="J293" s="1">
        <v>659.35</v>
      </c>
      <c r="K293">
        <v>72817786.599999994</v>
      </c>
      <c r="L293">
        <v>109645</v>
      </c>
      <c r="M293" t="s">
        <v>78</v>
      </c>
      <c r="N293" t="s">
        <v>17</v>
      </c>
      <c r="O293">
        <v>11417</v>
      </c>
      <c r="P293">
        <v>745</v>
      </c>
      <c r="Q293">
        <v>500.5</v>
      </c>
    </row>
    <row r="294" spans="2:17" x14ac:dyDescent="0.25">
      <c r="B294" t="s">
        <v>78</v>
      </c>
      <c r="C294" t="s">
        <v>79</v>
      </c>
      <c r="D294" t="s">
        <v>506</v>
      </c>
      <c r="E294" t="s">
        <v>507</v>
      </c>
      <c r="F294">
        <v>107.05</v>
      </c>
      <c r="G294">
        <v>107.05</v>
      </c>
      <c r="H294">
        <v>107.8</v>
      </c>
      <c r="I294">
        <v>101.6</v>
      </c>
      <c r="J294" s="1">
        <v>102.4</v>
      </c>
      <c r="K294">
        <v>2321999.4</v>
      </c>
      <c r="L294">
        <v>22197</v>
      </c>
      <c r="M294" t="s">
        <v>78</v>
      </c>
      <c r="N294" t="s">
        <v>17</v>
      </c>
      <c r="O294">
        <v>166</v>
      </c>
      <c r="P294">
        <v>235.8</v>
      </c>
      <c r="Q294">
        <v>101.15</v>
      </c>
    </row>
    <row r="295" spans="2:17" x14ac:dyDescent="0.25">
      <c r="B295" t="s">
        <v>78</v>
      </c>
      <c r="C295" t="s">
        <v>79</v>
      </c>
      <c r="D295" t="s">
        <v>508</v>
      </c>
      <c r="E295" t="s">
        <v>509</v>
      </c>
      <c r="F295">
        <v>35.450000000000003</v>
      </c>
      <c r="G295">
        <v>36.799999999999997</v>
      </c>
      <c r="H295">
        <v>36.799999999999997</v>
      </c>
      <c r="I295">
        <v>33.85</v>
      </c>
      <c r="J295" s="1">
        <v>33.85</v>
      </c>
      <c r="K295">
        <v>28218.400000000001</v>
      </c>
      <c r="L295">
        <v>806</v>
      </c>
      <c r="M295" t="s">
        <v>78</v>
      </c>
      <c r="N295" t="s">
        <v>17</v>
      </c>
      <c r="O295">
        <v>48</v>
      </c>
      <c r="P295">
        <v>79.8</v>
      </c>
      <c r="Q295">
        <v>26.4</v>
      </c>
    </row>
    <row r="296" spans="2:17" x14ac:dyDescent="0.25">
      <c r="B296" t="s">
        <v>78</v>
      </c>
      <c r="C296" t="s">
        <v>79</v>
      </c>
      <c r="D296" t="s">
        <v>510</v>
      </c>
      <c r="E296" t="s">
        <v>511</v>
      </c>
      <c r="F296">
        <v>925.95</v>
      </c>
      <c r="G296">
        <v>925.95</v>
      </c>
      <c r="H296">
        <v>925.95</v>
      </c>
      <c r="I296">
        <v>880.1</v>
      </c>
      <c r="J296" s="1">
        <v>884.45</v>
      </c>
      <c r="K296">
        <v>9084183.25</v>
      </c>
      <c r="L296">
        <v>10080</v>
      </c>
      <c r="M296" t="s">
        <v>78</v>
      </c>
      <c r="N296" t="s">
        <v>17</v>
      </c>
      <c r="O296">
        <v>985</v>
      </c>
      <c r="P296">
        <v>1554.7</v>
      </c>
      <c r="Q296">
        <v>880.1</v>
      </c>
    </row>
    <row r="297" spans="2:17" x14ac:dyDescent="0.25">
      <c r="B297" t="s">
        <v>78</v>
      </c>
      <c r="C297" t="s">
        <v>79</v>
      </c>
      <c r="D297" t="s">
        <v>3032</v>
      </c>
      <c r="E297" t="s">
        <v>3033</v>
      </c>
      <c r="F297">
        <v>47.1</v>
      </c>
      <c r="G297">
        <v>47.1</v>
      </c>
      <c r="H297">
        <v>47.5</v>
      </c>
      <c r="I297">
        <v>46.55</v>
      </c>
      <c r="J297" s="1">
        <v>46.85</v>
      </c>
      <c r="K297">
        <v>597568.05000000005</v>
      </c>
      <c r="L297">
        <v>12732</v>
      </c>
      <c r="M297" t="s">
        <v>78</v>
      </c>
      <c r="N297" t="s">
        <v>17</v>
      </c>
      <c r="O297">
        <v>179</v>
      </c>
      <c r="P297">
        <v>74</v>
      </c>
      <c r="Q297">
        <v>40.200000000000003</v>
      </c>
    </row>
    <row r="298" spans="2:17" x14ac:dyDescent="0.25">
      <c r="B298" t="s">
        <v>78</v>
      </c>
      <c r="C298" t="s">
        <v>79</v>
      </c>
      <c r="D298" t="s">
        <v>512</v>
      </c>
      <c r="E298" t="s">
        <v>513</v>
      </c>
      <c r="F298">
        <v>277.10000000000002</v>
      </c>
      <c r="G298">
        <v>278.10000000000002</v>
      </c>
      <c r="H298">
        <v>279.89999999999998</v>
      </c>
      <c r="I298">
        <v>261</v>
      </c>
      <c r="J298" s="1">
        <v>262.64999999999998</v>
      </c>
      <c r="K298">
        <v>21687249.199999999</v>
      </c>
      <c r="L298">
        <v>80641</v>
      </c>
      <c r="M298" t="s">
        <v>78</v>
      </c>
      <c r="N298" t="s">
        <v>17</v>
      </c>
      <c r="O298">
        <v>2094</v>
      </c>
      <c r="P298">
        <v>763.3</v>
      </c>
      <c r="Q298">
        <v>261</v>
      </c>
    </row>
    <row r="299" spans="2:17" x14ac:dyDescent="0.25">
      <c r="B299" t="s">
        <v>78</v>
      </c>
      <c r="C299" t="s">
        <v>79</v>
      </c>
      <c r="D299" t="s">
        <v>514</v>
      </c>
      <c r="E299" t="s">
        <v>515</v>
      </c>
      <c r="F299">
        <v>330.2</v>
      </c>
      <c r="G299">
        <v>332</v>
      </c>
      <c r="H299">
        <v>333.4</v>
      </c>
      <c r="I299">
        <v>312.64999999999998</v>
      </c>
      <c r="J299" s="1">
        <v>313.85000000000002</v>
      </c>
      <c r="K299">
        <v>136090467.05000001</v>
      </c>
      <c r="L299">
        <v>426646</v>
      </c>
      <c r="M299" t="s">
        <v>78</v>
      </c>
      <c r="N299" t="s">
        <v>17</v>
      </c>
      <c r="O299">
        <v>11379</v>
      </c>
      <c r="P299">
        <v>547.35</v>
      </c>
      <c r="Q299">
        <v>306.14999999999998</v>
      </c>
    </row>
    <row r="300" spans="2:17" x14ac:dyDescent="0.25">
      <c r="B300" t="s">
        <v>78</v>
      </c>
      <c r="C300" t="s">
        <v>287</v>
      </c>
      <c r="D300" t="s">
        <v>6298</v>
      </c>
      <c r="E300" t="s">
        <v>6297</v>
      </c>
      <c r="F300">
        <v>78.45</v>
      </c>
      <c r="G300">
        <v>82.3</v>
      </c>
      <c r="H300">
        <v>82.3</v>
      </c>
      <c r="I300">
        <v>79.75</v>
      </c>
      <c r="J300" s="1">
        <v>79.75</v>
      </c>
      <c r="K300">
        <v>194460</v>
      </c>
      <c r="L300">
        <v>2400</v>
      </c>
      <c r="M300" t="s">
        <v>78</v>
      </c>
      <c r="N300" t="s">
        <v>17</v>
      </c>
      <c r="O300">
        <v>2</v>
      </c>
      <c r="P300">
        <v>108.3</v>
      </c>
      <c r="Q300">
        <v>68.75</v>
      </c>
    </row>
    <row r="301" spans="2:17" x14ac:dyDescent="0.25">
      <c r="B301" t="s">
        <v>78</v>
      </c>
      <c r="C301" t="s">
        <v>287</v>
      </c>
      <c r="D301" t="s">
        <v>6798</v>
      </c>
      <c r="E301" t="s">
        <v>6797</v>
      </c>
      <c r="F301">
        <v>33.700000000000003</v>
      </c>
      <c r="G301">
        <v>32</v>
      </c>
      <c r="H301">
        <v>32</v>
      </c>
      <c r="I301">
        <v>32</v>
      </c>
      <c r="J301" s="1">
        <v>32</v>
      </c>
      <c r="K301">
        <v>96000</v>
      </c>
      <c r="L301">
        <v>3000</v>
      </c>
      <c r="M301" t="s">
        <v>78</v>
      </c>
      <c r="N301" t="s">
        <v>17</v>
      </c>
      <c r="O301">
        <v>1</v>
      </c>
      <c r="P301">
        <v>36.950000000000003</v>
      </c>
      <c r="Q301">
        <v>29.6</v>
      </c>
    </row>
    <row r="302" spans="2:17" x14ac:dyDescent="0.25">
      <c r="B302" t="s">
        <v>78</v>
      </c>
      <c r="C302" t="s">
        <v>79</v>
      </c>
      <c r="D302" t="s">
        <v>518</v>
      </c>
      <c r="E302" t="s">
        <v>519</v>
      </c>
      <c r="F302">
        <v>22.75</v>
      </c>
      <c r="G302">
        <v>22.9</v>
      </c>
      <c r="H302">
        <v>23.3</v>
      </c>
      <c r="I302">
        <v>22.05</v>
      </c>
      <c r="J302" s="1">
        <v>22.35</v>
      </c>
      <c r="K302">
        <v>1059394.6000000001</v>
      </c>
      <c r="L302">
        <v>47025</v>
      </c>
      <c r="M302" t="s">
        <v>78</v>
      </c>
      <c r="N302" t="s">
        <v>17</v>
      </c>
      <c r="O302">
        <v>227</v>
      </c>
      <c r="P302">
        <v>38</v>
      </c>
      <c r="Q302">
        <v>19.8</v>
      </c>
    </row>
    <row r="303" spans="2:17" x14ac:dyDescent="0.25">
      <c r="B303" t="s">
        <v>78</v>
      </c>
      <c r="C303" t="s">
        <v>79</v>
      </c>
      <c r="D303" t="s">
        <v>3034</v>
      </c>
      <c r="E303" t="s">
        <v>6796</v>
      </c>
      <c r="F303">
        <v>66.900000000000006</v>
      </c>
      <c r="G303">
        <v>66.400000000000006</v>
      </c>
      <c r="H303">
        <v>68</v>
      </c>
      <c r="I303">
        <v>65.05</v>
      </c>
      <c r="J303" s="1">
        <v>67.55</v>
      </c>
      <c r="K303">
        <v>34998761.850000001</v>
      </c>
      <c r="L303">
        <v>524824</v>
      </c>
      <c r="M303" t="s">
        <v>78</v>
      </c>
      <c r="N303" t="s">
        <v>17</v>
      </c>
      <c r="O303">
        <v>3334</v>
      </c>
      <c r="P303">
        <v>120.6</v>
      </c>
      <c r="Q303">
        <v>43.75</v>
      </c>
    </row>
    <row r="304" spans="2:17" x14ac:dyDescent="0.25">
      <c r="B304" t="s">
        <v>78</v>
      </c>
      <c r="C304" t="s">
        <v>79</v>
      </c>
      <c r="D304" t="s">
        <v>522</v>
      </c>
      <c r="E304" t="s">
        <v>523</v>
      </c>
      <c r="F304">
        <v>33.950000000000003</v>
      </c>
      <c r="G304">
        <v>33.1</v>
      </c>
      <c r="H304">
        <v>35.950000000000003</v>
      </c>
      <c r="I304">
        <v>29.9</v>
      </c>
      <c r="J304" s="1">
        <v>32.950000000000003</v>
      </c>
      <c r="K304">
        <v>920002.4</v>
      </c>
      <c r="L304">
        <v>28921</v>
      </c>
      <c r="M304" t="s">
        <v>78</v>
      </c>
      <c r="N304" t="s">
        <v>17</v>
      </c>
      <c r="O304">
        <v>239</v>
      </c>
      <c r="P304">
        <v>49</v>
      </c>
      <c r="Q304">
        <v>27.2</v>
      </c>
    </row>
    <row r="305" spans="2:17" x14ac:dyDescent="0.25">
      <c r="B305" t="s">
        <v>78</v>
      </c>
      <c r="C305" t="s">
        <v>79</v>
      </c>
      <c r="D305" t="s">
        <v>3036</v>
      </c>
      <c r="E305" t="s">
        <v>3037</v>
      </c>
      <c r="F305">
        <v>3.1</v>
      </c>
      <c r="G305">
        <v>3.2</v>
      </c>
      <c r="H305">
        <v>3.2</v>
      </c>
      <c r="I305">
        <v>3.05</v>
      </c>
      <c r="J305" s="1">
        <v>3.05</v>
      </c>
      <c r="K305">
        <v>149006.95000000001</v>
      </c>
      <c r="L305">
        <v>48446</v>
      </c>
      <c r="M305" t="s">
        <v>78</v>
      </c>
      <c r="N305" t="s">
        <v>17</v>
      </c>
      <c r="O305">
        <v>111</v>
      </c>
      <c r="P305">
        <v>8.4499999999999993</v>
      </c>
      <c r="Q305">
        <v>2.95</v>
      </c>
    </row>
    <row r="306" spans="2:17" x14ac:dyDescent="0.25">
      <c r="B306" t="s">
        <v>78</v>
      </c>
      <c r="C306" t="s">
        <v>79</v>
      </c>
      <c r="D306" t="s">
        <v>526</v>
      </c>
      <c r="E306" t="s">
        <v>527</v>
      </c>
      <c r="F306">
        <v>309.95</v>
      </c>
      <c r="G306">
        <v>310.39999999999998</v>
      </c>
      <c r="H306">
        <v>310.39999999999998</v>
      </c>
      <c r="I306">
        <v>295.25</v>
      </c>
      <c r="J306" s="1">
        <v>298.7</v>
      </c>
      <c r="K306">
        <v>83154784.400000006</v>
      </c>
      <c r="L306">
        <v>277495</v>
      </c>
      <c r="M306" t="s">
        <v>78</v>
      </c>
      <c r="N306" t="s">
        <v>17</v>
      </c>
      <c r="O306">
        <v>8339</v>
      </c>
      <c r="P306">
        <v>468.4</v>
      </c>
      <c r="Q306">
        <v>295.25</v>
      </c>
    </row>
    <row r="307" spans="2:17" x14ac:dyDescent="0.25">
      <c r="B307" t="s">
        <v>78</v>
      </c>
      <c r="C307" t="s">
        <v>79</v>
      </c>
      <c r="D307" t="s">
        <v>528</v>
      </c>
      <c r="E307" t="s">
        <v>529</v>
      </c>
      <c r="F307">
        <v>458.7</v>
      </c>
      <c r="G307">
        <v>453.35</v>
      </c>
      <c r="H307">
        <v>464.6</v>
      </c>
      <c r="I307">
        <v>446.2</v>
      </c>
      <c r="J307" s="1">
        <v>451.85</v>
      </c>
      <c r="K307">
        <v>25845141.199999999</v>
      </c>
      <c r="L307">
        <v>57116</v>
      </c>
      <c r="M307" t="s">
        <v>78</v>
      </c>
      <c r="N307" t="s">
        <v>17</v>
      </c>
      <c r="O307">
        <v>2503</v>
      </c>
      <c r="P307">
        <v>657.4</v>
      </c>
      <c r="Q307">
        <v>416.35</v>
      </c>
    </row>
    <row r="308" spans="2:17" x14ac:dyDescent="0.25">
      <c r="B308" t="s">
        <v>78</v>
      </c>
      <c r="C308" t="s">
        <v>79</v>
      </c>
      <c r="D308" t="s">
        <v>3038</v>
      </c>
      <c r="E308" t="s">
        <v>3039</v>
      </c>
      <c r="F308">
        <v>7.15</v>
      </c>
      <c r="G308">
        <v>7.15</v>
      </c>
      <c r="H308">
        <v>7.2</v>
      </c>
      <c r="I308">
        <v>7</v>
      </c>
      <c r="J308" s="1">
        <v>7.05</v>
      </c>
      <c r="K308">
        <v>7448045.4000000004</v>
      </c>
      <c r="L308">
        <v>1050472</v>
      </c>
      <c r="M308" t="s">
        <v>78</v>
      </c>
      <c r="N308" t="s">
        <v>17</v>
      </c>
      <c r="O308">
        <v>946</v>
      </c>
      <c r="P308">
        <v>12.15</v>
      </c>
      <c r="Q308">
        <v>5.6</v>
      </c>
    </row>
    <row r="309" spans="2:17" x14ac:dyDescent="0.25">
      <c r="B309" t="s">
        <v>78</v>
      </c>
      <c r="C309" t="s">
        <v>79</v>
      </c>
      <c r="D309" t="s">
        <v>530</v>
      </c>
      <c r="E309" t="s">
        <v>531</v>
      </c>
      <c r="F309">
        <v>52.8</v>
      </c>
      <c r="G309">
        <v>52.5</v>
      </c>
      <c r="H309">
        <v>53.5</v>
      </c>
      <c r="I309">
        <v>52.5</v>
      </c>
      <c r="J309" s="1">
        <v>53.15</v>
      </c>
      <c r="K309">
        <v>1433619.85</v>
      </c>
      <c r="L309">
        <v>27001</v>
      </c>
      <c r="M309" t="s">
        <v>78</v>
      </c>
      <c r="N309" t="s">
        <v>17</v>
      </c>
      <c r="O309">
        <v>274</v>
      </c>
      <c r="P309">
        <v>120.45</v>
      </c>
      <c r="Q309">
        <v>52</v>
      </c>
    </row>
    <row r="310" spans="2:17" x14ac:dyDescent="0.25">
      <c r="B310" t="s">
        <v>78</v>
      </c>
      <c r="C310" t="s">
        <v>79</v>
      </c>
      <c r="D310" t="s">
        <v>532</v>
      </c>
      <c r="E310" t="s">
        <v>533</v>
      </c>
      <c r="F310">
        <v>299.60000000000002</v>
      </c>
      <c r="G310">
        <v>300</v>
      </c>
      <c r="H310">
        <v>306.95</v>
      </c>
      <c r="I310">
        <v>280</v>
      </c>
      <c r="J310" s="1">
        <v>284.10000000000002</v>
      </c>
      <c r="K310">
        <v>9563726.0999999996</v>
      </c>
      <c r="L310">
        <v>33197</v>
      </c>
      <c r="M310" t="s">
        <v>78</v>
      </c>
      <c r="N310" t="s">
        <v>17</v>
      </c>
      <c r="O310">
        <v>1838</v>
      </c>
      <c r="P310">
        <v>603</v>
      </c>
      <c r="Q310">
        <v>280</v>
      </c>
    </row>
    <row r="311" spans="2:17" x14ac:dyDescent="0.25">
      <c r="B311" t="s">
        <v>78</v>
      </c>
      <c r="C311" t="s">
        <v>79</v>
      </c>
      <c r="D311" t="s">
        <v>536</v>
      </c>
      <c r="E311" t="s">
        <v>537</v>
      </c>
      <c r="F311">
        <v>26.15</v>
      </c>
      <c r="G311">
        <v>26.1</v>
      </c>
      <c r="H311">
        <v>27.85</v>
      </c>
      <c r="I311">
        <v>24.45</v>
      </c>
      <c r="J311" s="1">
        <v>24.75</v>
      </c>
      <c r="K311">
        <v>181481.25</v>
      </c>
      <c r="L311">
        <v>7123</v>
      </c>
      <c r="M311" t="s">
        <v>78</v>
      </c>
      <c r="N311" t="s">
        <v>17</v>
      </c>
      <c r="O311">
        <v>135</v>
      </c>
      <c r="P311">
        <v>83.75</v>
      </c>
      <c r="Q311">
        <v>24.45</v>
      </c>
    </row>
    <row r="312" spans="2:17" x14ac:dyDescent="0.25">
      <c r="B312" t="s">
        <v>78</v>
      </c>
      <c r="C312" t="s">
        <v>79</v>
      </c>
      <c r="D312" t="s">
        <v>538</v>
      </c>
      <c r="E312" t="s">
        <v>539</v>
      </c>
      <c r="F312">
        <v>751</v>
      </c>
      <c r="G312">
        <v>752</v>
      </c>
      <c r="H312">
        <v>759</v>
      </c>
      <c r="I312">
        <v>725.55</v>
      </c>
      <c r="J312" s="1">
        <v>728.65</v>
      </c>
      <c r="K312">
        <v>351405627.19999999</v>
      </c>
      <c r="L312">
        <v>474180</v>
      </c>
      <c r="M312" t="s">
        <v>78</v>
      </c>
      <c r="N312" t="s">
        <v>17</v>
      </c>
      <c r="O312">
        <v>18672</v>
      </c>
      <c r="P312">
        <v>1453.55</v>
      </c>
      <c r="Q312">
        <v>708.05</v>
      </c>
    </row>
    <row r="313" spans="2:17" x14ac:dyDescent="0.25">
      <c r="B313" t="s">
        <v>78</v>
      </c>
      <c r="C313" t="s">
        <v>79</v>
      </c>
      <c r="D313" t="s">
        <v>3588</v>
      </c>
      <c r="E313" t="s">
        <v>3589</v>
      </c>
      <c r="F313">
        <v>1.2</v>
      </c>
      <c r="G313">
        <v>1.2</v>
      </c>
      <c r="H313">
        <v>1.25</v>
      </c>
      <c r="I313">
        <v>1.1499999999999999</v>
      </c>
      <c r="J313" s="1">
        <v>1.1499999999999999</v>
      </c>
      <c r="K313">
        <v>1069543.75</v>
      </c>
      <c r="L313">
        <v>921145</v>
      </c>
      <c r="M313" t="s">
        <v>78</v>
      </c>
      <c r="N313" t="s">
        <v>17</v>
      </c>
      <c r="O313">
        <v>191</v>
      </c>
      <c r="P313">
        <v>10.95</v>
      </c>
      <c r="Q313">
        <v>1.1499999999999999</v>
      </c>
    </row>
    <row r="314" spans="2:17" x14ac:dyDescent="0.25">
      <c r="B314" t="s">
        <v>78</v>
      </c>
      <c r="C314" t="s">
        <v>79</v>
      </c>
      <c r="D314" t="s">
        <v>540</v>
      </c>
      <c r="E314" t="s">
        <v>541</v>
      </c>
      <c r="F314">
        <v>176.85</v>
      </c>
      <c r="G314">
        <v>177</v>
      </c>
      <c r="H314">
        <v>178.7</v>
      </c>
      <c r="I314">
        <v>175.3</v>
      </c>
      <c r="J314" s="1">
        <v>175.75</v>
      </c>
      <c r="K314">
        <v>9190189.1999999993</v>
      </c>
      <c r="L314">
        <v>51993</v>
      </c>
      <c r="M314" t="s">
        <v>78</v>
      </c>
      <c r="N314" t="s">
        <v>17</v>
      </c>
      <c r="O314">
        <v>1297</v>
      </c>
      <c r="P314">
        <v>231.05</v>
      </c>
      <c r="Q314">
        <v>159.25</v>
      </c>
    </row>
    <row r="315" spans="2:17" x14ac:dyDescent="0.25">
      <c r="B315" t="s">
        <v>78</v>
      </c>
      <c r="C315" t="s">
        <v>79</v>
      </c>
      <c r="D315" t="s">
        <v>3040</v>
      </c>
      <c r="E315" t="s">
        <v>3041</v>
      </c>
      <c r="F315">
        <v>51.05</v>
      </c>
      <c r="G315">
        <v>53</v>
      </c>
      <c r="H315">
        <v>53</v>
      </c>
      <c r="I315">
        <v>48.45</v>
      </c>
      <c r="J315" s="1">
        <v>49.25</v>
      </c>
      <c r="K315">
        <v>382732.65</v>
      </c>
      <c r="L315">
        <v>7746</v>
      </c>
      <c r="M315" t="s">
        <v>78</v>
      </c>
      <c r="N315" t="s">
        <v>17</v>
      </c>
      <c r="O315">
        <v>177</v>
      </c>
      <c r="P315">
        <v>109.2</v>
      </c>
      <c r="Q315">
        <v>48.45</v>
      </c>
    </row>
    <row r="316" spans="2:17" x14ac:dyDescent="0.25">
      <c r="B316" t="s">
        <v>78</v>
      </c>
      <c r="C316" t="s">
        <v>79</v>
      </c>
      <c r="D316" t="s">
        <v>542</v>
      </c>
      <c r="E316" t="s">
        <v>543</v>
      </c>
      <c r="F316">
        <v>149.80000000000001</v>
      </c>
      <c r="G316">
        <v>150.1</v>
      </c>
      <c r="H316">
        <v>150.80000000000001</v>
      </c>
      <c r="I316">
        <v>146.35</v>
      </c>
      <c r="J316" s="1">
        <v>146.80000000000001</v>
      </c>
      <c r="K316">
        <v>136293844</v>
      </c>
      <c r="L316">
        <v>919768</v>
      </c>
      <c r="M316" t="s">
        <v>78</v>
      </c>
      <c r="N316" t="s">
        <v>17</v>
      </c>
      <c r="O316">
        <v>16619</v>
      </c>
      <c r="P316">
        <v>169</v>
      </c>
      <c r="Q316">
        <v>59.7</v>
      </c>
    </row>
    <row r="317" spans="2:17" x14ac:dyDescent="0.25">
      <c r="B317" t="s">
        <v>78</v>
      </c>
      <c r="C317" t="s">
        <v>79</v>
      </c>
      <c r="D317" t="s">
        <v>544</v>
      </c>
      <c r="E317" t="s">
        <v>545</v>
      </c>
      <c r="F317">
        <v>44</v>
      </c>
      <c r="G317">
        <v>44.1</v>
      </c>
      <c r="H317">
        <v>45.5</v>
      </c>
      <c r="I317">
        <v>44</v>
      </c>
      <c r="J317" s="1">
        <v>44</v>
      </c>
      <c r="K317">
        <v>63100.2</v>
      </c>
      <c r="L317">
        <v>1430</v>
      </c>
      <c r="M317" t="s">
        <v>78</v>
      </c>
      <c r="N317" t="s">
        <v>17</v>
      </c>
      <c r="O317">
        <v>31</v>
      </c>
      <c r="P317">
        <v>62</v>
      </c>
      <c r="Q317">
        <v>37.65</v>
      </c>
    </row>
    <row r="318" spans="2:17" x14ac:dyDescent="0.25">
      <c r="B318" t="s">
        <v>78</v>
      </c>
      <c r="C318" t="s">
        <v>79</v>
      </c>
      <c r="D318" t="s">
        <v>547</v>
      </c>
      <c r="E318" t="s">
        <v>548</v>
      </c>
      <c r="F318">
        <v>1405.35</v>
      </c>
      <c r="G318">
        <v>1405.05</v>
      </c>
      <c r="H318">
        <v>1410.05</v>
      </c>
      <c r="I318">
        <v>1400</v>
      </c>
      <c r="J318" s="1">
        <v>1405</v>
      </c>
      <c r="K318">
        <v>890145.9</v>
      </c>
      <c r="L318">
        <v>634</v>
      </c>
      <c r="M318" t="s">
        <v>78</v>
      </c>
      <c r="N318" t="s">
        <v>17</v>
      </c>
      <c r="O318">
        <v>54</v>
      </c>
      <c r="P318">
        <v>1941.55</v>
      </c>
      <c r="Q318">
        <v>1235</v>
      </c>
    </row>
    <row r="319" spans="2:17" x14ac:dyDescent="0.25">
      <c r="B319" t="s">
        <v>78</v>
      </c>
      <c r="C319" t="s">
        <v>79</v>
      </c>
      <c r="D319" t="s">
        <v>549</v>
      </c>
      <c r="E319" t="s">
        <v>550</v>
      </c>
      <c r="F319">
        <v>108.65</v>
      </c>
      <c r="G319">
        <v>107.95</v>
      </c>
      <c r="H319">
        <v>109.5</v>
      </c>
      <c r="I319">
        <v>103.55</v>
      </c>
      <c r="J319" s="1">
        <v>105.4</v>
      </c>
      <c r="K319">
        <v>2844045.6</v>
      </c>
      <c r="L319">
        <v>26936</v>
      </c>
      <c r="M319" t="s">
        <v>78</v>
      </c>
      <c r="N319" t="s">
        <v>17</v>
      </c>
      <c r="O319">
        <v>622</v>
      </c>
      <c r="P319">
        <v>238.9</v>
      </c>
      <c r="Q319">
        <v>103.55</v>
      </c>
    </row>
    <row r="320" spans="2:17" x14ac:dyDescent="0.25">
      <c r="B320" t="s">
        <v>78</v>
      </c>
      <c r="C320" t="s">
        <v>79</v>
      </c>
      <c r="D320" t="s">
        <v>551</v>
      </c>
      <c r="E320" t="s">
        <v>552</v>
      </c>
      <c r="F320">
        <v>38.450000000000003</v>
      </c>
      <c r="G320">
        <v>38.200000000000003</v>
      </c>
      <c r="H320">
        <v>39</v>
      </c>
      <c r="I320">
        <v>35.6</v>
      </c>
      <c r="J320" s="1">
        <v>37.15</v>
      </c>
      <c r="K320">
        <v>684272.3</v>
      </c>
      <c r="L320">
        <v>18352</v>
      </c>
      <c r="M320" t="s">
        <v>78</v>
      </c>
      <c r="N320" t="s">
        <v>17</v>
      </c>
      <c r="O320">
        <v>577</v>
      </c>
      <c r="P320">
        <v>63.4</v>
      </c>
      <c r="Q320">
        <v>29.4</v>
      </c>
    </row>
    <row r="321" spans="2:17" x14ac:dyDescent="0.25">
      <c r="B321" t="s">
        <v>78</v>
      </c>
      <c r="C321" t="s">
        <v>287</v>
      </c>
      <c r="D321" t="s">
        <v>553</v>
      </c>
      <c r="E321" t="s">
        <v>554</v>
      </c>
      <c r="F321">
        <v>95.65</v>
      </c>
      <c r="G321">
        <v>95.65</v>
      </c>
      <c r="H321">
        <v>95.65</v>
      </c>
      <c r="I321">
        <v>95.65</v>
      </c>
      <c r="J321" s="1">
        <v>95.65</v>
      </c>
      <c r="K321">
        <v>114780</v>
      </c>
      <c r="L321">
        <v>1200</v>
      </c>
      <c r="M321" t="s">
        <v>78</v>
      </c>
      <c r="N321" t="s">
        <v>17</v>
      </c>
      <c r="O321">
        <v>1</v>
      </c>
      <c r="P321">
        <v>114</v>
      </c>
      <c r="Q321">
        <v>58.9</v>
      </c>
    </row>
    <row r="322" spans="2:17" x14ac:dyDescent="0.25">
      <c r="B322" t="s">
        <v>78</v>
      </c>
      <c r="C322" t="s">
        <v>79</v>
      </c>
      <c r="D322" t="s">
        <v>555</v>
      </c>
      <c r="E322" t="s">
        <v>556</v>
      </c>
      <c r="F322">
        <v>82.15</v>
      </c>
      <c r="G322">
        <v>82.9</v>
      </c>
      <c r="H322">
        <v>83.3</v>
      </c>
      <c r="I322">
        <v>80</v>
      </c>
      <c r="J322" s="1">
        <v>80.150000000000006</v>
      </c>
      <c r="K322">
        <v>572998540.25</v>
      </c>
      <c r="L322">
        <v>7077546</v>
      </c>
      <c r="M322" t="s">
        <v>78</v>
      </c>
      <c r="N322" t="s">
        <v>17</v>
      </c>
      <c r="O322">
        <v>24275</v>
      </c>
      <c r="P322">
        <v>110.15</v>
      </c>
      <c r="Q322">
        <v>73.2</v>
      </c>
    </row>
    <row r="323" spans="2:17" x14ac:dyDescent="0.25">
      <c r="B323" t="s">
        <v>78</v>
      </c>
      <c r="C323" t="s">
        <v>287</v>
      </c>
      <c r="D323" t="s">
        <v>6795</v>
      </c>
      <c r="E323" t="s">
        <v>6794</v>
      </c>
      <c r="F323">
        <v>5.3</v>
      </c>
      <c r="G323">
        <v>5.05</v>
      </c>
      <c r="H323">
        <v>5.05</v>
      </c>
      <c r="I323">
        <v>5.05</v>
      </c>
      <c r="J323" s="1">
        <v>5.05</v>
      </c>
      <c r="K323">
        <v>5050</v>
      </c>
      <c r="L323">
        <v>1000</v>
      </c>
      <c r="M323" t="s">
        <v>78</v>
      </c>
      <c r="N323" t="s">
        <v>17</v>
      </c>
      <c r="O323">
        <v>1</v>
      </c>
      <c r="P323">
        <v>133.69999999999999</v>
      </c>
      <c r="Q323">
        <v>3.05</v>
      </c>
    </row>
    <row r="324" spans="2:17" x14ac:dyDescent="0.25">
      <c r="B324" t="s">
        <v>78</v>
      </c>
      <c r="C324" t="s">
        <v>79</v>
      </c>
      <c r="D324" t="s">
        <v>3042</v>
      </c>
      <c r="E324" t="s">
        <v>3043</v>
      </c>
      <c r="F324">
        <v>66.7</v>
      </c>
      <c r="G324">
        <v>65.3</v>
      </c>
      <c r="H324">
        <v>67.25</v>
      </c>
      <c r="I324">
        <v>65.3</v>
      </c>
      <c r="J324" s="1">
        <v>67</v>
      </c>
      <c r="K324">
        <v>131305.04999999999</v>
      </c>
      <c r="L324">
        <v>1960</v>
      </c>
      <c r="M324" t="s">
        <v>78</v>
      </c>
      <c r="N324" t="s">
        <v>17</v>
      </c>
      <c r="O324">
        <v>47</v>
      </c>
      <c r="P324">
        <v>99.3</v>
      </c>
      <c r="Q324">
        <v>56</v>
      </c>
    </row>
    <row r="325" spans="2:17" x14ac:dyDescent="0.25">
      <c r="B325" t="s">
        <v>78</v>
      </c>
      <c r="C325" t="s">
        <v>79</v>
      </c>
      <c r="D325" t="s">
        <v>3590</v>
      </c>
      <c r="E325" t="s">
        <v>3591</v>
      </c>
      <c r="F325">
        <v>3.3</v>
      </c>
      <c r="G325">
        <v>3.3</v>
      </c>
      <c r="H325">
        <v>3.35</v>
      </c>
      <c r="I325">
        <v>3.05</v>
      </c>
      <c r="J325" s="1">
        <v>3.2</v>
      </c>
      <c r="K325">
        <v>58806.55</v>
      </c>
      <c r="L325">
        <v>18688</v>
      </c>
      <c r="M325" t="s">
        <v>78</v>
      </c>
      <c r="N325" t="s">
        <v>17</v>
      </c>
      <c r="O325">
        <v>45</v>
      </c>
      <c r="P325">
        <v>10.199999999999999</v>
      </c>
      <c r="Q325">
        <v>3.05</v>
      </c>
    </row>
    <row r="326" spans="2:17" x14ac:dyDescent="0.25">
      <c r="B326" t="s">
        <v>78</v>
      </c>
      <c r="C326" t="s">
        <v>79</v>
      </c>
      <c r="D326" t="s">
        <v>559</v>
      </c>
      <c r="E326" t="s">
        <v>560</v>
      </c>
      <c r="F326">
        <v>1127.4000000000001</v>
      </c>
      <c r="G326">
        <v>1132.55</v>
      </c>
      <c r="H326">
        <v>1152.95</v>
      </c>
      <c r="I326">
        <v>1115</v>
      </c>
      <c r="J326" s="1">
        <v>1122.2</v>
      </c>
      <c r="K326">
        <v>13168451.949999999</v>
      </c>
      <c r="L326">
        <v>11605</v>
      </c>
      <c r="M326" t="s">
        <v>78</v>
      </c>
      <c r="N326" t="s">
        <v>17</v>
      </c>
      <c r="O326">
        <v>770</v>
      </c>
      <c r="P326">
        <v>2135</v>
      </c>
      <c r="Q326">
        <v>1115</v>
      </c>
    </row>
    <row r="327" spans="2:17" x14ac:dyDescent="0.25">
      <c r="B327" t="s">
        <v>78</v>
      </c>
      <c r="C327" t="s">
        <v>79</v>
      </c>
      <c r="D327" t="s">
        <v>3044</v>
      </c>
      <c r="E327" t="s">
        <v>3045</v>
      </c>
      <c r="F327">
        <v>150.19999999999999</v>
      </c>
      <c r="G327">
        <v>150</v>
      </c>
      <c r="H327">
        <v>150</v>
      </c>
      <c r="I327">
        <v>136</v>
      </c>
      <c r="J327" s="1">
        <v>138.15</v>
      </c>
      <c r="K327">
        <v>683125.25</v>
      </c>
      <c r="L327">
        <v>4835</v>
      </c>
      <c r="M327" t="s">
        <v>78</v>
      </c>
      <c r="N327" t="s">
        <v>17</v>
      </c>
      <c r="O327">
        <v>221</v>
      </c>
      <c r="P327">
        <v>254.95</v>
      </c>
      <c r="Q327">
        <v>135.6</v>
      </c>
    </row>
    <row r="328" spans="2:17" x14ac:dyDescent="0.25">
      <c r="B328" t="s">
        <v>78</v>
      </c>
      <c r="C328" t="s">
        <v>79</v>
      </c>
      <c r="D328" t="s">
        <v>561</v>
      </c>
      <c r="E328" t="s">
        <v>562</v>
      </c>
      <c r="F328">
        <v>1341.65</v>
      </c>
      <c r="G328">
        <v>1348.65</v>
      </c>
      <c r="H328">
        <v>1348.65</v>
      </c>
      <c r="I328">
        <v>1283.1500000000001</v>
      </c>
      <c r="J328" s="1">
        <v>1294.7</v>
      </c>
      <c r="K328">
        <v>1434494273.25</v>
      </c>
      <c r="L328">
        <v>1095539</v>
      </c>
      <c r="M328" t="s">
        <v>78</v>
      </c>
      <c r="N328" t="s">
        <v>17</v>
      </c>
      <c r="O328">
        <v>39515</v>
      </c>
      <c r="P328">
        <v>1479.95</v>
      </c>
      <c r="Q328">
        <v>813.1</v>
      </c>
    </row>
    <row r="329" spans="2:17" x14ac:dyDescent="0.25">
      <c r="B329" t="s">
        <v>78</v>
      </c>
      <c r="C329" t="s">
        <v>79</v>
      </c>
      <c r="D329" t="s">
        <v>563</v>
      </c>
      <c r="E329" t="s">
        <v>564</v>
      </c>
      <c r="F329">
        <v>3345.65</v>
      </c>
      <c r="G329">
        <v>3339.9</v>
      </c>
      <c r="H329">
        <v>3339.9</v>
      </c>
      <c r="I329">
        <v>3272</v>
      </c>
      <c r="J329" s="1">
        <v>3286.55</v>
      </c>
      <c r="K329">
        <v>7206905.0999999996</v>
      </c>
      <c r="L329">
        <v>2185</v>
      </c>
      <c r="M329" t="s">
        <v>78</v>
      </c>
      <c r="N329" t="s">
        <v>17</v>
      </c>
      <c r="O329">
        <v>944</v>
      </c>
      <c r="P329">
        <v>4567.8999999999996</v>
      </c>
      <c r="Q329">
        <v>3138.7</v>
      </c>
    </row>
    <row r="330" spans="2:17" x14ac:dyDescent="0.25">
      <c r="B330" t="s">
        <v>78</v>
      </c>
      <c r="C330" t="s">
        <v>79</v>
      </c>
      <c r="D330" t="s">
        <v>565</v>
      </c>
      <c r="E330" t="s">
        <v>566</v>
      </c>
      <c r="F330">
        <v>991.95</v>
      </c>
      <c r="G330">
        <v>1013.9</v>
      </c>
      <c r="H330">
        <v>1013.9</v>
      </c>
      <c r="I330">
        <v>971</v>
      </c>
      <c r="J330" s="1">
        <v>976.85</v>
      </c>
      <c r="K330">
        <v>3284236.45</v>
      </c>
      <c r="L330">
        <v>3357</v>
      </c>
      <c r="M330" t="s">
        <v>78</v>
      </c>
      <c r="N330" t="s">
        <v>17</v>
      </c>
      <c r="O330">
        <v>413</v>
      </c>
      <c r="P330">
        <v>1586</v>
      </c>
      <c r="Q330">
        <v>950</v>
      </c>
    </row>
    <row r="331" spans="2:17" x14ac:dyDescent="0.25">
      <c r="B331" t="s">
        <v>78</v>
      </c>
      <c r="C331" t="s">
        <v>79</v>
      </c>
      <c r="D331" t="s">
        <v>567</v>
      </c>
      <c r="E331" t="s">
        <v>568</v>
      </c>
      <c r="F331">
        <v>912.75</v>
      </c>
      <c r="G331">
        <v>913.05</v>
      </c>
      <c r="H331">
        <v>926</v>
      </c>
      <c r="I331">
        <v>892</v>
      </c>
      <c r="J331" s="1">
        <v>896.85</v>
      </c>
      <c r="K331">
        <v>31954446.25</v>
      </c>
      <c r="L331">
        <v>35251</v>
      </c>
      <c r="M331" t="s">
        <v>78</v>
      </c>
      <c r="N331" t="s">
        <v>17</v>
      </c>
      <c r="O331">
        <v>2515</v>
      </c>
      <c r="P331">
        <v>2115</v>
      </c>
      <c r="Q331">
        <v>891.5</v>
      </c>
    </row>
    <row r="332" spans="2:17" x14ac:dyDescent="0.25">
      <c r="B332" t="s">
        <v>78</v>
      </c>
      <c r="C332" t="s">
        <v>79</v>
      </c>
      <c r="D332" t="s">
        <v>571</v>
      </c>
      <c r="E332" t="s">
        <v>572</v>
      </c>
      <c r="F332">
        <v>3.35</v>
      </c>
      <c r="G332">
        <v>3.35</v>
      </c>
      <c r="H332">
        <v>3.5</v>
      </c>
      <c r="I332">
        <v>3.35</v>
      </c>
      <c r="J332" s="1">
        <v>3.5</v>
      </c>
      <c r="K332">
        <v>1029737.25</v>
      </c>
      <c r="L332">
        <v>294700</v>
      </c>
      <c r="M332" t="s">
        <v>78</v>
      </c>
      <c r="N332" t="s">
        <v>17</v>
      </c>
      <c r="O332">
        <v>174</v>
      </c>
      <c r="P332">
        <v>5.05</v>
      </c>
      <c r="Q332">
        <v>2.2999999999999998</v>
      </c>
    </row>
    <row r="333" spans="2:17" x14ac:dyDescent="0.25">
      <c r="B333" t="s">
        <v>78</v>
      </c>
      <c r="C333" t="s">
        <v>79</v>
      </c>
      <c r="D333" t="s">
        <v>575</v>
      </c>
      <c r="E333" t="s">
        <v>576</v>
      </c>
      <c r="F333">
        <v>301.55</v>
      </c>
      <c r="G333">
        <v>301.55</v>
      </c>
      <c r="H333">
        <v>314.89999999999998</v>
      </c>
      <c r="I333">
        <v>298</v>
      </c>
      <c r="J333" s="1">
        <v>304.7</v>
      </c>
      <c r="K333">
        <v>18016655.75</v>
      </c>
      <c r="L333">
        <v>58641</v>
      </c>
      <c r="M333" t="s">
        <v>78</v>
      </c>
      <c r="N333" t="s">
        <v>17</v>
      </c>
      <c r="O333">
        <v>2524</v>
      </c>
      <c r="P333">
        <v>389</v>
      </c>
      <c r="Q333">
        <v>225</v>
      </c>
    </row>
    <row r="334" spans="2:17" x14ac:dyDescent="0.25">
      <c r="B334" t="s">
        <v>78</v>
      </c>
      <c r="C334" t="s">
        <v>79</v>
      </c>
      <c r="D334" t="s">
        <v>3048</v>
      </c>
      <c r="E334" t="s">
        <v>3049</v>
      </c>
      <c r="F334">
        <v>15.3</v>
      </c>
      <c r="G334">
        <v>15.2</v>
      </c>
      <c r="H334">
        <v>15.2</v>
      </c>
      <c r="I334">
        <v>13.6</v>
      </c>
      <c r="J334" s="1">
        <v>14.25</v>
      </c>
      <c r="K334">
        <v>8601.6</v>
      </c>
      <c r="L334">
        <v>604</v>
      </c>
      <c r="M334" t="s">
        <v>78</v>
      </c>
      <c r="N334" t="s">
        <v>17</v>
      </c>
      <c r="O334">
        <v>39</v>
      </c>
      <c r="P334">
        <v>43.95</v>
      </c>
      <c r="Q334">
        <v>12.55</v>
      </c>
    </row>
    <row r="335" spans="2:17" x14ac:dyDescent="0.25">
      <c r="B335" t="s">
        <v>78</v>
      </c>
      <c r="C335" t="s">
        <v>79</v>
      </c>
      <c r="D335" t="s">
        <v>3050</v>
      </c>
      <c r="E335" t="s">
        <v>3051</v>
      </c>
      <c r="F335">
        <v>16.850000000000001</v>
      </c>
      <c r="G335">
        <v>17.8</v>
      </c>
      <c r="H335">
        <v>17.8</v>
      </c>
      <c r="I335">
        <v>15.65</v>
      </c>
      <c r="J335" s="1">
        <v>16.05</v>
      </c>
      <c r="K335">
        <v>117821.45</v>
      </c>
      <c r="L335">
        <v>7277</v>
      </c>
      <c r="M335" t="s">
        <v>78</v>
      </c>
      <c r="N335" t="s">
        <v>17</v>
      </c>
      <c r="O335">
        <v>52</v>
      </c>
      <c r="P335">
        <v>27.6</v>
      </c>
      <c r="Q335">
        <v>13.8</v>
      </c>
    </row>
    <row r="336" spans="2:17" x14ac:dyDescent="0.25">
      <c r="B336" t="s">
        <v>78</v>
      </c>
      <c r="C336" t="s">
        <v>79</v>
      </c>
      <c r="D336" t="s">
        <v>579</v>
      </c>
      <c r="E336" t="s">
        <v>580</v>
      </c>
      <c r="F336">
        <v>96.55</v>
      </c>
      <c r="G336">
        <v>97.5</v>
      </c>
      <c r="H336">
        <v>99.95</v>
      </c>
      <c r="I336">
        <v>93.8</v>
      </c>
      <c r="J336" s="1">
        <v>98.55</v>
      </c>
      <c r="K336">
        <v>2068414906.0999999</v>
      </c>
      <c r="L336">
        <v>21251089</v>
      </c>
      <c r="M336" t="s">
        <v>78</v>
      </c>
      <c r="N336" t="s">
        <v>17</v>
      </c>
      <c r="O336">
        <v>84906</v>
      </c>
      <c r="P336">
        <v>124.4</v>
      </c>
      <c r="Q336">
        <v>72.5</v>
      </c>
    </row>
    <row r="337" spans="2:17" x14ac:dyDescent="0.25">
      <c r="B337" t="s">
        <v>78</v>
      </c>
      <c r="C337" t="s">
        <v>79</v>
      </c>
      <c r="D337" t="s">
        <v>581</v>
      </c>
      <c r="E337" t="s">
        <v>582</v>
      </c>
      <c r="F337">
        <v>913.9</v>
      </c>
      <c r="G337">
        <v>920</v>
      </c>
      <c r="H337">
        <v>947.9</v>
      </c>
      <c r="I337">
        <v>910.35</v>
      </c>
      <c r="J337" s="1">
        <v>912.05</v>
      </c>
      <c r="K337">
        <v>1996762784.3499999</v>
      </c>
      <c r="L337">
        <v>2145912</v>
      </c>
      <c r="M337" t="s">
        <v>78</v>
      </c>
      <c r="N337" t="s">
        <v>17</v>
      </c>
      <c r="O337">
        <v>60282</v>
      </c>
      <c r="P337">
        <v>1034.9000000000001</v>
      </c>
      <c r="Q337">
        <v>521.25</v>
      </c>
    </row>
    <row r="338" spans="2:17" x14ac:dyDescent="0.25">
      <c r="B338" t="s">
        <v>78</v>
      </c>
      <c r="C338" t="s">
        <v>79</v>
      </c>
      <c r="D338" t="s">
        <v>583</v>
      </c>
      <c r="E338" t="s">
        <v>584</v>
      </c>
      <c r="F338">
        <v>67.7</v>
      </c>
      <c r="G338">
        <v>67.75</v>
      </c>
      <c r="H338">
        <v>69.400000000000006</v>
      </c>
      <c r="I338">
        <v>64.05</v>
      </c>
      <c r="J338" s="1">
        <v>64.45</v>
      </c>
      <c r="K338">
        <v>25056521.050000001</v>
      </c>
      <c r="L338">
        <v>382077</v>
      </c>
      <c r="M338" t="s">
        <v>78</v>
      </c>
      <c r="N338" t="s">
        <v>17</v>
      </c>
      <c r="O338">
        <v>3373</v>
      </c>
      <c r="P338">
        <v>161.80000000000001</v>
      </c>
      <c r="Q338">
        <v>56.4</v>
      </c>
    </row>
    <row r="339" spans="2:17" x14ac:dyDescent="0.25">
      <c r="B339" t="s">
        <v>78</v>
      </c>
      <c r="C339" t="s">
        <v>79</v>
      </c>
      <c r="D339" t="s">
        <v>198</v>
      </c>
      <c r="E339" t="s">
        <v>199</v>
      </c>
      <c r="F339">
        <v>313.3</v>
      </c>
      <c r="G339">
        <v>313.3</v>
      </c>
      <c r="H339">
        <v>317.5</v>
      </c>
      <c r="I339">
        <v>308.5</v>
      </c>
      <c r="J339" s="1">
        <v>309.14999999999998</v>
      </c>
      <c r="K339">
        <v>172611447.80000001</v>
      </c>
      <c r="L339">
        <v>554581</v>
      </c>
      <c r="M339" t="s">
        <v>78</v>
      </c>
      <c r="N339" t="s">
        <v>17</v>
      </c>
      <c r="O339">
        <v>6996</v>
      </c>
      <c r="P339">
        <v>349.9</v>
      </c>
      <c r="Q339">
        <v>260</v>
      </c>
    </row>
    <row r="340" spans="2:17" x14ac:dyDescent="0.25">
      <c r="B340" t="s">
        <v>78</v>
      </c>
      <c r="C340" t="s">
        <v>287</v>
      </c>
      <c r="D340" t="s">
        <v>587</v>
      </c>
      <c r="E340" t="s">
        <v>588</v>
      </c>
      <c r="F340">
        <v>86</v>
      </c>
      <c r="G340">
        <v>84.4</v>
      </c>
      <c r="H340">
        <v>85</v>
      </c>
      <c r="I340">
        <v>77.25</v>
      </c>
      <c r="J340" s="1">
        <v>85</v>
      </c>
      <c r="K340">
        <v>265320</v>
      </c>
      <c r="L340">
        <v>3200</v>
      </c>
      <c r="M340" t="s">
        <v>78</v>
      </c>
      <c r="N340" t="s">
        <v>17</v>
      </c>
      <c r="O340">
        <v>4</v>
      </c>
      <c r="P340">
        <v>124</v>
      </c>
      <c r="Q340">
        <v>57</v>
      </c>
    </row>
    <row r="341" spans="2:17" x14ac:dyDescent="0.25">
      <c r="B341" t="s">
        <v>78</v>
      </c>
      <c r="C341" t="s">
        <v>79</v>
      </c>
      <c r="D341" t="s">
        <v>589</v>
      </c>
      <c r="E341" t="s">
        <v>590</v>
      </c>
      <c r="F341">
        <v>270.60000000000002</v>
      </c>
      <c r="G341">
        <v>272.05</v>
      </c>
      <c r="H341">
        <v>281.5</v>
      </c>
      <c r="I341">
        <v>268.5</v>
      </c>
      <c r="J341" s="1">
        <v>270.7</v>
      </c>
      <c r="K341">
        <v>84047926.450000003</v>
      </c>
      <c r="L341">
        <v>305080</v>
      </c>
      <c r="M341" t="s">
        <v>78</v>
      </c>
      <c r="N341" t="s">
        <v>17</v>
      </c>
      <c r="O341">
        <v>8057</v>
      </c>
      <c r="P341">
        <v>368.8</v>
      </c>
      <c r="Q341">
        <v>168.05</v>
      </c>
    </row>
    <row r="342" spans="2:17" x14ac:dyDescent="0.25">
      <c r="B342" t="s">
        <v>78</v>
      </c>
      <c r="C342" t="s">
        <v>79</v>
      </c>
      <c r="D342" t="s">
        <v>591</v>
      </c>
      <c r="E342" t="s">
        <v>592</v>
      </c>
      <c r="F342">
        <v>221.1</v>
      </c>
      <c r="G342">
        <v>223.55</v>
      </c>
      <c r="H342">
        <v>238.5</v>
      </c>
      <c r="I342">
        <v>221.3</v>
      </c>
      <c r="J342" s="1">
        <v>225.2</v>
      </c>
      <c r="K342">
        <v>919347637.85000002</v>
      </c>
      <c r="L342">
        <v>3982999</v>
      </c>
      <c r="M342" t="s">
        <v>78</v>
      </c>
      <c r="N342" t="s">
        <v>17</v>
      </c>
      <c r="O342">
        <v>53149</v>
      </c>
      <c r="P342">
        <v>355.95</v>
      </c>
      <c r="Q342">
        <v>148</v>
      </c>
    </row>
    <row r="343" spans="2:17" x14ac:dyDescent="0.25">
      <c r="B343" t="s">
        <v>78</v>
      </c>
      <c r="C343" t="s">
        <v>79</v>
      </c>
      <c r="D343" t="s">
        <v>593</v>
      </c>
      <c r="E343" t="s">
        <v>594</v>
      </c>
      <c r="F343">
        <v>47.95</v>
      </c>
      <c r="G343">
        <v>47.3</v>
      </c>
      <c r="H343">
        <v>47.95</v>
      </c>
      <c r="I343">
        <v>45.4</v>
      </c>
      <c r="J343" s="1">
        <v>46.2</v>
      </c>
      <c r="K343">
        <v>2434062.65</v>
      </c>
      <c r="L343">
        <v>52528</v>
      </c>
      <c r="M343" t="s">
        <v>78</v>
      </c>
      <c r="N343" t="s">
        <v>17</v>
      </c>
      <c r="O343">
        <v>658</v>
      </c>
      <c r="P343">
        <v>94.5</v>
      </c>
      <c r="Q343">
        <v>42</v>
      </c>
    </row>
    <row r="344" spans="2:17" x14ac:dyDescent="0.25">
      <c r="B344" t="s">
        <v>78</v>
      </c>
      <c r="C344" t="s">
        <v>79</v>
      </c>
      <c r="D344" t="s">
        <v>595</v>
      </c>
      <c r="E344" t="s">
        <v>596</v>
      </c>
      <c r="F344">
        <v>126.85</v>
      </c>
      <c r="G344">
        <v>133.44999999999999</v>
      </c>
      <c r="H344">
        <v>133.44999999999999</v>
      </c>
      <c r="I344">
        <v>120.4</v>
      </c>
      <c r="J344" s="1">
        <v>121.8</v>
      </c>
      <c r="K344">
        <v>2790672.5</v>
      </c>
      <c r="L344">
        <v>22555</v>
      </c>
      <c r="M344" t="s">
        <v>78</v>
      </c>
      <c r="N344" t="s">
        <v>17</v>
      </c>
      <c r="O344">
        <v>607</v>
      </c>
      <c r="P344">
        <v>334.9</v>
      </c>
      <c r="Q344">
        <v>120.4</v>
      </c>
    </row>
    <row r="345" spans="2:17" x14ac:dyDescent="0.25">
      <c r="B345" t="s">
        <v>78</v>
      </c>
      <c r="C345" t="s">
        <v>79</v>
      </c>
      <c r="D345" t="s">
        <v>597</v>
      </c>
      <c r="E345" t="s">
        <v>598</v>
      </c>
      <c r="F345">
        <v>22.45</v>
      </c>
      <c r="G345">
        <v>24</v>
      </c>
      <c r="H345">
        <v>24</v>
      </c>
      <c r="I345">
        <v>20.45</v>
      </c>
      <c r="J345" s="1">
        <v>21</v>
      </c>
      <c r="K345">
        <v>527332.5</v>
      </c>
      <c r="L345">
        <v>25112</v>
      </c>
      <c r="M345" t="s">
        <v>78</v>
      </c>
      <c r="N345" t="s">
        <v>17</v>
      </c>
      <c r="O345">
        <v>96</v>
      </c>
      <c r="P345">
        <v>53.45</v>
      </c>
      <c r="Q345">
        <v>20.45</v>
      </c>
    </row>
    <row r="346" spans="2:17" x14ac:dyDescent="0.25">
      <c r="B346" t="s">
        <v>78</v>
      </c>
      <c r="C346" t="s">
        <v>79</v>
      </c>
      <c r="D346" t="s">
        <v>599</v>
      </c>
      <c r="E346" t="s">
        <v>600</v>
      </c>
      <c r="F346">
        <v>22.5</v>
      </c>
      <c r="G346">
        <v>22.2</v>
      </c>
      <c r="H346">
        <v>23</v>
      </c>
      <c r="I346">
        <v>22.15</v>
      </c>
      <c r="J346" s="1">
        <v>22.15</v>
      </c>
      <c r="K346">
        <v>4941.1499999999996</v>
      </c>
      <c r="L346">
        <v>223</v>
      </c>
      <c r="M346" t="s">
        <v>78</v>
      </c>
      <c r="N346" t="s">
        <v>17</v>
      </c>
      <c r="O346">
        <v>8</v>
      </c>
      <c r="P346">
        <v>33.75</v>
      </c>
      <c r="Q346">
        <v>19</v>
      </c>
    </row>
    <row r="347" spans="2:17" x14ac:dyDescent="0.25">
      <c r="B347" t="s">
        <v>78</v>
      </c>
      <c r="C347" t="s">
        <v>79</v>
      </c>
      <c r="D347" t="s">
        <v>601</v>
      </c>
      <c r="E347" t="s">
        <v>602</v>
      </c>
      <c r="F347">
        <v>1.7</v>
      </c>
      <c r="G347">
        <v>1.7</v>
      </c>
      <c r="H347">
        <v>1.7</v>
      </c>
      <c r="I347">
        <v>1.6</v>
      </c>
      <c r="J347" s="1">
        <v>1.65</v>
      </c>
      <c r="K347">
        <v>136058.85</v>
      </c>
      <c r="L347">
        <v>82635</v>
      </c>
      <c r="M347" t="s">
        <v>78</v>
      </c>
      <c r="N347" t="s">
        <v>17</v>
      </c>
      <c r="O347">
        <v>37</v>
      </c>
      <c r="P347">
        <v>2.75</v>
      </c>
      <c r="Q347">
        <v>1.6</v>
      </c>
    </row>
    <row r="348" spans="2:17" x14ac:dyDescent="0.25">
      <c r="B348" t="s">
        <v>78</v>
      </c>
      <c r="C348" t="s">
        <v>79</v>
      </c>
      <c r="D348" t="s">
        <v>603</v>
      </c>
      <c r="E348" t="s">
        <v>604</v>
      </c>
      <c r="F348">
        <v>440.85</v>
      </c>
      <c r="G348">
        <v>441.35</v>
      </c>
      <c r="H348">
        <v>447.85</v>
      </c>
      <c r="I348">
        <v>432.55</v>
      </c>
      <c r="J348" s="1">
        <v>437.2</v>
      </c>
      <c r="K348">
        <v>665840402.60000002</v>
      </c>
      <c r="L348">
        <v>1516928</v>
      </c>
      <c r="M348" t="s">
        <v>78</v>
      </c>
      <c r="N348" t="s">
        <v>17</v>
      </c>
      <c r="O348">
        <v>40776</v>
      </c>
      <c r="P348">
        <v>693.9</v>
      </c>
      <c r="Q348">
        <v>430.15</v>
      </c>
    </row>
    <row r="349" spans="2:17" x14ac:dyDescent="0.25">
      <c r="B349" t="s">
        <v>78</v>
      </c>
      <c r="C349" t="s">
        <v>79</v>
      </c>
      <c r="D349" t="s">
        <v>605</v>
      </c>
      <c r="E349" t="s">
        <v>606</v>
      </c>
      <c r="F349">
        <v>89.75</v>
      </c>
      <c r="G349">
        <v>92.9</v>
      </c>
      <c r="H349">
        <v>92.9</v>
      </c>
      <c r="I349">
        <v>83</v>
      </c>
      <c r="J349" s="1">
        <v>85.5</v>
      </c>
      <c r="K349">
        <v>1101194.3999999999</v>
      </c>
      <c r="L349">
        <v>12721</v>
      </c>
      <c r="M349" t="s">
        <v>78</v>
      </c>
      <c r="N349" t="s">
        <v>17</v>
      </c>
      <c r="O349">
        <v>559</v>
      </c>
      <c r="P349">
        <v>206.9</v>
      </c>
      <c r="Q349">
        <v>83</v>
      </c>
    </row>
    <row r="350" spans="2:17" x14ac:dyDescent="0.25">
      <c r="B350" t="s">
        <v>78</v>
      </c>
      <c r="C350" t="s">
        <v>79</v>
      </c>
      <c r="D350" t="s">
        <v>607</v>
      </c>
      <c r="E350" t="s">
        <v>608</v>
      </c>
      <c r="F350">
        <v>4209</v>
      </c>
      <c r="G350">
        <v>4250</v>
      </c>
      <c r="H350">
        <v>4250</v>
      </c>
      <c r="I350">
        <v>4050</v>
      </c>
      <c r="J350" s="1">
        <v>4065</v>
      </c>
      <c r="K350">
        <v>8473446.0500000007</v>
      </c>
      <c r="L350">
        <v>2049</v>
      </c>
      <c r="M350" t="s">
        <v>78</v>
      </c>
      <c r="N350" t="s">
        <v>17</v>
      </c>
      <c r="O350">
        <v>764</v>
      </c>
      <c r="P350">
        <v>8200</v>
      </c>
      <c r="Q350">
        <v>3325</v>
      </c>
    </row>
    <row r="351" spans="2:17" x14ac:dyDescent="0.25">
      <c r="B351" t="s">
        <v>78</v>
      </c>
      <c r="C351" t="s">
        <v>79</v>
      </c>
      <c r="D351" t="s">
        <v>609</v>
      </c>
      <c r="E351" t="s">
        <v>610</v>
      </c>
      <c r="F351">
        <v>33.1</v>
      </c>
      <c r="G351">
        <v>33.1</v>
      </c>
      <c r="H351">
        <v>33.5</v>
      </c>
      <c r="I351">
        <v>33</v>
      </c>
      <c r="J351" s="1">
        <v>33.25</v>
      </c>
      <c r="K351">
        <v>219763.1</v>
      </c>
      <c r="L351">
        <v>6651</v>
      </c>
      <c r="M351" t="s">
        <v>78</v>
      </c>
      <c r="N351" t="s">
        <v>17</v>
      </c>
      <c r="O351">
        <v>44</v>
      </c>
      <c r="P351">
        <v>104.5</v>
      </c>
      <c r="Q351">
        <v>30.7</v>
      </c>
    </row>
    <row r="352" spans="2:17" x14ac:dyDescent="0.25">
      <c r="B352" t="s">
        <v>78</v>
      </c>
      <c r="C352" t="s">
        <v>79</v>
      </c>
      <c r="D352" t="s">
        <v>612</v>
      </c>
      <c r="E352" t="s">
        <v>613</v>
      </c>
      <c r="F352">
        <v>28.1</v>
      </c>
      <c r="G352">
        <v>28.1</v>
      </c>
      <c r="H352">
        <v>28.1</v>
      </c>
      <c r="I352">
        <v>26.8</v>
      </c>
      <c r="J352" s="1">
        <v>27.95</v>
      </c>
      <c r="K352">
        <v>3980.2</v>
      </c>
      <c r="L352">
        <v>143</v>
      </c>
      <c r="M352" t="s">
        <v>78</v>
      </c>
      <c r="N352" t="s">
        <v>17</v>
      </c>
      <c r="O352">
        <v>9</v>
      </c>
      <c r="P352">
        <v>104.4</v>
      </c>
      <c r="Q352">
        <v>24.5</v>
      </c>
    </row>
    <row r="353" spans="2:17" x14ac:dyDescent="0.25">
      <c r="B353" t="s">
        <v>78</v>
      </c>
      <c r="C353" t="s">
        <v>79</v>
      </c>
      <c r="D353" t="s">
        <v>3592</v>
      </c>
      <c r="E353" t="s">
        <v>3593</v>
      </c>
      <c r="F353">
        <v>2.6</v>
      </c>
      <c r="G353">
        <v>2.5</v>
      </c>
      <c r="H353">
        <v>2.5</v>
      </c>
      <c r="I353">
        <v>2.5</v>
      </c>
      <c r="J353" s="1">
        <v>2.5</v>
      </c>
      <c r="K353">
        <v>172975</v>
      </c>
      <c r="L353">
        <v>69190</v>
      </c>
      <c r="M353" t="s">
        <v>78</v>
      </c>
      <c r="N353" t="s">
        <v>17</v>
      </c>
      <c r="O353">
        <v>84</v>
      </c>
      <c r="P353">
        <v>3.35</v>
      </c>
      <c r="Q353">
        <v>0.45</v>
      </c>
    </row>
    <row r="354" spans="2:17" x14ac:dyDescent="0.25">
      <c r="B354" t="s">
        <v>78</v>
      </c>
      <c r="C354" t="s">
        <v>79</v>
      </c>
      <c r="D354" t="s">
        <v>614</v>
      </c>
      <c r="E354" t="s">
        <v>615</v>
      </c>
      <c r="F354">
        <v>12.15</v>
      </c>
      <c r="G354">
        <v>12.1</v>
      </c>
      <c r="H354">
        <v>12.35</v>
      </c>
      <c r="I354">
        <v>11.6</v>
      </c>
      <c r="J354" s="1">
        <v>11.95</v>
      </c>
      <c r="K354">
        <v>166391.5</v>
      </c>
      <c r="L354">
        <v>14004</v>
      </c>
      <c r="M354" t="s">
        <v>78</v>
      </c>
      <c r="N354" t="s">
        <v>17</v>
      </c>
      <c r="O354">
        <v>177</v>
      </c>
      <c r="P354">
        <v>23.65</v>
      </c>
      <c r="Q354">
        <v>11.3</v>
      </c>
    </row>
    <row r="355" spans="2:17" x14ac:dyDescent="0.25">
      <c r="B355" t="s">
        <v>78</v>
      </c>
      <c r="C355" t="s">
        <v>79</v>
      </c>
      <c r="D355" t="s">
        <v>3056</v>
      </c>
      <c r="E355" t="s">
        <v>3057</v>
      </c>
      <c r="F355">
        <v>88.7</v>
      </c>
      <c r="G355">
        <v>88.5</v>
      </c>
      <c r="H355">
        <v>91</v>
      </c>
      <c r="I355">
        <v>84</v>
      </c>
      <c r="J355" s="1">
        <v>85.1</v>
      </c>
      <c r="K355">
        <v>4002855.4</v>
      </c>
      <c r="L355">
        <v>45928</v>
      </c>
      <c r="M355" t="s">
        <v>78</v>
      </c>
      <c r="N355" t="s">
        <v>17</v>
      </c>
      <c r="O355">
        <v>1093</v>
      </c>
      <c r="P355">
        <v>229.4</v>
      </c>
      <c r="Q355">
        <v>78</v>
      </c>
    </row>
    <row r="356" spans="2:17" x14ac:dyDescent="0.25">
      <c r="B356" t="s">
        <v>78</v>
      </c>
      <c r="C356" t="s">
        <v>79</v>
      </c>
      <c r="D356" t="s">
        <v>621</v>
      </c>
      <c r="E356" t="s">
        <v>622</v>
      </c>
      <c r="F356">
        <v>596.5</v>
      </c>
      <c r="G356">
        <v>601.4</v>
      </c>
      <c r="H356">
        <v>619.5</v>
      </c>
      <c r="I356">
        <v>593</v>
      </c>
      <c r="J356" s="1">
        <v>597</v>
      </c>
      <c r="K356">
        <v>34714518.450000003</v>
      </c>
      <c r="L356">
        <v>57208</v>
      </c>
      <c r="M356" t="s">
        <v>78</v>
      </c>
      <c r="N356" t="s">
        <v>17</v>
      </c>
      <c r="O356">
        <v>4027</v>
      </c>
      <c r="P356">
        <v>819.05</v>
      </c>
      <c r="Q356">
        <v>439.8</v>
      </c>
    </row>
    <row r="357" spans="2:17" x14ac:dyDescent="0.25">
      <c r="B357" t="s">
        <v>78</v>
      </c>
      <c r="C357" t="s">
        <v>79</v>
      </c>
      <c r="D357" t="s">
        <v>623</v>
      </c>
      <c r="E357" t="s">
        <v>624</v>
      </c>
      <c r="F357">
        <v>43.95</v>
      </c>
      <c r="G357">
        <v>44.35</v>
      </c>
      <c r="H357">
        <v>44.7</v>
      </c>
      <c r="I357">
        <v>42.2</v>
      </c>
      <c r="J357" s="1">
        <v>42.55</v>
      </c>
      <c r="K357">
        <v>2215477.65</v>
      </c>
      <c r="L357">
        <v>51411</v>
      </c>
      <c r="M357" t="s">
        <v>78</v>
      </c>
      <c r="N357" t="s">
        <v>17</v>
      </c>
      <c r="O357">
        <v>760</v>
      </c>
      <c r="P357">
        <v>74.900000000000006</v>
      </c>
      <c r="Q357">
        <v>38.700000000000003</v>
      </c>
    </row>
    <row r="358" spans="2:17" x14ac:dyDescent="0.25">
      <c r="B358" t="s">
        <v>78</v>
      </c>
      <c r="C358" t="s">
        <v>79</v>
      </c>
      <c r="D358" t="s">
        <v>3058</v>
      </c>
      <c r="E358" t="s">
        <v>3059</v>
      </c>
      <c r="F358">
        <v>2.65</v>
      </c>
      <c r="G358">
        <v>2.5499999999999998</v>
      </c>
      <c r="H358">
        <v>2.65</v>
      </c>
      <c r="I358">
        <v>2.5499999999999998</v>
      </c>
      <c r="J358" s="1">
        <v>2.65</v>
      </c>
      <c r="K358">
        <v>592.4</v>
      </c>
      <c r="L358">
        <v>226</v>
      </c>
      <c r="M358" t="s">
        <v>78</v>
      </c>
      <c r="N358" t="s">
        <v>17</v>
      </c>
      <c r="O358">
        <v>8</v>
      </c>
      <c r="P358">
        <v>21.95</v>
      </c>
      <c r="Q358">
        <v>2.5</v>
      </c>
    </row>
    <row r="359" spans="2:17" x14ac:dyDescent="0.25">
      <c r="B359" t="s">
        <v>78</v>
      </c>
      <c r="C359" t="s">
        <v>79</v>
      </c>
      <c r="D359" t="s">
        <v>629</v>
      </c>
      <c r="E359" t="s">
        <v>630</v>
      </c>
      <c r="F359">
        <v>157.69999999999999</v>
      </c>
      <c r="G359">
        <v>158.15</v>
      </c>
      <c r="H359">
        <v>159</v>
      </c>
      <c r="I359">
        <v>156</v>
      </c>
      <c r="J359" s="1">
        <v>157.15</v>
      </c>
      <c r="K359">
        <v>91844585.650000006</v>
      </c>
      <c r="L359">
        <v>583517</v>
      </c>
      <c r="M359" t="s">
        <v>78</v>
      </c>
      <c r="N359" t="s">
        <v>17</v>
      </c>
      <c r="O359">
        <v>1893</v>
      </c>
      <c r="P359">
        <v>205</v>
      </c>
      <c r="Q359">
        <v>125</v>
      </c>
    </row>
    <row r="360" spans="2:17" x14ac:dyDescent="0.25">
      <c r="B360" t="s">
        <v>78</v>
      </c>
      <c r="C360" t="s">
        <v>79</v>
      </c>
      <c r="D360" t="s">
        <v>631</v>
      </c>
      <c r="E360" t="s">
        <v>632</v>
      </c>
      <c r="F360">
        <v>9.65</v>
      </c>
      <c r="G360">
        <v>9.6</v>
      </c>
      <c r="H360">
        <v>10.1</v>
      </c>
      <c r="I360">
        <v>9.25</v>
      </c>
      <c r="J360" s="1">
        <v>9.3000000000000007</v>
      </c>
      <c r="K360">
        <v>814692.05</v>
      </c>
      <c r="L360">
        <v>86741</v>
      </c>
      <c r="M360" t="s">
        <v>78</v>
      </c>
      <c r="N360" t="s">
        <v>17</v>
      </c>
      <c r="O360">
        <v>254</v>
      </c>
      <c r="P360">
        <v>40.25</v>
      </c>
      <c r="Q360">
        <v>7.25</v>
      </c>
    </row>
    <row r="361" spans="2:17" x14ac:dyDescent="0.25">
      <c r="B361" t="s">
        <v>78</v>
      </c>
      <c r="C361" t="s">
        <v>79</v>
      </c>
      <c r="D361" t="s">
        <v>633</v>
      </c>
      <c r="E361" t="s">
        <v>634</v>
      </c>
      <c r="F361">
        <v>80.8</v>
      </c>
      <c r="G361">
        <v>80.8</v>
      </c>
      <c r="H361">
        <v>85.5</v>
      </c>
      <c r="I361">
        <v>78</v>
      </c>
      <c r="J361" s="1">
        <v>84</v>
      </c>
      <c r="K361">
        <v>11336022.050000001</v>
      </c>
      <c r="L361">
        <v>138719</v>
      </c>
      <c r="M361" t="s">
        <v>78</v>
      </c>
      <c r="N361" t="s">
        <v>17</v>
      </c>
      <c r="O361">
        <v>1166</v>
      </c>
      <c r="P361">
        <v>191.8</v>
      </c>
      <c r="Q361">
        <v>64.099999999999994</v>
      </c>
    </row>
    <row r="362" spans="2:17" x14ac:dyDescent="0.25">
      <c r="B362" t="s">
        <v>78</v>
      </c>
      <c r="C362" t="s">
        <v>79</v>
      </c>
      <c r="D362" t="s">
        <v>637</v>
      </c>
      <c r="E362" t="s">
        <v>638</v>
      </c>
      <c r="F362">
        <v>2400.4499999999998</v>
      </c>
      <c r="G362">
        <v>2406</v>
      </c>
      <c r="H362">
        <v>2459.1</v>
      </c>
      <c r="I362">
        <v>2390.1</v>
      </c>
      <c r="J362" s="1">
        <v>2403.9</v>
      </c>
      <c r="K362">
        <v>15919273.699999999</v>
      </c>
      <c r="L362">
        <v>6624</v>
      </c>
      <c r="M362" t="s">
        <v>78</v>
      </c>
      <c r="N362" t="s">
        <v>17</v>
      </c>
      <c r="O362">
        <v>336</v>
      </c>
      <c r="P362">
        <v>3920</v>
      </c>
      <c r="Q362">
        <v>2349.1</v>
      </c>
    </row>
    <row r="363" spans="2:17" x14ac:dyDescent="0.25">
      <c r="B363" t="s">
        <v>78</v>
      </c>
      <c r="C363" t="s">
        <v>79</v>
      </c>
      <c r="D363" t="s">
        <v>639</v>
      </c>
      <c r="E363" t="s">
        <v>640</v>
      </c>
      <c r="F363">
        <v>734.35</v>
      </c>
      <c r="G363">
        <v>732.4</v>
      </c>
      <c r="H363">
        <v>737</v>
      </c>
      <c r="I363">
        <v>708</v>
      </c>
      <c r="J363" s="1">
        <v>727.85</v>
      </c>
      <c r="K363">
        <v>34110735.350000001</v>
      </c>
      <c r="L363">
        <v>47245</v>
      </c>
      <c r="M363" t="s">
        <v>78</v>
      </c>
      <c r="N363" t="s">
        <v>17</v>
      </c>
      <c r="O363">
        <v>12158</v>
      </c>
      <c r="P363">
        <v>826.8</v>
      </c>
      <c r="Q363">
        <v>508.05</v>
      </c>
    </row>
    <row r="364" spans="2:17" x14ac:dyDescent="0.25">
      <c r="B364" t="s">
        <v>78</v>
      </c>
      <c r="C364" t="s">
        <v>79</v>
      </c>
      <c r="D364" t="s">
        <v>641</v>
      </c>
      <c r="E364" t="s">
        <v>642</v>
      </c>
      <c r="F364">
        <v>86.65</v>
      </c>
      <c r="G364">
        <v>86.95</v>
      </c>
      <c r="H364">
        <v>86.95</v>
      </c>
      <c r="I364">
        <v>82</v>
      </c>
      <c r="J364" s="1">
        <v>82.85</v>
      </c>
      <c r="K364">
        <v>14032046.1</v>
      </c>
      <c r="L364">
        <v>167444</v>
      </c>
      <c r="M364" t="s">
        <v>78</v>
      </c>
      <c r="N364" t="s">
        <v>17</v>
      </c>
      <c r="O364">
        <v>1987</v>
      </c>
      <c r="P364">
        <v>138.9</v>
      </c>
      <c r="Q364">
        <v>82</v>
      </c>
    </row>
    <row r="365" spans="2:17" x14ac:dyDescent="0.25">
      <c r="B365" t="s">
        <v>78</v>
      </c>
      <c r="C365" t="s">
        <v>79</v>
      </c>
      <c r="D365" t="s">
        <v>645</v>
      </c>
      <c r="E365" t="s">
        <v>646</v>
      </c>
      <c r="F365">
        <v>96.3</v>
      </c>
      <c r="G365">
        <v>96.7</v>
      </c>
      <c r="H365">
        <v>97.25</v>
      </c>
      <c r="I365">
        <v>90.9</v>
      </c>
      <c r="J365" s="1">
        <v>94.1</v>
      </c>
      <c r="K365">
        <v>106729224.40000001</v>
      </c>
      <c r="L365">
        <v>1145181</v>
      </c>
      <c r="M365" t="s">
        <v>78</v>
      </c>
      <c r="N365" t="s">
        <v>17</v>
      </c>
      <c r="O365">
        <v>8486</v>
      </c>
      <c r="P365">
        <v>285</v>
      </c>
      <c r="Q365">
        <v>82.35</v>
      </c>
    </row>
    <row r="366" spans="2:17" x14ac:dyDescent="0.25">
      <c r="B366" t="s">
        <v>78</v>
      </c>
      <c r="C366" t="s">
        <v>79</v>
      </c>
      <c r="D366" t="s">
        <v>6793</v>
      </c>
      <c r="E366" t="s">
        <v>6792</v>
      </c>
      <c r="F366">
        <v>152.94999999999999</v>
      </c>
      <c r="G366">
        <v>154.80000000000001</v>
      </c>
      <c r="H366">
        <v>154.80000000000001</v>
      </c>
      <c r="I366">
        <v>142.6</v>
      </c>
      <c r="J366" s="1">
        <v>145.30000000000001</v>
      </c>
      <c r="K366">
        <v>8089456.5999999996</v>
      </c>
      <c r="L366">
        <v>55500</v>
      </c>
      <c r="M366" t="s">
        <v>78</v>
      </c>
      <c r="N366" t="s">
        <v>17</v>
      </c>
      <c r="O366">
        <v>1744</v>
      </c>
      <c r="P366">
        <v>1225.5</v>
      </c>
      <c r="Q366">
        <v>142.6</v>
      </c>
    </row>
    <row r="367" spans="2:17" x14ac:dyDescent="0.25">
      <c r="B367" t="s">
        <v>78</v>
      </c>
      <c r="C367" t="s">
        <v>79</v>
      </c>
      <c r="D367" t="s">
        <v>649</v>
      </c>
      <c r="E367" t="s">
        <v>650</v>
      </c>
      <c r="F367">
        <v>20</v>
      </c>
      <c r="G367">
        <v>19.95</v>
      </c>
      <c r="H367">
        <v>20</v>
      </c>
      <c r="I367">
        <v>19.25</v>
      </c>
      <c r="J367" s="1">
        <v>19.45</v>
      </c>
      <c r="K367">
        <v>999182.15</v>
      </c>
      <c r="L367">
        <v>51063</v>
      </c>
      <c r="M367" t="s">
        <v>78</v>
      </c>
      <c r="N367" t="s">
        <v>17</v>
      </c>
      <c r="O367">
        <v>888</v>
      </c>
      <c r="P367">
        <v>61.7</v>
      </c>
      <c r="Q367">
        <v>19.25</v>
      </c>
    </row>
    <row r="368" spans="2:17" x14ac:dyDescent="0.25">
      <c r="B368" t="s">
        <v>78</v>
      </c>
      <c r="C368" t="s">
        <v>79</v>
      </c>
      <c r="D368" t="s">
        <v>3064</v>
      </c>
      <c r="E368" t="s">
        <v>3065</v>
      </c>
      <c r="F368">
        <v>6.05</v>
      </c>
      <c r="G368">
        <v>6.05</v>
      </c>
      <c r="H368">
        <v>6.05</v>
      </c>
      <c r="I368">
        <v>5.75</v>
      </c>
      <c r="J368" s="1">
        <v>5.75</v>
      </c>
      <c r="K368">
        <v>279561.05</v>
      </c>
      <c r="L368">
        <v>48074</v>
      </c>
      <c r="M368" t="s">
        <v>78</v>
      </c>
      <c r="N368" t="s">
        <v>17</v>
      </c>
      <c r="O368">
        <v>87</v>
      </c>
      <c r="P368">
        <v>21.45</v>
      </c>
      <c r="Q368">
        <v>5.75</v>
      </c>
    </row>
    <row r="369" spans="2:17" x14ac:dyDescent="0.25">
      <c r="B369" t="s">
        <v>78</v>
      </c>
      <c r="C369" t="s">
        <v>79</v>
      </c>
      <c r="D369" t="s">
        <v>651</v>
      </c>
      <c r="E369" t="s">
        <v>652</v>
      </c>
      <c r="F369">
        <v>276.2</v>
      </c>
      <c r="G369">
        <v>276.5</v>
      </c>
      <c r="H369">
        <v>277.64999999999998</v>
      </c>
      <c r="I369">
        <v>269.89999999999998</v>
      </c>
      <c r="J369" s="1">
        <v>273.60000000000002</v>
      </c>
      <c r="K369">
        <v>11935601.199999999</v>
      </c>
      <c r="L369">
        <v>43401</v>
      </c>
      <c r="M369" t="s">
        <v>78</v>
      </c>
      <c r="N369" t="s">
        <v>17</v>
      </c>
      <c r="O369">
        <v>1591</v>
      </c>
      <c r="P369">
        <v>282</v>
      </c>
      <c r="Q369">
        <v>156.5</v>
      </c>
    </row>
    <row r="370" spans="2:17" x14ac:dyDescent="0.25">
      <c r="B370" t="s">
        <v>78</v>
      </c>
      <c r="C370" t="s">
        <v>287</v>
      </c>
      <c r="D370" t="s">
        <v>653</v>
      </c>
      <c r="E370" t="s">
        <v>654</v>
      </c>
      <c r="F370">
        <v>14.8</v>
      </c>
      <c r="G370">
        <v>13.35</v>
      </c>
      <c r="H370">
        <v>13.75</v>
      </c>
      <c r="I370">
        <v>13.35</v>
      </c>
      <c r="J370" s="1">
        <v>13.6</v>
      </c>
      <c r="K370">
        <v>1376100</v>
      </c>
      <c r="L370">
        <v>102000</v>
      </c>
      <c r="M370" t="s">
        <v>78</v>
      </c>
      <c r="N370" t="s">
        <v>17</v>
      </c>
      <c r="O370">
        <v>16</v>
      </c>
      <c r="P370">
        <v>60.85</v>
      </c>
      <c r="Q370">
        <v>10.35</v>
      </c>
    </row>
    <row r="371" spans="2:17" x14ac:dyDescent="0.25">
      <c r="B371" t="s">
        <v>78</v>
      </c>
      <c r="C371" t="s">
        <v>79</v>
      </c>
      <c r="D371" t="s">
        <v>655</v>
      </c>
      <c r="E371" t="s">
        <v>656</v>
      </c>
      <c r="F371">
        <v>80.7</v>
      </c>
      <c r="G371">
        <v>81.849999999999994</v>
      </c>
      <c r="H371">
        <v>81.900000000000006</v>
      </c>
      <c r="I371">
        <v>75.2</v>
      </c>
      <c r="J371" s="1">
        <v>76.95</v>
      </c>
      <c r="K371">
        <v>263646.2</v>
      </c>
      <c r="L371">
        <v>3362</v>
      </c>
      <c r="M371" t="s">
        <v>78</v>
      </c>
      <c r="N371" t="s">
        <v>17</v>
      </c>
      <c r="O371">
        <v>195</v>
      </c>
      <c r="P371">
        <v>171</v>
      </c>
      <c r="Q371">
        <v>72</v>
      </c>
    </row>
    <row r="372" spans="2:17" x14ac:dyDescent="0.25">
      <c r="B372" t="s">
        <v>78</v>
      </c>
      <c r="C372" t="s">
        <v>79</v>
      </c>
      <c r="D372" t="s">
        <v>657</v>
      </c>
      <c r="E372" t="s">
        <v>658</v>
      </c>
      <c r="F372">
        <v>41.2</v>
      </c>
      <c r="G372">
        <v>41</v>
      </c>
      <c r="H372">
        <v>43.9</v>
      </c>
      <c r="I372">
        <v>39</v>
      </c>
      <c r="J372" s="1">
        <v>39.299999999999997</v>
      </c>
      <c r="K372">
        <v>660897.75</v>
      </c>
      <c r="L372">
        <v>16234</v>
      </c>
      <c r="M372" t="s">
        <v>78</v>
      </c>
      <c r="N372" t="s">
        <v>17</v>
      </c>
      <c r="O372">
        <v>344</v>
      </c>
      <c r="P372">
        <v>87.65</v>
      </c>
      <c r="Q372">
        <v>37.6</v>
      </c>
    </row>
    <row r="373" spans="2:17" x14ac:dyDescent="0.25">
      <c r="B373" t="s">
        <v>78</v>
      </c>
      <c r="C373" t="s">
        <v>79</v>
      </c>
      <c r="D373" t="s">
        <v>659</v>
      </c>
      <c r="E373" t="s">
        <v>660</v>
      </c>
      <c r="F373">
        <v>575.79999999999995</v>
      </c>
      <c r="G373">
        <v>577.6</v>
      </c>
      <c r="H373">
        <v>578.1</v>
      </c>
      <c r="I373">
        <v>570</v>
      </c>
      <c r="J373" s="1">
        <v>570.65</v>
      </c>
      <c r="K373">
        <v>42828573.149999999</v>
      </c>
      <c r="L373">
        <v>74769</v>
      </c>
      <c r="M373" t="s">
        <v>78</v>
      </c>
      <c r="N373" t="s">
        <v>17</v>
      </c>
      <c r="O373">
        <v>6845</v>
      </c>
      <c r="P373">
        <v>845.05</v>
      </c>
      <c r="Q373">
        <v>534.65</v>
      </c>
    </row>
    <row r="374" spans="2:17" x14ac:dyDescent="0.25">
      <c r="B374" t="s">
        <v>78</v>
      </c>
      <c r="C374" t="s">
        <v>79</v>
      </c>
      <c r="D374" t="s">
        <v>6791</v>
      </c>
      <c r="E374" t="s">
        <v>6790</v>
      </c>
      <c r="F374">
        <v>1.35</v>
      </c>
      <c r="G374">
        <v>1.3</v>
      </c>
      <c r="H374">
        <v>1.35</v>
      </c>
      <c r="I374">
        <v>1.1000000000000001</v>
      </c>
      <c r="J374" s="1">
        <v>1.1499999999999999</v>
      </c>
      <c r="K374">
        <v>160693.35</v>
      </c>
      <c r="L374">
        <v>133740</v>
      </c>
      <c r="M374" t="s">
        <v>78</v>
      </c>
      <c r="N374" t="s">
        <v>17</v>
      </c>
      <c r="O374">
        <v>110</v>
      </c>
      <c r="P374">
        <v>4.2</v>
      </c>
      <c r="Q374">
        <v>1.1000000000000001</v>
      </c>
    </row>
    <row r="375" spans="2:17" x14ac:dyDescent="0.25">
      <c r="B375" t="s">
        <v>78</v>
      </c>
      <c r="C375" t="s">
        <v>287</v>
      </c>
      <c r="D375" t="s">
        <v>661</v>
      </c>
      <c r="E375" t="s">
        <v>662</v>
      </c>
      <c r="F375">
        <v>124.5</v>
      </c>
      <c r="G375">
        <v>125.5</v>
      </c>
      <c r="H375">
        <v>125.5</v>
      </c>
      <c r="I375">
        <v>125.5</v>
      </c>
      <c r="J375" s="1">
        <v>125.5</v>
      </c>
      <c r="K375">
        <v>125500</v>
      </c>
      <c r="L375">
        <v>1000</v>
      </c>
      <c r="M375" t="s">
        <v>78</v>
      </c>
      <c r="N375" t="s">
        <v>17</v>
      </c>
      <c r="O375">
        <v>1</v>
      </c>
      <c r="P375">
        <v>150</v>
      </c>
      <c r="Q375">
        <v>114</v>
      </c>
    </row>
    <row r="376" spans="2:17" x14ac:dyDescent="0.25">
      <c r="B376" t="s">
        <v>78</v>
      </c>
      <c r="C376" t="s">
        <v>79</v>
      </c>
      <c r="D376" t="s">
        <v>663</v>
      </c>
      <c r="E376" t="s">
        <v>664</v>
      </c>
      <c r="F376">
        <v>27.9</v>
      </c>
      <c r="G376">
        <v>28.75</v>
      </c>
      <c r="H376">
        <v>28.75</v>
      </c>
      <c r="I376">
        <v>26.7</v>
      </c>
      <c r="J376" s="1">
        <v>27.3</v>
      </c>
      <c r="K376">
        <v>305527.5</v>
      </c>
      <c r="L376">
        <v>11194</v>
      </c>
      <c r="M376" t="s">
        <v>78</v>
      </c>
      <c r="N376" t="s">
        <v>17</v>
      </c>
      <c r="O376">
        <v>176</v>
      </c>
      <c r="P376">
        <v>71.400000000000006</v>
      </c>
      <c r="Q376">
        <v>22.65</v>
      </c>
    </row>
    <row r="377" spans="2:17" x14ac:dyDescent="0.25">
      <c r="B377" t="s">
        <v>78</v>
      </c>
      <c r="C377" t="s">
        <v>79</v>
      </c>
      <c r="D377" t="s">
        <v>665</v>
      </c>
      <c r="E377" t="s">
        <v>666</v>
      </c>
      <c r="F377">
        <v>75.45</v>
      </c>
      <c r="G377">
        <v>75.45</v>
      </c>
      <c r="H377">
        <v>75.8</v>
      </c>
      <c r="I377">
        <v>72.349999999999994</v>
      </c>
      <c r="J377" s="1">
        <v>73.75</v>
      </c>
      <c r="K377">
        <v>109752765.05</v>
      </c>
      <c r="L377">
        <v>1494238</v>
      </c>
      <c r="M377" t="s">
        <v>78</v>
      </c>
      <c r="N377" t="s">
        <v>17</v>
      </c>
      <c r="O377">
        <v>13067</v>
      </c>
      <c r="P377">
        <v>314.5</v>
      </c>
      <c r="Q377">
        <v>68.599999999999994</v>
      </c>
    </row>
    <row r="378" spans="2:17" x14ac:dyDescent="0.25">
      <c r="B378" t="s">
        <v>78</v>
      </c>
      <c r="C378" t="s">
        <v>79</v>
      </c>
      <c r="D378" t="s">
        <v>3068</v>
      </c>
      <c r="E378" t="s">
        <v>3069</v>
      </c>
      <c r="F378">
        <v>158.69999999999999</v>
      </c>
      <c r="G378">
        <v>158.65</v>
      </c>
      <c r="H378">
        <v>158.9</v>
      </c>
      <c r="I378">
        <v>150</v>
      </c>
      <c r="J378" s="1">
        <v>151.4</v>
      </c>
      <c r="K378">
        <v>4272031.2</v>
      </c>
      <c r="L378">
        <v>28002</v>
      </c>
      <c r="M378" t="s">
        <v>78</v>
      </c>
      <c r="N378" t="s">
        <v>17</v>
      </c>
      <c r="O378">
        <v>1078</v>
      </c>
      <c r="P378">
        <v>394.4</v>
      </c>
      <c r="Q378">
        <v>150</v>
      </c>
    </row>
    <row r="379" spans="2:17" x14ac:dyDescent="0.25">
      <c r="B379" t="s">
        <v>78</v>
      </c>
      <c r="C379" t="s">
        <v>79</v>
      </c>
      <c r="D379" t="s">
        <v>3072</v>
      </c>
      <c r="E379" t="s">
        <v>3073</v>
      </c>
      <c r="F379">
        <v>22.65</v>
      </c>
      <c r="G379">
        <v>22.65</v>
      </c>
      <c r="H379">
        <v>22.65</v>
      </c>
      <c r="I379">
        <v>22</v>
      </c>
      <c r="J379" s="1">
        <v>22.4</v>
      </c>
      <c r="K379">
        <v>360354.1</v>
      </c>
      <c r="L379">
        <v>16142</v>
      </c>
      <c r="M379" t="s">
        <v>78</v>
      </c>
      <c r="N379" t="s">
        <v>17</v>
      </c>
      <c r="O379">
        <v>137</v>
      </c>
      <c r="P379">
        <v>140</v>
      </c>
      <c r="Q379">
        <v>21.5</v>
      </c>
    </row>
    <row r="380" spans="2:17" x14ac:dyDescent="0.25">
      <c r="B380" t="s">
        <v>78</v>
      </c>
      <c r="C380" t="s">
        <v>287</v>
      </c>
      <c r="D380" t="s">
        <v>6242</v>
      </c>
      <c r="E380" t="s">
        <v>6241</v>
      </c>
      <c r="F380">
        <v>45.9</v>
      </c>
      <c r="G380">
        <v>43.85</v>
      </c>
      <c r="H380">
        <v>47.9</v>
      </c>
      <c r="I380">
        <v>43.85</v>
      </c>
      <c r="J380" s="1">
        <v>47.9</v>
      </c>
      <c r="K380">
        <v>183500</v>
      </c>
      <c r="L380">
        <v>4000</v>
      </c>
      <c r="M380" t="s">
        <v>78</v>
      </c>
      <c r="N380" t="s">
        <v>17</v>
      </c>
      <c r="O380">
        <v>2</v>
      </c>
      <c r="P380">
        <v>64.8</v>
      </c>
      <c r="Q380">
        <v>40.9</v>
      </c>
    </row>
    <row r="381" spans="2:17" x14ac:dyDescent="0.25">
      <c r="B381" t="s">
        <v>78</v>
      </c>
      <c r="C381" t="s">
        <v>79</v>
      </c>
      <c r="D381" t="s">
        <v>3074</v>
      </c>
      <c r="E381" t="s">
        <v>3075</v>
      </c>
      <c r="F381">
        <v>17.7</v>
      </c>
      <c r="G381">
        <v>18.2</v>
      </c>
      <c r="H381">
        <v>18.5</v>
      </c>
      <c r="I381">
        <v>17.5</v>
      </c>
      <c r="J381" s="1">
        <v>18</v>
      </c>
      <c r="K381">
        <v>954493.25</v>
      </c>
      <c r="L381">
        <v>52964</v>
      </c>
      <c r="M381" t="s">
        <v>78</v>
      </c>
      <c r="N381" t="s">
        <v>17</v>
      </c>
      <c r="O381">
        <v>174</v>
      </c>
      <c r="P381">
        <v>41.6</v>
      </c>
      <c r="Q381">
        <v>12.3</v>
      </c>
    </row>
    <row r="382" spans="2:17" x14ac:dyDescent="0.25">
      <c r="B382" t="s">
        <v>78</v>
      </c>
      <c r="C382" t="s">
        <v>79</v>
      </c>
      <c r="D382" t="s">
        <v>669</v>
      </c>
      <c r="E382" t="s">
        <v>670</v>
      </c>
      <c r="F382">
        <v>60.05</v>
      </c>
      <c r="G382">
        <v>60.05</v>
      </c>
      <c r="H382">
        <v>61.7</v>
      </c>
      <c r="I382">
        <v>58.2</v>
      </c>
      <c r="J382" s="1">
        <v>58.9</v>
      </c>
      <c r="K382">
        <v>20072885.75</v>
      </c>
      <c r="L382">
        <v>336052</v>
      </c>
      <c r="M382" t="s">
        <v>78</v>
      </c>
      <c r="N382" t="s">
        <v>17</v>
      </c>
      <c r="O382">
        <v>2319</v>
      </c>
      <c r="P382">
        <v>92.8</v>
      </c>
      <c r="Q382">
        <v>36</v>
      </c>
    </row>
    <row r="383" spans="2:17" x14ac:dyDescent="0.25">
      <c r="B383" t="s">
        <v>78</v>
      </c>
      <c r="C383" t="s">
        <v>79</v>
      </c>
      <c r="D383" t="s">
        <v>673</v>
      </c>
      <c r="E383" t="s">
        <v>674</v>
      </c>
      <c r="F383">
        <v>268.5</v>
      </c>
      <c r="G383">
        <v>270</v>
      </c>
      <c r="H383">
        <v>271.7</v>
      </c>
      <c r="I383">
        <v>264</v>
      </c>
      <c r="J383" s="1">
        <v>265.35000000000002</v>
      </c>
      <c r="K383">
        <v>1312152240.0999999</v>
      </c>
      <c r="L383">
        <v>4916132</v>
      </c>
      <c r="M383" t="s">
        <v>78</v>
      </c>
      <c r="N383" t="s">
        <v>17</v>
      </c>
      <c r="O383">
        <v>35485</v>
      </c>
      <c r="P383">
        <v>302.3</v>
      </c>
      <c r="Q383">
        <v>204.75</v>
      </c>
    </row>
    <row r="384" spans="2:17" x14ac:dyDescent="0.25">
      <c r="B384" t="s">
        <v>78</v>
      </c>
      <c r="C384" t="s">
        <v>79</v>
      </c>
      <c r="D384" t="s">
        <v>675</v>
      </c>
      <c r="E384" t="s">
        <v>676</v>
      </c>
      <c r="F384">
        <v>390.25</v>
      </c>
      <c r="G384">
        <v>391.9</v>
      </c>
      <c r="H384">
        <v>398</v>
      </c>
      <c r="I384">
        <v>384</v>
      </c>
      <c r="J384" s="1">
        <v>388.15</v>
      </c>
      <c r="K384">
        <v>276160175.35000002</v>
      </c>
      <c r="L384">
        <v>705818</v>
      </c>
      <c r="M384" t="s">
        <v>78</v>
      </c>
      <c r="N384" t="s">
        <v>17</v>
      </c>
      <c r="O384">
        <v>18175</v>
      </c>
      <c r="P384">
        <v>398</v>
      </c>
      <c r="Q384">
        <v>216.5</v>
      </c>
    </row>
    <row r="385" spans="2:17" x14ac:dyDescent="0.25">
      <c r="B385" t="s">
        <v>78</v>
      </c>
      <c r="C385" t="s">
        <v>79</v>
      </c>
      <c r="D385" t="s">
        <v>677</v>
      </c>
      <c r="E385" t="s">
        <v>678</v>
      </c>
      <c r="F385">
        <v>236.95</v>
      </c>
      <c r="G385">
        <v>235.1</v>
      </c>
      <c r="H385">
        <v>240</v>
      </c>
      <c r="I385">
        <v>233.85</v>
      </c>
      <c r="J385" s="1">
        <v>234.55</v>
      </c>
      <c r="K385">
        <v>1191265.75</v>
      </c>
      <c r="L385">
        <v>5065</v>
      </c>
      <c r="M385" t="s">
        <v>78</v>
      </c>
      <c r="N385" t="s">
        <v>17</v>
      </c>
      <c r="O385">
        <v>170</v>
      </c>
      <c r="P385">
        <v>351.85</v>
      </c>
      <c r="Q385">
        <v>108.5</v>
      </c>
    </row>
    <row r="386" spans="2:17" x14ac:dyDescent="0.25">
      <c r="B386" t="s">
        <v>78</v>
      </c>
      <c r="C386" t="s">
        <v>79</v>
      </c>
      <c r="D386" t="s">
        <v>679</v>
      </c>
      <c r="E386" t="s">
        <v>680</v>
      </c>
      <c r="F386">
        <v>269.2</v>
      </c>
      <c r="G386">
        <v>268.14999999999998</v>
      </c>
      <c r="H386">
        <v>270.95</v>
      </c>
      <c r="I386">
        <v>268</v>
      </c>
      <c r="J386" s="1">
        <v>269</v>
      </c>
      <c r="K386">
        <v>13187184.199999999</v>
      </c>
      <c r="L386">
        <v>49021</v>
      </c>
      <c r="M386" t="s">
        <v>78</v>
      </c>
      <c r="N386" t="s">
        <v>17</v>
      </c>
      <c r="O386">
        <v>1967</v>
      </c>
      <c r="P386">
        <v>294.7</v>
      </c>
      <c r="Q386">
        <v>171.1</v>
      </c>
    </row>
    <row r="387" spans="2:17" x14ac:dyDescent="0.25">
      <c r="B387" t="s">
        <v>78</v>
      </c>
      <c r="C387" t="s">
        <v>79</v>
      </c>
      <c r="D387" t="s">
        <v>681</v>
      </c>
      <c r="E387" t="s">
        <v>682</v>
      </c>
      <c r="F387">
        <v>420.55</v>
      </c>
      <c r="G387">
        <v>423.9</v>
      </c>
      <c r="H387">
        <v>427.8</v>
      </c>
      <c r="I387">
        <v>404.55</v>
      </c>
      <c r="J387" s="1">
        <v>418.75</v>
      </c>
      <c r="K387">
        <v>18957825.449999999</v>
      </c>
      <c r="L387">
        <v>45929</v>
      </c>
      <c r="M387" t="s">
        <v>78</v>
      </c>
      <c r="N387" t="s">
        <v>17</v>
      </c>
      <c r="O387">
        <v>1406</v>
      </c>
      <c r="P387">
        <v>537.9</v>
      </c>
      <c r="Q387">
        <v>296.05</v>
      </c>
    </row>
    <row r="388" spans="2:17" x14ac:dyDescent="0.25">
      <c r="B388" t="s">
        <v>78</v>
      </c>
      <c r="C388" t="s">
        <v>79</v>
      </c>
      <c r="D388" t="s">
        <v>683</v>
      </c>
      <c r="E388" t="s">
        <v>684</v>
      </c>
      <c r="F388">
        <v>83.3</v>
      </c>
      <c r="G388">
        <v>83</v>
      </c>
      <c r="H388">
        <v>83</v>
      </c>
      <c r="I388">
        <v>75</v>
      </c>
      <c r="J388" s="1">
        <v>75</v>
      </c>
      <c r="K388">
        <v>455488.2</v>
      </c>
      <c r="L388">
        <v>6034</v>
      </c>
      <c r="M388" t="s">
        <v>78</v>
      </c>
      <c r="N388" t="s">
        <v>17</v>
      </c>
      <c r="O388">
        <v>136</v>
      </c>
      <c r="P388">
        <v>444</v>
      </c>
      <c r="Q388">
        <v>75</v>
      </c>
    </row>
    <row r="389" spans="2:17" x14ac:dyDescent="0.25">
      <c r="B389" t="s">
        <v>78</v>
      </c>
      <c r="C389" t="s">
        <v>79</v>
      </c>
      <c r="D389" t="s">
        <v>685</v>
      </c>
      <c r="E389" t="s">
        <v>686</v>
      </c>
      <c r="F389">
        <v>331</v>
      </c>
      <c r="G389">
        <v>331</v>
      </c>
      <c r="H389">
        <v>333</v>
      </c>
      <c r="I389">
        <v>319</v>
      </c>
      <c r="J389" s="1">
        <v>322.8</v>
      </c>
      <c r="K389">
        <v>9603347.4000000004</v>
      </c>
      <c r="L389">
        <v>29736</v>
      </c>
      <c r="M389" t="s">
        <v>78</v>
      </c>
      <c r="N389" t="s">
        <v>17</v>
      </c>
      <c r="O389">
        <v>1184</v>
      </c>
      <c r="P389">
        <v>418.85</v>
      </c>
      <c r="Q389">
        <v>319</v>
      </c>
    </row>
    <row r="390" spans="2:17" x14ac:dyDescent="0.25">
      <c r="B390" t="s">
        <v>78</v>
      </c>
      <c r="C390" t="s">
        <v>79</v>
      </c>
      <c r="D390" t="s">
        <v>687</v>
      </c>
      <c r="E390" t="s">
        <v>688</v>
      </c>
      <c r="F390">
        <v>60</v>
      </c>
      <c r="G390">
        <v>59.15</v>
      </c>
      <c r="H390">
        <v>59.15</v>
      </c>
      <c r="I390">
        <v>57.6</v>
      </c>
      <c r="J390" s="1">
        <v>58.85</v>
      </c>
      <c r="K390">
        <v>595086.9</v>
      </c>
      <c r="L390">
        <v>10170</v>
      </c>
      <c r="M390" t="s">
        <v>78</v>
      </c>
      <c r="N390" t="s">
        <v>17</v>
      </c>
      <c r="O390">
        <v>116</v>
      </c>
      <c r="P390">
        <v>105</v>
      </c>
      <c r="Q390">
        <v>57.6</v>
      </c>
    </row>
    <row r="391" spans="2:17" x14ac:dyDescent="0.25">
      <c r="B391" t="s">
        <v>78</v>
      </c>
      <c r="C391" t="s">
        <v>79</v>
      </c>
      <c r="D391" t="s">
        <v>689</v>
      </c>
      <c r="E391" t="s">
        <v>690</v>
      </c>
      <c r="F391">
        <v>874.05</v>
      </c>
      <c r="G391">
        <v>864.05</v>
      </c>
      <c r="H391">
        <v>875.1</v>
      </c>
      <c r="I391">
        <v>850</v>
      </c>
      <c r="J391" s="1">
        <v>867.85</v>
      </c>
      <c r="K391">
        <v>22951557.5</v>
      </c>
      <c r="L391">
        <v>26603</v>
      </c>
      <c r="M391" t="s">
        <v>78</v>
      </c>
      <c r="N391" t="s">
        <v>17</v>
      </c>
      <c r="O391">
        <v>3334</v>
      </c>
      <c r="P391">
        <v>1395</v>
      </c>
      <c r="Q391">
        <v>849.85</v>
      </c>
    </row>
    <row r="392" spans="2:17" x14ac:dyDescent="0.25">
      <c r="B392" t="s">
        <v>78</v>
      </c>
      <c r="C392" t="s">
        <v>79</v>
      </c>
      <c r="D392" t="s">
        <v>691</v>
      </c>
      <c r="E392" t="s">
        <v>692</v>
      </c>
      <c r="F392">
        <v>130.05000000000001</v>
      </c>
      <c r="G392">
        <v>130</v>
      </c>
      <c r="H392">
        <v>130.55000000000001</v>
      </c>
      <c r="I392">
        <v>125</v>
      </c>
      <c r="J392" s="1">
        <v>125.35</v>
      </c>
      <c r="K392">
        <v>113173188.34999999</v>
      </c>
      <c r="L392">
        <v>893042</v>
      </c>
      <c r="M392" t="s">
        <v>78</v>
      </c>
      <c r="N392" t="s">
        <v>17</v>
      </c>
      <c r="O392">
        <v>13444</v>
      </c>
      <c r="P392">
        <v>177.8</v>
      </c>
      <c r="Q392">
        <v>123.25</v>
      </c>
    </row>
    <row r="393" spans="2:17" x14ac:dyDescent="0.25">
      <c r="B393" t="s">
        <v>78</v>
      </c>
      <c r="C393" t="s">
        <v>79</v>
      </c>
      <c r="D393" t="s">
        <v>693</v>
      </c>
      <c r="E393" t="s">
        <v>694</v>
      </c>
      <c r="F393">
        <v>246.35</v>
      </c>
      <c r="G393">
        <v>245.95</v>
      </c>
      <c r="H393">
        <v>247</v>
      </c>
      <c r="I393">
        <v>241.7</v>
      </c>
      <c r="J393" s="1">
        <v>245.95</v>
      </c>
      <c r="K393">
        <v>7438324.3499999996</v>
      </c>
      <c r="L393">
        <v>30460</v>
      </c>
      <c r="M393" t="s">
        <v>78</v>
      </c>
      <c r="N393" t="s">
        <v>17</v>
      </c>
      <c r="O393">
        <v>1345</v>
      </c>
      <c r="P393">
        <v>306.89999999999998</v>
      </c>
      <c r="Q393">
        <v>225.5</v>
      </c>
    </row>
    <row r="394" spans="2:17" x14ac:dyDescent="0.25">
      <c r="B394" t="s">
        <v>78</v>
      </c>
      <c r="C394" t="s">
        <v>79</v>
      </c>
      <c r="D394" t="s">
        <v>695</v>
      </c>
      <c r="E394" t="s">
        <v>696</v>
      </c>
      <c r="F394">
        <v>204.05</v>
      </c>
      <c r="G394">
        <v>203.5</v>
      </c>
      <c r="H394">
        <v>204.7</v>
      </c>
      <c r="I394">
        <v>198.35</v>
      </c>
      <c r="J394" s="1">
        <v>199.25</v>
      </c>
      <c r="K394">
        <v>40070312.799999997</v>
      </c>
      <c r="L394">
        <v>200607</v>
      </c>
      <c r="M394" t="s">
        <v>78</v>
      </c>
      <c r="N394" t="s">
        <v>17</v>
      </c>
      <c r="O394">
        <v>5746</v>
      </c>
      <c r="P394">
        <v>278.7</v>
      </c>
      <c r="Q394">
        <v>198.35</v>
      </c>
    </row>
    <row r="395" spans="2:17" x14ac:dyDescent="0.25">
      <c r="B395" t="s">
        <v>78</v>
      </c>
      <c r="C395" t="s">
        <v>79</v>
      </c>
      <c r="D395" t="s">
        <v>697</v>
      </c>
      <c r="E395" t="s">
        <v>698</v>
      </c>
      <c r="F395">
        <v>883.4</v>
      </c>
      <c r="G395">
        <v>886</v>
      </c>
      <c r="H395">
        <v>892.95</v>
      </c>
      <c r="I395">
        <v>861.35</v>
      </c>
      <c r="J395" s="1">
        <v>872.7</v>
      </c>
      <c r="K395">
        <v>117336733.45</v>
      </c>
      <c r="L395">
        <v>134097</v>
      </c>
      <c r="M395" t="s">
        <v>78</v>
      </c>
      <c r="N395" t="s">
        <v>17</v>
      </c>
      <c r="O395">
        <v>5594</v>
      </c>
      <c r="P395">
        <v>1455</v>
      </c>
      <c r="Q395">
        <v>861.35</v>
      </c>
    </row>
    <row r="396" spans="2:17" x14ac:dyDescent="0.25">
      <c r="B396" t="s">
        <v>78</v>
      </c>
      <c r="C396" t="s">
        <v>79</v>
      </c>
      <c r="D396" t="s">
        <v>699</v>
      </c>
      <c r="E396" t="s">
        <v>700</v>
      </c>
      <c r="F396">
        <v>16.55</v>
      </c>
      <c r="G396">
        <v>16.55</v>
      </c>
      <c r="H396">
        <v>16.55</v>
      </c>
      <c r="I396">
        <v>15.5</v>
      </c>
      <c r="J396" s="1">
        <v>15.9</v>
      </c>
      <c r="K396">
        <v>1110136.7</v>
      </c>
      <c r="L396">
        <v>69288</v>
      </c>
      <c r="M396" t="s">
        <v>78</v>
      </c>
      <c r="N396" t="s">
        <v>17</v>
      </c>
      <c r="O396">
        <v>175</v>
      </c>
      <c r="P396">
        <v>30.25</v>
      </c>
      <c r="Q396">
        <v>10.8</v>
      </c>
    </row>
    <row r="397" spans="2:17" x14ac:dyDescent="0.25">
      <c r="B397" t="s">
        <v>78</v>
      </c>
      <c r="C397" t="s">
        <v>79</v>
      </c>
      <c r="D397" t="s">
        <v>701</v>
      </c>
      <c r="E397" t="s">
        <v>702</v>
      </c>
      <c r="F397">
        <v>6.15</v>
      </c>
      <c r="G397">
        <v>6.05</v>
      </c>
      <c r="H397">
        <v>6.55</v>
      </c>
      <c r="I397">
        <v>6.05</v>
      </c>
      <c r="J397" s="1">
        <v>6.45</v>
      </c>
      <c r="K397">
        <v>456361.55</v>
      </c>
      <c r="L397">
        <v>72251</v>
      </c>
      <c r="M397" t="s">
        <v>78</v>
      </c>
      <c r="N397" t="s">
        <v>17</v>
      </c>
      <c r="O397">
        <v>234</v>
      </c>
      <c r="P397">
        <v>15.8</v>
      </c>
      <c r="Q397">
        <v>5.35</v>
      </c>
    </row>
    <row r="398" spans="2:17" x14ac:dyDescent="0.25">
      <c r="B398" t="s">
        <v>78</v>
      </c>
      <c r="C398" t="s">
        <v>79</v>
      </c>
      <c r="D398" t="s">
        <v>6789</v>
      </c>
      <c r="E398" t="s">
        <v>6788</v>
      </c>
      <c r="F398">
        <v>5.2</v>
      </c>
      <c r="G398">
        <v>5.2</v>
      </c>
      <c r="H398">
        <v>5.2</v>
      </c>
      <c r="I398">
        <v>4.8</v>
      </c>
      <c r="J398" s="1">
        <v>4.8</v>
      </c>
      <c r="K398">
        <v>258719.8</v>
      </c>
      <c r="L398">
        <v>51992</v>
      </c>
      <c r="M398" t="s">
        <v>78</v>
      </c>
      <c r="N398" t="s">
        <v>17</v>
      </c>
      <c r="O398">
        <v>159</v>
      </c>
      <c r="P398">
        <v>21.4</v>
      </c>
      <c r="Q398">
        <v>2.75</v>
      </c>
    </row>
    <row r="399" spans="2:17" x14ac:dyDescent="0.25">
      <c r="B399" t="s">
        <v>78</v>
      </c>
      <c r="C399" t="s">
        <v>79</v>
      </c>
      <c r="D399" t="s">
        <v>703</v>
      </c>
      <c r="E399" t="s">
        <v>704</v>
      </c>
      <c r="F399">
        <v>202.9</v>
      </c>
      <c r="G399">
        <v>203.9</v>
      </c>
      <c r="H399">
        <v>204.05</v>
      </c>
      <c r="I399">
        <v>194</v>
      </c>
      <c r="J399" s="1">
        <v>197.2</v>
      </c>
      <c r="K399">
        <v>4434476.3499999996</v>
      </c>
      <c r="L399">
        <v>22437</v>
      </c>
      <c r="M399" t="s">
        <v>78</v>
      </c>
      <c r="N399" t="s">
        <v>17</v>
      </c>
      <c r="O399">
        <v>785</v>
      </c>
      <c r="P399">
        <v>304.64999999999998</v>
      </c>
      <c r="Q399">
        <v>194</v>
      </c>
    </row>
    <row r="400" spans="2:17" x14ac:dyDescent="0.25">
      <c r="B400" t="s">
        <v>78</v>
      </c>
      <c r="C400" t="s">
        <v>79</v>
      </c>
      <c r="D400" t="s">
        <v>705</v>
      </c>
      <c r="E400" t="s">
        <v>706</v>
      </c>
      <c r="F400">
        <v>3.5</v>
      </c>
      <c r="G400">
        <v>3.6</v>
      </c>
      <c r="H400">
        <v>3.6</v>
      </c>
      <c r="I400">
        <v>3.3</v>
      </c>
      <c r="J400" s="1">
        <v>3.5</v>
      </c>
      <c r="K400">
        <v>195426.05</v>
      </c>
      <c r="L400">
        <v>56573</v>
      </c>
      <c r="M400" t="s">
        <v>78</v>
      </c>
      <c r="N400" t="s">
        <v>17</v>
      </c>
      <c r="O400">
        <v>112</v>
      </c>
      <c r="P400">
        <v>9.0500000000000007</v>
      </c>
      <c r="Q400">
        <v>3.3</v>
      </c>
    </row>
    <row r="401" spans="2:17" x14ac:dyDescent="0.25">
      <c r="B401" t="s">
        <v>78</v>
      </c>
      <c r="C401" t="s">
        <v>79</v>
      </c>
      <c r="D401" t="s">
        <v>707</v>
      </c>
      <c r="E401" t="s">
        <v>708</v>
      </c>
      <c r="F401">
        <v>19.45</v>
      </c>
      <c r="G401">
        <v>19.5</v>
      </c>
      <c r="H401">
        <v>19.55</v>
      </c>
      <c r="I401">
        <v>18.850000000000001</v>
      </c>
      <c r="J401" s="1">
        <v>18.95</v>
      </c>
      <c r="K401">
        <v>8260488.1500000004</v>
      </c>
      <c r="L401">
        <v>432374</v>
      </c>
      <c r="M401" t="s">
        <v>78</v>
      </c>
      <c r="N401" t="s">
        <v>17</v>
      </c>
      <c r="O401">
        <v>1541</v>
      </c>
      <c r="P401">
        <v>76.55</v>
      </c>
      <c r="Q401">
        <v>18.850000000000001</v>
      </c>
    </row>
    <row r="402" spans="2:17" x14ac:dyDescent="0.25">
      <c r="B402" t="s">
        <v>78</v>
      </c>
      <c r="C402" t="s">
        <v>79</v>
      </c>
      <c r="D402" t="s">
        <v>709</v>
      </c>
      <c r="E402" t="s">
        <v>710</v>
      </c>
      <c r="F402">
        <v>24.9</v>
      </c>
      <c r="G402">
        <v>24.7</v>
      </c>
      <c r="H402">
        <v>27.45</v>
      </c>
      <c r="I402">
        <v>23.7</v>
      </c>
      <c r="J402" s="1">
        <v>25.75</v>
      </c>
      <c r="K402">
        <v>6698549.7999999998</v>
      </c>
      <c r="L402">
        <v>265354</v>
      </c>
      <c r="M402" t="s">
        <v>78</v>
      </c>
      <c r="N402" t="s">
        <v>17</v>
      </c>
      <c r="O402">
        <v>1050</v>
      </c>
      <c r="P402">
        <v>60</v>
      </c>
      <c r="Q402">
        <v>23.7</v>
      </c>
    </row>
    <row r="403" spans="2:17" x14ac:dyDescent="0.25">
      <c r="B403" t="s">
        <v>78</v>
      </c>
      <c r="C403" t="s">
        <v>79</v>
      </c>
      <c r="D403" t="s">
        <v>711</v>
      </c>
      <c r="E403" t="s">
        <v>712</v>
      </c>
      <c r="F403">
        <v>512.9</v>
      </c>
      <c r="G403">
        <v>510</v>
      </c>
      <c r="H403">
        <v>518</v>
      </c>
      <c r="I403">
        <v>489.15</v>
      </c>
      <c r="J403" s="1">
        <v>491.25</v>
      </c>
      <c r="K403">
        <v>2983299.6</v>
      </c>
      <c r="L403">
        <v>5943</v>
      </c>
      <c r="M403" t="s">
        <v>78</v>
      </c>
      <c r="N403" t="s">
        <v>17</v>
      </c>
      <c r="O403">
        <v>231</v>
      </c>
      <c r="P403">
        <v>576.25</v>
      </c>
      <c r="Q403">
        <v>326.45</v>
      </c>
    </row>
    <row r="404" spans="2:17" x14ac:dyDescent="0.25">
      <c r="B404" t="s">
        <v>78</v>
      </c>
      <c r="C404" t="s">
        <v>79</v>
      </c>
      <c r="D404" t="s">
        <v>713</v>
      </c>
      <c r="E404" t="s">
        <v>714</v>
      </c>
      <c r="F404">
        <v>137.19999999999999</v>
      </c>
      <c r="G404">
        <v>139.30000000000001</v>
      </c>
      <c r="H404">
        <v>139.30000000000001</v>
      </c>
      <c r="I404">
        <v>130.30000000000001</v>
      </c>
      <c r="J404" s="1">
        <v>130.94999999999999</v>
      </c>
      <c r="K404">
        <v>36847882.299999997</v>
      </c>
      <c r="L404">
        <v>277370</v>
      </c>
      <c r="M404" t="s">
        <v>78</v>
      </c>
      <c r="N404" t="s">
        <v>17</v>
      </c>
      <c r="O404">
        <v>6349</v>
      </c>
      <c r="P404">
        <v>263.64999999999998</v>
      </c>
      <c r="Q404">
        <v>130.30000000000001</v>
      </c>
    </row>
    <row r="405" spans="2:17" x14ac:dyDescent="0.25">
      <c r="B405" t="s">
        <v>78</v>
      </c>
      <c r="C405" t="s">
        <v>79</v>
      </c>
      <c r="D405" t="s">
        <v>715</v>
      </c>
      <c r="E405" t="s">
        <v>716</v>
      </c>
      <c r="F405">
        <v>935.05</v>
      </c>
      <c r="G405">
        <v>934.95</v>
      </c>
      <c r="H405">
        <v>943.45</v>
      </c>
      <c r="I405">
        <v>911.35</v>
      </c>
      <c r="J405" s="1">
        <v>917.65</v>
      </c>
      <c r="K405">
        <v>636582177.20000005</v>
      </c>
      <c r="L405">
        <v>687087</v>
      </c>
      <c r="M405" t="s">
        <v>78</v>
      </c>
      <c r="N405" t="s">
        <v>183</v>
      </c>
      <c r="O405">
        <v>24576</v>
      </c>
      <c r="P405">
        <v>1063</v>
      </c>
      <c r="Q405">
        <v>705.5</v>
      </c>
    </row>
    <row r="406" spans="2:17" x14ac:dyDescent="0.25">
      <c r="B406" t="s">
        <v>78</v>
      </c>
      <c r="C406" t="s">
        <v>79</v>
      </c>
      <c r="D406" t="s">
        <v>717</v>
      </c>
      <c r="E406" t="s">
        <v>718</v>
      </c>
      <c r="F406">
        <v>2719.85</v>
      </c>
      <c r="G406">
        <v>2719.85</v>
      </c>
      <c r="H406">
        <v>2725</v>
      </c>
      <c r="I406">
        <v>2641.25</v>
      </c>
      <c r="J406" s="1">
        <v>2688.5</v>
      </c>
      <c r="K406">
        <v>26051556.100000001</v>
      </c>
      <c r="L406">
        <v>9673</v>
      </c>
      <c r="M406" t="s">
        <v>78</v>
      </c>
      <c r="N406" t="s">
        <v>17</v>
      </c>
      <c r="O406">
        <v>1947</v>
      </c>
      <c r="P406">
        <v>3195</v>
      </c>
      <c r="Q406">
        <v>2144.0500000000002</v>
      </c>
    </row>
    <row r="407" spans="2:17" x14ac:dyDescent="0.25">
      <c r="B407" t="s">
        <v>78</v>
      </c>
      <c r="C407" t="s">
        <v>79</v>
      </c>
      <c r="D407" t="s">
        <v>719</v>
      </c>
      <c r="E407" t="s">
        <v>720</v>
      </c>
      <c r="F407">
        <v>24.25</v>
      </c>
      <c r="G407">
        <v>24</v>
      </c>
      <c r="H407">
        <v>24.4</v>
      </c>
      <c r="I407">
        <v>23.2</v>
      </c>
      <c r="J407" s="1">
        <v>23.6</v>
      </c>
      <c r="K407">
        <v>2694479</v>
      </c>
      <c r="L407">
        <v>113333</v>
      </c>
      <c r="M407" t="s">
        <v>78</v>
      </c>
      <c r="N407" t="s">
        <v>17</v>
      </c>
      <c r="O407">
        <v>299</v>
      </c>
      <c r="P407">
        <v>70.900000000000006</v>
      </c>
      <c r="Q407">
        <v>20.25</v>
      </c>
    </row>
    <row r="408" spans="2:17" x14ac:dyDescent="0.25">
      <c r="B408" t="s">
        <v>78</v>
      </c>
      <c r="C408" t="s">
        <v>79</v>
      </c>
      <c r="D408" t="s">
        <v>721</v>
      </c>
      <c r="E408" t="s">
        <v>722</v>
      </c>
      <c r="F408">
        <v>777.3</v>
      </c>
      <c r="G408">
        <v>782</v>
      </c>
      <c r="H408">
        <v>783.9</v>
      </c>
      <c r="I408">
        <v>752.55</v>
      </c>
      <c r="J408" s="1">
        <v>762.35</v>
      </c>
      <c r="K408">
        <v>141344628.90000001</v>
      </c>
      <c r="L408">
        <v>183491</v>
      </c>
      <c r="M408" t="s">
        <v>78</v>
      </c>
      <c r="N408" t="s">
        <v>17</v>
      </c>
      <c r="O408">
        <v>5605</v>
      </c>
      <c r="P408">
        <v>1038.8499999999999</v>
      </c>
      <c r="Q408">
        <v>642</v>
      </c>
    </row>
    <row r="409" spans="2:17" x14ac:dyDescent="0.25">
      <c r="B409" t="s">
        <v>78</v>
      </c>
      <c r="C409" t="s">
        <v>79</v>
      </c>
      <c r="D409" t="s">
        <v>6787</v>
      </c>
      <c r="E409" t="s">
        <v>6786</v>
      </c>
      <c r="F409">
        <v>414.45</v>
      </c>
      <c r="G409">
        <v>417.2</v>
      </c>
      <c r="H409">
        <v>418.25</v>
      </c>
      <c r="I409">
        <v>400.1</v>
      </c>
      <c r="J409" s="1">
        <v>410.15</v>
      </c>
      <c r="K409">
        <v>13949427.85</v>
      </c>
      <c r="L409">
        <v>34212</v>
      </c>
      <c r="M409" t="s">
        <v>78</v>
      </c>
      <c r="N409" t="s">
        <v>17</v>
      </c>
      <c r="O409">
        <v>1803</v>
      </c>
      <c r="P409">
        <v>659</v>
      </c>
      <c r="Q409">
        <v>382.1</v>
      </c>
    </row>
    <row r="410" spans="2:17" x14ac:dyDescent="0.25">
      <c r="B410" t="s">
        <v>78</v>
      </c>
      <c r="C410" t="s">
        <v>79</v>
      </c>
      <c r="D410" t="s">
        <v>723</v>
      </c>
      <c r="E410" t="s">
        <v>724</v>
      </c>
      <c r="F410">
        <v>162.5</v>
      </c>
      <c r="G410">
        <v>161</v>
      </c>
      <c r="H410">
        <v>166.4</v>
      </c>
      <c r="I410">
        <v>160</v>
      </c>
      <c r="J410" s="1">
        <v>161.85</v>
      </c>
      <c r="K410">
        <v>56436358.100000001</v>
      </c>
      <c r="L410">
        <v>345668</v>
      </c>
      <c r="M410" t="s">
        <v>78</v>
      </c>
      <c r="N410" t="s">
        <v>17</v>
      </c>
      <c r="O410">
        <v>4050</v>
      </c>
      <c r="P410">
        <v>199.2</v>
      </c>
      <c r="Q410">
        <v>73.349999999999994</v>
      </c>
    </row>
    <row r="411" spans="2:17" x14ac:dyDescent="0.25">
      <c r="B411" t="s">
        <v>78</v>
      </c>
      <c r="C411" t="s">
        <v>79</v>
      </c>
      <c r="D411" t="s">
        <v>3082</v>
      </c>
      <c r="E411" t="s">
        <v>3083</v>
      </c>
      <c r="F411">
        <v>21.5</v>
      </c>
      <c r="G411">
        <v>22.3</v>
      </c>
      <c r="H411">
        <v>22.95</v>
      </c>
      <c r="I411">
        <v>21.6</v>
      </c>
      <c r="J411" s="1">
        <v>22.05</v>
      </c>
      <c r="K411">
        <v>143784833.5</v>
      </c>
      <c r="L411">
        <v>6436567</v>
      </c>
      <c r="M411" t="s">
        <v>78</v>
      </c>
      <c r="N411" t="s">
        <v>17</v>
      </c>
      <c r="O411">
        <v>13690</v>
      </c>
      <c r="P411">
        <v>65.2</v>
      </c>
      <c r="Q411">
        <v>16.7</v>
      </c>
    </row>
    <row r="412" spans="2:17" x14ac:dyDescent="0.25">
      <c r="B412" t="s">
        <v>78</v>
      </c>
      <c r="C412" t="s">
        <v>79</v>
      </c>
      <c r="D412" t="s">
        <v>725</v>
      </c>
      <c r="E412" t="s">
        <v>726</v>
      </c>
      <c r="F412">
        <v>313.05</v>
      </c>
      <c r="G412">
        <v>311.2</v>
      </c>
      <c r="H412">
        <v>330</v>
      </c>
      <c r="I412">
        <v>311.2</v>
      </c>
      <c r="J412" s="1">
        <v>323.25</v>
      </c>
      <c r="K412">
        <v>15101477.300000001</v>
      </c>
      <c r="L412">
        <v>48219</v>
      </c>
      <c r="M412" t="s">
        <v>78</v>
      </c>
      <c r="N412" t="s">
        <v>17</v>
      </c>
      <c r="O412">
        <v>487</v>
      </c>
      <c r="P412">
        <v>358.8</v>
      </c>
      <c r="Q412">
        <v>250</v>
      </c>
    </row>
    <row r="413" spans="2:17" x14ac:dyDescent="0.25">
      <c r="B413" t="s">
        <v>78</v>
      </c>
      <c r="C413" t="s">
        <v>79</v>
      </c>
      <c r="D413" t="s">
        <v>727</v>
      </c>
      <c r="E413" t="s">
        <v>728</v>
      </c>
      <c r="F413">
        <v>162.05000000000001</v>
      </c>
      <c r="G413">
        <v>162</v>
      </c>
      <c r="H413">
        <v>163.69999999999999</v>
      </c>
      <c r="I413">
        <v>161.25</v>
      </c>
      <c r="J413" s="1">
        <v>162.05000000000001</v>
      </c>
      <c r="K413">
        <v>12483250.85</v>
      </c>
      <c r="L413">
        <v>76939</v>
      </c>
      <c r="M413" t="s">
        <v>78</v>
      </c>
      <c r="N413" t="s">
        <v>17</v>
      </c>
      <c r="O413">
        <v>1643</v>
      </c>
      <c r="P413">
        <v>195</v>
      </c>
      <c r="Q413">
        <v>128.1</v>
      </c>
    </row>
    <row r="414" spans="2:17" x14ac:dyDescent="0.25">
      <c r="B414" t="s">
        <v>78</v>
      </c>
      <c r="C414" t="s">
        <v>79</v>
      </c>
      <c r="D414" t="s">
        <v>733</v>
      </c>
      <c r="E414" t="s">
        <v>734</v>
      </c>
      <c r="F414">
        <v>166.45</v>
      </c>
      <c r="G414">
        <v>169</v>
      </c>
      <c r="H414">
        <v>174</v>
      </c>
      <c r="I414">
        <v>165.15</v>
      </c>
      <c r="J414" s="1">
        <v>167.5</v>
      </c>
      <c r="K414">
        <v>904659.4</v>
      </c>
      <c r="L414">
        <v>5348</v>
      </c>
      <c r="M414" t="s">
        <v>78</v>
      </c>
      <c r="N414" t="s">
        <v>17</v>
      </c>
      <c r="O414">
        <v>77</v>
      </c>
      <c r="P414">
        <v>208.9</v>
      </c>
      <c r="Q414">
        <v>129</v>
      </c>
    </row>
    <row r="415" spans="2:17" x14ac:dyDescent="0.25">
      <c r="B415" t="s">
        <v>78</v>
      </c>
      <c r="C415" t="s">
        <v>79</v>
      </c>
      <c r="D415" t="s">
        <v>735</v>
      </c>
      <c r="E415" t="s">
        <v>736</v>
      </c>
      <c r="F415">
        <v>194.55</v>
      </c>
      <c r="G415">
        <v>195</v>
      </c>
      <c r="H415">
        <v>195.4</v>
      </c>
      <c r="I415">
        <v>192.15</v>
      </c>
      <c r="J415" s="1">
        <v>194.15</v>
      </c>
      <c r="K415">
        <v>19981486.5</v>
      </c>
      <c r="L415">
        <v>102890</v>
      </c>
      <c r="M415" t="s">
        <v>78</v>
      </c>
      <c r="N415" t="s">
        <v>17</v>
      </c>
      <c r="O415">
        <v>7645</v>
      </c>
      <c r="P415">
        <v>344.95</v>
      </c>
      <c r="Q415">
        <v>176</v>
      </c>
    </row>
    <row r="416" spans="2:17" x14ac:dyDescent="0.25">
      <c r="B416" t="s">
        <v>78</v>
      </c>
      <c r="C416" t="s">
        <v>79</v>
      </c>
      <c r="D416" t="s">
        <v>737</v>
      </c>
      <c r="E416" t="s">
        <v>738</v>
      </c>
      <c r="F416">
        <v>270.8</v>
      </c>
      <c r="G416">
        <v>270</v>
      </c>
      <c r="H416">
        <v>274.75</v>
      </c>
      <c r="I416">
        <v>259.3</v>
      </c>
      <c r="J416" s="1">
        <v>265</v>
      </c>
      <c r="K416">
        <v>322612272.55000001</v>
      </c>
      <c r="L416">
        <v>1219212</v>
      </c>
      <c r="M416" t="s">
        <v>78</v>
      </c>
      <c r="N416" t="s">
        <v>17</v>
      </c>
      <c r="O416">
        <v>55973</v>
      </c>
      <c r="P416">
        <v>1595.95</v>
      </c>
      <c r="Q416">
        <v>259.3</v>
      </c>
    </row>
    <row r="417" spans="2:17" x14ac:dyDescent="0.25">
      <c r="B417" t="s">
        <v>78</v>
      </c>
      <c r="C417" t="s">
        <v>79</v>
      </c>
      <c r="D417" t="s">
        <v>739</v>
      </c>
      <c r="E417" t="s">
        <v>740</v>
      </c>
      <c r="F417">
        <v>493.65</v>
      </c>
      <c r="G417">
        <v>484.5</v>
      </c>
      <c r="H417">
        <v>493.85</v>
      </c>
      <c r="I417">
        <v>475.3</v>
      </c>
      <c r="J417" s="1">
        <v>489.7</v>
      </c>
      <c r="K417">
        <v>441956008.80000001</v>
      </c>
      <c r="L417">
        <v>920089</v>
      </c>
      <c r="M417" t="s">
        <v>78</v>
      </c>
      <c r="N417" t="s">
        <v>17</v>
      </c>
      <c r="O417">
        <v>2015</v>
      </c>
      <c r="P417">
        <v>666.9</v>
      </c>
      <c r="Q417">
        <v>415.15</v>
      </c>
    </row>
    <row r="418" spans="2:17" x14ac:dyDescent="0.25">
      <c r="B418" t="s">
        <v>783</v>
      </c>
      <c r="C418" t="s">
        <v>79</v>
      </c>
      <c r="D418" t="s">
        <v>3596</v>
      </c>
      <c r="E418" t="s">
        <v>3597</v>
      </c>
      <c r="F418">
        <v>0.55000000000000004</v>
      </c>
      <c r="G418">
        <v>0.45</v>
      </c>
      <c r="H418">
        <v>0.5</v>
      </c>
      <c r="I418">
        <v>0.45</v>
      </c>
      <c r="J418" s="1">
        <v>0.5</v>
      </c>
      <c r="K418">
        <v>5098.05</v>
      </c>
      <c r="L418">
        <v>10696</v>
      </c>
      <c r="M418" t="s">
        <v>78</v>
      </c>
      <c r="N418" t="s">
        <v>17</v>
      </c>
      <c r="O418">
        <v>9</v>
      </c>
      <c r="P418">
        <v>1.6</v>
      </c>
      <c r="Q418">
        <v>0.45</v>
      </c>
    </row>
    <row r="419" spans="2:17" x14ac:dyDescent="0.25">
      <c r="B419" t="s">
        <v>78</v>
      </c>
      <c r="C419" t="s">
        <v>79</v>
      </c>
      <c r="D419" t="s">
        <v>741</v>
      </c>
      <c r="E419" t="s">
        <v>742</v>
      </c>
      <c r="F419">
        <v>295.7</v>
      </c>
      <c r="G419">
        <v>299.85000000000002</v>
      </c>
      <c r="H419">
        <v>299.85000000000002</v>
      </c>
      <c r="I419">
        <v>291</v>
      </c>
      <c r="J419" s="1">
        <v>294.25</v>
      </c>
      <c r="K419">
        <v>2706251.85</v>
      </c>
      <c r="L419">
        <v>9144</v>
      </c>
      <c r="M419" t="s">
        <v>78</v>
      </c>
      <c r="N419" t="s">
        <v>17</v>
      </c>
      <c r="O419">
        <v>157</v>
      </c>
      <c r="P419">
        <v>491.7</v>
      </c>
      <c r="Q419">
        <v>276.2</v>
      </c>
    </row>
    <row r="420" spans="2:17" x14ac:dyDescent="0.25">
      <c r="B420" t="s">
        <v>78</v>
      </c>
      <c r="C420" t="s">
        <v>79</v>
      </c>
      <c r="D420" t="s">
        <v>6785</v>
      </c>
      <c r="E420" t="s">
        <v>6784</v>
      </c>
      <c r="F420">
        <v>21.15</v>
      </c>
      <c r="G420">
        <v>20.9</v>
      </c>
      <c r="H420">
        <v>21.3</v>
      </c>
      <c r="I420">
        <v>20.399999999999999</v>
      </c>
      <c r="J420" s="1">
        <v>20.9</v>
      </c>
      <c r="K420">
        <v>200676.05</v>
      </c>
      <c r="L420">
        <v>9690</v>
      </c>
      <c r="M420" t="s">
        <v>78</v>
      </c>
      <c r="N420" t="s">
        <v>17</v>
      </c>
      <c r="O420">
        <v>107</v>
      </c>
      <c r="P420">
        <v>74.400000000000006</v>
      </c>
      <c r="Q420">
        <v>20.2</v>
      </c>
    </row>
    <row r="421" spans="2:17" x14ac:dyDescent="0.25">
      <c r="B421" t="s">
        <v>78</v>
      </c>
      <c r="C421" t="s">
        <v>79</v>
      </c>
      <c r="D421" t="s">
        <v>743</v>
      </c>
      <c r="E421" t="s">
        <v>744</v>
      </c>
      <c r="F421">
        <v>34.4</v>
      </c>
      <c r="G421">
        <v>34.25</v>
      </c>
      <c r="H421">
        <v>34.5</v>
      </c>
      <c r="I421">
        <v>33.299999999999997</v>
      </c>
      <c r="J421" s="1">
        <v>33.549999999999997</v>
      </c>
      <c r="K421">
        <v>228699.6</v>
      </c>
      <c r="L421">
        <v>6763</v>
      </c>
      <c r="M421" t="s">
        <v>78</v>
      </c>
      <c r="N421" t="s">
        <v>17</v>
      </c>
      <c r="O421">
        <v>104</v>
      </c>
      <c r="P421">
        <v>57.95</v>
      </c>
      <c r="Q421">
        <v>33.299999999999997</v>
      </c>
    </row>
    <row r="422" spans="2:17" x14ac:dyDescent="0.25">
      <c r="B422" t="s">
        <v>78</v>
      </c>
      <c r="C422" t="s">
        <v>79</v>
      </c>
      <c r="D422" t="s">
        <v>3084</v>
      </c>
      <c r="E422" t="s">
        <v>3085</v>
      </c>
      <c r="F422">
        <v>5.15</v>
      </c>
      <c r="G422">
        <v>4.95</v>
      </c>
      <c r="H422">
        <v>5.35</v>
      </c>
      <c r="I422">
        <v>4.95</v>
      </c>
      <c r="J422" s="1">
        <v>5.2</v>
      </c>
      <c r="K422">
        <v>15904.6</v>
      </c>
      <c r="L422">
        <v>3142</v>
      </c>
      <c r="M422" t="s">
        <v>78</v>
      </c>
      <c r="N422" t="s">
        <v>17</v>
      </c>
      <c r="O422">
        <v>7</v>
      </c>
      <c r="P422">
        <v>9.3000000000000007</v>
      </c>
      <c r="Q422">
        <v>4.5999999999999996</v>
      </c>
    </row>
    <row r="423" spans="2:17" x14ac:dyDescent="0.25">
      <c r="B423" t="s">
        <v>78</v>
      </c>
      <c r="C423" t="s">
        <v>79</v>
      </c>
      <c r="D423" t="s">
        <v>6783</v>
      </c>
      <c r="E423" t="s">
        <v>6782</v>
      </c>
      <c r="F423">
        <v>2.9</v>
      </c>
      <c r="G423">
        <v>2.8</v>
      </c>
      <c r="H423">
        <v>2.8</v>
      </c>
      <c r="I423">
        <v>2.8</v>
      </c>
      <c r="J423" s="1">
        <v>2.8</v>
      </c>
      <c r="K423">
        <v>29926.400000000001</v>
      </c>
      <c r="L423">
        <v>10688</v>
      </c>
      <c r="M423" t="s">
        <v>78</v>
      </c>
      <c r="N423" t="s">
        <v>17</v>
      </c>
      <c r="O423">
        <v>28</v>
      </c>
      <c r="P423">
        <v>37.85</v>
      </c>
      <c r="Q423">
        <v>2.8</v>
      </c>
    </row>
    <row r="424" spans="2:17" x14ac:dyDescent="0.25">
      <c r="B424" t="s">
        <v>78</v>
      </c>
      <c r="C424" t="s">
        <v>79</v>
      </c>
      <c r="D424" t="s">
        <v>747</v>
      </c>
      <c r="E424" t="s">
        <v>748</v>
      </c>
      <c r="F424">
        <v>94.6</v>
      </c>
      <c r="G424">
        <v>94.15</v>
      </c>
      <c r="H424">
        <v>100.5</v>
      </c>
      <c r="I424">
        <v>94.15</v>
      </c>
      <c r="J424" s="1">
        <v>96.7</v>
      </c>
      <c r="K424">
        <v>148929.25</v>
      </c>
      <c r="L424">
        <v>1542</v>
      </c>
      <c r="M424" t="s">
        <v>78</v>
      </c>
      <c r="N424" t="s">
        <v>17</v>
      </c>
      <c r="O424">
        <v>110</v>
      </c>
      <c r="P424">
        <v>194.9</v>
      </c>
      <c r="Q424">
        <v>93</v>
      </c>
    </row>
    <row r="425" spans="2:17" x14ac:dyDescent="0.25">
      <c r="B425" t="s">
        <v>78</v>
      </c>
      <c r="C425" t="s">
        <v>79</v>
      </c>
      <c r="D425" t="s">
        <v>749</v>
      </c>
      <c r="E425" t="s">
        <v>750</v>
      </c>
      <c r="F425">
        <v>292.95</v>
      </c>
      <c r="G425">
        <v>291.75</v>
      </c>
      <c r="H425">
        <v>294.89999999999998</v>
      </c>
      <c r="I425">
        <v>277.3</v>
      </c>
      <c r="J425" s="1">
        <v>280.39999999999998</v>
      </c>
      <c r="K425">
        <v>6406699.0499999998</v>
      </c>
      <c r="L425">
        <v>22407</v>
      </c>
      <c r="M425" t="s">
        <v>78</v>
      </c>
      <c r="N425" t="s">
        <v>17</v>
      </c>
      <c r="O425">
        <v>981</v>
      </c>
      <c r="P425">
        <v>538.75</v>
      </c>
      <c r="Q425">
        <v>277.3</v>
      </c>
    </row>
    <row r="426" spans="2:17" x14ac:dyDescent="0.25">
      <c r="B426" t="s">
        <v>78</v>
      </c>
      <c r="C426" t="s">
        <v>79</v>
      </c>
      <c r="D426" t="s">
        <v>753</v>
      </c>
      <c r="E426" t="s">
        <v>754</v>
      </c>
      <c r="F426">
        <v>80.45</v>
      </c>
      <c r="G426">
        <v>81</v>
      </c>
      <c r="H426">
        <v>82.9</v>
      </c>
      <c r="I426">
        <v>73</v>
      </c>
      <c r="J426" s="1">
        <v>74.849999999999994</v>
      </c>
      <c r="K426">
        <v>4373001.0999999996</v>
      </c>
      <c r="L426">
        <v>57422</v>
      </c>
      <c r="M426" t="s">
        <v>78</v>
      </c>
      <c r="N426" t="s">
        <v>17</v>
      </c>
      <c r="O426">
        <v>1661</v>
      </c>
      <c r="P426">
        <v>230</v>
      </c>
      <c r="Q426">
        <v>68.150000000000006</v>
      </c>
    </row>
    <row r="427" spans="2:17" x14ac:dyDescent="0.25">
      <c r="B427" t="s">
        <v>78</v>
      </c>
      <c r="C427" t="s">
        <v>79</v>
      </c>
      <c r="D427" t="s">
        <v>6781</v>
      </c>
      <c r="E427" t="s">
        <v>6780</v>
      </c>
      <c r="F427">
        <v>10.75</v>
      </c>
      <c r="G427">
        <v>10.7</v>
      </c>
      <c r="H427">
        <v>11.75</v>
      </c>
      <c r="I427">
        <v>9.4499999999999993</v>
      </c>
      <c r="J427" s="1">
        <v>10</v>
      </c>
      <c r="K427">
        <v>394590.25</v>
      </c>
      <c r="L427">
        <v>37234</v>
      </c>
      <c r="M427" t="s">
        <v>78</v>
      </c>
      <c r="N427" t="s">
        <v>17</v>
      </c>
      <c r="O427">
        <v>147</v>
      </c>
      <c r="P427">
        <v>34.950000000000003</v>
      </c>
      <c r="Q427">
        <v>9.4499999999999993</v>
      </c>
    </row>
    <row r="428" spans="2:17" x14ac:dyDescent="0.25">
      <c r="B428" t="s">
        <v>78</v>
      </c>
      <c r="C428" t="s">
        <v>79</v>
      </c>
      <c r="D428" t="s">
        <v>755</v>
      </c>
      <c r="E428" t="s">
        <v>756</v>
      </c>
      <c r="F428">
        <v>363.65</v>
      </c>
      <c r="G428">
        <v>366.95</v>
      </c>
      <c r="H428">
        <v>366.95</v>
      </c>
      <c r="I428">
        <v>357.4</v>
      </c>
      <c r="J428" s="1">
        <v>360.05</v>
      </c>
      <c r="K428">
        <v>12537096.699999999</v>
      </c>
      <c r="L428">
        <v>34799</v>
      </c>
      <c r="M428" t="s">
        <v>78</v>
      </c>
      <c r="N428" t="s">
        <v>17</v>
      </c>
      <c r="O428">
        <v>1409</v>
      </c>
      <c r="P428">
        <v>462.95</v>
      </c>
      <c r="Q428">
        <v>335</v>
      </c>
    </row>
    <row r="429" spans="2:17" x14ac:dyDescent="0.25">
      <c r="B429" t="s">
        <v>78</v>
      </c>
      <c r="C429" t="s">
        <v>79</v>
      </c>
      <c r="D429" t="s">
        <v>757</v>
      </c>
      <c r="E429" t="s">
        <v>758</v>
      </c>
      <c r="F429">
        <v>212.95</v>
      </c>
      <c r="G429">
        <v>216.8</v>
      </c>
      <c r="H429">
        <v>216.8</v>
      </c>
      <c r="I429">
        <v>200.1</v>
      </c>
      <c r="J429" s="1">
        <v>203.75</v>
      </c>
      <c r="K429">
        <v>60842047.100000001</v>
      </c>
      <c r="L429">
        <v>294059</v>
      </c>
      <c r="M429" t="s">
        <v>78</v>
      </c>
      <c r="N429" t="s">
        <v>17</v>
      </c>
      <c r="O429">
        <v>3094</v>
      </c>
      <c r="P429">
        <v>324.85000000000002</v>
      </c>
      <c r="Q429">
        <v>200.1</v>
      </c>
    </row>
    <row r="430" spans="2:17" x14ac:dyDescent="0.25">
      <c r="B430" t="s">
        <v>78</v>
      </c>
      <c r="C430" t="s">
        <v>79</v>
      </c>
      <c r="D430" t="s">
        <v>761</v>
      </c>
      <c r="E430" t="s">
        <v>762</v>
      </c>
      <c r="F430">
        <v>12.7</v>
      </c>
      <c r="G430">
        <v>12.55</v>
      </c>
      <c r="H430">
        <v>12.75</v>
      </c>
      <c r="I430">
        <v>12.25</v>
      </c>
      <c r="J430" s="1">
        <v>12.3</v>
      </c>
      <c r="K430">
        <v>484319.15</v>
      </c>
      <c r="L430">
        <v>39190</v>
      </c>
      <c r="M430" t="s">
        <v>78</v>
      </c>
      <c r="N430" t="s">
        <v>17</v>
      </c>
      <c r="O430">
        <v>186</v>
      </c>
      <c r="P430">
        <v>41.9</v>
      </c>
      <c r="Q430">
        <v>12.25</v>
      </c>
    </row>
    <row r="431" spans="2:17" x14ac:dyDescent="0.25">
      <c r="B431" t="s">
        <v>78</v>
      </c>
      <c r="C431" t="s">
        <v>79</v>
      </c>
      <c r="D431" t="s">
        <v>3086</v>
      </c>
      <c r="E431" t="s">
        <v>3087</v>
      </c>
      <c r="F431">
        <v>8.6999999999999993</v>
      </c>
      <c r="G431">
        <v>9</v>
      </c>
      <c r="H431">
        <v>9</v>
      </c>
      <c r="I431">
        <v>8</v>
      </c>
      <c r="J431" s="1">
        <v>8.15</v>
      </c>
      <c r="K431">
        <v>198572.1</v>
      </c>
      <c r="L431">
        <v>23869</v>
      </c>
      <c r="M431" t="s">
        <v>78</v>
      </c>
      <c r="N431" t="s">
        <v>17</v>
      </c>
      <c r="O431">
        <v>112</v>
      </c>
      <c r="P431">
        <v>13</v>
      </c>
      <c r="Q431">
        <v>7.2</v>
      </c>
    </row>
    <row r="432" spans="2:17" x14ac:dyDescent="0.25">
      <c r="B432" t="s">
        <v>78</v>
      </c>
      <c r="C432" t="s">
        <v>79</v>
      </c>
      <c r="D432" t="s">
        <v>763</v>
      </c>
      <c r="E432" t="s">
        <v>764</v>
      </c>
      <c r="F432">
        <v>31.7</v>
      </c>
      <c r="G432">
        <v>33</v>
      </c>
      <c r="H432">
        <v>33</v>
      </c>
      <c r="I432">
        <v>30.5</v>
      </c>
      <c r="J432" s="1">
        <v>31.15</v>
      </c>
      <c r="K432">
        <v>3166762.5</v>
      </c>
      <c r="L432">
        <v>102365</v>
      </c>
      <c r="M432" t="s">
        <v>78</v>
      </c>
      <c r="N432" t="s">
        <v>17</v>
      </c>
      <c r="O432">
        <v>770</v>
      </c>
      <c r="P432">
        <v>41.4</v>
      </c>
      <c r="Q432">
        <v>30.5</v>
      </c>
    </row>
    <row r="433" spans="2:17" x14ac:dyDescent="0.25">
      <c r="B433" t="s">
        <v>78</v>
      </c>
      <c r="C433" t="s">
        <v>79</v>
      </c>
      <c r="D433" t="s">
        <v>765</v>
      </c>
      <c r="E433" t="s">
        <v>766</v>
      </c>
      <c r="F433">
        <v>33.85</v>
      </c>
      <c r="G433">
        <v>33</v>
      </c>
      <c r="H433">
        <v>39.75</v>
      </c>
      <c r="I433">
        <v>30.75</v>
      </c>
      <c r="J433" s="1">
        <v>33.25</v>
      </c>
      <c r="K433">
        <v>170131.20000000001</v>
      </c>
      <c r="L433">
        <v>4976</v>
      </c>
      <c r="M433" t="s">
        <v>78</v>
      </c>
      <c r="N433" t="s">
        <v>17</v>
      </c>
      <c r="O433">
        <v>69</v>
      </c>
      <c r="P433">
        <v>63.85</v>
      </c>
      <c r="Q433">
        <v>30.75</v>
      </c>
    </row>
    <row r="434" spans="2:17" x14ac:dyDescent="0.25">
      <c r="B434" t="s">
        <v>78</v>
      </c>
      <c r="C434" t="s">
        <v>79</v>
      </c>
      <c r="D434" t="s">
        <v>769</v>
      </c>
      <c r="E434" t="s">
        <v>770</v>
      </c>
      <c r="F434">
        <v>208.7</v>
      </c>
      <c r="G434">
        <v>204.05</v>
      </c>
      <c r="H434">
        <v>205.95</v>
      </c>
      <c r="I434">
        <v>194</v>
      </c>
      <c r="J434" s="1">
        <v>196.8</v>
      </c>
      <c r="K434">
        <v>680962.65</v>
      </c>
      <c r="L434">
        <v>3413</v>
      </c>
      <c r="M434" t="s">
        <v>78</v>
      </c>
      <c r="N434" t="s">
        <v>17</v>
      </c>
      <c r="O434">
        <v>293</v>
      </c>
      <c r="P434">
        <v>429.15</v>
      </c>
      <c r="Q434">
        <v>194</v>
      </c>
    </row>
    <row r="435" spans="2:17" x14ac:dyDescent="0.25">
      <c r="B435" t="s">
        <v>78</v>
      </c>
      <c r="C435" t="s">
        <v>79</v>
      </c>
      <c r="D435" t="s">
        <v>771</v>
      </c>
      <c r="E435" t="s">
        <v>772</v>
      </c>
      <c r="F435">
        <v>13.95</v>
      </c>
      <c r="G435">
        <v>13.85</v>
      </c>
      <c r="H435">
        <v>14.4</v>
      </c>
      <c r="I435">
        <v>13.3</v>
      </c>
      <c r="J435" s="1">
        <v>13.45</v>
      </c>
      <c r="K435">
        <v>254519.05</v>
      </c>
      <c r="L435">
        <v>18290</v>
      </c>
      <c r="M435" t="s">
        <v>78</v>
      </c>
      <c r="N435" t="s">
        <v>17</v>
      </c>
      <c r="O435">
        <v>77</v>
      </c>
      <c r="P435">
        <v>24.8</v>
      </c>
      <c r="Q435">
        <v>12.4</v>
      </c>
    </row>
    <row r="436" spans="2:17" x14ac:dyDescent="0.25">
      <c r="B436" t="s">
        <v>78</v>
      </c>
      <c r="C436" t="s">
        <v>79</v>
      </c>
      <c r="D436" t="s">
        <v>773</v>
      </c>
      <c r="E436" t="s">
        <v>774</v>
      </c>
      <c r="F436">
        <v>49.75</v>
      </c>
      <c r="G436">
        <v>49.3</v>
      </c>
      <c r="H436">
        <v>49.5</v>
      </c>
      <c r="I436">
        <v>47.5</v>
      </c>
      <c r="J436" s="1">
        <v>47.85</v>
      </c>
      <c r="K436">
        <v>353744.7</v>
      </c>
      <c r="L436">
        <v>7356</v>
      </c>
      <c r="M436" t="s">
        <v>78</v>
      </c>
      <c r="N436" t="s">
        <v>17</v>
      </c>
      <c r="O436">
        <v>175</v>
      </c>
      <c r="P436">
        <v>88.5</v>
      </c>
      <c r="Q436">
        <v>47.5</v>
      </c>
    </row>
    <row r="437" spans="2:17" x14ac:dyDescent="0.25">
      <c r="B437" t="s">
        <v>78</v>
      </c>
      <c r="C437" t="s">
        <v>79</v>
      </c>
      <c r="D437" t="s">
        <v>775</v>
      </c>
      <c r="E437" t="s">
        <v>776</v>
      </c>
      <c r="F437">
        <v>376.15</v>
      </c>
      <c r="G437">
        <v>376</v>
      </c>
      <c r="H437">
        <v>381.35</v>
      </c>
      <c r="I437">
        <v>369.1</v>
      </c>
      <c r="J437" s="1">
        <v>375.9</v>
      </c>
      <c r="K437">
        <v>39027138.600000001</v>
      </c>
      <c r="L437">
        <v>103466</v>
      </c>
      <c r="M437" t="s">
        <v>78</v>
      </c>
      <c r="N437" t="s">
        <v>17</v>
      </c>
      <c r="O437">
        <v>5684</v>
      </c>
      <c r="P437">
        <v>517</v>
      </c>
      <c r="Q437">
        <v>339.1</v>
      </c>
    </row>
    <row r="438" spans="2:17" x14ac:dyDescent="0.25">
      <c r="B438" t="s">
        <v>78</v>
      </c>
      <c r="C438" t="s">
        <v>79</v>
      </c>
      <c r="D438" t="s">
        <v>6779</v>
      </c>
      <c r="E438" t="s">
        <v>6778</v>
      </c>
      <c r="F438">
        <v>26</v>
      </c>
      <c r="G438">
        <v>25.35</v>
      </c>
      <c r="H438">
        <v>26.35</v>
      </c>
      <c r="I438">
        <v>25</v>
      </c>
      <c r="J438" s="1">
        <v>25.15</v>
      </c>
      <c r="K438">
        <v>3441496.4</v>
      </c>
      <c r="L438">
        <v>134999</v>
      </c>
      <c r="M438" t="s">
        <v>78</v>
      </c>
      <c r="N438" t="s">
        <v>17</v>
      </c>
      <c r="O438">
        <v>834</v>
      </c>
      <c r="P438">
        <v>32.4</v>
      </c>
      <c r="Q438">
        <v>20.9</v>
      </c>
    </row>
    <row r="439" spans="2:17" x14ac:dyDescent="0.25">
      <c r="B439" t="s">
        <v>78</v>
      </c>
      <c r="C439" t="s">
        <v>79</v>
      </c>
      <c r="D439" t="s">
        <v>777</v>
      </c>
      <c r="E439" t="s">
        <v>778</v>
      </c>
      <c r="F439">
        <v>205.3</v>
      </c>
      <c r="G439">
        <v>205</v>
      </c>
      <c r="H439">
        <v>205.5</v>
      </c>
      <c r="I439">
        <v>200.05</v>
      </c>
      <c r="J439" s="1">
        <v>200.2</v>
      </c>
      <c r="K439">
        <v>2254345.2000000002</v>
      </c>
      <c r="L439">
        <v>11176</v>
      </c>
      <c r="M439" t="s">
        <v>78</v>
      </c>
      <c r="N439" t="s">
        <v>17</v>
      </c>
      <c r="O439">
        <v>253</v>
      </c>
      <c r="P439">
        <v>290</v>
      </c>
      <c r="Q439">
        <v>161.94999999999999</v>
      </c>
    </row>
    <row r="440" spans="2:17" x14ac:dyDescent="0.25">
      <c r="B440" t="s">
        <v>78</v>
      </c>
      <c r="C440" t="s">
        <v>79</v>
      </c>
      <c r="D440" t="s">
        <v>3598</v>
      </c>
      <c r="E440" t="s">
        <v>3599</v>
      </c>
      <c r="F440">
        <v>18.100000000000001</v>
      </c>
      <c r="G440">
        <v>17.2</v>
      </c>
      <c r="H440">
        <v>17.2</v>
      </c>
      <c r="I440">
        <v>17.2</v>
      </c>
      <c r="J440" s="1">
        <v>17.2</v>
      </c>
      <c r="K440">
        <v>937073.2</v>
      </c>
      <c r="L440">
        <v>54481</v>
      </c>
      <c r="M440" t="s">
        <v>78</v>
      </c>
      <c r="N440" t="s">
        <v>17</v>
      </c>
      <c r="O440">
        <v>293</v>
      </c>
      <c r="P440">
        <v>232.35</v>
      </c>
      <c r="Q440">
        <v>17.2</v>
      </c>
    </row>
    <row r="441" spans="2:17" x14ac:dyDescent="0.25">
      <c r="B441" t="s">
        <v>78</v>
      </c>
      <c r="C441" t="s">
        <v>287</v>
      </c>
      <c r="D441" t="s">
        <v>781</v>
      </c>
      <c r="E441" t="s">
        <v>782</v>
      </c>
      <c r="F441">
        <v>73</v>
      </c>
      <c r="G441">
        <v>73.05</v>
      </c>
      <c r="H441">
        <v>73.05</v>
      </c>
      <c r="I441">
        <v>73</v>
      </c>
      <c r="J441" s="1">
        <v>73</v>
      </c>
      <c r="K441">
        <v>467360</v>
      </c>
      <c r="L441">
        <v>6400</v>
      </c>
      <c r="M441" t="s">
        <v>78</v>
      </c>
      <c r="N441" t="s">
        <v>17</v>
      </c>
      <c r="O441">
        <v>2</v>
      </c>
      <c r="P441">
        <v>174.8</v>
      </c>
      <c r="Q441">
        <v>67.5</v>
      </c>
    </row>
    <row r="442" spans="2:17" x14ac:dyDescent="0.25">
      <c r="B442" t="s">
        <v>783</v>
      </c>
      <c r="C442" t="s">
        <v>79</v>
      </c>
      <c r="D442" t="s">
        <v>784</v>
      </c>
      <c r="E442" t="s">
        <v>785</v>
      </c>
      <c r="F442">
        <v>1.75</v>
      </c>
      <c r="G442">
        <v>1.75</v>
      </c>
      <c r="H442">
        <v>1.75</v>
      </c>
      <c r="I442">
        <v>1.75</v>
      </c>
      <c r="J442" s="1">
        <v>1.75</v>
      </c>
      <c r="K442">
        <v>2187.5</v>
      </c>
      <c r="L442">
        <v>1250</v>
      </c>
      <c r="M442" t="s">
        <v>78</v>
      </c>
      <c r="N442" t="s">
        <v>17</v>
      </c>
      <c r="O442">
        <v>1</v>
      </c>
      <c r="P442">
        <v>3.05</v>
      </c>
      <c r="Q442">
        <v>1.75</v>
      </c>
    </row>
    <row r="443" spans="2:17" x14ac:dyDescent="0.25">
      <c r="B443" t="s">
        <v>78</v>
      </c>
      <c r="C443" t="s">
        <v>79</v>
      </c>
      <c r="D443" t="s">
        <v>786</v>
      </c>
      <c r="E443" t="s">
        <v>787</v>
      </c>
      <c r="F443">
        <v>527.45000000000005</v>
      </c>
      <c r="G443">
        <v>527.45000000000005</v>
      </c>
      <c r="H443">
        <v>530.35</v>
      </c>
      <c r="I443">
        <v>503</v>
      </c>
      <c r="J443" s="1">
        <v>506.65</v>
      </c>
      <c r="K443">
        <v>21748566.050000001</v>
      </c>
      <c r="L443">
        <v>41910</v>
      </c>
      <c r="M443" t="s">
        <v>78</v>
      </c>
      <c r="N443" t="s">
        <v>17</v>
      </c>
      <c r="O443">
        <v>2350</v>
      </c>
      <c r="P443">
        <v>599</v>
      </c>
      <c r="Q443">
        <v>242.05</v>
      </c>
    </row>
    <row r="444" spans="2:17" x14ac:dyDescent="0.25">
      <c r="B444" t="s">
        <v>78</v>
      </c>
      <c r="C444" t="s">
        <v>79</v>
      </c>
      <c r="D444" t="s">
        <v>788</v>
      </c>
      <c r="E444" t="s">
        <v>789</v>
      </c>
      <c r="F444">
        <v>100.05</v>
      </c>
      <c r="G444">
        <v>99.1</v>
      </c>
      <c r="H444">
        <v>99.85</v>
      </c>
      <c r="I444">
        <v>93.05</v>
      </c>
      <c r="J444" s="1">
        <v>94.65</v>
      </c>
      <c r="K444">
        <v>269463.45</v>
      </c>
      <c r="L444">
        <v>2787</v>
      </c>
      <c r="M444" t="s">
        <v>78</v>
      </c>
      <c r="N444" t="s">
        <v>17</v>
      </c>
      <c r="O444">
        <v>143</v>
      </c>
      <c r="P444">
        <v>220</v>
      </c>
      <c r="Q444">
        <v>93.05</v>
      </c>
    </row>
    <row r="445" spans="2:17" x14ac:dyDescent="0.25">
      <c r="B445" t="s">
        <v>78</v>
      </c>
      <c r="C445" t="s">
        <v>79</v>
      </c>
      <c r="D445" t="s">
        <v>790</v>
      </c>
      <c r="E445" t="s">
        <v>791</v>
      </c>
      <c r="F445">
        <v>1395.5</v>
      </c>
      <c r="G445">
        <v>1410</v>
      </c>
      <c r="H445">
        <v>1410</v>
      </c>
      <c r="I445">
        <v>1343.55</v>
      </c>
      <c r="J445" s="1">
        <v>1350.3</v>
      </c>
      <c r="K445">
        <v>227226877.69999999</v>
      </c>
      <c r="L445">
        <v>168194</v>
      </c>
      <c r="M445" t="s">
        <v>78</v>
      </c>
      <c r="N445" t="s">
        <v>17</v>
      </c>
      <c r="O445">
        <v>1175</v>
      </c>
      <c r="P445">
        <v>1825</v>
      </c>
      <c r="Q445">
        <v>1335</v>
      </c>
    </row>
    <row r="446" spans="2:17" x14ac:dyDescent="0.25">
      <c r="B446" t="s">
        <v>78</v>
      </c>
      <c r="C446" t="s">
        <v>79</v>
      </c>
      <c r="D446" t="s">
        <v>792</v>
      </c>
      <c r="E446" t="s">
        <v>793</v>
      </c>
      <c r="F446">
        <v>233.1</v>
      </c>
      <c r="G446">
        <v>233.75</v>
      </c>
      <c r="H446">
        <v>233.85</v>
      </c>
      <c r="I446">
        <v>228</v>
      </c>
      <c r="J446" s="1">
        <v>230.25</v>
      </c>
      <c r="K446">
        <v>439080013.64999998</v>
      </c>
      <c r="L446">
        <v>1907812</v>
      </c>
      <c r="M446" t="s">
        <v>78</v>
      </c>
      <c r="N446" t="s">
        <v>17</v>
      </c>
      <c r="O446">
        <v>6538</v>
      </c>
      <c r="P446">
        <v>273.2</v>
      </c>
      <c r="Q446">
        <v>190</v>
      </c>
    </row>
    <row r="447" spans="2:17" x14ac:dyDescent="0.25">
      <c r="B447" t="s">
        <v>78</v>
      </c>
      <c r="C447" t="s">
        <v>79</v>
      </c>
      <c r="D447" t="s">
        <v>796</v>
      </c>
      <c r="E447" t="s">
        <v>797</v>
      </c>
      <c r="F447">
        <v>32.799999999999997</v>
      </c>
      <c r="G447">
        <v>31.1</v>
      </c>
      <c r="H447">
        <v>34.9</v>
      </c>
      <c r="I447">
        <v>31.1</v>
      </c>
      <c r="J447" s="1">
        <v>33.200000000000003</v>
      </c>
      <c r="K447">
        <v>153921.95000000001</v>
      </c>
      <c r="L447">
        <v>4641</v>
      </c>
      <c r="M447" t="s">
        <v>78</v>
      </c>
      <c r="N447" t="s">
        <v>17</v>
      </c>
      <c r="O447">
        <v>102</v>
      </c>
      <c r="P447">
        <v>62.95</v>
      </c>
      <c r="Q447">
        <v>27.1</v>
      </c>
    </row>
    <row r="448" spans="2:17" x14ac:dyDescent="0.25">
      <c r="B448" t="s">
        <v>78</v>
      </c>
      <c r="C448" t="s">
        <v>79</v>
      </c>
      <c r="D448" t="s">
        <v>798</v>
      </c>
      <c r="E448" t="s">
        <v>799</v>
      </c>
      <c r="F448">
        <v>205.05</v>
      </c>
      <c r="G448">
        <v>205.4</v>
      </c>
      <c r="H448">
        <v>205.95</v>
      </c>
      <c r="I448">
        <v>198.5</v>
      </c>
      <c r="J448" s="1">
        <v>200.5</v>
      </c>
      <c r="K448">
        <v>140002605.25</v>
      </c>
      <c r="L448">
        <v>699593</v>
      </c>
      <c r="M448" t="s">
        <v>78</v>
      </c>
      <c r="N448" t="s">
        <v>17</v>
      </c>
      <c r="O448">
        <v>10748</v>
      </c>
      <c r="P448">
        <v>220.5</v>
      </c>
      <c r="Q448">
        <v>157.1</v>
      </c>
    </row>
    <row r="449" spans="2:17" x14ac:dyDescent="0.25">
      <c r="B449" t="s">
        <v>78</v>
      </c>
      <c r="C449" t="s">
        <v>79</v>
      </c>
      <c r="D449" t="s">
        <v>3090</v>
      </c>
      <c r="E449" t="s">
        <v>6777</v>
      </c>
      <c r="F449">
        <v>11.65</v>
      </c>
      <c r="G449">
        <v>11.65</v>
      </c>
      <c r="H449">
        <v>11.75</v>
      </c>
      <c r="I449">
        <v>11.65</v>
      </c>
      <c r="J449" s="1">
        <v>11.75</v>
      </c>
      <c r="K449">
        <v>4299</v>
      </c>
      <c r="L449">
        <v>368</v>
      </c>
      <c r="M449" t="s">
        <v>78</v>
      </c>
      <c r="N449" t="s">
        <v>17</v>
      </c>
      <c r="O449">
        <v>7</v>
      </c>
      <c r="P449">
        <v>23.5</v>
      </c>
      <c r="Q449">
        <v>9.4499999999999993</v>
      </c>
    </row>
    <row r="450" spans="2:17" x14ac:dyDescent="0.25">
      <c r="B450" t="s">
        <v>78</v>
      </c>
      <c r="C450" t="s">
        <v>79</v>
      </c>
      <c r="D450" t="s">
        <v>800</v>
      </c>
      <c r="E450" t="s">
        <v>801</v>
      </c>
      <c r="F450">
        <v>739.5</v>
      </c>
      <c r="G450">
        <v>741</v>
      </c>
      <c r="H450">
        <v>751.45</v>
      </c>
      <c r="I450">
        <v>725.75</v>
      </c>
      <c r="J450" s="1">
        <v>728.5</v>
      </c>
      <c r="K450">
        <v>246474103.15000001</v>
      </c>
      <c r="L450">
        <v>335455</v>
      </c>
      <c r="M450" t="s">
        <v>78</v>
      </c>
      <c r="N450" t="s">
        <v>17</v>
      </c>
      <c r="O450">
        <v>11651</v>
      </c>
      <c r="P450">
        <v>884.2</v>
      </c>
      <c r="Q450">
        <v>613.20000000000005</v>
      </c>
    </row>
    <row r="451" spans="2:17" x14ac:dyDescent="0.25">
      <c r="B451" t="s">
        <v>78</v>
      </c>
      <c r="C451" t="s">
        <v>79</v>
      </c>
      <c r="D451" t="s">
        <v>802</v>
      </c>
      <c r="E451" t="s">
        <v>803</v>
      </c>
      <c r="F451">
        <v>107</v>
      </c>
      <c r="G451">
        <v>110</v>
      </c>
      <c r="H451">
        <v>110</v>
      </c>
      <c r="I451">
        <v>104</v>
      </c>
      <c r="J451" s="1">
        <v>104.8</v>
      </c>
      <c r="K451">
        <v>1829595.15</v>
      </c>
      <c r="L451">
        <v>17313</v>
      </c>
      <c r="M451" t="s">
        <v>78</v>
      </c>
      <c r="N451" t="s">
        <v>17</v>
      </c>
      <c r="O451">
        <v>476</v>
      </c>
      <c r="P451">
        <v>253.25</v>
      </c>
      <c r="Q451">
        <v>104</v>
      </c>
    </row>
    <row r="452" spans="2:17" x14ac:dyDescent="0.25">
      <c r="B452" t="s">
        <v>78</v>
      </c>
      <c r="C452" t="s">
        <v>79</v>
      </c>
      <c r="D452" t="s">
        <v>806</v>
      </c>
      <c r="E452" t="s">
        <v>807</v>
      </c>
      <c r="F452">
        <v>49.45</v>
      </c>
      <c r="G452">
        <v>50</v>
      </c>
      <c r="H452">
        <v>50.7</v>
      </c>
      <c r="I452">
        <v>45.8</v>
      </c>
      <c r="J452" s="1">
        <v>46.25</v>
      </c>
      <c r="K452">
        <v>1065952.45</v>
      </c>
      <c r="L452">
        <v>22656</v>
      </c>
      <c r="M452" t="s">
        <v>78</v>
      </c>
      <c r="N452" t="s">
        <v>17</v>
      </c>
      <c r="O452">
        <v>408</v>
      </c>
      <c r="P452">
        <v>63.5</v>
      </c>
      <c r="Q452">
        <v>33.049999999999997</v>
      </c>
    </row>
    <row r="453" spans="2:17" x14ac:dyDescent="0.25">
      <c r="B453" t="s">
        <v>78</v>
      </c>
      <c r="C453" t="s">
        <v>79</v>
      </c>
      <c r="D453" t="s">
        <v>808</v>
      </c>
      <c r="E453" t="s">
        <v>809</v>
      </c>
      <c r="F453">
        <v>543.5</v>
      </c>
      <c r="G453">
        <v>520</v>
      </c>
      <c r="H453">
        <v>520</v>
      </c>
      <c r="I453">
        <v>468</v>
      </c>
      <c r="J453" s="1">
        <v>483.2</v>
      </c>
      <c r="K453">
        <v>1134124893.7</v>
      </c>
      <c r="L453">
        <v>2346336</v>
      </c>
      <c r="M453" t="s">
        <v>78</v>
      </c>
      <c r="N453" t="s">
        <v>17</v>
      </c>
      <c r="O453">
        <v>56378</v>
      </c>
      <c r="P453">
        <v>819.5</v>
      </c>
      <c r="Q453">
        <v>468</v>
      </c>
    </row>
    <row r="454" spans="2:17" x14ac:dyDescent="0.25">
      <c r="B454" t="s">
        <v>78</v>
      </c>
      <c r="C454" t="s">
        <v>79</v>
      </c>
      <c r="D454" t="s">
        <v>810</v>
      </c>
      <c r="E454" t="s">
        <v>811</v>
      </c>
      <c r="F454">
        <v>20.25</v>
      </c>
      <c r="G454">
        <v>20.399999999999999</v>
      </c>
      <c r="H454">
        <v>20.9</v>
      </c>
      <c r="I454">
        <v>19.8</v>
      </c>
      <c r="J454" s="1">
        <v>19.899999999999999</v>
      </c>
      <c r="K454">
        <v>7060757.4000000004</v>
      </c>
      <c r="L454">
        <v>350454</v>
      </c>
      <c r="M454" t="s">
        <v>78</v>
      </c>
      <c r="N454" t="s">
        <v>17</v>
      </c>
      <c r="O454">
        <v>2573</v>
      </c>
      <c r="P454">
        <v>68</v>
      </c>
      <c r="Q454">
        <v>19.25</v>
      </c>
    </row>
    <row r="455" spans="2:17" x14ac:dyDescent="0.25">
      <c r="B455" t="s">
        <v>78</v>
      </c>
      <c r="C455" t="s">
        <v>79</v>
      </c>
      <c r="D455" t="s">
        <v>812</v>
      </c>
      <c r="E455" t="s">
        <v>813</v>
      </c>
      <c r="F455">
        <v>997.1</v>
      </c>
      <c r="G455">
        <v>995</v>
      </c>
      <c r="H455">
        <v>1026.5999999999999</v>
      </c>
      <c r="I455">
        <v>986</v>
      </c>
      <c r="J455" s="1">
        <v>1004.1</v>
      </c>
      <c r="K455">
        <v>29090293.399999999</v>
      </c>
      <c r="L455">
        <v>28786</v>
      </c>
      <c r="M455" t="s">
        <v>78</v>
      </c>
      <c r="N455" t="s">
        <v>17</v>
      </c>
      <c r="O455">
        <v>2501</v>
      </c>
      <c r="P455">
        <v>1219.9000000000001</v>
      </c>
      <c r="Q455">
        <v>860</v>
      </c>
    </row>
    <row r="456" spans="2:17" x14ac:dyDescent="0.25">
      <c r="B456" t="s">
        <v>78</v>
      </c>
      <c r="C456" t="s">
        <v>79</v>
      </c>
      <c r="D456" t="s">
        <v>814</v>
      </c>
      <c r="E456" t="s">
        <v>815</v>
      </c>
      <c r="F456">
        <v>99.1</v>
      </c>
      <c r="G456">
        <v>100.25</v>
      </c>
      <c r="H456">
        <v>100.45</v>
      </c>
      <c r="I456">
        <v>97.85</v>
      </c>
      <c r="J456" s="1">
        <v>98.25</v>
      </c>
      <c r="K456">
        <v>8679805.0500000007</v>
      </c>
      <c r="L456">
        <v>87962</v>
      </c>
      <c r="M456" t="s">
        <v>78</v>
      </c>
      <c r="N456" t="s">
        <v>17</v>
      </c>
      <c r="O456">
        <v>1066</v>
      </c>
      <c r="P456">
        <v>135.5</v>
      </c>
      <c r="Q456">
        <v>48</v>
      </c>
    </row>
    <row r="457" spans="2:17" x14ac:dyDescent="0.25">
      <c r="B457" t="s">
        <v>78</v>
      </c>
      <c r="C457" t="s">
        <v>79</v>
      </c>
      <c r="D457" t="s">
        <v>816</v>
      </c>
      <c r="E457" t="s">
        <v>817</v>
      </c>
      <c r="F457">
        <v>31.8</v>
      </c>
      <c r="G457">
        <v>31.05</v>
      </c>
      <c r="H457">
        <v>33</v>
      </c>
      <c r="I457">
        <v>30.3</v>
      </c>
      <c r="J457" s="1">
        <v>30.5</v>
      </c>
      <c r="K457">
        <v>212836.05</v>
      </c>
      <c r="L457">
        <v>6877</v>
      </c>
      <c r="M457" t="s">
        <v>78</v>
      </c>
      <c r="N457" t="s">
        <v>17</v>
      </c>
      <c r="O457">
        <v>106</v>
      </c>
      <c r="P457">
        <v>115.6</v>
      </c>
      <c r="Q457">
        <v>30.2</v>
      </c>
    </row>
    <row r="458" spans="2:17" x14ac:dyDescent="0.25">
      <c r="B458" t="s">
        <v>78</v>
      </c>
      <c r="C458" t="s">
        <v>287</v>
      </c>
      <c r="D458" t="s">
        <v>3094</v>
      </c>
      <c r="E458" t="s">
        <v>3095</v>
      </c>
      <c r="F458">
        <v>152.5</v>
      </c>
      <c r="G458">
        <v>148</v>
      </c>
      <c r="H458">
        <v>148</v>
      </c>
      <c r="I458">
        <v>148</v>
      </c>
      <c r="J458" s="1">
        <v>148</v>
      </c>
      <c r="K458">
        <v>118400</v>
      </c>
      <c r="L458">
        <v>800</v>
      </c>
      <c r="M458" t="s">
        <v>78</v>
      </c>
      <c r="N458" t="s">
        <v>17</v>
      </c>
      <c r="O458">
        <v>1</v>
      </c>
      <c r="P458">
        <v>226</v>
      </c>
      <c r="Q458">
        <v>89.5</v>
      </c>
    </row>
    <row r="459" spans="2:17" x14ac:dyDescent="0.25">
      <c r="B459" t="s">
        <v>78</v>
      </c>
      <c r="C459" t="s">
        <v>79</v>
      </c>
      <c r="D459" t="s">
        <v>818</v>
      </c>
      <c r="E459" t="s">
        <v>819</v>
      </c>
      <c r="F459">
        <v>83.8</v>
      </c>
      <c r="G459">
        <v>83.5</v>
      </c>
      <c r="H459">
        <v>83.5</v>
      </c>
      <c r="I459">
        <v>78.5</v>
      </c>
      <c r="J459" s="1">
        <v>79.75</v>
      </c>
      <c r="K459">
        <v>7647926.3499999996</v>
      </c>
      <c r="L459">
        <v>95748</v>
      </c>
      <c r="M459" t="s">
        <v>78</v>
      </c>
      <c r="N459" t="s">
        <v>17</v>
      </c>
      <c r="O459">
        <v>1296</v>
      </c>
      <c r="P459">
        <v>154.55000000000001</v>
      </c>
      <c r="Q459">
        <v>78.5</v>
      </c>
    </row>
    <row r="460" spans="2:17" x14ac:dyDescent="0.25">
      <c r="B460" t="s">
        <v>78</v>
      </c>
      <c r="C460" t="s">
        <v>79</v>
      </c>
      <c r="D460" t="s">
        <v>820</v>
      </c>
      <c r="E460" t="s">
        <v>821</v>
      </c>
      <c r="F460">
        <v>176.3</v>
      </c>
      <c r="G460">
        <v>180</v>
      </c>
      <c r="H460">
        <v>182.05</v>
      </c>
      <c r="I460">
        <v>157.55000000000001</v>
      </c>
      <c r="J460" s="1">
        <v>165.95</v>
      </c>
      <c r="K460">
        <v>110526179.75</v>
      </c>
      <c r="L460">
        <v>683305</v>
      </c>
      <c r="M460" t="s">
        <v>78</v>
      </c>
      <c r="N460" t="s">
        <v>17</v>
      </c>
      <c r="O460">
        <v>4913</v>
      </c>
      <c r="P460">
        <v>284</v>
      </c>
      <c r="Q460">
        <v>156.15</v>
      </c>
    </row>
    <row r="461" spans="2:17" x14ac:dyDescent="0.25">
      <c r="B461" t="s">
        <v>78</v>
      </c>
      <c r="C461" t="s">
        <v>79</v>
      </c>
      <c r="D461" t="s">
        <v>822</v>
      </c>
      <c r="E461" t="s">
        <v>823</v>
      </c>
      <c r="F461">
        <v>412.15</v>
      </c>
      <c r="G461">
        <v>412</v>
      </c>
      <c r="H461">
        <v>418.05</v>
      </c>
      <c r="I461">
        <v>403</v>
      </c>
      <c r="J461" s="1">
        <v>407.1</v>
      </c>
      <c r="K461">
        <v>70251768.150000006</v>
      </c>
      <c r="L461">
        <v>171866</v>
      </c>
      <c r="M461" t="s">
        <v>78</v>
      </c>
      <c r="N461" t="s">
        <v>17</v>
      </c>
      <c r="O461">
        <v>6168</v>
      </c>
      <c r="P461">
        <v>917.4</v>
      </c>
      <c r="Q461">
        <v>312.25</v>
      </c>
    </row>
    <row r="462" spans="2:17" x14ac:dyDescent="0.25">
      <c r="B462" t="s">
        <v>78</v>
      </c>
      <c r="C462" t="s">
        <v>79</v>
      </c>
      <c r="D462" t="s">
        <v>824</v>
      </c>
      <c r="E462" t="s">
        <v>825</v>
      </c>
      <c r="F462">
        <v>10.050000000000001</v>
      </c>
      <c r="G462">
        <v>10.5</v>
      </c>
      <c r="H462">
        <v>10.5</v>
      </c>
      <c r="I462">
        <v>9.8000000000000007</v>
      </c>
      <c r="J462" s="1">
        <v>10</v>
      </c>
      <c r="K462">
        <v>2235035.9500000002</v>
      </c>
      <c r="L462">
        <v>221295</v>
      </c>
      <c r="M462" t="s">
        <v>78</v>
      </c>
      <c r="N462" t="s">
        <v>17</v>
      </c>
      <c r="O462">
        <v>1308</v>
      </c>
      <c r="P462">
        <v>37.6</v>
      </c>
      <c r="Q462">
        <v>9.6999999999999993</v>
      </c>
    </row>
    <row r="463" spans="2:17" x14ac:dyDescent="0.25">
      <c r="B463" t="s">
        <v>78</v>
      </c>
      <c r="C463" t="s">
        <v>79</v>
      </c>
      <c r="D463" t="s">
        <v>826</v>
      </c>
      <c r="E463" t="s">
        <v>827</v>
      </c>
      <c r="F463">
        <v>214.85</v>
      </c>
      <c r="G463">
        <v>215.9</v>
      </c>
      <c r="H463">
        <v>216.4</v>
      </c>
      <c r="I463">
        <v>205</v>
      </c>
      <c r="J463" s="1">
        <v>207.25</v>
      </c>
      <c r="K463">
        <v>10458040.4</v>
      </c>
      <c r="L463">
        <v>49735</v>
      </c>
      <c r="M463" t="s">
        <v>78</v>
      </c>
      <c r="N463" t="s">
        <v>17</v>
      </c>
      <c r="O463">
        <v>1632</v>
      </c>
      <c r="P463">
        <v>314.8</v>
      </c>
      <c r="Q463">
        <v>180.1</v>
      </c>
    </row>
    <row r="464" spans="2:17" x14ac:dyDescent="0.25">
      <c r="B464" t="s">
        <v>78</v>
      </c>
      <c r="C464" t="s">
        <v>79</v>
      </c>
      <c r="D464" t="s">
        <v>828</v>
      </c>
      <c r="E464" t="s">
        <v>829</v>
      </c>
      <c r="F464">
        <v>201.5</v>
      </c>
      <c r="G464">
        <v>200</v>
      </c>
      <c r="H464">
        <v>201.5</v>
      </c>
      <c r="I464">
        <v>192.6</v>
      </c>
      <c r="J464" s="1">
        <v>193.75</v>
      </c>
      <c r="K464">
        <v>501145126.30000001</v>
      </c>
      <c r="L464">
        <v>2545307</v>
      </c>
      <c r="M464" t="s">
        <v>78</v>
      </c>
      <c r="N464" t="s">
        <v>17</v>
      </c>
      <c r="O464">
        <v>28621</v>
      </c>
      <c r="P464">
        <v>244.65</v>
      </c>
      <c r="Q464">
        <v>139.85</v>
      </c>
    </row>
    <row r="465" spans="2:17" x14ac:dyDescent="0.25">
      <c r="B465" t="s">
        <v>78</v>
      </c>
      <c r="C465" t="s">
        <v>79</v>
      </c>
      <c r="D465" t="s">
        <v>3098</v>
      </c>
      <c r="E465" t="s">
        <v>6175</v>
      </c>
      <c r="F465">
        <v>26.6</v>
      </c>
      <c r="G465">
        <v>26</v>
      </c>
      <c r="H465">
        <v>26.5</v>
      </c>
      <c r="I465">
        <v>24.05</v>
      </c>
      <c r="J465" s="1">
        <v>25.95</v>
      </c>
      <c r="K465">
        <v>612904.85</v>
      </c>
      <c r="L465">
        <v>23828</v>
      </c>
      <c r="M465" t="s">
        <v>78</v>
      </c>
      <c r="N465" t="s">
        <v>17</v>
      </c>
      <c r="O465">
        <v>292</v>
      </c>
      <c r="P465">
        <v>107</v>
      </c>
      <c r="Q465">
        <v>24.05</v>
      </c>
    </row>
    <row r="466" spans="2:17" x14ac:dyDescent="0.25">
      <c r="B466" t="s">
        <v>78</v>
      </c>
      <c r="C466" t="s">
        <v>79</v>
      </c>
      <c r="D466" t="s">
        <v>836</v>
      </c>
      <c r="E466" t="s">
        <v>837</v>
      </c>
      <c r="F466">
        <v>504.1</v>
      </c>
      <c r="G466">
        <v>504</v>
      </c>
      <c r="H466">
        <v>516.9</v>
      </c>
      <c r="I466">
        <v>496.25</v>
      </c>
      <c r="J466" s="1">
        <v>504</v>
      </c>
      <c r="K466">
        <v>54773848.5</v>
      </c>
      <c r="L466">
        <v>108424</v>
      </c>
      <c r="M466" t="s">
        <v>78</v>
      </c>
      <c r="N466" t="s">
        <v>17</v>
      </c>
      <c r="O466">
        <v>12828</v>
      </c>
      <c r="P466">
        <v>638.5</v>
      </c>
      <c r="Q466">
        <v>275</v>
      </c>
    </row>
    <row r="467" spans="2:17" x14ac:dyDescent="0.25">
      <c r="B467" t="s">
        <v>78</v>
      </c>
      <c r="C467" t="s">
        <v>79</v>
      </c>
      <c r="D467" t="s">
        <v>838</v>
      </c>
      <c r="E467" t="s">
        <v>839</v>
      </c>
      <c r="F467">
        <v>15.9</v>
      </c>
      <c r="G467">
        <v>16</v>
      </c>
      <c r="H467">
        <v>16</v>
      </c>
      <c r="I467">
        <v>15.05</v>
      </c>
      <c r="J467" s="1">
        <v>15.3</v>
      </c>
      <c r="K467">
        <v>3213630.65</v>
      </c>
      <c r="L467">
        <v>209780</v>
      </c>
      <c r="M467" t="s">
        <v>78</v>
      </c>
      <c r="N467" t="s">
        <v>17</v>
      </c>
      <c r="O467">
        <v>628</v>
      </c>
      <c r="P467">
        <v>29.2</v>
      </c>
      <c r="Q467">
        <v>13.1</v>
      </c>
    </row>
    <row r="468" spans="2:17" x14ac:dyDescent="0.25">
      <c r="B468" t="s">
        <v>78</v>
      </c>
      <c r="C468" t="s">
        <v>79</v>
      </c>
      <c r="D468" t="s">
        <v>840</v>
      </c>
      <c r="E468" t="s">
        <v>841</v>
      </c>
      <c r="F468">
        <v>370.15</v>
      </c>
      <c r="G468">
        <v>363</v>
      </c>
      <c r="H468">
        <v>388</v>
      </c>
      <c r="I468">
        <v>363</v>
      </c>
      <c r="J468" s="1">
        <v>370.3</v>
      </c>
      <c r="K468">
        <v>1448136.5</v>
      </c>
      <c r="L468">
        <v>3896</v>
      </c>
      <c r="M468" t="s">
        <v>78</v>
      </c>
      <c r="N468" t="s">
        <v>17</v>
      </c>
      <c r="O468">
        <v>400</v>
      </c>
      <c r="P468">
        <v>489.5</v>
      </c>
      <c r="Q468">
        <v>336</v>
      </c>
    </row>
    <row r="469" spans="2:17" x14ac:dyDescent="0.25">
      <c r="B469" t="s">
        <v>78</v>
      </c>
      <c r="C469" t="s">
        <v>79</v>
      </c>
      <c r="D469" t="s">
        <v>3100</v>
      </c>
      <c r="E469" t="s">
        <v>6168</v>
      </c>
      <c r="F469">
        <v>91.6</v>
      </c>
      <c r="G469">
        <v>90.85</v>
      </c>
      <c r="H469">
        <v>91.6</v>
      </c>
      <c r="I469">
        <v>86</v>
      </c>
      <c r="J469" s="1">
        <v>88.35</v>
      </c>
      <c r="K469">
        <v>33683901.350000001</v>
      </c>
      <c r="L469">
        <v>381050</v>
      </c>
      <c r="M469" t="s">
        <v>78</v>
      </c>
      <c r="N469" t="s">
        <v>17</v>
      </c>
      <c r="O469">
        <v>3689</v>
      </c>
      <c r="P469">
        <v>289</v>
      </c>
      <c r="Q469">
        <v>86</v>
      </c>
    </row>
    <row r="470" spans="2:17" x14ac:dyDescent="0.25">
      <c r="B470" t="s">
        <v>78</v>
      </c>
      <c r="C470" t="s">
        <v>79</v>
      </c>
      <c r="D470" t="s">
        <v>842</v>
      </c>
      <c r="E470" t="s">
        <v>843</v>
      </c>
      <c r="F470">
        <v>309.05</v>
      </c>
      <c r="G470">
        <v>309.05</v>
      </c>
      <c r="H470">
        <v>309.89999999999998</v>
      </c>
      <c r="I470">
        <v>300.5</v>
      </c>
      <c r="J470" s="1">
        <v>302.7</v>
      </c>
      <c r="K470">
        <v>60875182.950000003</v>
      </c>
      <c r="L470">
        <v>199497</v>
      </c>
      <c r="M470" t="s">
        <v>78</v>
      </c>
      <c r="N470" t="s">
        <v>17</v>
      </c>
      <c r="O470">
        <v>14055</v>
      </c>
      <c r="P470">
        <v>337.95</v>
      </c>
      <c r="Q470">
        <v>205.05</v>
      </c>
    </row>
    <row r="471" spans="2:17" x14ac:dyDescent="0.25">
      <c r="B471" t="s">
        <v>78</v>
      </c>
      <c r="C471" t="s">
        <v>79</v>
      </c>
      <c r="D471" t="s">
        <v>6776</v>
      </c>
      <c r="E471" t="s">
        <v>6775</v>
      </c>
      <c r="F471">
        <v>127.3</v>
      </c>
      <c r="G471">
        <v>127.1</v>
      </c>
      <c r="H471">
        <v>128.5</v>
      </c>
      <c r="I471">
        <v>117.2</v>
      </c>
      <c r="J471" s="1">
        <v>119.45</v>
      </c>
      <c r="K471">
        <v>2823012.4</v>
      </c>
      <c r="L471">
        <v>23399</v>
      </c>
      <c r="M471" t="s">
        <v>78</v>
      </c>
      <c r="N471" t="s">
        <v>17</v>
      </c>
      <c r="O471">
        <v>825</v>
      </c>
      <c r="P471">
        <v>176.15</v>
      </c>
      <c r="Q471">
        <v>84</v>
      </c>
    </row>
    <row r="472" spans="2:17" x14ac:dyDescent="0.25">
      <c r="B472" t="s">
        <v>78</v>
      </c>
      <c r="C472" t="s">
        <v>79</v>
      </c>
      <c r="D472" t="s">
        <v>848</v>
      </c>
      <c r="E472" t="s">
        <v>849</v>
      </c>
      <c r="F472">
        <v>159.30000000000001</v>
      </c>
      <c r="G472">
        <v>160.69999999999999</v>
      </c>
      <c r="H472">
        <v>160.69999999999999</v>
      </c>
      <c r="I472">
        <v>155</v>
      </c>
      <c r="J472" s="1">
        <v>156.44999999999999</v>
      </c>
      <c r="K472">
        <v>244841777.59999999</v>
      </c>
      <c r="L472">
        <v>1548661</v>
      </c>
      <c r="M472" t="s">
        <v>78</v>
      </c>
      <c r="N472" t="s">
        <v>17</v>
      </c>
      <c r="O472">
        <v>22766</v>
      </c>
      <c r="P472">
        <v>282</v>
      </c>
      <c r="Q472">
        <v>155</v>
      </c>
    </row>
    <row r="473" spans="2:17" x14ac:dyDescent="0.25">
      <c r="B473" t="s">
        <v>78</v>
      </c>
      <c r="C473" t="s">
        <v>79</v>
      </c>
      <c r="D473" t="s">
        <v>3102</v>
      </c>
      <c r="E473" t="s">
        <v>6774</v>
      </c>
      <c r="F473">
        <v>41</v>
      </c>
      <c r="G473">
        <v>41.95</v>
      </c>
      <c r="H473">
        <v>41.95</v>
      </c>
      <c r="I473">
        <v>39.1</v>
      </c>
      <c r="J473" s="1">
        <v>41.75</v>
      </c>
      <c r="K473">
        <v>8817.15</v>
      </c>
      <c r="L473">
        <v>214</v>
      </c>
      <c r="M473" t="s">
        <v>78</v>
      </c>
      <c r="N473" t="s">
        <v>17</v>
      </c>
      <c r="O473">
        <v>24</v>
      </c>
      <c r="P473">
        <v>139.80000000000001</v>
      </c>
      <c r="Q473">
        <v>38.15</v>
      </c>
    </row>
    <row r="474" spans="2:17" x14ac:dyDescent="0.25">
      <c r="B474" t="s">
        <v>78</v>
      </c>
      <c r="C474" t="s">
        <v>79</v>
      </c>
      <c r="D474" t="s">
        <v>850</v>
      </c>
      <c r="E474" t="s">
        <v>851</v>
      </c>
      <c r="F474">
        <v>54.75</v>
      </c>
      <c r="G474">
        <v>55.8</v>
      </c>
      <c r="H474">
        <v>55.8</v>
      </c>
      <c r="I474">
        <v>49.1</v>
      </c>
      <c r="J474" s="1">
        <v>50.6</v>
      </c>
      <c r="K474">
        <v>6043192.5999999996</v>
      </c>
      <c r="L474">
        <v>116595</v>
      </c>
      <c r="M474" t="s">
        <v>78</v>
      </c>
      <c r="N474" t="s">
        <v>17</v>
      </c>
      <c r="O474">
        <v>1590</v>
      </c>
      <c r="P474">
        <v>82.75</v>
      </c>
      <c r="Q474">
        <v>45.25</v>
      </c>
    </row>
    <row r="475" spans="2:17" x14ac:dyDescent="0.25">
      <c r="B475" t="s">
        <v>78</v>
      </c>
      <c r="C475" t="s">
        <v>79</v>
      </c>
      <c r="D475" t="s">
        <v>852</v>
      </c>
      <c r="E475" t="s">
        <v>853</v>
      </c>
      <c r="F475">
        <v>232.85</v>
      </c>
      <c r="G475">
        <v>228.05</v>
      </c>
      <c r="H475">
        <v>238.85</v>
      </c>
      <c r="I475">
        <v>219.05</v>
      </c>
      <c r="J475" s="1">
        <v>223.95</v>
      </c>
      <c r="K475">
        <v>1147947.05</v>
      </c>
      <c r="L475">
        <v>5091</v>
      </c>
      <c r="M475" t="s">
        <v>78</v>
      </c>
      <c r="N475" t="s">
        <v>17</v>
      </c>
      <c r="O475">
        <v>251</v>
      </c>
      <c r="P475">
        <v>360</v>
      </c>
      <c r="Q475">
        <v>213</v>
      </c>
    </row>
    <row r="476" spans="2:17" x14ac:dyDescent="0.25">
      <c r="B476" t="s">
        <v>78</v>
      </c>
      <c r="C476" t="s">
        <v>287</v>
      </c>
      <c r="D476" t="s">
        <v>6157</v>
      </c>
      <c r="E476" t="s">
        <v>6156</v>
      </c>
      <c r="F476">
        <v>85</v>
      </c>
      <c r="G476">
        <v>80</v>
      </c>
      <c r="H476">
        <v>80</v>
      </c>
      <c r="I476">
        <v>80</v>
      </c>
      <c r="J476" s="1">
        <v>80</v>
      </c>
      <c r="K476">
        <v>120000</v>
      </c>
      <c r="L476">
        <v>1500</v>
      </c>
      <c r="M476" t="s">
        <v>78</v>
      </c>
      <c r="N476" t="s">
        <v>17</v>
      </c>
      <c r="O476">
        <v>1</v>
      </c>
      <c r="P476">
        <v>100</v>
      </c>
      <c r="Q476">
        <v>58.8</v>
      </c>
    </row>
    <row r="477" spans="2:17" x14ac:dyDescent="0.25">
      <c r="B477" t="s">
        <v>78</v>
      </c>
      <c r="C477" t="s">
        <v>79</v>
      </c>
      <c r="D477" t="s">
        <v>854</v>
      </c>
      <c r="E477" t="s">
        <v>855</v>
      </c>
      <c r="F477">
        <v>271.64999999999998</v>
      </c>
      <c r="G477">
        <v>271.64999999999998</v>
      </c>
      <c r="H477">
        <v>274</v>
      </c>
      <c r="I477">
        <v>255.6</v>
      </c>
      <c r="J477" s="1">
        <v>267.55</v>
      </c>
      <c r="K477">
        <v>27229380.949999999</v>
      </c>
      <c r="L477">
        <v>102728</v>
      </c>
      <c r="M477" t="s">
        <v>78</v>
      </c>
      <c r="N477" t="s">
        <v>17</v>
      </c>
      <c r="O477">
        <v>3115</v>
      </c>
      <c r="P477">
        <v>1397.7</v>
      </c>
      <c r="Q477">
        <v>178.85</v>
      </c>
    </row>
    <row r="478" spans="2:17" x14ac:dyDescent="0.25">
      <c r="B478" t="s">
        <v>78</v>
      </c>
      <c r="C478" t="s">
        <v>79</v>
      </c>
      <c r="D478" t="s">
        <v>3104</v>
      </c>
      <c r="E478" t="s">
        <v>3105</v>
      </c>
      <c r="F478">
        <v>12.3</v>
      </c>
      <c r="G478">
        <v>12.5</v>
      </c>
      <c r="H478">
        <v>12.5</v>
      </c>
      <c r="I478">
        <v>10.85</v>
      </c>
      <c r="J478" s="1">
        <v>11.35</v>
      </c>
      <c r="K478">
        <v>684568.15</v>
      </c>
      <c r="L478">
        <v>59928</v>
      </c>
      <c r="M478" t="s">
        <v>78</v>
      </c>
      <c r="N478" t="s">
        <v>17</v>
      </c>
      <c r="O478">
        <v>120</v>
      </c>
      <c r="P478">
        <v>14.2</v>
      </c>
      <c r="Q478">
        <v>10.6</v>
      </c>
    </row>
    <row r="479" spans="2:17" x14ac:dyDescent="0.25">
      <c r="B479" t="s">
        <v>78</v>
      </c>
      <c r="C479" t="s">
        <v>79</v>
      </c>
      <c r="D479" t="s">
        <v>856</v>
      </c>
      <c r="E479" t="s">
        <v>857</v>
      </c>
      <c r="F479">
        <v>181.95</v>
      </c>
      <c r="G479">
        <v>183.45</v>
      </c>
      <c r="H479">
        <v>183.55</v>
      </c>
      <c r="I479">
        <v>171.3</v>
      </c>
      <c r="J479" s="1">
        <v>173.4</v>
      </c>
      <c r="K479">
        <v>87041288.75</v>
      </c>
      <c r="L479">
        <v>491019</v>
      </c>
      <c r="M479" t="s">
        <v>78</v>
      </c>
      <c r="N479" t="s">
        <v>17</v>
      </c>
      <c r="O479">
        <v>8130</v>
      </c>
      <c r="P479">
        <v>252.75</v>
      </c>
      <c r="Q479">
        <v>71.7</v>
      </c>
    </row>
    <row r="480" spans="2:17" x14ac:dyDescent="0.25">
      <c r="B480" t="s">
        <v>78</v>
      </c>
      <c r="C480" t="s">
        <v>79</v>
      </c>
      <c r="D480" t="s">
        <v>858</v>
      </c>
      <c r="E480" t="s">
        <v>859</v>
      </c>
      <c r="F480">
        <v>16.7</v>
      </c>
      <c r="G480">
        <v>16.3</v>
      </c>
      <c r="H480">
        <v>16.8</v>
      </c>
      <c r="I480">
        <v>15.8</v>
      </c>
      <c r="J480" s="1">
        <v>16.05</v>
      </c>
      <c r="K480">
        <v>9014607</v>
      </c>
      <c r="L480">
        <v>556814</v>
      </c>
      <c r="M480" t="s">
        <v>78</v>
      </c>
      <c r="N480" t="s">
        <v>17</v>
      </c>
      <c r="O480">
        <v>1485</v>
      </c>
      <c r="P480">
        <v>21.2</v>
      </c>
      <c r="Q480">
        <v>10.7</v>
      </c>
    </row>
    <row r="481" spans="2:17" x14ac:dyDescent="0.25">
      <c r="B481" t="s">
        <v>78</v>
      </c>
      <c r="C481" t="s">
        <v>79</v>
      </c>
      <c r="D481" t="s">
        <v>865</v>
      </c>
      <c r="E481" t="s">
        <v>866</v>
      </c>
      <c r="F481">
        <v>395.9</v>
      </c>
      <c r="G481">
        <v>397</v>
      </c>
      <c r="H481">
        <v>408.75</v>
      </c>
      <c r="I481">
        <v>382</v>
      </c>
      <c r="J481" s="1">
        <v>387.95</v>
      </c>
      <c r="K481">
        <v>18738988.649999999</v>
      </c>
      <c r="L481">
        <v>47817</v>
      </c>
      <c r="M481" t="s">
        <v>78</v>
      </c>
      <c r="N481" t="s">
        <v>17</v>
      </c>
      <c r="O481">
        <v>2804</v>
      </c>
      <c r="P481">
        <v>620</v>
      </c>
      <c r="Q481">
        <v>351.25</v>
      </c>
    </row>
    <row r="482" spans="2:17" x14ac:dyDescent="0.25">
      <c r="B482" t="s">
        <v>78</v>
      </c>
      <c r="C482" t="s">
        <v>79</v>
      </c>
      <c r="D482" t="s">
        <v>867</v>
      </c>
      <c r="E482" t="s">
        <v>868</v>
      </c>
      <c r="F482">
        <v>8.35</v>
      </c>
      <c r="G482">
        <v>8.4499999999999993</v>
      </c>
      <c r="H482">
        <v>8.6</v>
      </c>
      <c r="I482">
        <v>7.75</v>
      </c>
      <c r="J482" s="1">
        <v>8.0500000000000007</v>
      </c>
      <c r="K482">
        <v>83301.05</v>
      </c>
      <c r="L482">
        <v>10366</v>
      </c>
      <c r="M482" t="s">
        <v>78</v>
      </c>
      <c r="N482" t="s">
        <v>17</v>
      </c>
      <c r="O482">
        <v>107</v>
      </c>
      <c r="P482">
        <v>18.55</v>
      </c>
      <c r="Q482">
        <v>7.7</v>
      </c>
    </row>
    <row r="483" spans="2:17" x14ac:dyDescent="0.25">
      <c r="B483" t="s">
        <v>78</v>
      </c>
      <c r="C483" t="s">
        <v>79</v>
      </c>
      <c r="D483" t="s">
        <v>3824</v>
      </c>
      <c r="E483" t="s">
        <v>6773</v>
      </c>
      <c r="F483">
        <v>56.25</v>
      </c>
      <c r="G483">
        <v>56.2</v>
      </c>
      <c r="H483">
        <v>56.5</v>
      </c>
      <c r="I483">
        <v>51.35</v>
      </c>
      <c r="J483" s="1">
        <v>53.55</v>
      </c>
      <c r="K483">
        <v>1869832217.0999999</v>
      </c>
      <c r="L483">
        <v>34724014</v>
      </c>
      <c r="M483" t="s">
        <v>78</v>
      </c>
      <c r="N483" t="s">
        <v>17</v>
      </c>
      <c r="O483">
        <v>124963</v>
      </c>
      <c r="P483">
        <v>691.5</v>
      </c>
      <c r="Q483">
        <v>44.5</v>
      </c>
    </row>
    <row r="484" spans="2:17" x14ac:dyDescent="0.25">
      <c r="B484" t="s">
        <v>78</v>
      </c>
      <c r="C484" t="s">
        <v>79</v>
      </c>
      <c r="D484" t="s">
        <v>869</v>
      </c>
      <c r="E484" t="s">
        <v>870</v>
      </c>
      <c r="F484">
        <v>207.35</v>
      </c>
      <c r="G484">
        <v>206</v>
      </c>
      <c r="H484">
        <v>212.8</v>
      </c>
      <c r="I484">
        <v>206</v>
      </c>
      <c r="J484" s="1">
        <v>207.8</v>
      </c>
      <c r="K484">
        <v>228679.35</v>
      </c>
      <c r="L484">
        <v>1097</v>
      </c>
      <c r="M484" t="s">
        <v>78</v>
      </c>
      <c r="N484" t="s">
        <v>17</v>
      </c>
      <c r="O484">
        <v>173</v>
      </c>
      <c r="P484">
        <v>414</v>
      </c>
      <c r="Q484">
        <v>205</v>
      </c>
    </row>
    <row r="485" spans="2:17" x14ac:dyDescent="0.25">
      <c r="B485" t="s">
        <v>78</v>
      </c>
      <c r="C485" t="s">
        <v>79</v>
      </c>
      <c r="D485" t="s">
        <v>871</v>
      </c>
      <c r="E485" t="s">
        <v>872</v>
      </c>
      <c r="F485">
        <v>774.2</v>
      </c>
      <c r="G485">
        <v>760.25</v>
      </c>
      <c r="H485">
        <v>767</v>
      </c>
      <c r="I485">
        <v>750</v>
      </c>
      <c r="J485" s="1">
        <v>758.7</v>
      </c>
      <c r="K485">
        <v>1198309.2</v>
      </c>
      <c r="L485">
        <v>1576</v>
      </c>
      <c r="M485" t="s">
        <v>78</v>
      </c>
      <c r="N485" t="s">
        <v>17</v>
      </c>
      <c r="O485">
        <v>151</v>
      </c>
      <c r="P485">
        <v>1314.95</v>
      </c>
      <c r="Q485">
        <v>750</v>
      </c>
    </row>
    <row r="486" spans="2:17" x14ac:dyDescent="0.25">
      <c r="B486" t="s">
        <v>78</v>
      </c>
      <c r="C486" t="s">
        <v>79</v>
      </c>
      <c r="D486" t="s">
        <v>873</v>
      </c>
      <c r="E486" t="s">
        <v>874</v>
      </c>
      <c r="F486">
        <v>311.75</v>
      </c>
      <c r="G486">
        <v>315.05</v>
      </c>
      <c r="H486">
        <v>318.89999999999998</v>
      </c>
      <c r="I486">
        <v>303</v>
      </c>
      <c r="J486" s="1">
        <v>306.8</v>
      </c>
      <c r="K486">
        <v>359656.35</v>
      </c>
      <c r="L486">
        <v>1163</v>
      </c>
      <c r="M486" t="s">
        <v>78</v>
      </c>
      <c r="N486" t="s">
        <v>17</v>
      </c>
      <c r="O486">
        <v>136</v>
      </c>
      <c r="P486">
        <v>469.9</v>
      </c>
      <c r="Q486">
        <v>303</v>
      </c>
    </row>
    <row r="487" spans="2:17" x14ac:dyDescent="0.25">
      <c r="B487" t="s">
        <v>78</v>
      </c>
      <c r="C487" t="s">
        <v>79</v>
      </c>
      <c r="D487" t="s">
        <v>6772</v>
      </c>
      <c r="E487" t="s">
        <v>6771</v>
      </c>
      <c r="F487">
        <v>1.3</v>
      </c>
      <c r="G487">
        <v>1.25</v>
      </c>
      <c r="H487">
        <v>1.35</v>
      </c>
      <c r="I487">
        <v>1.25</v>
      </c>
      <c r="J487" s="1">
        <v>1.25</v>
      </c>
      <c r="K487">
        <v>553392.44999999995</v>
      </c>
      <c r="L487">
        <v>441888</v>
      </c>
      <c r="M487" t="s">
        <v>78</v>
      </c>
      <c r="N487" t="s">
        <v>17</v>
      </c>
      <c r="O487">
        <v>129</v>
      </c>
      <c r="P487">
        <v>7.95</v>
      </c>
      <c r="Q487">
        <v>1.25</v>
      </c>
    </row>
    <row r="488" spans="2:17" x14ac:dyDescent="0.25">
      <c r="B488" t="s">
        <v>78</v>
      </c>
      <c r="C488" t="s">
        <v>79</v>
      </c>
      <c r="D488" t="s">
        <v>875</v>
      </c>
      <c r="E488" t="s">
        <v>876</v>
      </c>
      <c r="F488">
        <v>34.15</v>
      </c>
      <c r="G488">
        <v>33.950000000000003</v>
      </c>
      <c r="H488">
        <v>34.200000000000003</v>
      </c>
      <c r="I488">
        <v>29.15</v>
      </c>
      <c r="J488" s="1">
        <v>31.55</v>
      </c>
      <c r="K488">
        <v>1775924016.5999999</v>
      </c>
      <c r="L488">
        <v>55423719</v>
      </c>
      <c r="M488" t="s">
        <v>78</v>
      </c>
      <c r="N488" t="s">
        <v>17</v>
      </c>
      <c r="O488">
        <v>63600</v>
      </c>
      <c r="P488">
        <v>74.650000000000006</v>
      </c>
      <c r="Q488">
        <v>19.100000000000001</v>
      </c>
    </row>
    <row r="489" spans="2:17" x14ac:dyDescent="0.25">
      <c r="B489" t="s">
        <v>78</v>
      </c>
      <c r="C489" t="s">
        <v>79</v>
      </c>
      <c r="D489" t="s">
        <v>877</v>
      </c>
      <c r="E489" t="s">
        <v>878</v>
      </c>
      <c r="F489">
        <v>2201.1999999999998</v>
      </c>
      <c r="G489">
        <v>2202</v>
      </c>
      <c r="H489">
        <v>2222.9499999999998</v>
      </c>
      <c r="I489">
        <v>2171.8000000000002</v>
      </c>
      <c r="J489" s="1">
        <v>2207.9499999999998</v>
      </c>
      <c r="K489">
        <v>41235828.049999997</v>
      </c>
      <c r="L489">
        <v>18746</v>
      </c>
      <c r="M489" t="s">
        <v>78</v>
      </c>
      <c r="N489" t="s">
        <v>17</v>
      </c>
      <c r="O489">
        <v>849</v>
      </c>
      <c r="P489">
        <v>3069.7</v>
      </c>
      <c r="Q489">
        <v>1890.1</v>
      </c>
    </row>
    <row r="490" spans="2:17" x14ac:dyDescent="0.25">
      <c r="B490" t="s">
        <v>78</v>
      </c>
      <c r="C490" t="s">
        <v>79</v>
      </c>
      <c r="D490" t="s">
        <v>879</v>
      </c>
      <c r="E490" t="s">
        <v>880</v>
      </c>
      <c r="F490">
        <v>92.5</v>
      </c>
      <c r="G490">
        <v>91.25</v>
      </c>
      <c r="H490">
        <v>92</v>
      </c>
      <c r="I490">
        <v>87</v>
      </c>
      <c r="J490" s="1">
        <v>89.6</v>
      </c>
      <c r="K490">
        <v>4731464.05</v>
      </c>
      <c r="L490">
        <v>52647</v>
      </c>
      <c r="M490" t="s">
        <v>78</v>
      </c>
      <c r="N490" t="s">
        <v>17</v>
      </c>
      <c r="O490">
        <v>3019</v>
      </c>
      <c r="P490">
        <v>107.75</v>
      </c>
      <c r="Q490">
        <v>62.65</v>
      </c>
    </row>
    <row r="491" spans="2:17" x14ac:dyDescent="0.25">
      <c r="B491" t="s">
        <v>78</v>
      </c>
      <c r="C491" t="s">
        <v>79</v>
      </c>
      <c r="D491" t="s">
        <v>887</v>
      </c>
      <c r="E491" t="s">
        <v>888</v>
      </c>
      <c r="F491">
        <v>229.7</v>
      </c>
      <c r="G491">
        <v>230</v>
      </c>
      <c r="H491">
        <v>230</v>
      </c>
      <c r="I491">
        <v>223</v>
      </c>
      <c r="J491" s="1">
        <v>226.05</v>
      </c>
      <c r="K491">
        <v>531907.1</v>
      </c>
      <c r="L491">
        <v>2356</v>
      </c>
      <c r="M491" t="s">
        <v>78</v>
      </c>
      <c r="N491" t="s">
        <v>17</v>
      </c>
      <c r="O491">
        <v>126</v>
      </c>
      <c r="P491">
        <v>364</v>
      </c>
      <c r="Q491">
        <v>223</v>
      </c>
    </row>
    <row r="492" spans="2:17" x14ac:dyDescent="0.25">
      <c r="B492" t="s">
        <v>78</v>
      </c>
      <c r="C492" t="s">
        <v>79</v>
      </c>
      <c r="D492" t="s">
        <v>6770</v>
      </c>
      <c r="E492" t="s">
        <v>6769</v>
      </c>
      <c r="F492">
        <v>27.75</v>
      </c>
      <c r="G492">
        <v>27.3</v>
      </c>
      <c r="H492">
        <v>28.45</v>
      </c>
      <c r="I492">
        <v>26.4</v>
      </c>
      <c r="J492" s="1">
        <v>26.6</v>
      </c>
      <c r="K492">
        <v>1571203.75</v>
      </c>
      <c r="L492">
        <v>57216</v>
      </c>
      <c r="M492" t="s">
        <v>78</v>
      </c>
      <c r="N492" t="s">
        <v>17</v>
      </c>
      <c r="O492">
        <v>829</v>
      </c>
      <c r="P492">
        <v>76.900000000000006</v>
      </c>
      <c r="Q492">
        <v>26.4</v>
      </c>
    </row>
    <row r="493" spans="2:17" x14ac:dyDescent="0.25">
      <c r="B493" t="s">
        <v>78</v>
      </c>
      <c r="C493" t="s">
        <v>79</v>
      </c>
      <c r="D493" t="s">
        <v>889</v>
      </c>
      <c r="E493" t="s">
        <v>890</v>
      </c>
      <c r="F493">
        <v>27.25</v>
      </c>
      <c r="G493">
        <v>27.2</v>
      </c>
      <c r="H493">
        <v>28</v>
      </c>
      <c r="I493">
        <v>26.15</v>
      </c>
      <c r="J493" s="1">
        <v>26.4</v>
      </c>
      <c r="K493">
        <v>440561.85</v>
      </c>
      <c r="L493">
        <v>16381</v>
      </c>
      <c r="M493" t="s">
        <v>78</v>
      </c>
      <c r="N493" t="s">
        <v>17</v>
      </c>
      <c r="O493">
        <v>167</v>
      </c>
      <c r="P493">
        <v>49</v>
      </c>
      <c r="Q493">
        <v>26.15</v>
      </c>
    </row>
    <row r="494" spans="2:17" x14ac:dyDescent="0.25">
      <c r="B494" t="s">
        <v>78</v>
      </c>
      <c r="C494" t="s">
        <v>79</v>
      </c>
      <c r="D494" t="s">
        <v>893</v>
      </c>
      <c r="E494" t="s">
        <v>894</v>
      </c>
      <c r="F494">
        <v>9.5</v>
      </c>
      <c r="G494">
        <v>9.5</v>
      </c>
      <c r="H494">
        <v>10.8</v>
      </c>
      <c r="I494">
        <v>9.5</v>
      </c>
      <c r="J494" s="1">
        <v>9.6999999999999993</v>
      </c>
      <c r="K494">
        <v>16615.45</v>
      </c>
      <c r="L494">
        <v>1702</v>
      </c>
      <c r="M494" t="s">
        <v>78</v>
      </c>
      <c r="N494" t="s">
        <v>17</v>
      </c>
      <c r="O494">
        <v>28</v>
      </c>
      <c r="P494">
        <v>20</v>
      </c>
      <c r="Q494">
        <v>8.6</v>
      </c>
    </row>
    <row r="495" spans="2:17" x14ac:dyDescent="0.25">
      <c r="B495" t="s">
        <v>78</v>
      </c>
      <c r="C495" t="s">
        <v>79</v>
      </c>
      <c r="D495" t="s">
        <v>3602</v>
      </c>
      <c r="E495" t="s">
        <v>3603</v>
      </c>
      <c r="F495">
        <v>4</v>
      </c>
      <c r="G495">
        <v>3.8</v>
      </c>
      <c r="H495">
        <v>4</v>
      </c>
      <c r="I495">
        <v>3.8</v>
      </c>
      <c r="J495" s="1">
        <v>3.95</v>
      </c>
      <c r="K495">
        <v>18757.400000000001</v>
      </c>
      <c r="L495">
        <v>4837</v>
      </c>
      <c r="M495" t="s">
        <v>78</v>
      </c>
      <c r="N495" t="s">
        <v>17</v>
      </c>
      <c r="O495">
        <v>15</v>
      </c>
      <c r="P495">
        <v>10.199999999999999</v>
      </c>
      <c r="Q495">
        <v>3.5</v>
      </c>
    </row>
    <row r="496" spans="2:17" x14ac:dyDescent="0.25">
      <c r="B496" t="s">
        <v>78</v>
      </c>
      <c r="C496" t="s">
        <v>79</v>
      </c>
      <c r="D496" t="s">
        <v>897</v>
      </c>
      <c r="E496" t="s">
        <v>898</v>
      </c>
      <c r="F496">
        <v>372.9</v>
      </c>
      <c r="G496">
        <v>374.7</v>
      </c>
      <c r="H496">
        <v>376</v>
      </c>
      <c r="I496">
        <v>356.95</v>
      </c>
      <c r="J496" s="1">
        <v>358.7</v>
      </c>
      <c r="K496">
        <v>37746124.049999997</v>
      </c>
      <c r="L496">
        <v>103616</v>
      </c>
      <c r="M496" t="s">
        <v>78</v>
      </c>
      <c r="N496" t="s">
        <v>17</v>
      </c>
      <c r="O496">
        <v>4444</v>
      </c>
      <c r="P496">
        <v>529.04999999999995</v>
      </c>
      <c r="Q496">
        <v>286.3</v>
      </c>
    </row>
    <row r="497" spans="2:17" x14ac:dyDescent="0.25">
      <c r="B497" t="s">
        <v>78</v>
      </c>
      <c r="C497" t="s">
        <v>287</v>
      </c>
      <c r="D497" t="s">
        <v>6129</v>
      </c>
      <c r="E497" t="s">
        <v>6128</v>
      </c>
      <c r="F497">
        <v>75.5</v>
      </c>
      <c r="G497">
        <v>76</v>
      </c>
      <c r="H497">
        <v>76</v>
      </c>
      <c r="I497">
        <v>76</v>
      </c>
      <c r="J497" s="1">
        <v>76</v>
      </c>
      <c r="K497">
        <v>121600</v>
      </c>
      <c r="L497">
        <v>1600</v>
      </c>
      <c r="M497" t="s">
        <v>78</v>
      </c>
      <c r="N497" t="s">
        <v>17</v>
      </c>
      <c r="O497">
        <v>1</v>
      </c>
      <c r="P497">
        <v>78</v>
      </c>
      <c r="Q497">
        <v>61</v>
      </c>
    </row>
    <row r="498" spans="2:17" x14ac:dyDescent="0.25">
      <c r="B498" t="s">
        <v>78</v>
      </c>
      <c r="C498" t="s">
        <v>79</v>
      </c>
      <c r="D498" t="s">
        <v>901</v>
      </c>
      <c r="E498" t="s">
        <v>902</v>
      </c>
      <c r="F498">
        <v>27.55</v>
      </c>
      <c r="G498">
        <v>27.1</v>
      </c>
      <c r="H498">
        <v>28.45</v>
      </c>
      <c r="I498">
        <v>26.5</v>
      </c>
      <c r="J498" s="1">
        <v>27.05</v>
      </c>
      <c r="K498">
        <v>174335.2</v>
      </c>
      <c r="L498">
        <v>6438</v>
      </c>
      <c r="M498" t="s">
        <v>78</v>
      </c>
      <c r="N498" t="s">
        <v>17</v>
      </c>
      <c r="O498">
        <v>99</v>
      </c>
      <c r="P498">
        <v>44.7</v>
      </c>
      <c r="Q498">
        <v>25.7</v>
      </c>
    </row>
    <row r="499" spans="2:17" x14ac:dyDescent="0.25">
      <c r="B499" t="s">
        <v>78</v>
      </c>
      <c r="C499" t="s">
        <v>79</v>
      </c>
      <c r="D499" t="s">
        <v>903</v>
      </c>
      <c r="E499" t="s">
        <v>904</v>
      </c>
      <c r="F499">
        <v>184.85</v>
      </c>
      <c r="G499">
        <v>182.45</v>
      </c>
      <c r="H499">
        <v>184.95</v>
      </c>
      <c r="I499">
        <v>179.35</v>
      </c>
      <c r="J499" s="1">
        <v>181</v>
      </c>
      <c r="K499">
        <v>176820.85</v>
      </c>
      <c r="L499">
        <v>974</v>
      </c>
      <c r="M499" t="s">
        <v>78</v>
      </c>
      <c r="N499" t="s">
        <v>17</v>
      </c>
      <c r="O499">
        <v>68</v>
      </c>
      <c r="P499">
        <v>313</v>
      </c>
      <c r="Q499">
        <v>177.2</v>
      </c>
    </row>
    <row r="500" spans="2:17" x14ac:dyDescent="0.25">
      <c r="B500" t="s">
        <v>78</v>
      </c>
      <c r="C500" t="s">
        <v>79</v>
      </c>
      <c r="D500" t="s">
        <v>3110</v>
      </c>
      <c r="E500" t="s">
        <v>3111</v>
      </c>
      <c r="F500">
        <v>7.4</v>
      </c>
      <c r="G500">
        <v>7.7</v>
      </c>
      <c r="H500">
        <v>7.7</v>
      </c>
      <c r="I500">
        <v>6.9</v>
      </c>
      <c r="J500" s="1">
        <v>7.2</v>
      </c>
      <c r="K500">
        <v>1904652.45</v>
      </c>
      <c r="L500">
        <v>262802</v>
      </c>
      <c r="M500" t="s">
        <v>78</v>
      </c>
      <c r="N500" t="s">
        <v>17</v>
      </c>
      <c r="O500">
        <v>306</v>
      </c>
      <c r="P500">
        <v>22.7</v>
      </c>
      <c r="Q500">
        <v>6.9</v>
      </c>
    </row>
    <row r="501" spans="2:17" x14ac:dyDescent="0.25">
      <c r="B501" t="s">
        <v>78</v>
      </c>
      <c r="C501" t="s">
        <v>79</v>
      </c>
      <c r="D501" t="s">
        <v>905</v>
      </c>
      <c r="E501" t="s">
        <v>906</v>
      </c>
      <c r="F501">
        <v>83.55</v>
      </c>
      <c r="G501">
        <v>84.9</v>
      </c>
      <c r="H501">
        <v>85</v>
      </c>
      <c r="I501">
        <v>80.150000000000006</v>
      </c>
      <c r="J501" s="1">
        <v>82.1</v>
      </c>
      <c r="K501">
        <v>1423704.1</v>
      </c>
      <c r="L501">
        <v>17230</v>
      </c>
      <c r="M501" t="s">
        <v>78</v>
      </c>
      <c r="N501" t="s">
        <v>17</v>
      </c>
      <c r="O501">
        <v>430</v>
      </c>
      <c r="P501">
        <v>128.55000000000001</v>
      </c>
      <c r="Q501">
        <v>77.7</v>
      </c>
    </row>
    <row r="502" spans="2:17" x14ac:dyDescent="0.25">
      <c r="B502" t="s">
        <v>78</v>
      </c>
      <c r="C502" t="s">
        <v>79</v>
      </c>
      <c r="D502" t="s">
        <v>907</v>
      </c>
      <c r="E502" t="s">
        <v>908</v>
      </c>
      <c r="F502">
        <v>24.7</v>
      </c>
      <c r="G502">
        <v>24.65</v>
      </c>
      <c r="H502">
        <v>24.95</v>
      </c>
      <c r="I502">
        <v>23.9</v>
      </c>
      <c r="J502" s="1">
        <v>24.05</v>
      </c>
      <c r="K502">
        <v>6347410.2999999998</v>
      </c>
      <c r="L502">
        <v>261546</v>
      </c>
      <c r="M502" t="s">
        <v>78</v>
      </c>
      <c r="N502" t="s">
        <v>17</v>
      </c>
      <c r="O502">
        <v>908</v>
      </c>
      <c r="P502">
        <v>34.4</v>
      </c>
      <c r="Q502">
        <v>14</v>
      </c>
    </row>
    <row r="503" spans="2:17" x14ac:dyDescent="0.25">
      <c r="B503" t="s">
        <v>78</v>
      </c>
      <c r="C503" t="s">
        <v>79</v>
      </c>
      <c r="D503" t="s">
        <v>909</v>
      </c>
      <c r="E503" t="s">
        <v>910</v>
      </c>
      <c r="F503">
        <v>1314.75</v>
      </c>
      <c r="G503">
        <v>1304</v>
      </c>
      <c r="H503">
        <v>1318.95</v>
      </c>
      <c r="I503">
        <v>1293</v>
      </c>
      <c r="J503" s="1">
        <v>1307.5</v>
      </c>
      <c r="K503">
        <v>1647385.2</v>
      </c>
      <c r="L503">
        <v>1264</v>
      </c>
      <c r="M503" t="s">
        <v>78</v>
      </c>
      <c r="N503" t="s">
        <v>17</v>
      </c>
      <c r="O503">
        <v>212</v>
      </c>
      <c r="P503">
        <v>1844.7</v>
      </c>
      <c r="Q503">
        <v>1265.0999999999999</v>
      </c>
    </row>
    <row r="504" spans="2:17" x14ac:dyDescent="0.25">
      <c r="B504" t="s">
        <v>78</v>
      </c>
      <c r="C504" t="s">
        <v>79</v>
      </c>
      <c r="D504" t="s">
        <v>911</v>
      </c>
      <c r="E504" t="s">
        <v>912</v>
      </c>
      <c r="F504">
        <v>116.05</v>
      </c>
      <c r="G504">
        <v>116</v>
      </c>
      <c r="H504">
        <v>117.75</v>
      </c>
      <c r="I504">
        <v>113.3</v>
      </c>
      <c r="J504" s="1">
        <v>116.55</v>
      </c>
      <c r="K504">
        <v>1034708.95</v>
      </c>
      <c r="L504">
        <v>8942</v>
      </c>
      <c r="M504" t="s">
        <v>78</v>
      </c>
      <c r="N504" t="s">
        <v>17</v>
      </c>
      <c r="O504">
        <v>172</v>
      </c>
      <c r="P504">
        <v>178.5</v>
      </c>
      <c r="Q504">
        <v>96.1</v>
      </c>
    </row>
    <row r="505" spans="2:17" x14ac:dyDescent="0.25">
      <c r="B505" t="s">
        <v>78</v>
      </c>
      <c r="C505" t="s">
        <v>287</v>
      </c>
      <c r="D505" t="s">
        <v>913</v>
      </c>
      <c r="E505" t="s">
        <v>914</v>
      </c>
      <c r="F505">
        <v>40</v>
      </c>
      <c r="G505">
        <v>40</v>
      </c>
      <c r="H505">
        <v>40</v>
      </c>
      <c r="I505">
        <v>40</v>
      </c>
      <c r="J505" s="1">
        <v>40</v>
      </c>
      <c r="K505">
        <v>160000</v>
      </c>
      <c r="L505">
        <v>4000</v>
      </c>
      <c r="M505" t="s">
        <v>78</v>
      </c>
      <c r="N505" t="s">
        <v>17</v>
      </c>
      <c r="O505">
        <v>2</v>
      </c>
      <c r="P505">
        <v>97.45</v>
      </c>
      <c r="Q505">
        <v>32.200000000000003</v>
      </c>
    </row>
    <row r="506" spans="2:17" x14ac:dyDescent="0.25">
      <c r="B506" t="s">
        <v>78</v>
      </c>
      <c r="C506" t="s">
        <v>79</v>
      </c>
      <c r="D506" t="s">
        <v>3604</v>
      </c>
      <c r="E506" t="s">
        <v>3605</v>
      </c>
      <c r="F506">
        <v>4.6500000000000004</v>
      </c>
      <c r="G506">
        <v>4.8499999999999996</v>
      </c>
      <c r="H506">
        <v>4.8499999999999996</v>
      </c>
      <c r="I506">
        <v>4.45</v>
      </c>
      <c r="J506" s="1">
        <v>4.45</v>
      </c>
      <c r="K506">
        <v>7193.75</v>
      </c>
      <c r="L506">
        <v>1599</v>
      </c>
      <c r="M506" t="s">
        <v>78</v>
      </c>
      <c r="N506" t="s">
        <v>17</v>
      </c>
      <c r="O506">
        <v>18</v>
      </c>
      <c r="P506">
        <v>10.7</v>
      </c>
      <c r="Q506">
        <v>3.6</v>
      </c>
    </row>
    <row r="507" spans="2:17" x14ac:dyDescent="0.25">
      <c r="B507" t="s">
        <v>78</v>
      </c>
      <c r="C507" t="s">
        <v>79</v>
      </c>
      <c r="D507" t="s">
        <v>3114</v>
      </c>
      <c r="E507" t="s">
        <v>3115</v>
      </c>
      <c r="F507">
        <v>668</v>
      </c>
      <c r="G507">
        <v>660.05</v>
      </c>
      <c r="H507">
        <v>667.95</v>
      </c>
      <c r="I507">
        <v>630</v>
      </c>
      <c r="J507" s="1">
        <v>633.95000000000005</v>
      </c>
      <c r="K507">
        <v>6662158.75</v>
      </c>
      <c r="L507">
        <v>10348</v>
      </c>
      <c r="M507" t="s">
        <v>78</v>
      </c>
      <c r="N507" t="s">
        <v>17</v>
      </c>
      <c r="O507">
        <v>1674</v>
      </c>
      <c r="P507">
        <v>1305</v>
      </c>
      <c r="Q507">
        <v>630</v>
      </c>
    </row>
    <row r="508" spans="2:17" x14ac:dyDescent="0.25">
      <c r="B508" t="s">
        <v>78</v>
      </c>
      <c r="C508" t="s">
        <v>79</v>
      </c>
      <c r="D508" t="s">
        <v>919</v>
      </c>
      <c r="E508" t="s">
        <v>920</v>
      </c>
      <c r="F508">
        <v>158.80000000000001</v>
      </c>
      <c r="G508">
        <v>160</v>
      </c>
      <c r="H508">
        <v>160.15</v>
      </c>
      <c r="I508">
        <v>151.6</v>
      </c>
      <c r="J508" s="1">
        <v>151.80000000000001</v>
      </c>
      <c r="K508">
        <v>252618501.80000001</v>
      </c>
      <c r="L508">
        <v>1643261</v>
      </c>
      <c r="M508" t="s">
        <v>78</v>
      </c>
      <c r="N508" t="s">
        <v>17</v>
      </c>
      <c r="O508">
        <v>19308</v>
      </c>
      <c r="P508">
        <v>330</v>
      </c>
      <c r="Q508">
        <v>115.6</v>
      </c>
    </row>
    <row r="509" spans="2:17" x14ac:dyDescent="0.25">
      <c r="B509" t="s">
        <v>78</v>
      </c>
      <c r="C509" t="s">
        <v>79</v>
      </c>
      <c r="D509" t="s">
        <v>921</v>
      </c>
      <c r="E509" t="s">
        <v>922</v>
      </c>
      <c r="F509">
        <v>161.94999999999999</v>
      </c>
      <c r="G509">
        <v>162</v>
      </c>
      <c r="H509">
        <v>166.95</v>
      </c>
      <c r="I509">
        <v>157.55000000000001</v>
      </c>
      <c r="J509" s="1">
        <v>162.85</v>
      </c>
      <c r="K509">
        <v>24117506.25</v>
      </c>
      <c r="L509">
        <v>150665</v>
      </c>
      <c r="M509" t="s">
        <v>78</v>
      </c>
      <c r="N509" t="s">
        <v>17</v>
      </c>
      <c r="O509">
        <v>1816</v>
      </c>
      <c r="P509">
        <v>247.9</v>
      </c>
      <c r="Q509">
        <v>157.55000000000001</v>
      </c>
    </row>
    <row r="510" spans="2:17" x14ac:dyDescent="0.25">
      <c r="B510" t="s">
        <v>78</v>
      </c>
      <c r="C510" t="s">
        <v>287</v>
      </c>
      <c r="D510" t="s">
        <v>6113</v>
      </c>
      <c r="E510" t="s">
        <v>6112</v>
      </c>
      <c r="F510">
        <v>111.6</v>
      </c>
      <c r="G510">
        <v>111.8</v>
      </c>
      <c r="H510">
        <v>112.5</v>
      </c>
      <c r="I510">
        <v>111.8</v>
      </c>
      <c r="J510" s="1">
        <v>112.4</v>
      </c>
      <c r="K510">
        <v>628400</v>
      </c>
      <c r="L510">
        <v>5600</v>
      </c>
      <c r="M510" t="s">
        <v>78</v>
      </c>
      <c r="N510" t="s">
        <v>17</v>
      </c>
      <c r="O510">
        <v>5</v>
      </c>
      <c r="P510">
        <v>138.19999999999999</v>
      </c>
      <c r="Q510">
        <v>93.1</v>
      </c>
    </row>
    <row r="511" spans="2:17" x14ac:dyDescent="0.25">
      <c r="B511" t="s">
        <v>78</v>
      </c>
      <c r="C511" t="s">
        <v>79</v>
      </c>
      <c r="D511" t="s">
        <v>923</v>
      </c>
      <c r="E511" t="s">
        <v>924</v>
      </c>
      <c r="F511">
        <v>331.1</v>
      </c>
      <c r="G511">
        <v>330.6</v>
      </c>
      <c r="H511">
        <v>330.6</v>
      </c>
      <c r="I511">
        <v>305</v>
      </c>
      <c r="J511" s="1">
        <v>313.39999999999998</v>
      </c>
      <c r="K511">
        <v>413163.7</v>
      </c>
      <c r="L511">
        <v>1294</v>
      </c>
      <c r="M511" t="s">
        <v>78</v>
      </c>
      <c r="N511" t="s">
        <v>183</v>
      </c>
      <c r="O511">
        <v>171</v>
      </c>
      <c r="P511">
        <v>463</v>
      </c>
      <c r="Q511">
        <v>286.05</v>
      </c>
    </row>
    <row r="512" spans="2:17" x14ac:dyDescent="0.25">
      <c r="B512" t="s">
        <v>78</v>
      </c>
      <c r="C512" t="s">
        <v>79</v>
      </c>
      <c r="D512" t="s">
        <v>925</v>
      </c>
      <c r="E512" t="s">
        <v>926</v>
      </c>
      <c r="F512">
        <v>167.8</v>
      </c>
      <c r="G512">
        <v>169.4</v>
      </c>
      <c r="H512">
        <v>171.8</v>
      </c>
      <c r="I512">
        <v>165.6</v>
      </c>
      <c r="J512" s="1">
        <v>168.5</v>
      </c>
      <c r="K512">
        <v>20106221.899999999</v>
      </c>
      <c r="L512">
        <v>119684</v>
      </c>
      <c r="M512" t="s">
        <v>78</v>
      </c>
      <c r="N512" t="s">
        <v>17</v>
      </c>
      <c r="O512">
        <v>2033</v>
      </c>
      <c r="P512">
        <v>214.8</v>
      </c>
      <c r="Q512">
        <v>137.55000000000001</v>
      </c>
    </row>
    <row r="513" spans="2:17" x14ac:dyDescent="0.25">
      <c r="B513" t="s">
        <v>78</v>
      </c>
      <c r="C513" t="s">
        <v>79</v>
      </c>
      <c r="D513" t="s">
        <v>927</v>
      </c>
      <c r="E513" t="s">
        <v>928</v>
      </c>
      <c r="F513">
        <v>380</v>
      </c>
      <c r="G513">
        <v>383.8</v>
      </c>
      <c r="H513">
        <v>383.8</v>
      </c>
      <c r="I513">
        <v>360</v>
      </c>
      <c r="J513" s="1">
        <v>362.7</v>
      </c>
      <c r="K513">
        <v>310243.05</v>
      </c>
      <c r="L513">
        <v>835</v>
      </c>
      <c r="M513" t="s">
        <v>78</v>
      </c>
      <c r="N513" t="s">
        <v>17</v>
      </c>
      <c r="O513">
        <v>76</v>
      </c>
      <c r="P513">
        <v>449.2</v>
      </c>
      <c r="Q513">
        <v>305.05</v>
      </c>
    </row>
    <row r="514" spans="2:17" x14ac:dyDescent="0.25">
      <c r="B514" t="s">
        <v>78</v>
      </c>
      <c r="C514" t="s">
        <v>79</v>
      </c>
      <c r="D514" t="s">
        <v>3116</v>
      </c>
      <c r="E514" t="s">
        <v>3117</v>
      </c>
      <c r="F514">
        <v>20.3</v>
      </c>
      <c r="G514">
        <v>20.7</v>
      </c>
      <c r="H514">
        <v>20.7</v>
      </c>
      <c r="I514">
        <v>19.7</v>
      </c>
      <c r="J514" s="1">
        <v>19.850000000000001</v>
      </c>
      <c r="K514">
        <v>1348805.8</v>
      </c>
      <c r="L514">
        <v>67669</v>
      </c>
      <c r="M514" t="s">
        <v>78</v>
      </c>
      <c r="N514" t="s">
        <v>17</v>
      </c>
      <c r="O514">
        <v>270</v>
      </c>
      <c r="P514">
        <v>38.75</v>
      </c>
      <c r="Q514">
        <v>19.399999999999999</v>
      </c>
    </row>
    <row r="515" spans="2:17" x14ac:dyDescent="0.25">
      <c r="B515" t="s">
        <v>78</v>
      </c>
      <c r="C515" t="s">
        <v>79</v>
      </c>
      <c r="D515" t="s">
        <v>6768</v>
      </c>
      <c r="E515" t="s">
        <v>6767</v>
      </c>
      <c r="F515">
        <v>6.3</v>
      </c>
      <c r="G515">
        <v>6.1</v>
      </c>
      <c r="H515">
        <v>6.55</v>
      </c>
      <c r="I515">
        <v>6</v>
      </c>
      <c r="J515" s="1">
        <v>6.55</v>
      </c>
      <c r="K515">
        <v>100184.65</v>
      </c>
      <c r="L515">
        <v>15826</v>
      </c>
      <c r="M515" t="s">
        <v>78</v>
      </c>
      <c r="N515" t="s">
        <v>17</v>
      </c>
      <c r="O515">
        <v>31</v>
      </c>
      <c r="P515">
        <v>9.6</v>
      </c>
      <c r="Q515">
        <v>3.6</v>
      </c>
    </row>
    <row r="516" spans="2:17" x14ac:dyDescent="0.25">
      <c r="B516" t="s">
        <v>78</v>
      </c>
      <c r="C516" t="s">
        <v>79</v>
      </c>
      <c r="D516" t="s">
        <v>929</v>
      </c>
      <c r="E516" t="s">
        <v>930</v>
      </c>
      <c r="F516">
        <v>40.4</v>
      </c>
      <c r="G516">
        <v>41.8</v>
      </c>
      <c r="H516">
        <v>41.8</v>
      </c>
      <c r="I516">
        <v>38.5</v>
      </c>
      <c r="J516" s="1">
        <v>39</v>
      </c>
      <c r="K516">
        <v>4553599.45</v>
      </c>
      <c r="L516">
        <v>116418</v>
      </c>
      <c r="M516" t="s">
        <v>78</v>
      </c>
      <c r="N516" t="s">
        <v>17</v>
      </c>
      <c r="O516">
        <v>1392</v>
      </c>
      <c r="P516">
        <v>75</v>
      </c>
      <c r="Q516">
        <v>38.5</v>
      </c>
    </row>
    <row r="517" spans="2:17" x14ac:dyDescent="0.25">
      <c r="B517" t="s">
        <v>78</v>
      </c>
      <c r="C517" t="s">
        <v>79</v>
      </c>
      <c r="D517" t="s">
        <v>931</v>
      </c>
      <c r="E517" t="s">
        <v>932</v>
      </c>
      <c r="F517">
        <v>15.2</v>
      </c>
      <c r="G517">
        <v>15.05</v>
      </c>
      <c r="H517">
        <v>15.25</v>
      </c>
      <c r="I517">
        <v>14.8</v>
      </c>
      <c r="J517" s="1">
        <v>14.85</v>
      </c>
      <c r="K517">
        <v>1210460.7</v>
      </c>
      <c r="L517">
        <v>81241</v>
      </c>
      <c r="M517" t="s">
        <v>78</v>
      </c>
      <c r="N517" t="s">
        <v>17</v>
      </c>
      <c r="O517">
        <v>330</v>
      </c>
      <c r="P517">
        <v>23.7</v>
      </c>
      <c r="Q517">
        <v>14.8</v>
      </c>
    </row>
    <row r="518" spans="2:17" x14ac:dyDescent="0.25">
      <c r="B518" t="s">
        <v>78</v>
      </c>
      <c r="C518" t="s">
        <v>79</v>
      </c>
      <c r="D518" t="s">
        <v>933</v>
      </c>
      <c r="E518" t="s">
        <v>934</v>
      </c>
      <c r="F518">
        <v>190.1</v>
      </c>
      <c r="G518">
        <v>192</v>
      </c>
      <c r="H518">
        <v>194</v>
      </c>
      <c r="I518">
        <v>180.6</v>
      </c>
      <c r="J518" s="1">
        <v>180.95</v>
      </c>
      <c r="K518">
        <v>1497674.1</v>
      </c>
      <c r="L518">
        <v>8141</v>
      </c>
      <c r="M518" t="s">
        <v>78</v>
      </c>
      <c r="N518" t="s">
        <v>17</v>
      </c>
      <c r="O518">
        <v>239</v>
      </c>
      <c r="P518">
        <v>380.1</v>
      </c>
      <c r="Q518">
        <v>129</v>
      </c>
    </row>
    <row r="519" spans="2:17" x14ac:dyDescent="0.25">
      <c r="B519" t="s">
        <v>78</v>
      </c>
      <c r="C519" t="s">
        <v>79</v>
      </c>
      <c r="D519" t="s">
        <v>935</v>
      </c>
      <c r="E519" t="s">
        <v>936</v>
      </c>
      <c r="F519">
        <v>261.60000000000002</v>
      </c>
      <c r="G519">
        <v>261.2</v>
      </c>
      <c r="H519">
        <v>262.3</v>
      </c>
      <c r="I519">
        <v>259.10000000000002</v>
      </c>
      <c r="J519" s="1">
        <v>259.7</v>
      </c>
      <c r="K519">
        <v>1671412.95</v>
      </c>
      <c r="L519">
        <v>6422</v>
      </c>
      <c r="M519" t="s">
        <v>78</v>
      </c>
      <c r="N519" t="s">
        <v>17</v>
      </c>
      <c r="O519">
        <v>184</v>
      </c>
      <c r="P519">
        <v>314.89999999999998</v>
      </c>
      <c r="Q519">
        <v>225</v>
      </c>
    </row>
    <row r="520" spans="2:17" x14ac:dyDescent="0.25">
      <c r="B520" t="s">
        <v>78</v>
      </c>
      <c r="C520" t="s">
        <v>79</v>
      </c>
      <c r="D520" t="s">
        <v>937</v>
      </c>
      <c r="E520" t="s">
        <v>938</v>
      </c>
      <c r="F520">
        <v>18.7</v>
      </c>
      <c r="G520">
        <v>18.5</v>
      </c>
      <c r="H520">
        <v>19.95</v>
      </c>
      <c r="I520">
        <v>18.350000000000001</v>
      </c>
      <c r="J520" s="1">
        <v>19.45</v>
      </c>
      <c r="K520">
        <v>171904.45</v>
      </c>
      <c r="L520">
        <v>8903</v>
      </c>
      <c r="M520" t="s">
        <v>78</v>
      </c>
      <c r="N520" t="s">
        <v>17</v>
      </c>
      <c r="O520">
        <v>46</v>
      </c>
      <c r="P520">
        <v>38</v>
      </c>
      <c r="Q520">
        <v>17.55</v>
      </c>
    </row>
    <row r="521" spans="2:17" x14ac:dyDescent="0.25">
      <c r="B521" t="s">
        <v>78</v>
      </c>
      <c r="C521" t="s">
        <v>79</v>
      </c>
      <c r="D521" t="s">
        <v>939</v>
      </c>
      <c r="E521" t="s">
        <v>940</v>
      </c>
      <c r="F521">
        <v>321.39999999999998</v>
      </c>
      <c r="G521">
        <v>324.75</v>
      </c>
      <c r="H521">
        <v>329.25</v>
      </c>
      <c r="I521">
        <v>318</v>
      </c>
      <c r="J521" s="1">
        <v>319.8</v>
      </c>
      <c r="K521">
        <v>107752539.2</v>
      </c>
      <c r="L521">
        <v>335701</v>
      </c>
      <c r="M521" t="s">
        <v>78</v>
      </c>
      <c r="N521" t="s">
        <v>17</v>
      </c>
      <c r="O521">
        <v>16369</v>
      </c>
      <c r="P521">
        <v>599.79999999999995</v>
      </c>
      <c r="Q521">
        <v>245.9</v>
      </c>
    </row>
    <row r="522" spans="2:17" x14ac:dyDescent="0.25">
      <c r="B522" t="s">
        <v>78</v>
      </c>
      <c r="C522" t="s">
        <v>79</v>
      </c>
      <c r="D522" t="s">
        <v>941</v>
      </c>
      <c r="E522" t="s">
        <v>942</v>
      </c>
      <c r="F522">
        <v>71.45</v>
      </c>
      <c r="G522">
        <v>71</v>
      </c>
      <c r="H522">
        <v>71.2</v>
      </c>
      <c r="I522">
        <v>67.900000000000006</v>
      </c>
      <c r="J522" s="1">
        <v>67.900000000000006</v>
      </c>
      <c r="K522">
        <v>328389.90000000002</v>
      </c>
      <c r="L522">
        <v>4779</v>
      </c>
      <c r="M522" t="s">
        <v>78</v>
      </c>
      <c r="N522" t="s">
        <v>17</v>
      </c>
      <c r="O522">
        <v>60</v>
      </c>
      <c r="P522">
        <v>172.95</v>
      </c>
      <c r="Q522">
        <v>67.900000000000006</v>
      </c>
    </row>
    <row r="523" spans="2:17" x14ac:dyDescent="0.25">
      <c r="B523" t="s">
        <v>78</v>
      </c>
      <c r="C523" t="s">
        <v>79</v>
      </c>
      <c r="D523" t="s">
        <v>943</v>
      </c>
      <c r="E523" t="s">
        <v>944</v>
      </c>
      <c r="F523">
        <v>55.4</v>
      </c>
      <c r="G523">
        <v>55.1</v>
      </c>
      <c r="H523">
        <v>56.5</v>
      </c>
      <c r="I523">
        <v>52.65</v>
      </c>
      <c r="J523" s="1">
        <v>52.65</v>
      </c>
      <c r="K523">
        <v>887866.9</v>
      </c>
      <c r="L523">
        <v>16427</v>
      </c>
      <c r="M523" t="s">
        <v>78</v>
      </c>
      <c r="N523" t="s">
        <v>17</v>
      </c>
      <c r="O523">
        <v>170</v>
      </c>
      <c r="P523">
        <v>207</v>
      </c>
      <c r="Q523">
        <v>45.1</v>
      </c>
    </row>
    <row r="524" spans="2:17" x14ac:dyDescent="0.25">
      <c r="B524" t="s">
        <v>78</v>
      </c>
      <c r="C524" t="s">
        <v>618</v>
      </c>
      <c r="D524" t="s">
        <v>945</v>
      </c>
      <c r="E524" t="s">
        <v>946</v>
      </c>
      <c r="F524">
        <v>380.99</v>
      </c>
      <c r="G524">
        <v>380.99</v>
      </c>
      <c r="H524">
        <v>383</v>
      </c>
      <c r="I524">
        <v>370.2</v>
      </c>
      <c r="J524" s="1">
        <v>372.11</v>
      </c>
      <c r="K524">
        <v>95354832</v>
      </c>
      <c r="L524">
        <v>250800</v>
      </c>
      <c r="M524" t="s">
        <v>78</v>
      </c>
      <c r="N524" t="s">
        <v>17</v>
      </c>
      <c r="O524">
        <v>580</v>
      </c>
      <c r="P524">
        <v>383.96</v>
      </c>
      <c r="Q524">
        <v>308</v>
      </c>
    </row>
    <row r="525" spans="2:17" x14ac:dyDescent="0.25">
      <c r="B525" t="s">
        <v>78</v>
      </c>
      <c r="C525" t="s">
        <v>79</v>
      </c>
      <c r="D525" t="s">
        <v>947</v>
      </c>
      <c r="E525" t="s">
        <v>948</v>
      </c>
      <c r="F525">
        <v>66.75</v>
      </c>
      <c r="G525">
        <v>67.5</v>
      </c>
      <c r="H525">
        <v>67.5</v>
      </c>
      <c r="I525">
        <v>60.4</v>
      </c>
      <c r="J525" s="1">
        <v>61.85</v>
      </c>
      <c r="K525">
        <v>3765351</v>
      </c>
      <c r="L525">
        <v>59492</v>
      </c>
      <c r="M525" t="s">
        <v>78</v>
      </c>
      <c r="N525" t="s">
        <v>17</v>
      </c>
      <c r="O525">
        <v>393</v>
      </c>
      <c r="P525">
        <v>151</v>
      </c>
      <c r="Q525">
        <v>60.4</v>
      </c>
    </row>
    <row r="526" spans="2:17" x14ac:dyDescent="0.25">
      <c r="B526" t="s">
        <v>78</v>
      </c>
      <c r="C526" t="s">
        <v>79</v>
      </c>
      <c r="D526" t="s">
        <v>951</v>
      </c>
      <c r="E526" t="s">
        <v>952</v>
      </c>
      <c r="F526">
        <v>145.35</v>
      </c>
      <c r="G526">
        <v>146.9</v>
      </c>
      <c r="H526">
        <v>147.75</v>
      </c>
      <c r="I526">
        <v>139</v>
      </c>
      <c r="J526" s="1">
        <v>140.19999999999999</v>
      </c>
      <c r="K526">
        <v>1587193.9</v>
      </c>
      <c r="L526">
        <v>11204</v>
      </c>
      <c r="M526" t="s">
        <v>78</v>
      </c>
      <c r="N526" t="s">
        <v>17</v>
      </c>
      <c r="O526">
        <v>300</v>
      </c>
      <c r="P526">
        <v>174.7</v>
      </c>
      <c r="Q526">
        <v>98</v>
      </c>
    </row>
    <row r="527" spans="2:17" x14ac:dyDescent="0.25">
      <c r="B527" t="s">
        <v>78</v>
      </c>
      <c r="C527" t="s">
        <v>79</v>
      </c>
      <c r="D527" t="s">
        <v>953</v>
      </c>
      <c r="E527" t="s">
        <v>954</v>
      </c>
      <c r="F527">
        <v>996.85</v>
      </c>
      <c r="G527">
        <v>995</v>
      </c>
      <c r="H527">
        <v>995</v>
      </c>
      <c r="I527">
        <v>950</v>
      </c>
      <c r="J527" s="1">
        <v>952.6</v>
      </c>
      <c r="K527">
        <v>15428370.5</v>
      </c>
      <c r="L527">
        <v>16054</v>
      </c>
      <c r="M527" t="s">
        <v>78</v>
      </c>
      <c r="N527" t="s">
        <v>17</v>
      </c>
      <c r="O527">
        <v>1468</v>
      </c>
      <c r="P527">
        <v>1578.8</v>
      </c>
      <c r="Q527">
        <v>950</v>
      </c>
    </row>
    <row r="528" spans="2:17" x14ac:dyDescent="0.25">
      <c r="B528" t="s">
        <v>78</v>
      </c>
      <c r="C528" t="s">
        <v>79</v>
      </c>
      <c r="D528" t="s">
        <v>955</v>
      </c>
      <c r="E528" t="s">
        <v>956</v>
      </c>
      <c r="F528">
        <v>5.6</v>
      </c>
      <c r="G528">
        <v>5.7</v>
      </c>
      <c r="H528">
        <v>5.75</v>
      </c>
      <c r="I528">
        <v>5.6</v>
      </c>
      <c r="J528" s="1">
        <v>5.7</v>
      </c>
      <c r="K528">
        <v>80137.3</v>
      </c>
      <c r="L528">
        <v>14130</v>
      </c>
      <c r="M528" t="s">
        <v>78</v>
      </c>
      <c r="N528" t="s">
        <v>17</v>
      </c>
      <c r="O528">
        <v>80</v>
      </c>
      <c r="P528">
        <v>16.899999999999999</v>
      </c>
      <c r="Q528">
        <v>5.4</v>
      </c>
    </row>
    <row r="529" spans="2:17" x14ac:dyDescent="0.25">
      <c r="B529" t="s">
        <v>78</v>
      </c>
      <c r="C529" t="s">
        <v>79</v>
      </c>
      <c r="D529" t="s">
        <v>957</v>
      </c>
      <c r="E529" t="s">
        <v>958</v>
      </c>
      <c r="F529">
        <v>105.2</v>
      </c>
      <c r="G529">
        <v>105.75</v>
      </c>
      <c r="H529">
        <v>107.25</v>
      </c>
      <c r="I529">
        <v>104.3</v>
      </c>
      <c r="J529" s="1">
        <v>106.25</v>
      </c>
      <c r="K529">
        <v>132320603.45</v>
      </c>
      <c r="L529">
        <v>1247836</v>
      </c>
      <c r="M529" t="s">
        <v>78</v>
      </c>
      <c r="N529" t="s">
        <v>17</v>
      </c>
      <c r="O529">
        <v>10020</v>
      </c>
      <c r="P529">
        <v>139.65</v>
      </c>
      <c r="Q529">
        <v>100.15</v>
      </c>
    </row>
    <row r="530" spans="2:17" x14ac:dyDescent="0.25">
      <c r="B530" t="s">
        <v>78</v>
      </c>
      <c r="C530" t="s">
        <v>79</v>
      </c>
      <c r="D530" t="s">
        <v>959</v>
      </c>
      <c r="E530" t="s">
        <v>960</v>
      </c>
      <c r="F530">
        <v>406.4</v>
      </c>
      <c r="G530">
        <v>405.1</v>
      </c>
      <c r="H530">
        <v>405.2</v>
      </c>
      <c r="I530">
        <v>395.25</v>
      </c>
      <c r="J530" s="1">
        <v>399.75</v>
      </c>
      <c r="K530">
        <v>1405540.1</v>
      </c>
      <c r="L530">
        <v>3520</v>
      </c>
      <c r="M530" t="s">
        <v>78</v>
      </c>
      <c r="N530" t="s">
        <v>17</v>
      </c>
      <c r="O530">
        <v>132</v>
      </c>
      <c r="P530">
        <v>764.5</v>
      </c>
      <c r="Q530">
        <v>395.25</v>
      </c>
    </row>
    <row r="531" spans="2:17" x14ac:dyDescent="0.25">
      <c r="B531" t="s">
        <v>78</v>
      </c>
      <c r="C531" t="s">
        <v>79</v>
      </c>
      <c r="D531" t="s">
        <v>6766</v>
      </c>
      <c r="E531" t="s">
        <v>6765</v>
      </c>
      <c r="F531">
        <v>17.100000000000001</v>
      </c>
      <c r="G531">
        <v>17.5</v>
      </c>
      <c r="H531">
        <v>17.8</v>
      </c>
      <c r="I531">
        <v>16.25</v>
      </c>
      <c r="J531" s="1">
        <v>16.25</v>
      </c>
      <c r="K531">
        <v>213159.7</v>
      </c>
      <c r="L531">
        <v>13014</v>
      </c>
      <c r="M531" t="s">
        <v>78</v>
      </c>
      <c r="N531" t="s">
        <v>17</v>
      </c>
      <c r="O531">
        <v>113</v>
      </c>
      <c r="P531">
        <v>63</v>
      </c>
      <c r="Q531">
        <v>16.25</v>
      </c>
    </row>
    <row r="532" spans="2:17" x14ac:dyDescent="0.25">
      <c r="B532" t="s">
        <v>78</v>
      </c>
      <c r="C532" t="s">
        <v>79</v>
      </c>
      <c r="D532" t="s">
        <v>963</v>
      </c>
      <c r="E532" t="s">
        <v>964</v>
      </c>
      <c r="F532">
        <v>122.75</v>
      </c>
      <c r="G532">
        <v>123.8</v>
      </c>
      <c r="H532">
        <v>124.9</v>
      </c>
      <c r="I532">
        <v>114.7</v>
      </c>
      <c r="J532" s="1">
        <v>115.25</v>
      </c>
      <c r="K532">
        <v>621879155.20000005</v>
      </c>
      <c r="L532">
        <v>5211275</v>
      </c>
      <c r="M532" t="s">
        <v>78</v>
      </c>
      <c r="N532" t="s">
        <v>17</v>
      </c>
      <c r="O532">
        <v>18630</v>
      </c>
      <c r="P532">
        <v>163.25</v>
      </c>
      <c r="Q532">
        <v>77.849999999999994</v>
      </c>
    </row>
    <row r="533" spans="2:17" x14ac:dyDescent="0.25">
      <c r="B533" t="s">
        <v>78</v>
      </c>
      <c r="C533" t="s">
        <v>79</v>
      </c>
      <c r="D533" t="s">
        <v>967</v>
      </c>
      <c r="E533" t="s">
        <v>968</v>
      </c>
      <c r="F533">
        <v>441.8</v>
      </c>
      <c r="G533">
        <v>441.8</v>
      </c>
      <c r="H533">
        <v>444.05</v>
      </c>
      <c r="I533">
        <v>419.05</v>
      </c>
      <c r="J533" s="1">
        <v>425.9</v>
      </c>
      <c r="K533">
        <v>18259297.050000001</v>
      </c>
      <c r="L533">
        <v>42671</v>
      </c>
      <c r="M533" t="s">
        <v>78</v>
      </c>
      <c r="N533" t="s">
        <v>17</v>
      </c>
      <c r="O533">
        <v>3861</v>
      </c>
      <c r="P533">
        <v>786</v>
      </c>
      <c r="Q533">
        <v>419.05</v>
      </c>
    </row>
    <row r="534" spans="2:17" x14ac:dyDescent="0.25">
      <c r="B534" t="s">
        <v>78</v>
      </c>
      <c r="C534" t="s">
        <v>79</v>
      </c>
      <c r="D534" t="s">
        <v>969</v>
      </c>
      <c r="E534" t="s">
        <v>970</v>
      </c>
      <c r="F534">
        <v>14.95</v>
      </c>
      <c r="G534">
        <v>15</v>
      </c>
      <c r="H534">
        <v>15.5</v>
      </c>
      <c r="I534">
        <v>14.25</v>
      </c>
      <c r="J534" s="1">
        <v>14.25</v>
      </c>
      <c r="K534">
        <v>10284019.050000001</v>
      </c>
      <c r="L534">
        <v>713238</v>
      </c>
      <c r="M534" t="s">
        <v>78</v>
      </c>
      <c r="N534" t="s">
        <v>17</v>
      </c>
      <c r="O534">
        <v>1283</v>
      </c>
      <c r="P534">
        <v>136.94999999999999</v>
      </c>
      <c r="Q534">
        <v>14.25</v>
      </c>
    </row>
    <row r="535" spans="2:17" x14ac:dyDescent="0.25">
      <c r="B535" t="s">
        <v>78</v>
      </c>
      <c r="C535" t="s">
        <v>79</v>
      </c>
      <c r="D535" t="s">
        <v>971</v>
      </c>
      <c r="E535" t="s">
        <v>972</v>
      </c>
      <c r="F535">
        <v>1076.3499999999999</v>
      </c>
      <c r="G535">
        <v>1065.25</v>
      </c>
      <c r="H535">
        <v>1075.05</v>
      </c>
      <c r="I535">
        <v>1045</v>
      </c>
      <c r="J535" s="1">
        <v>1054.3499999999999</v>
      </c>
      <c r="K535">
        <v>1591091.3</v>
      </c>
      <c r="L535">
        <v>1507</v>
      </c>
      <c r="M535" t="s">
        <v>78</v>
      </c>
      <c r="N535" t="s">
        <v>17</v>
      </c>
      <c r="O535">
        <v>292</v>
      </c>
      <c r="P535">
        <v>1341.1</v>
      </c>
      <c r="Q535">
        <v>601.29999999999995</v>
      </c>
    </row>
    <row r="536" spans="2:17" x14ac:dyDescent="0.25">
      <c r="B536" t="s">
        <v>78</v>
      </c>
      <c r="C536" t="s">
        <v>79</v>
      </c>
      <c r="D536" t="s">
        <v>973</v>
      </c>
      <c r="E536" t="s">
        <v>974</v>
      </c>
      <c r="F536">
        <v>529.15</v>
      </c>
      <c r="G536">
        <v>531.25</v>
      </c>
      <c r="H536">
        <v>534.9</v>
      </c>
      <c r="I536">
        <v>505.4</v>
      </c>
      <c r="J536" s="1">
        <v>508.85</v>
      </c>
      <c r="K536">
        <v>1119203918.2</v>
      </c>
      <c r="L536">
        <v>2162068</v>
      </c>
      <c r="M536" t="s">
        <v>78</v>
      </c>
      <c r="N536" t="s">
        <v>17</v>
      </c>
      <c r="O536">
        <v>49560</v>
      </c>
      <c r="P536">
        <v>943.55</v>
      </c>
      <c r="Q536">
        <v>505.4</v>
      </c>
    </row>
    <row r="537" spans="2:17" x14ac:dyDescent="0.25">
      <c r="B537" t="s">
        <v>78</v>
      </c>
      <c r="C537" t="s">
        <v>79</v>
      </c>
      <c r="D537" t="s">
        <v>3118</v>
      </c>
      <c r="E537" t="s">
        <v>3119</v>
      </c>
      <c r="F537">
        <v>9</v>
      </c>
      <c r="G537">
        <v>9</v>
      </c>
      <c r="H537">
        <v>9.35</v>
      </c>
      <c r="I537">
        <v>8.5500000000000007</v>
      </c>
      <c r="J537" s="1">
        <v>8.75</v>
      </c>
      <c r="K537">
        <v>136172.85</v>
      </c>
      <c r="L537">
        <v>15631</v>
      </c>
      <c r="M537" t="s">
        <v>78</v>
      </c>
      <c r="N537" t="s">
        <v>17</v>
      </c>
      <c r="O537">
        <v>90</v>
      </c>
      <c r="P537">
        <v>16.5</v>
      </c>
      <c r="Q537">
        <v>7.3</v>
      </c>
    </row>
    <row r="538" spans="2:17" x14ac:dyDescent="0.25">
      <c r="B538" t="s">
        <v>78</v>
      </c>
      <c r="C538" t="s">
        <v>79</v>
      </c>
      <c r="D538" t="s">
        <v>6764</v>
      </c>
      <c r="E538" t="s">
        <v>6763</v>
      </c>
      <c r="F538">
        <v>129.94999999999999</v>
      </c>
      <c r="G538">
        <v>129.80000000000001</v>
      </c>
      <c r="H538">
        <v>130.15</v>
      </c>
      <c r="I538">
        <v>129.75</v>
      </c>
      <c r="J538" s="1">
        <v>130</v>
      </c>
      <c r="K538">
        <v>28684535.399999999</v>
      </c>
      <c r="L538">
        <v>220644</v>
      </c>
      <c r="M538" t="s">
        <v>78</v>
      </c>
      <c r="N538" t="s">
        <v>17</v>
      </c>
      <c r="O538">
        <v>3030</v>
      </c>
      <c r="P538">
        <v>138.4</v>
      </c>
      <c r="Q538">
        <v>84.7</v>
      </c>
    </row>
    <row r="539" spans="2:17" x14ac:dyDescent="0.25">
      <c r="B539" t="s">
        <v>78</v>
      </c>
      <c r="C539" t="s">
        <v>79</v>
      </c>
      <c r="D539" t="s">
        <v>975</v>
      </c>
      <c r="E539" t="s">
        <v>976</v>
      </c>
      <c r="F539">
        <v>27.5</v>
      </c>
      <c r="G539">
        <v>27.2</v>
      </c>
      <c r="H539">
        <v>28.5</v>
      </c>
      <c r="I539">
        <v>26.9</v>
      </c>
      <c r="J539" s="1">
        <v>27.25</v>
      </c>
      <c r="K539">
        <v>375374.5</v>
      </c>
      <c r="L539">
        <v>13686</v>
      </c>
      <c r="M539" t="s">
        <v>78</v>
      </c>
      <c r="N539" t="s">
        <v>17</v>
      </c>
      <c r="O539">
        <v>188</v>
      </c>
      <c r="P539">
        <v>63.7</v>
      </c>
      <c r="Q539">
        <v>26.4</v>
      </c>
    </row>
    <row r="540" spans="2:17" x14ac:dyDescent="0.25">
      <c r="B540" t="s">
        <v>78</v>
      </c>
      <c r="C540" t="s">
        <v>79</v>
      </c>
      <c r="D540" t="s">
        <v>3120</v>
      </c>
      <c r="E540" t="s">
        <v>6078</v>
      </c>
      <c r="F540">
        <v>12.4</v>
      </c>
      <c r="G540">
        <v>12</v>
      </c>
      <c r="H540">
        <v>13</v>
      </c>
      <c r="I540">
        <v>12</v>
      </c>
      <c r="J540" s="1">
        <v>13</v>
      </c>
      <c r="K540">
        <v>12013</v>
      </c>
      <c r="L540">
        <v>1001</v>
      </c>
      <c r="M540" t="s">
        <v>78</v>
      </c>
      <c r="N540" t="s">
        <v>17</v>
      </c>
      <c r="O540">
        <v>3</v>
      </c>
      <c r="P540">
        <v>27.9</v>
      </c>
      <c r="Q540">
        <v>12</v>
      </c>
    </row>
    <row r="541" spans="2:17" x14ac:dyDescent="0.25">
      <c r="B541" t="s">
        <v>78</v>
      </c>
      <c r="C541" t="s">
        <v>79</v>
      </c>
      <c r="D541" t="s">
        <v>977</v>
      </c>
      <c r="E541" t="s">
        <v>978</v>
      </c>
      <c r="F541">
        <v>71.900000000000006</v>
      </c>
      <c r="G541">
        <v>72</v>
      </c>
      <c r="H541">
        <v>72</v>
      </c>
      <c r="I541">
        <v>69.25</v>
      </c>
      <c r="J541" s="1">
        <v>69.650000000000006</v>
      </c>
      <c r="K541">
        <v>6104269.3499999996</v>
      </c>
      <c r="L541">
        <v>87252</v>
      </c>
      <c r="M541" t="s">
        <v>78</v>
      </c>
      <c r="N541" t="s">
        <v>17</v>
      </c>
      <c r="O541">
        <v>903</v>
      </c>
      <c r="P541">
        <v>262.89999999999998</v>
      </c>
      <c r="Q541">
        <v>66.650000000000006</v>
      </c>
    </row>
    <row r="542" spans="2:17" x14ac:dyDescent="0.25">
      <c r="B542" t="s">
        <v>78</v>
      </c>
      <c r="C542" t="s">
        <v>79</v>
      </c>
      <c r="D542" t="s">
        <v>979</v>
      </c>
      <c r="E542" t="s">
        <v>980</v>
      </c>
      <c r="F542">
        <v>379.3</v>
      </c>
      <c r="G542">
        <v>382</v>
      </c>
      <c r="H542">
        <v>383</v>
      </c>
      <c r="I542">
        <v>355</v>
      </c>
      <c r="J542" s="1">
        <v>364.7</v>
      </c>
      <c r="K542">
        <v>13178298.35</v>
      </c>
      <c r="L542">
        <v>36168</v>
      </c>
      <c r="M542" t="s">
        <v>78</v>
      </c>
      <c r="N542" t="s">
        <v>17</v>
      </c>
      <c r="O542">
        <v>1903</v>
      </c>
      <c r="P542">
        <v>597.5</v>
      </c>
      <c r="Q542">
        <v>355</v>
      </c>
    </row>
    <row r="543" spans="2:17" x14ac:dyDescent="0.25">
      <c r="B543" t="s">
        <v>78</v>
      </c>
      <c r="C543" t="s">
        <v>79</v>
      </c>
      <c r="D543" t="s">
        <v>6762</v>
      </c>
      <c r="E543" t="s">
        <v>6761</v>
      </c>
      <c r="F543">
        <v>2908.1</v>
      </c>
      <c r="G543">
        <v>2891.3</v>
      </c>
      <c r="H543">
        <v>2900</v>
      </c>
      <c r="I543">
        <v>2869.9</v>
      </c>
      <c r="J543" s="1">
        <v>2887.2</v>
      </c>
      <c r="K543">
        <v>3707243.85</v>
      </c>
      <c r="L543">
        <v>1287</v>
      </c>
      <c r="M543" t="s">
        <v>78</v>
      </c>
      <c r="N543" t="s">
        <v>17</v>
      </c>
      <c r="O543">
        <v>149</v>
      </c>
      <c r="P543">
        <v>4922.3999999999996</v>
      </c>
      <c r="Q543">
        <v>2825</v>
      </c>
    </row>
    <row r="544" spans="2:17" x14ac:dyDescent="0.25">
      <c r="B544" t="s">
        <v>78</v>
      </c>
      <c r="C544" t="s">
        <v>79</v>
      </c>
      <c r="D544" t="s">
        <v>981</v>
      </c>
      <c r="E544" t="s">
        <v>982</v>
      </c>
      <c r="F544">
        <v>910</v>
      </c>
      <c r="G544">
        <v>909.9</v>
      </c>
      <c r="H544">
        <v>915.05</v>
      </c>
      <c r="I544">
        <v>877.1</v>
      </c>
      <c r="J544" s="1">
        <v>888.25</v>
      </c>
      <c r="K544">
        <v>10104330.6</v>
      </c>
      <c r="L544">
        <v>11278</v>
      </c>
      <c r="M544" t="s">
        <v>78</v>
      </c>
      <c r="N544" t="s">
        <v>17</v>
      </c>
      <c r="O544">
        <v>1161</v>
      </c>
      <c r="P544">
        <v>1922.3</v>
      </c>
      <c r="Q544">
        <v>877.1</v>
      </c>
    </row>
    <row r="545" spans="2:17" x14ac:dyDescent="0.25">
      <c r="B545" t="s">
        <v>78</v>
      </c>
      <c r="C545" t="s">
        <v>79</v>
      </c>
      <c r="D545" t="s">
        <v>983</v>
      </c>
      <c r="E545" t="s">
        <v>984</v>
      </c>
      <c r="F545">
        <v>201.45</v>
      </c>
      <c r="G545">
        <v>201.45</v>
      </c>
      <c r="H545">
        <v>203</v>
      </c>
      <c r="I545">
        <v>186.4</v>
      </c>
      <c r="J545" s="1">
        <v>188.35</v>
      </c>
      <c r="K545">
        <v>1578679037.8499999</v>
      </c>
      <c r="L545">
        <v>8282655</v>
      </c>
      <c r="M545" t="s">
        <v>78</v>
      </c>
      <c r="N545" t="s">
        <v>17</v>
      </c>
      <c r="O545">
        <v>81643</v>
      </c>
      <c r="P545">
        <v>304.7</v>
      </c>
      <c r="Q545">
        <v>186.4</v>
      </c>
    </row>
    <row r="546" spans="2:17" x14ac:dyDescent="0.25">
      <c r="B546" t="s">
        <v>78</v>
      </c>
      <c r="C546" t="s">
        <v>79</v>
      </c>
      <c r="D546" t="s">
        <v>3124</v>
      </c>
      <c r="E546" t="s">
        <v>3125</v>
      </c>
      <c r="F546">
        <v>377</v>
      </c>
      <c r="G546">
        <v>381</v>
      </c>
      <c r="H546">
        <v>381.05</v>
      </c>
      <c r="I546">
        <v>366</v>
      </c>
      <c r="J546" s="1">
        <v>368.65</v>
      </c>
      <c r="K546">
        <v>5745480.5499999998</v>
      </c>
      <c r="L546">
        <v>15336</v>
      </c>
      <c r="M546" t="s">
        <v>78</v>
      </c>
      <c r="N546" t="s">
        <v>17</v>
      </c>
      <c r="O546">
        <v>907</v>
      </c>
      <c r="P546">
        <v>534.95000000000005</v>
      </c>
      <c r="Q546">
        <v>366</v>
      </c>
    </row>
    <row r="547" spans="2:17" x14ac:dyDescent="0.25">
      <c r="B547" t="s">
        <v>78</v>
      </c>
      <c r="C547" t="s">
        <v>79</v>
      </c>
      <c r="D547" t="s">
        <v>985</v>
      </c>
      <c r="E547" t="s">
        <v>986</v>
      </c>
      <c r="F547">
        <v>37.549999999999997</v>
      </c>
      <c r="G547">
        <v>37.549999999999997</v>
      </c>
      <c r="H547">
        <v>39.049999999999997</v>
      </c>
      <c r="I547">
        <v>36.549999999999997</v>
      </c>
      <c r="J547" s="1">
        <v>37.549999999999997</v>
      </c>
      <c r="K547">
        <v>7151809.5</v>
      </c>
      <c r="L547">
        <v>188375</v>
      </c>
      <c r="M547" t="s">
        <v>78</v>
      </c>
      <c r="N547" t="s">
        <v>17</v>
      </c>
      <c r="O547">
        <v>1469</v>
      </c>
      <c r="P547">
        <v>50.8</v>
      </c>
      <c r="Q547">
        <v>29.7</v>
      </c>
    </row>
    <row r="548" spans="2:17" x14ac:dyDescent="0.25">
      <c r="B548" t="s">
        <v>78</v>
      </c>
      <c r="C548" t="s">
        <v>79</v>
      </c>
      <c r="D548" t="s">
        <v>6760</v>
      </c>
      <c r="E548" t="s">
        <v>6759</v>
      </c>
      <c r="F548">
        <v>528.79999999999995</v>
      </c>
      <c r="G548">
        <v>530</v>
      </c>
      <c r="H548">
        <v>530</v>
      </c>
      <c r="I548">
        <v>515</v>
      </c>
      <c r="J548" s="1">
        <v>520.45000000000005</v>
      </c>
      <c r="K548">
        <v>3769413.1</v>
      </c>
      <c r="L548">
        <v>7238</v>
      </c>
      <c r="M548" t="s">
        <v>78</v>
      </c>
      <c r="N548" t="s">
        <v>17</v>
      </c>
      <c r="O548">
        <v>374</v>
      </c>
      <c r="P548">
        <v>582</v>
      </c>
      <c r="Q548">
        <v>319.55</v>
      </c>
    </row>
    <row r="549" spans="2:17" x14ac:dyDescent="0.25">
      <c r="B549" t="s">
        <v>78</v>
      </c>
      <c r="C549" t="s">
        <v>79</v>
      </c>
      <c r="D549" t="s">
        <v>989</v>
      </c>
      <c r="E549" t="s">
        <v>990</v>
      </c>
      <c r="F549">
        <v>31.55</v>
      </c>
      <c r="G549">
        <v>32.35</v>
      </c>
      <c r="H549">
        <v>32.35</v>
      </c>
      <c r="I549">
        <v>30</v>
      </c>
      <c r="J549" s="1">
        <v>30.2</v>
      </c>
      <c r="K549">
        <v>3759102.85</v>
      </c>
      <c r="L549">
        <v>122336</v>
      </c>
      <c r="M549" t="s">
        <v>78</v>
      </c>
      <c r="N549" t="s">
        <v>17</v>
      </c>
      <c r="O549">
        <v>1005</v>
      </c>
      <c r="P549">
        <v>62.45</v>
      </c>
      <c r="Q549">
        <v>29.5</v>
      </c>
    </row>
    <row r="550" spans="2:17" x14ac:dyDescent="0.25">
      <c r="B550" t="s">
        <v>78</v>
      </c>
      <c r="C550" t="s">
        <v>79</v>
      </c>
      <c r="D550" t="s">
        <v>991</v>
      </c>
      <c r="E550" t="s">
        <v>992</v>
      </c>
      <c r="F550">
        <v>36.1</v>
      </c>
      <c r="G550">
        <v>36.4</v>
      </c>
      <c r="H550">
        <v>36.450000000000003</v>
      </c>
      <c r="I550">
        <v>35.25</v>
      </c>
      <c r="J550" s="1">
        <v>35.700000000000003</v>
      </c>
      <c r="K550">
        <v>39661639.549999997</v>
      </c>
      <c r="L550">
        <v>1109952</v>
      </c>
      <c r="M550" t="s">
        <v>78</v>
      </c>
      <c r="N550" t="s">
        <v>17</v>
      </c>
      <c r="O550">
        <v>3894</v>
      </c>
      <c r="P550">
        <v>56.7</v>
      </c>
      <c r="Q550">
        <v>35</v>
      </c>
    </row>
    <row r="551" spans="2:17" x14ac:dyDescent="0.25">
      <c r="B551" t="s">
        <v>78</v>
      </c>
      <c r="C551" t="s">
        <v>79</v>
      </c>
      <c r="D551" t="s">
        <v>3126</v>
      </c>
      <c r="E551" t="s">
        <v>3127</v>
      </c>
      <c r="F551">
        <v>0.25</v>
      </c>
      <c r="G551">
        <v>0.25</v>
      </c>
      <c r="H551">
        <v>0.3</v>
      </c>
      <c r="I551">
        <v>0.25</v>
      </c>
      <c r="J551" s="1">
        <v>0.3</v>
      </c>
      <c r="K551">
        <v>661903</v>
      </c>
      <c r="L551">
        <v>2472644</v>
      </c>
      <c r="M551" t="s">
        <v>78</v>
      </c>
      <c r="N551" t="s">
        <v>17</v>
      </c>
      <c r="O551">
        <v>376</v>
      </c>
      <c r="P551">
        <v>0.3</v>
      </c>
      <c r="Q551">
        <v>0.15</v>
      </c>
    </row>
    <row r="552" spans="2:17" x14ac:dyDescent="0.25">
      <c r="B552" t="s">
        <v>78</v>
      </c>
      <c r="C552" t="s">
        <v>79</v>
      </c>
      <c r="D552" t="s">
        <v>993</v>
      </c>
      <c r="E552" t="s">
        <v>994</v>
      </c>
      <c r="F552">
        <v>163.4</v>
      </c>
      <c r="G552">
        <v>163</v>
      </c>
      <c r="H552">
        <v>163</v>
      </c>
      <c r="I552">
        <v>155.19999999999999</v>
      </c>
      <c r="J552" s="1">
        <v>158.80000000000001</v>
      </c>
      <c r="K552">
        <v>8697981.5</v>
      </c>
      <c r="L552">
        <v>54882</v>
      </c>
      <c r="M552" t="s">
        <v>78</v>
      </c>
      <c r="N552" t="s">
        <v>17</v>
      </c>
      <c r="O552">
        <v>1762</v>
      </c>
      <c r="P552">
        <v>269.2</v>
      </c>
      <c r="Q552">
        <v>148.30000000000001</v>
      </c>
    </row>
    <row r="553" spans="2:17" x14ac:dyDescent="0.25">
      <c r="B553" t="s">
        <v>78</v>
      </c>
      <c r="C553" t="s">
        <v>79</v>
      </c>
      <c r="D553" t="s">
        <v>995</v>
      </c>
      <c r="E553" t="s">
        <v>996</v>
      </c>
      <c r="F553">
        <v>99.15</v>
      </c>
      <c r="G553">
        <v>99.95</v>
      </c>
      <c r="H553">
        <v>99.95</v>
      </c>
      <c r="I553">
        <v>98.3</v>
      </c>
      <c r="J553" s="1">
        <v>98.8</v>
      </c>
      <c r="K553">
        <v>1297488219.75</v>
      </c>
      <c r="L553">
        <v>13106559</v>
      </c>
      <c r="M553" t="s">
        <v>78</v>
      </c>
      <c r="N553" t="s">
        <v>17</v>
      </c>
      <c r="O553">
        <v>50948</v>
      </c>
      <c r="P553">
        <v>110.4</v>
      </c>
      <c r="Q553">
        <v>67.05</v>
      </c>
    </row>
    <row r="554" spans="2:17" x14ac:dyDescent="0.25">
      <c r="B554" t="s">
        <v>78</v>
      </c>
      <c r="C554" t="s">
        <v>79</v>
      </c>
      <c r="D554" t="s">
        <v>997</v>
      </c>
      <c r="E554" t="s">
        <v>998</v>
      </c>
      <c r="F554">
        <v>30.05</v>
      </c>
      <c r="G554">
        <v>29.9</v>
      </c>
      <c r="H554">
        <v>30.25</v>
      </c>
      <c r="I554">
        <v>27.65</v>
      </c>
      <c r="J554" s="1">
        <v>29.8</v>
      </c>
      <c r="K554">
        <v>17678901.149999999</v>
      </c>
      <c r="L554">
        <v>603020</v>
      </c>
      <c r="M554" t="s">
        <v>78</v>
      </c>
      <c r="N554" t="s">
        <v>17</v>
      </c>
      <c r="O554">
        <v>1495</v>
      </c>
      <c r="P554">
        <v>50.95</v>
      </c>
      <c r="Q554">
        <v>27.65</v>
      </c>
    </row>
    <row r="555" spans="2:17" x14ac:dyDescent="0.25">
      <c r="B555" t="s">
        <v>78</v>
      </c>
      <c r="C555" t="s">
        <v>79</v>
      </c>
      <c r="D555" t="s">
        <v>999</v>
      </c>
      <c r="E555" t="s">
        <v>998</v>
      </c>
      <c r="F555">
        <v>27.7</v>
      </c>
      <c r="G555">
        <v>27.4</v>
      </c>
      <c r="H555">
        <v>29.7</v>
      </c>
      <c r="I555">
        <v>27.15</v>
      </c>
      <c r="J555" s="1">
        <v>28.25</v>
      </c>
      <c r="K555">
        <v>193283.15</v>
      </c>
      <c r="L555">
        <v>6896</v>
      </c>
      <c r="M555" t="s">
        <v>78</v>
      </c>
      <c r="N555" t="s">
        <v>17</v>
      </c>
      <c r="O555">
        <v>115</v>
      </c>
      <c r="P555">
        <v>49</v>
      </c>
      <c r="Q555">
        <v>26.5</v>
      </c>
    </row>
    <row r="556" spans="2:17" x14ac:dyDescent="0.25">
      <c r="B556" t="s">
        <v>78</v>
      </c>
      <c r="C556" t="s">
        <v>79</v>
      </c>
      <c r="D556" t="s">
        <v>1002</v>
      </c>
      <c r="E556" t="s">
        <v>1003</v>
      </c>
      <c r="F556">
        <v>418.1</v>
      </c>
      <c r="G556">
        <v>421</v>
      </c>
      <c r="H556">
        <v>426.75</v>
      </c>
      <c r="I556">
        <v>405</v>
      </c>
      <c r="J556" s="1">
        <v>411.15</v>
      </c>
      <c r="K556">
        <v>4472060.95</v>
      </c>
      <c r="L556">
        <v>10923</v>
      </c>
      <c r="M556" t="s">
        <v>78</v>
      </c>
      <c r="N556" t="s">
        <v>17</v>
      </c>
      <c r="O556">
        <v>568</v>
      </c>
      <c r="P556">
        <v>807.9</v>
      </c>
      <c r="Q556">
        <v>404.55</v>
      </c>
    </row>
    <row r="557" spans="2:17" x14ac:dyDescent="0.25">
      <c r="B557" t="s">
        <v>78</v>
      </c>
      <c r="C557" t="s">
        <v>79</v>
      </c>
      <c r="D557" t="s">
        <v>1004</v>
      </c>
      <c r="E557" t="s">
        <v>1005</v>
      </c>
      <c r="F557">
        <v>48.55</v>
      </c>
      <c r="G557">
        <v>47.6</v>
      </c>
      <c r="H557">
        <v>49.5</v>
      </c>
      <c r="I557">
        <v>47.15</v>
      </c>
      <c r="J557" s="1">
        <v>48.75</v>
      </c>
      <c r="K557">
        <v>20555248.449999999</v>
      </c>
      <c r="L557">
        <v>423136</v>
      </c>
      <c r="M557" t="s">
        <v>78</v>
      </c>
      <c r="N557" t="s">
        <v>17</v>
      </c>
      <c r="O557">
        <v>2451</v>
      </c>
      <c r="P557">
        <v>66.3</v>
      </c>
      <c r="Q557">
        <v>33.5</v>
      </c>
    </row>
    <row r="558" spans="2:17" x14ac:dyDescent="0.25">
      <c r="B558" t="s">
        <v>78</v>
      </c>
      <c r="C558" t="s">
        <v>79</v>
      </c>
      <c r="D558" t="s">
        <v>1006</v>
      </c>
      <c r="E558" t="s">
        <v>1007</v>
      </c>
      <c r="F558">
        <v>384.65</v>
      </c>
      <c r="G558">
        <v>387.4</v>
      </c>
      <c r="H558">
        <v>392</v>
      </c>
      <c r="I558">
        <v>383.95</v>
      </c>
      <c r="J558" s="1">
        <v>385.3</v>
      </c>
      <c r="K558">
        <v>8572720</v>
      </c>
      <c r="L558">
        <v>22191</v>
      </c>
      <c r="M558" t="s">
        <v>78</v>
      </c>
      <c r="N558" t="s">
        <v>17</v>
      </c>
      <c r="O558">
        <v>1050</v>
      </c>
      <c r="P558">
        <v>648.9</v>
      </c>
      <c r="Q558">
        <v>357</v>
      </c>
    </row>
    <row r="559" spans="2:17" x14ac:dyDescent="0.25">
      <c r="B559" t="s">
        <v>78</v>
      </c>
      <c r="C559" t="s">
        <v>79</v>
      </c>
      <c r="D559" t="s">
        <v>1008</v>
      </c>
      <c r="E559" t="s">
        <v>1009</v>
      </c>
      <c r="F559">
        <v>1462.95</v>
      </c>
      <c r="G559">
        <v>1462</v>
      </c>
      <c r="H559">
        <v>1479.7</v>
      </c>
      <c r="I559">
        <v>1393.35</v>
      </c>
      <c r="J559" s="1">
        <v>1404.25</v>
      </c>
      <c r="K559">
        <v>23176204.899999999</v>
      </c>
      <c r="L559">
        <v>16206</v>
      </c>
      <c r="M559" t="s">
        <v>78</v>
      </c>
      <c r="N559" t="s">
        <v>17</v>
      </c>
      <c r="O559">
        <v>975</v>
      </c>
      <c r="P559">
        <v>1651</v>
      </c>
      <c r="Q559">
        <v>735</v>
      </c>
    </row>
    <row r="560" spans="2:17" x14ac:dyDescent="0.25">
      <c r="B560" t="s">
        <v>78</v>
      </c>
      <c r="C560" t="s">
        <v>79</v>
      </c>
      <c r="D560" t="s">
        <v>1010</v>
      </c>
      <c r="E560" t="s">
        <v>1011</v>
      </c>
      <c r="F560">
        <v>516.1</v>
      </c>
      <c r="G560">
        <v>516.1</v>
      </c>
      <c r="H560">
        <v>528</v>
      </c>
      <c r="I560">
        <v>515</v>
      </c>
      <c r="J560" s="1">
        <v>524.95000000000005</v>
      </c>
      <c r="K560">
        <v>24502710.850000001</v>
      </c>
      <c r="L560">
        <v>46906</v>
      </c>
      <c r="M560" t="s">
        <v>78</v>
      </c>
      <c r="N560" t="s">
        <v>17</v>
      </c>
      <c r="O560">
        <v>2253</v>
      </c>
      <c r="P560">
        <v>645.35</v>
      </c>
      <c r="Q560">
        <v>437</v>
      </c>
    </row>
    <row r="561" spans="2:17" x14ac:dyDescent="0.25">
      <c r="B561" t="s">
        <v>78</v>
      </c>
      <c r="C561" t="s">
        <v>79</v>
      </c>
      <c r="D561" t="s">
        <v>3128</v>
      </c>
      <c r="E561" t="s">
        <v>3129</v>
      </c>
      <c r="F561">
        <v>23.45</v>
      </c>
      <c r="G561">
        <v>23</v>
      </c>
      <c r="H561">
        <v>25.45</v>
      </c>
      <c r="I561">
        <v>23</v>
      </c>
      <c r="J561" s="1">
        <v>23.8</v>
      </c>
      <c r="K561">
        <v>84179.05</v>
      </c>
      <c r="L561">
        <v>3579</v>
      </c>
      <c r="M561" t="s">
        <v>78</v>
      </c>
      <c r="N561" t="s">
        <v>17</v>
      </c>
      <c r="O561">
        <v>128</v>
      </c>
      <c r="P561">
        <v>66.3</v>
      </c>
      <c r="Q561">
        <v>22.25</v>
      </c>
    </row>
    <row r="562" spans="2:17" x14ac:dyDescent="0.25">
      <c r="B562" t="s">
        <v>78</v>
      </c>
      <c r="C562" t="s">
        <v>79</v>
      </c>
      <c r="D562" t="s">
        <v>1012</v>
      </c>
      <c r="E562" t="s">
        <v>1013</v>
      </c>
      <c r="F562">
        <v>457.85</v>
      </c>
      <c r="G562">
        <v>456</v>
      </c>
      <c r="H562">
        <v>461.95</v>
      </c>
      <c r="I562">
        <v>445</v>
      </c>
      <c r="J562" s="1">
        <v>450.05</v>
      </c>
      <c r="K562">
        <v>9530669.25</v>
      </c>
      <c r="L562">
        <v>21051</v>
      </c>
      <c r="M562" t="s">
        <v>78</v>
      </c>
      <c r="N562" t="s">
        <v>17</v>
      </c>
      <c r="O562">
        <v>1442</v>
      </c>
      <c r="P562">
        <v>504.35</v>
      </c>
      <c r="Q562">
        <v>357.3</v>
      </c>
    </row>
    <row r="563" spans="2:17" x14ac:dyDescent="0.25">
      <c r="B563" t="s">
        <v>78</v>
      </c>
      <c r="C563" t="s">
        <v>79</v>
      </c>
      <c r="D563" t="s">
        <v>1016</v>
      </c>
      <c r="E563" t="s">
        <v>1017</v>
      </c>
      <c r="F563">
        <v>563.25</v>
      </c>
      <c r="G563">
        <v>560.20000000000005</v>
      </c>
      <c r="H563">
        <v>569</v>
      </c>
      <c r="I563">
        <v>544.1</v>
      </c>
      <c r="J563" s="1">
        <v>546.20000000000005</v>
      </c>
      <c r="K563">
        <v>3568903.3</v>
      </c>
      <c r="L563">
        <v>6414</v>
      </c>
      <c r="M563" t="s">
        <v>78</v>
      </c>
      <c r="N563" t="s">
        <v>17</v>
      </c>
      <c r="O563">
        <v>414</v>
      </c>
      <c r="P563">
        <v>613.65</v>
      </c>
      <c r="Q563">
        <v>392.15</v>
      </c>
    </row>
    <row r="564" spans="2:17" x14ac:dyDescent="0.25">
      <c r="B564" t="s">
        <v>78</v>
      </c>
      <c r="C564" t="s">
        <v>79</v>
      </c>
      <c r="D564" t="s">
        <v>1018</v>
      </c>
      <c r="E564" t="s">
        <v>1019</v>
      </c>
      <c r="F564">
        <v>32.25</v>
      </c>
      <c r="G564">
        <v>30.7</v>
      </c>
      <c r="H564">
        <v>32.799999999999997</v>
      </c>
      <c r="I564">
        <v>30.65</v>
      </c>
      <c r="J564" s="1">
        <v>30.8</v>
      </c>
      <c r="K564">
        <v>253097.1</v>
      </c>
      <c r="L564">
        <v>8208</v>
      </c>
      <c r="M564" t="s">
        <v>78</v>
      </c>
      <c r="N564" t="s">
        <v>17</v>
      </c>
      <c r="O564">
        <v>97</v>
      </c>
      <c r="P564">
        <v>109.8</v>
      </c>
      <c r="Q564">
        <v>30.65</v>
      </c>
    </row>
    <row r="565" spans="2:17" x14ac:dyDescent="0.25">
      <c r="B565" t="s">
        <v>78</v>
      </c>
      <c r="C565" t="s">
        <v>287</v>
      </c>
      <c r="D565" t="s">
        <v>1020</v>
      </c>
      <c r="E565" t="s">
        <v>1021</v>
      </c>
      <c r="F565">
        <v>150</v>
      </c>
      <c r="G565">
        <v>156.94999999999999</v>
      </c>
      <c r="H565">
        <v>156.94999999999999</v>
      </c>
      <c r="I565">
        <v>142.5</v>
      </c>
      <c r="J565" s="1">
        <v>144.05000000000001</v>
      </c>
      <c r="K565">
        <v>2631350</v>
      </c>
      <c r="L565">
        <v>18000</v>
      </c>
      <c r="M565" t="s">
        <v>78</v>
      </c>
      <c r="N565" t="s">
        <v>17</v>
      </c>
      <c r="O565">
        <v>15</v>
      </c>
      <c r="P565">
        <v>182.7</v>
      </c>
      <c r="Q565">
        <v>113.55</v>
      </c>
    </row>
    <row r="566" spans="2:17" x14ac:dyDescent="0.25">
      <c r="B566" t="s">
        <v>78</v>
      </c>
      <c r="C566" t="s">
        <v>79</v>
      </c>
      <c r="D566" t="s">
        <v>1024</v>
      </c>
      <c r="E566" t="s">
        <v>1025</v>
      </c>
      <c r="F566">
        <v>129.4</v>
      </c>
      <c r="G566">
        <v>129.1</v>
      </c>
      <c r="H566">
        <v>130.25</v>
      </c>
      <c r="I566">
        <v>128.6</v>
      </c>
      <c r="J566" s="1">
        <v>129.6</v>
      </c>
      <c r="K566">
        <v>44050204.25</v>
      </c>
      <c r="L566">
        <v>340608</v>
      </c>
      <c r="M566" t="s">
        <v>78</v>
      </c>
      <c r="N566" t="s">
        <v>17</v>
      </c>
      <c r="O566">
        <v>6096</v>
      </c>
      <c r="P566">
        <v>153</v>
      </c>
      <c r="Q566">
        <v>121.25</v>
      </c>
    </row>
    <row r="567" spans="2:17" x14ac:dyDescent="0.25">
      <c r="B567" t="s">
        <v>78</v>
      </c>
      <c r="C567" t="s">
        <v>79</v>
      </c>
      <c r="D567" t="s">
        <v>1026</v>
      </c>
      <c r="E567" t="s">
        <v>1027</v>
      </c>
      <c r="F567">
        <v>1229.95</v>
      </c>
      <c r="G567">
        <v>1248.95</v>
      </c>
      <c r="H567">
        <v>1248.95</v>
      </c>
      <c r="I567">
        <v>1211.4000000000001</v>
      </c>
      <c r="J567" s="1">
        <v>1218.8</v>
      </c>
      <c r="K567">
        <v>361457.05</v>
      </c>
      <c r="L567">
        <v>296</v>
      </c>
      <c r="M567" t="s">
        <v>78</v>
      </c>
      <c r="N567" t="s">
        <v>17</v>
      </c>
      <c r="O567">
        <v>48</v>
      </c>
      <c r="P567">
        <v>1818</v>
      </c>
      <c r="Q567">
        <v>1200</v>
      </c>
    </row>
    <row r="568" spans="2:17" x14ac:dyDescent="0.25">
      <c r="B568" t="s">
        <v>78</v>
      </c>
      <c r="C568" t="s">
        <v>79</v>
      </c>
      <c r="D568" t="s">
        <v>1028</v>
      </c>
      <c r="E568" t="s">
        <v>1029</v>
      </c>
      <c r="F568">
        <v>424.05</v>
      </c>
      <c r="G568">
        <v>426.95</v>
      </c>
      <c r="H568">
        <v>436.9</v>
      </c>
      <c r="I568">
        <v>420.5</v>
      </c>
      <c r="J568" s="1">
        <v>424.85</v>
      </c>
      <c r="K568">
        <v>75319525.150000006</v>
      </c>
      <c r="L568">
        <v>175851</v>
      </c>
      <c r="M568" t="s">
        <v>78</v>
      </c>
      <c r="N568" t="s">
        <v>17</v>
      </c>
      <c r="O568">
        <v>4973</v>
      </c>
      <c r="P568">
        <v>594</v>
      </c>
      <c r="Q568">
        <v>398</v>
      </c>
    </row>
    <row r="569" spans="2:17" x14ac:dyDescent="0.25">
      <c r="B569" t="s">
        <v>78</v>
      </c>
      <c r="C569" t="s">
        <v>79</v>
      </c>
      <c r="D569" t="s">
        <v>3130</v>
      </c>
      <c r="E569" t="s">
        <v>3131</v>
      </c>
      <c r="F569">
        <v>591.54999999999995</v>
      </c>
      <c r="G569">
        <v>590</v>
      </c>
      <c r="H569">
        <v>592</v>
      </c>
      <c r="I569">
        <v>556.1</v>
      </c>
      <c r="J569" s="1">
        <v>561.6</v>
      </c>
      <c r="K569">
        <v>2555351.2000000002</v>
      </c>
      <c r="L569">
        <v>4470</v>
      </c>
      <c r="M569" t="s">
        <v>78</v>
      </c>
      <c r="N569" t="s">
        <v>17</v>
      </c>
      <c r="O569">
        <v>604</v>
      </c>
      <c r="P569">
        <v>710.8</v>
      </c>
      <c r="Q569">
        <v>533.95000000000005</v>
      </c>
    </row>
    <row r="570" spans="2:17" x14ac:dyDescent="0.25">
      <c r="B570" t="s">
        <v>78</v>
      </c>
      <c r="C570" t="s">
        <v>79</v>
      </c>
      <c r="D570" t="s">
        <v>1030</v>
      </c>
      <c r="E570" t="s">
        <v>1031</v>
      </c>
      <c r="F570">
        <v>53.2</v>
      </c>
      <c r="G570">
        <v>53.45</v>
      </c>
      <c r="H570">
        <v>53.45</v>
      </c>
      <c r="I570">
        <v>51.2</v>
      </c>
      <c r="J570" s="1">
        <v>51.55</v>
      </c>
      <c r="K570">
        <v>121340804.09999999</v>
      </c>
      <c r="L570">
        <v>2337537</v>
      </c>
      <c r="M570" t="s">
        <v>78</v>
      </c>
      <c r="N570" t="s">
        <v>17</v>
      </c>
      <c r="O570">
        <v>6414</v>
      </c>
      <c r="P570">
        <v>77.3</v>
      </c>
      <c r="Q570">
        <v>39.200000000000003</v>
      </c>
    </row>
    <row r="571" spans="2:17" x14ac:dyDescent="0.25">
      <c r="B571" t="s">
        <v>78</v>
      </c>
      <c r="C571" t="s">
        <v>79</v>
      </c>
      <c r="D571" t="s">
        <v>1032</v>
      </c>
      <c r="E571" t="s">
        <v>1033</v>
      </c>
      <c r="F571">
        <v>103.35</v>
      </c>
      <c r="G571">
        <v>102.5</v>
      </c>
      <c r="H571">
        <v>105.6</v>
      </c>
      <c r="I571">
        <v>98.15</v>
      </c>
      <c r="J571" s="1">
        <v>99.25</v>
      </c>
      <c r="K571">
        <v>4565171.8499999996</v>
      </c>
      <c r="L571">
        <v>45671</v>
      </c>
      <c r="M571" t="s">
        <v>78</v>
      </c>
      <c r="N571" t="s">
        <v>17</v>
      </c>
      <c r="O571">
        <v>1368</v>
      </c>
      <c r="P571">
        <v>158.80000000000001</v>
      </c>
      <c r="Q571">
        <v>98</v>
      </c>
    </row>
    <row r="572" spans="2:17" x14ac:dyDescent="0.25">
      <c r="B572" t="s">
        <v>78</v>
      </c>
      <c r="C572" t="s">
        <v>79</v>
      </c>
      <c r="D572" t="s">
        <v>1034</v>
      </c>
      <c r="E572" t="s">
        <v>1035</v>
      </c>
      <c r="F572">
        <v>139.15</v>
      </c>
      <c r="G572">
        <v>140</v>
      </c>
      <c r="H572">
        <v>140</v>
      </c>
      <c r="I572">
        <v>137</v>
      </c>
      <c r="J572" s="1">
        <v>138.65</v>
      </c>
      <c r="K572">
        <v>3389803.65</v>
      </c>
      <c r="L572">
        <v>24482</v>
      </c>
      <c r="M572" t="s">
        <v>78</v>
      </c>
      <c r="N572" t="s">
        <v>17</v>
      </c>
      <c r="O572">
        <v>1031</v>
      </c>
      <c r="P572">
        <v>264.55</v>
      </c>
      <c r="Q572">
        <v>131.1</v>
      </c>
    </row>
    <row r="573" spans="2:17" x14ac:dyDescent="0.25">
      <c r="B573" t="s">
        <v>78</v>
      </c>
      <c r="C573" t="s">
        <v>79</v>
      </c>
      <c r="D573" t="s">
        <v>3132</v>
      </c>
      <c r="E573" t="s">
        <v>3133</v>
      </c>
      <c r="F573">
        <v>3.75</v>
      </c>
      <c r="G573">
        <v>3.65</v>
      </c>
      <c r="H573">
        <v>3.75</v>
      </c>
      <c r="I573">
        <v>3.55</v>
      </c>
      <c r="J573" s="1">
        <v>3.75</v>
      </c>
      <c r="K573">
        <v>6390.4</v>
      </c>
      <c r="L573">
        <v>1754</v>
      </c>
      <c r="M573" t="s">
        <v>78</v>
      </c>
      <c r="N573" t="s">
        <v>17</v>
      </c>
      <c r="O573">
        <v>36</v>
      </c>
      <c r="P573">
        <v>10.8</v>
      </c>
      <c r="Q573">
        <v>2.9</v>
      </c>
    </row>
    <row r="574" spans="2:17" x14ac:dyDescent="0.25">
      <c r="B574" t="s">
        <v>78</v>
      </c>
      <c r="C574" t="s">
        <v>79</v>
      </c>
      <c r="D574" t="s">
        <v>1036</v>
      </c>
      <c r="E574" t="s">
        <v>1037</v>
      </c>
      <c r="F574">
        <v>1238.1500000000001</v>
      </c>
      <c r="G574">
        <v>1232.05</v>
      </c>
      <c r="H574">
        <v>1232.05</v>
      </c>
      <c r="I574">
        <v>1215.3499999999999</v>
      </c>
      <c r="J574" s="1">
        <v>1220.05</v>
      </c>
      <c r="K574">
        <v>6962572.5999999996</v>
      </c>
      <c r="L574">
        <v>5704</v>
      </c>
      <c r="M574" t="s">
        <v>78</v>
      </c>
      <c r="N574" t="s">
        <v>17</v>
      </c>
      <c r="O574">
        <v>396</v>
      </c>
      <c r="P574">
        <v>1409.95</v>
      </c>
      <c r="Q574">
        <v>871.8</v>
      </c>
    </row>
    <row r="575" spans="2:17" x14ac:dyDescent="0.25">
      <c r="B575" t="s">
        <v>78</v>
      </c>
      <c r="C575" t="s">
        <v>79</v>
      </c>
      <c r="D575" t="s">
        <v>1038</v>
      </c>
      <c r="E575" t="s">
        <v>1039</v>
      </c>
      <c r="F575">
        <v>35.65</v>
      </c>
      <c r="G575">
        <v>35.700000000000003</v>
      </c>
      <c r="H575">
        <v>37</v>
      </c>
      <c r="I575">
        <v>34</v>
      </c>
      <c r="J575" s="1">
        <v>35.450000000000003</v>
      </c>
      <c r="K575">
        <v>241271.25</v>
      </c>
      <c r="L575">
        <v>6843</v>
      </c>
      <c r="M575" t="s">
        <v>78</v>
      </c>
      <c r="N575" t="s">
        <v>17</v>
      </c>
      <c r="O575">
        <v>93</v>
      </c>
      <c r="P575">
        <v>66</v>
      </c>
      <c r="Q575">
        <v>34</v>
      </c>
    </row>
    <row r="576" spans="2:17" x14ac:dyDescent="0.25">
      <c r="B576" t="s">
        <v>78</v>
      </c>
      <c r="C576" t="s">
        <v>79</v>
      </c>
      <c r="D576" t="s">
        <v>1040</v>
      </c>
      <c r="E576" t="s">
        <v>1041</v>
      </c>
      <c r="F576">
        <v>30.35</v>
      </c>
      <c r="G576">
        <v>30.55</v>
      </c>
      <c r="H576">
        <v>31.2</v>
      </c>
      <c r="I576">
        <v>30</v>
      </c>
      <c r="J576" s="1">
        <v>30</v>
      </c>
      <c r="K576">
        <v>959496.8</v>
      </c>
      <c r="L576">
        <v>31787</v>
      </c>
      <c r="M576" t="s">
        <v>78</v>
      </c>
      <c r="N576" t="s">
        <v>17</v>
      </c>
      <c r="O576">
        <v>148</v>
      </c>
      <c r="P576">
        <v>342.45</v>
      </c>
      <c r="Q576">
        <v>27.1</v>
      </c>
    </row>
    <row r="577" spans="2:17" x14ac:dyDescent="0.25">
      <c r="B577" t="s">
        <v>78</v>
      </c>
      <c r="C577" t="s">
        <v>79</v>
      </c>
      <c r="D577" t="s">
        <v>1042</v>
      </c>
      <c r="E577" t="s">
        <v>1043</v>
      </c>
      <c r="F577">
        <v>0.4</v>
      </c>
      <c r="G577">
        <v>0.4</v>
      </c>
      <c r="H577">
        <v>0.4</v>
      </c>
      <c r="I577">
        <v>0.35</v>
      </c>
      <c r="J577" s="1">
        <v>0.35</v>
      </c>
      <c r="K577">
        <v>394830.95</v>
      </c>
      <c r="L577">
        <v>1104232</v>
      </c>
      <c r="M577" t="s">
        <v>78</v>
      </c>
      <c r="N577" t="s">
        <v>17</v>
      </c>
      <c r="O577">
        <v>144</v>
      </c>
      <c r="P577">
        <v>1.4</v>
      </c>
      <c r="Q577">
        <v>0.35</v>
      </c>
    </row>
    <row r="578" spans="2:17" x14ac:dyDescent="0.25">
      <c r="B578" t="s">
        <v>78</v>
      </c>
      <c r="C578" t="s">
        <v>79</v>
      </c>
      <c r="D578" t="s">
        <v>1044</v>
      </c>
      <c r="E578" t="s">
        <v>1045</v>
      </c>
      <c r="F578">
        <v>333.15</v>
      </c>
      <c r="G578">
        <v>327</v>
      </c>
      <c r="H578">
        <v>344</v>
      </c>
      <c r="I578">
        <v>327</v>
      </c>
      <c r="J578" s="1">
        <v>331.5</v>
      </c>
      <c r="K578">
        <v>199265.95</v>
      </c>
      <c r="L578">
        <v>599</v>
      </c>
      <c r="M578" t="s">
        <v>78</v>
      </c>
      <c r="N578" t="s">
        <v>17</v>
      </c>
      <c r="O578">
        <v>55</v>
      </c>
      <c r="P578">
        <v>416.9</v>
      </c>
      <c r="Q578">
        <v>326</v>
      </c>
    </row>
    <row r="579" spans="2:17" x14ac:dyDescent="0.25">
      <c r="B579" t="s">
        <v>78</v>
      </c>
      <c r="C579" t="s">
        <v>79</v>
      </c>
      <c r="D579" t="s">
        <v>1046</v>
      </c>
      <c r="E579" t="s">
        <v>1047</v>
      </c>
      <c r="F579">
        <v>271.85000000000002</v>
      </c>
      <c r="G579">
        <v>271.2</v>
      </c>
      <c r="H579">
        <v>276.10000000000002</v>
      </c>
      <c r="I579">
        <v>262</v>
      </c>
      <c r="J579" s="1">
        <v>265.10000000000002</v>
      </c>
      <c r="K579">
        <v>2254021.25</v>
      </c>
      <c r="L579">
        <v>8416</v>
      </c>
      <c r="M579" t="s">
        <v>78</v>
      </c>
      <c r="N579" t="s">
        <v>17</v>
      </c>
      <c r="O579">
        <v>328</v>
      </c>
      <c r="P579">
        <v>379.75</v>
      </c>
      <c r="Q579">
        <v>231.75</v>
      </c>
    </row>
    <row r="580" spans="2:17" x14ac:dyDescent="0.25">
      <c r="B580" t="s">
        <v>78</v>
      </c>
      <c r="C580" t="s">
        <v>79</v>
      </c>
      <c r="D580" t="s">
        <v>3134</v>
      </c>
      <c r="E580" t="s">
        <v>3135</v>
      </c>
      <c r="F580">
        <v>37.200000000000003</v>
      </c>
      <c r="G580">
        <v>37.200000000000003</v>
      </c>
      <c r="H580">
        <v>38.9</v>
      </c>
      <c r="I580">
        <v>35.5</v>
      </c>
      <c r="J580" s="1">
        <v>35.75</v>
      </c>
      <c r="K580">
        <v>1241180.45</v>
      </c>
      <c r="L580">
        <v>34020</v>
      </c>
      <c r="M580" t="s">
        <v>78</v>
      </c>
      <c r="N580" t="s">
        <v>17</v>
      </c>
      <c r="O580">
        <v>346</v>
      </c>
      <c r="P580">
        <v>110.65</v>
      </c>
      <c r="Q580">
        <v>35.200000000000003</v>
      </c>
    </row>
    <row r="581" spans="2:17" x14ac:dyDescent="0.25">
      <c r="B581" t="s">
        <v>78</v>
      </c>
      <c r="C581" t="s">
        <v>79</v>
      </c>
      <c r="D581" t="s">
        <v>1050</v>
      </c>
      <c r="E581" t="s">
        <v>1051</v>
      </c>
      <c r="F581">
        <v>41</v>
      </c>
      <c r="G581">
        <v>40.200000000000003</v>
      </c>
      <c r="H581">
        <v>40.5</v>
      </c>
      <c r="I581">
        <v>39</v>
      </c>
      <c r="J581" s="1">
        <v>39.1</v>
      </c>
      <c r="K581">
        <v>229401</v>
      </c>
      <c r="L581">
        <v>5854</v>
      </c>
      <c r="M581" t="s">
        <v>78</v>
      </c>
      <c r="N581" t="s">
        <v>17</v>
      </c>
      <c r="O581">
        <v>18</v>
      </c>
      <c r="P581">
        <v>67.400000000000006</v>
      </c>
      <c r="Q581">
        <v>35.65</v>
      </c>
    </row>
    <row r="582" spans="2:17" x14ac:dyDescent="0.25">
      <c r="B582" t="s">
        <v>78</v>
      </c>
      <c r="C582" t="s">
        <v>79</v>
      </c>
      <c r="D582" t="s">
        <v>6758</v>
      </c>
      <c r="E582" t="s">
        <v>6757</v>
      </c>
      <c r="F582">
        <v>13.1</v>
      </c>
      <c r="G582">
        <v>13.05</v>
      </c>
      <c r="H582">
        <v>13.05</v>
      </c>
      <c r="I582">
        <v>12.65</v>
      </c>
      <c r="J582" s="1">
        <v>12.9</v>
      </c>
      <c r="K582">
        <v>95400.2</v>
      </c>
      <c r="L582">
        <v>7424</v>
      </c>
      <c r="M582" t="s">
        <v>78</v>
      </c>
      <c r="N582" t="s">
        <v>17</v>
      </c>
      <c r="O582">
        <v>101</v>
      </c>
      <c r="P582">
        <v>32.549999999999997</v>
      </c>
      <c r="Q582">
        <v>12.65</v>
      </c>
    </row>
    <row r="583" spans="2:17" x14ac:dyDescent="0.25">
      <c r="B583" t="s">
        <v>78</v>
      </c>
      <c r="C583" t="s">
        <v>79</v>
      </c>
      <c r="D583" t="s">
        <v>1052</v>
      </c>
      <c r="E583" t="s">
        <v>1053</v>
      </c>
      <c r="F583">
        <v>1204.25</v>
      </c>
      <c r="G583">
        <v>1204.4000000000001</v>
      </c>
      <c r="H583">
        <v>1205.3</v>
      </c>
      <c r="I583">
        <v>1151.4000000000001</v>
      </c>
      <c r="J583" s="1">
        <v>1177.6500000000001</v>
      </c>
      <c r="K583">
        <v>5960152.9000000004</v>
      </c>
      <c r="L583">
        <v>5040</v>
      </c>
      <c r="M583" t="s">
        <v>78</v>
      </c>
      <c r="N583" t="s">
        <v>17</v>
      </c>
      <c r="O583">
        <v>374</v>
      </c>
      <c r="P583">
        <v>1338</v>
      </c>
      <c r="Q583">
        <v>963.6</v>
      </c>
    </row>
    <row r="584" spans="2:17" x14ac:dyDescent="0.25">
      <c r="B584" t="s">
        <v>78</v>
      </c>
      <c r="C584" t="s">
        <v>79</v>
      </c>
      <c r="D584" t="s">
        <v>1054</v>
      </c>
      <c r="E584" t="s">
        <v>1055</v>
      </c>
      <c r="F584">
        <v>67.25</v>
      </c>
      <c r="G584">
        <v>67.05</v>
      </c>
      <c r="H584">
        <v>68.400000000000006</v>
      </c>
      <c r="I584">
        <v>61.2</v>
      </c>
      <c r="J584" s="1">
        <v>63.45</v>
      </c>
      <c r="K584">
        <v>47064128.299999997</v>
      </c>
      <c r="L584">
        <v>741160</v>
      </c>
      <c r="M584" t="s">
        <v>78</v>
      </c>
      <c r="N584" t="s">
        <v>17</v>
      </c>
      <c r="O584">
        <v>5528</v>
      </c>
      <c r="P584">
        <v>119.4</v>
      </c>
      <c r="Q584">
        <v>52.7</v>
      </c>
    </row>
    <row r="585" spans="2:17" x14ac:dyDescent="0.25">
      <c r="B585" t="s">
        <v>78</v>
      </c>
      <c r="C585" t="s">
        <v>79</v>
      </c>
      <c r="D585" t="s">
        <v>3138</v>
      </c>
      <c r="E585" t="s">
        <v>3139</v>
      </c>
      <c r="F585">
        <v>0.7</v>
      </c>
      <c r="G585">
        <v>0.7</v>
      </c>
      <c r="H585">
        <v>0.75</v>
      </c>
      <c r="I585">
        <v>0.7</v>
      </c>
      <c r="J585" s="1">
        <v>0.75</v>
      </c>
      <c r="K585">
        <v>12665.45</v>
      </c>
      <c r="L585">
        <v>17766</v>
      </c>
      <c r="M585" t="s">
        <v>78</v>
      </c>
      <c r="N585" t="s">
        <v>17</v>
      </c>
      <c r="O585">
        <v>25</v>
      </c>
      <c r="P585">
        <v>5.8</v>
      </c>
      <c r="Q585">
        <v>0.65</v>
      </c>
    </row>
    <row r="586" spans="2:17" x14ac:dyDescent="0.25">
      <c r="B586" t="s">
        <v>78</v>
      </c>
      <c r="C586" t="s">
        <v>79</v>
      </c>
      <c r="D586" t="s">
        <v>1056</v>
      </c>
      <c r="E586" t="s">
        <v>1057</v>
      </c>
      <c r="F586">
        <v>142.35</v>
      </c>
      <c r="G586">
        <v>143</v>
      </c>
      <c r="H586">
        <v>143</v>
      </c>
      <c r="I586">
        <v>139.5</v>
      </c>
      <c r="J586" s="1">
        <v>140.15</v>
      </c>
      <c r="K586">
        <v>3605784.85</v>
      </c>
      <c r="L586">
        <v>25703</v>
      </c>
      <c r="M586" t="s">
        <v>78</v>
      </c>
      <c r="N586" t="s">
        <v>17</v>
      </c>
      <c r="O586">
        <v>898</v>
      </c>
      <c r="P586">
        <v>212</v>
      </c>
      <c r="Q586">
        <v>134.19999999999999</v>
      </c>
    </row>
    <row r="587" spans="2:17" x14ac:dyDescent="0.25">
      <c r="B587" t="s">
        <v>78</v>
      </c>
      <c r="C587" t="s">
        <v>79</v>
      </c>
      <c r="D587" t="s">
        <v>3140</v>
      </c>
      <c r="E587" t="s">
        <v>3141</v>
      </c>
      <c r="F587">
        <v>118.3</v>
      </c>
      <c r="G587">
        <v>117.25</v>
      </c>
      <c r="H587">
        <v>118.35</v>
      </c>
      <c r="I587">
        <v>115.05</v>
      </c>
      <c r="J587" s="1">
        <v>115.65</v>
      </c>
      <c r="K587">
        <v>3340200.35</v>
      </c>
      <c r="L587">
        <v>28764</v>
      </c>
      <c r="M587" t="s">
        <v>78</v>
      </c>
      <c r="N587" t="s">
        <v>17</v>
      </c>
      <c r="O587">
        <v>1293</v>
      </c>
      <c r="P587">
        <v>191</v>
      </c>
      <c r="Q587">
        <v>96.15</v>
      </c>
    </row>
    <row r="588" spans="2:17" x14ac:dyDescent="0.25">
      <c r="B588" t="s">
        <v>78</v>
      </c>
      <c r="C588" t="s">
        <v>79</v>
      </c>
      <c r="D588" t="s">
        <v>1058</v>
      </c>
      <c r="E588" t="s">
        <v>1059</v>
      </c>
      <c r="F588">
        <v>110</v>
      </c>
      <c r="G588">
        <v>109</v>
      </c>
      <c r="H588">
        <v>110.15</v>
      </c>
      <c r="I588">
        <v>107.45</v>
      </c>
      <c r="J588" s="1">
        <v>108.9</v>
      </c>
      <c r="K588">
        <v>565444.55000000005</v>
      </c>
      <c r="L588">
        <v>5185</v>
      </c>
      <c r="M588" t="s">
        <v>78</v>
      </c>
      <c r="N588" t="s">
        <v>17</v>
      </c>
      <c r="O588">
        <v>238</v>
      </c>
      <c r="P588">
        <v>149.9</v>
      </c>
      <c r="Q588">
        <v>102.45</v>
      </c>
    </row>
    <row r="589" spans="2:17" x14ac:dyDescent="0.25">
      <c r="B589" t="s">
        <v>78</v>
      </c>
      <c r="C589" t="s">
        <v>79</v>
      </c>
      <c r="D589" t="s">
        <v>1064</v>
      </c>
      <c r="E589" t="s">
        <v>1065</v>
      </c>
      <c r="F589">
        <v>100.8</v>
      </c>
      <c r="G589">
        <v>98.2</v>
      </c>
      <c r="H589">
        <v>102.65</v>
      </c>
      <c r="I589">
        <v>97.1</v>
      </c>
      <c r="J589" s="1">
        <v>98.5</v>
      </c>
      <c r="K589">
        <v>546396.80000000005</v>
      </c>
      <c r="L589">
        <v>5535</v>
      </c>
      <c r="M589" t="s">
        <v>78</v>
      </c>
      <c r="N589" t="s">
        <v>17</v>
      </c>
      <c r="O589">
        <v>219</v>
      </c>
      <c r="P589">
        <v>226</v>
      </c>
      <c r="Q589">
        <v>72.599999999999994</v>
      </c>
    </row>
    <row r="590" spans="2:17" x14ac:dyDescent="0.25">
      <c r="B590" t="s">
        <v>78</v>
      </c>
      <c r="C590" t="s">
        <v>79</v>
      </c>
      <c r="D590" t="s">
        <v>1066</v>
      </c>
      <c r="E590" t="s">
        <v>1067</v>
      </c>
      <c r="F590">
        <v>4.7</v>
      </c>
      <c r="G590">
        <v>4.6500000000000004</v>
      </c>
      <c r="H590">
        <v>4.8499999999999996</v>
      </c>
      <c r="I590">
        <v>4.2</v>
      </c>
      <c r="J590" s="1">
        <v>4.3499999999999996</v>
      </c>
      <c r="K590">
        <v>817288.25</v>
      </c>
      <c r="L590">
        <v>185091</v>
      </c>
      <c r="M590" t="s">
        <v>78</v>
      </c>
      <c r="N590" t="s">
        <v>17</v>
      </c>
      <c r="O590">
        <v>238</v>
      </c>
      <c r="P590">
        <v>13</v>
      </c>
      <c r="Q590">
        <v>4.2</v>
      </c>
    </row>
    <row r="591" spans="2:17" x14ac:dyDescent="0.25">
      <c r="B591" t="s">
        <v>78</v>
      </c>
      <c r="C591" t="s">
        <v>79</v>
      </c>
      <c r="D591" t="s">
        <v>1068</v>
      </c>
      <c r="E591" t="s">
        <v>1069</v>
      </c>
      <c r="F591">
        <v>19.2</v>
      </c>
      <c r="G591">
        <v>19.2</v>
      </c>
      <c r="H591">
        <v>19.350000000000001</v>
      </c>
      <c r="I591">
        <v>16.600000000000001</v>
      </c>
      <c r="J591" s="1">
        <v>16.8</v>
      </c>
      <c r="K591">
        <v>8665401.9000000004</v>
      </c>
      <c r="L591">
        <v>501160</v>
      </c>
      <c r="M591" t="s">
        <v>78</v>
      </c>
      <c r="N591" t="s">
        <v>17</v>
      </c>
      <c r="O591">
        <v>1920</v>
      </c>
      <c r="P591">
        <v>46.25</v>
      </c>
      <c r="Q591">
        <v>16.600000000000001</v>
      </c>
    </row>
    <row r="592" spans="2:17" x14ac:dyDescent="0.25">
      <c r="B592" t="s">
        <v>78</v>
      </c>
      <c r="C592" t="s">
        <v>79</v>
      </c>
      <c r="D592" t="s">
        <v>1070</v>
      </c>
      <c r="E592" t="s">
        <v>1071</v>
      </c>
      <c r="F592">
        <v>29.25</v>
      </c>
      <c r="G592">
        <v>29.25</v>
      </c>
      <c r="H592">
        <v>30.05</v>
      </c>
      <c r="I592">
        <v>28.6</v>
      </c>
      <c r="J592" s="1">
        <v>28.95</v>
      </c>
      <c r="K592">
        <v>5695600.1500000004</v>
      </c>
      <c r="L592">
        <v>195060</v>
      </c>
      <c r="M592" t="s">
        <v>78</v>
      </c>
      <c r="N592" t="s">
        <v>17</v>
      </c>
      <c r="O592">
        <v>1236</v>
      </c>
      <c r="P592">
        <v>85.85</v>
      </c>
      <c r="Q592">
        <v>28.6</v>
      </c>
    </row>
    <row r="593" spans="2:17" x14ac:dyDescent="0.25">
      <c r="B593" t="s">
        <v>78</v>
      </c>
      <c r="C593" t="s">
        <v>79</v>
      </c>
      <c r="D593" t="s">
        <v>1072</v>
      </c>
      <c r="E593" t="s">
        <v>1073</v>
      </c>
      <c r="F593">
        <v>844.2</v>
      </c>
      <c r="G593">
        <v>845</v>
      </c>
      <c r="H593">
        <v>845.65</v>
      </c>
      <c r="I593">
        <v>815.05</v>
      </c>
      <c r="J593" s="1">
        <v>823.65</v>
      </c>
      <c r="K593">
        <v>5614471.5499999998</v>
      </c>
      <c r="L593">
        <v>6803</v>
      </c>
      <c r="M593" t="s">
        <v>78</v>
      </c>
      <c r="N593" t="s">
        <v>17</v>
      </c>
      <c r="O593">
        <v>1624</v>
      </c>
      <c r="P593">
        <v>938</v>
      </c>
      <c r="Q593">
        <v>684.05</v>
      </c>
    </row>
    <row r="594" spans="2:17" x14ac:dyDescent="0.25">
      <c r="B594" t="s">
        <v>78</v>
      </c>
      <c r="C594" t="s">
        <v>79</v>
      </c>
      <c r="D594" t="s">
        <v>1074</v>
      </c>
      <c r="E594" t="s">
        <v>1075</v>
      </c>
      <c r="F594">
        <v>258.3</v>
      </c>
      <c r="G594">
        <v>258.3</v>
      </c>
      <c r="H594">
        <v>276</v>
      </c>
      <c r="I594">
        <v>254.6</v>
      </c>
      <c r="J594" s="1">
        <v>259.55</v>
      </c>
      <c r="K594">
        <v>14881967.75</v>
      </c>
      <c r="L594">
        <v>56677</v>
      </c>
      <c r="M594" t="s">
        <v>78</v>
      </c>
      <c r="N594" t="s">
        <v>17</v>
      </c>
      <c r="O594">
        <v>1993</v>
      </c>
      <c r="P594">
        <v>354</v>
      </c>
      <c r="Q594">
        <v>238.9</v>
      </c>
    </row>
    <row r="595" spans="2:17" x14ac:dyDescent="0.25">
      <c r="B595" t="s">
        <v>78</v>
      </c>
      <c r="C595" t="s">
        <v>79</v>
      </c>
      <c r="D595" t="s">
        <v>1076</v>
      </c>
      <c r="E595" t="s">
        <v>1077</v>
      </c>
      <c r="F595">
        <v>216</v>
      </c>
      <c r="G595">
        <v>215.05</v>
      </c>
      <c r="H595">
        <v>219.95</v>
      </c>
      <c r="I595">
        <v>214.85</v>
      </c>
      <c r="J595" s="1">
        <v>217</v>
      </c>
      <c r="K595">
        <v>3283993.4</v>
      </c>
      <c r="L595">
        <v>15163</v>
      </c>
      <c r="M595" t="s">
        <v>78</v>
      </c>
      <c r="N595" t="s">
        <v>17</v>
      </c>
      <c r="O595">
        <v>1597</v>
      </c>
      <c r="P595">
        <v>332.7</v>
      </c>
      <c r="Q595">
        <v>214.85</v>
      </c>
    </row>
    <row r="596" spans="2:17" x14ac:dyDescent="0.25">
      <c r="B596" t="s">
        <v>78</v>
      </c>
      <c r="C596" t="s">
        <v>79</v>
      </c>
      <c r="D596" t="s">
        <v>1080</v>
      </c>
      <c r="E596" t="s">
        <v>1081</v>
      </c>
      <c r="F596">
        <v>213.25</v>
      </c>
      <c r="G596">
        <v>213.5</v>
      </c>
      <c r="H596">
        <v>216</v>
      </c>
      <c r="I596">
        <v>208.3</v>
      </c>
      <c r="J596" s="1">
        <v>209.25</v>
      </c>
      <c r="K596">
        <v>31557898.75</v>
      </c>
      <c r="L596">
        <v>150333</v>
      </c>
      <c r="M596" t="s">
        <v>78</v>
      </c>
      <c r="N596" t="s">
        <v>17</v>
      </c>
      <c r="O596">
        <v>1264</v>
      </c>
      <c r="P596">
        <v>277.45</v>
      </c>
      <c r="Q596">
        <v>189</v>
      </c>
    </row>
    <row r="597" spans="2:17" x14ac:dyDescent="0.25">
      <c r="B597" t="s">
        <v>78</v>
      </c>
      <c r="C597" t="s">
        <v>79</v>
      </c>
      <c r="D597" t="s">
        <v>1082</v>
      </c>
      <c r="E597" t="s">
        <v>1083</v>
      </c>
      <c r="F597">
        <v>248.85</v>
      </c>
      <c r="G597">
        <v>249</v>
      </c>
      <c r="H597">
        <v>250.85</v>
      </c>
      <c r="I597">
        <v>243.25</v>
      </c>
      <c r="J597" s="1">
        <v>245</v>
      </c>
      <c r="K597">
        <v>6893838.9000000004</v>
      </c>
      <c r="L597">
        <v>28027</v>
      </c>
      <c r="M597" t="s">
        <v>78</v>
      </c>
      <c r="N597" t="s">
        <v>17</v>
      </c>
      <c r="O597">
        <v>1100</v>
      </c>
      <c r="P597">
        <v>375.8</v>
      </c>
      <c r="Q597">
        <v>213.25</v>
      </c>
    </row>
    <row r="598" spans="2:17" x14ac:dyDescent="0.25">
      <c r="B598" t="s">
        <v>78</v>
      </c>
      <c r="C598" t="s">
        <v>79</v>
      </c>
      <c r="D598" t="s">
        <v>1084</v>
      </c>
      <c r="E598" t="s">
        <v>1085</v>
      </c>
      <c r="F598">
        <v>37.1</v>
      </c>
      <c r="G598">
        <v>36.6</v>
      </c>
      <c r="H598">
        <v>36.950000000000003</v>
      </c>
      <c r="I598">
        <v>35.1</v>
      </c>
      <c r="J598" s="1">
        <v>35.6</v>
      </c>
      <c r="K598">
        <v>86488.75</v>
      </c>
      <c r="L598">
        <v>2428</v>
      </c>
      <c r="M598" t="s">
        <v>78</v>
      </c>
      <c r="N598" t="s">
        <v>17</v>
      </c>
      <c r="O598">
        <v>42</v>
      </c>
      <c r="P598">
        <v>65.95</v>
      </c>
      <c r="Q598">
        <v>34.9</v>
      </c>
    </row>
    <row r="599" spans="2:17" x14ac:dyDescent="0.25">
      <c r="B599" t="s">
        <v>78</v>
      </c>
      <c r="C599" t="s">
        <v>79</v>
      </c>
      <c r="D599" t="s">
        <v>1086</v>
      </c>
      <c r="E599" t="s">
        <v>1087</v>
      </c>
      <c r="F599">
        <v>7064.75</v>
      </c>
      <c r="G599">
        <v>7082.2</v>
      </c>
      <c r="H599">
        <v>7115</v>
      </c>
      <c r="I599">
        <v>6988</v>
      </c>
      <c r="J599" s="1">
        <v>7034.25</v>
      </c>
      <c r="K599">
        <v>14425306.199999999</v>
      </c>
      <c r="L599">
        <v>2052</v>
      </c>
      <c r="M599" t="s">
        <v>78</v>
      </c>
      <c r="N599" t="s">
        <v>17</v>
      </c>
      <c r="O599">
        <v>1119</v>
      </c>
      <c r="P599">
        <v>7919.85</v>
      </c>
      <c r="Q599">
        <v>6169</v>
      </c>
    </row>
    <row r="600" spans="2:17" x14ac:dyDescent="0.25">
      <c r="B600" t="s">
        <v>78</v>
      </c>
      <c r="C600" t="s">
        <v>79</v>
      </c>
      <c r="D600" t="s">
        <v>1088</v>
      </c>
      <c r="E600" t="s">
        <v>1089</v>
      </c>
      <c r="F600">
        <v>8.9499999999999993</v>
      </c>
      <c r="G600">
        <v>8.9</v>
      </c>
      <c r="H600">
        <v>8.9</v>
      </c>
      <c r="I600">
        <v>8.4</v>
      </c>
      <c r="J600" s="1">
        <v>8.6</v>
      </c>
      <c r="K600">
        <v>387035.9</v>
      </c>
      <c r="L600">
        <v>44599</v>
      </c>
      <c r="M600" t="s">
        <v>78</v>
      </c>
      <c r="N600" t="s">
        <v>17</v>
      </c>
      <c r="O600">
        <v>431</v>
      </c>
      <c r="P600">
        <v>25.8</v>
      </c>
      <c r="Q600">
        <v>8.4</v>
      </c>
    </row>
    <row r="601" spans="2:17" x14ac:dyDescent="0.25">
      <c r="B601" t="s">
        <v>78</v>
      </c>
      <c r="C601" t="s">
        <v>79</v>
      </c>
      <c r="D601" t="s">
        <v>1090</v>
      </c>
      <c r="E601" t="s">
        <v>1091</v>
      </c>
      <c r="F601">
        <v>71.25</v>
      </c>
      <c r="G601">
        <v>70.900000000000006</v>
      </c>
      <c r="H601">
        <v>71.599999999999994</v>
      </c>
      <c r="I601">
        <v>70.25</v>
      </c>
      <c r="J601" s="1">
        <v>70.5</v>
      </c>
      <c r="K601">
        <v>3027392.05</v>
      </c>
      <c r="L601">
        <v>42749</v>
      </c>
      <c r="M601" t="s">
        <v>78</v>
      </c>
      <c r="N601" t="s">
        <v>17</v>
      </c>
      <c r="O601">
        <v>482</v>
      </c>
      <c r="P601">
        <v>97</v>
      </c>
      <c r="Q601">
        <v>67.099999999999994</v>
      </c>
    </row>
    <row r="602" spans="2:17" x14ac:dyDescent="0.25">
      <c r="B602" t="s">
        <v>78</v>
      </c>
      <c r="C602" t="s">
        <v>287</v>
      </c>
      <c r="D602" t="s">
        <v>1092</v>
      </c>
      <c r="E602" t="s">
        <v>1093</v>
      </c>
      <c r="F602">
        <v>24.35</v>
      </c>
      <c r="G602">
        <v>23.15</v>
      </c>
      <c r="H602">
        <v>23.15</v>
      </c>
      <c r="I602">
        <v>23.15</v>
      </c>
      <c r="J602" s="1">
        <v>23.15</v>
      </c>
      <c r="K602">
        <v>55560</v>
      </c>
      <c r="L602">
        <v>2400</v>
      </c>
      <c r="M602" t="s">
        <v>78</v>
      </c>
      <c r="N602" t="s">
        <v>17</v>
      </c>
      <c r="O602">
        <v>2</v>
      </c>
      <c r="P602">
        <v>154</v>
      </c>
      <c r="Q602">
        <v>21.85</v>
      </c>
    </row>
    <row r="603" spans="2:17" x14ac:dyDescent="0.25">
      <c r="B603" t="s">
        <v>78</v>
      </c>
      <c r="C603" t="s">
        <v>79</v>
      </c>
      <c r="D603" t="s">
        <v>1094</v>
      </c>
      <c r="E603" t="s">
        <v>1095</v>
      </c>
      <c r="F603">
        <v>640.25</v>
      </c>
      <c r="G603">
        <v>649.29999999999995</v>
      </c>
      <c r="H603">
        <v>715</v>
      </c>
      <c r="I603">
        <v>611.20000000000005</v>
      </c>
      <c r="J603" s="1">
        <v>651.95000000000005</v>
      </c>
      <c r="K603">
        <v>333184.7</v>
      </c>
      <c r="L603">
        <v>508</v>
      </c>
      <c r="M603" t="s">
        <v>78</v>
      </c>
      <c r="N603" t="s">
        <v>17</v>
      </c>
      <c r="O603">
        <v>89</v>
      </c>
      <c r="P603">
        <v>1318</v>
      </c>
      <c r="Q603">
        <v>545.5</v>
      </c>
    </row>
    <row r="604" spans="2:17" x14ac:dyDescent="0.25">
      <c r="B604" t="s">
        <v>78</v>
      </c>
      <c r="C604" t="s">
        <v>79</v>
      </c>
      <c r="D604" t="s">
        <v>1098</v>
      </c>
      <c r="E604" t="s">
        <v>1099</v>
      </c>
      <c r="F604">
        <v>1170.5</v>
      </c>
      <c r="G604">
        <v>1176.9000000000001</v>
      </c>
      <c r="H604">
        <v>1181.95</v>
      </c>
      <c r="I604">
        <v>1154</v>
      </c>
      <c r="J604" s="1">
        <v>1173.95</v>
      </c>
      <c r="K604">
        <v>12036839.9</v>
      </c>
      <c r="L604">
        <v>10282</v>
      </c>
      <c r="M604" t="s">
        <v>78</v>
      </c>
      <c r="N604" t="s">
        <v>17</v>
      </c>
      <c r="O604">
        <v>1044</v>
      </c>
      <c r="P604">
        <v>3600</v>
      </c>
      <c r="Q604">
        <v>1130</v>
      </c>
    </row>
    <row r="605" spans="2:17" x14ac:dyDescent="0.25">
      <c r="B605" t="s">
        <v>78</v>
      </c>
      <c r="C605" t="s">
        <v>79</v>
      </c>
      <c r="D605" t="s">
        <v>1100</v>
      </c>
      <c r="E605" t="s">
        <v>1101</v>
      </c>
      <c r="F605">
        <v>440.85</v>
      </c>
      <c r="G605">
        <v>440.8</v>
      </c>
      <c r="H605">
        <v>446.8</v>
      </c>
      <c r="I605">
        <v>431</v>
      </c>
      <c r="J605" s="1">
        <v>432.85</v>
      </c>
      <c r="K605">
        <v>315117849.55000001</v>
      </c>
      <c r="L605">
        <v>719816</v>
      </c>
      <c r="M605" t="s">
        <v>78</v>
      </c>
      <c r="N605" t="s">
        <v>17</v>
      </c>
      <c r="O605">
        <v>39504</v>
      </c>
      <c r="P605">
        <v>711.9</v>
      </c>
      <c r="Q605">
        <v>423.65</v>
      </c>
    </row>
    <row r="606" spans="2:17" x14ac:dyDescent="0.25">
      <c r="B606" t="s">
        <v>78</v>
      </c>
      <c r="C606" t="s">
        <v>79</v>
      </c>
      <c r="D606" t="s">
        <v>1106</v>
      </c>
      <c r="E606" t="s">
        <v>1107</v>
      </c>
      <c r="F606">
        <v>52.45</v>
      </c>
      <c r="G606">
        <v>50.65</v>
      </c>
      <c r="H606">
        <v>55.05</v>
      </c>
      <c r="I606">
        <v>50.65</v>
      </c>
      <c r="J606" s="1">
        <v>50.9</v>
      </c>
      <c r="K606">
        <v>304289.05</v>
      </c>
      <c r="L606">
        <v>5847</v>
      </c>
      <c r="M606" t="s">
        <v>78</v>
      </c>
      <c r="N606" t="s">
        <v>17</v>
      </c>
      <c r="O606">
        <v>89</v>
      </c>
      <c r="P606">
        <v>126.9</v>
      </c>
      <c r="Q606">
        <v>45.2</v>
      </c>
    </row>
    <row r="607" spans="2:17" x14ac:dyDescent="0.25">
      <c r="B607" t="s">
        <v>78</v>
      </c>
      <c r="C607" t="s">
        <v>79</v>
      </c>
      <c r="D607" t="s">
        <v>6756</v>
      </c>
      <c r="E607" t="s">
        <v>6755</v>
      </c>
      <c r="F607">
        <v>7.1</v>
      </c>
      <c r="G607">
        <v>7</v>
      </c>
      <c r="H607">
        <v>7.25</v>
      </c>
      <c r="I607">
        <v>6.6</v>
      </c>
      <c r="J607" s="1">
        <v>6.8</v>
      </c>
      <c r="K607">
        <v>55166.45</v>
      </c>
      <c r="L607">
        <v>8036</v>
      </c>
      <c r="M607" t="s">
        <v>78</v>
      </c>
      <c r="N607" t="s">
        <v>17</v>
      </c>
      <c r="O607">
        <v>70</v>
      </c>
      <c r="P607">
        <v>23.9</v>
      </c>
      <c r="Q607">
        <v>6.6</v>
      </c>
    </row>
    <row r="608" spans="2:17" x14ac:dyDescent="0.25">
      <c r="B608" t="s">
        <v>78</v>
      </c>
      <c r="C608" t="s">
        <v>79</v>
      </c>
      <c r="D608" t="s">
        <v>3146</v>
      </c>
      <c r="E608" t="s">
        <v>3147</v>
      </c>
      <c r="F608">
        <v>120.2</v>
      </c>
      <c r="G608">
        <v>121</v>
      </c>
      <c r="H608">
        <v>121.9</v>
      </c>
      <c r="I608">
        <v>115</v>
      </c>
      <c r="J608" s="1">
        <v>115.85</v>
      </c>
      <c r="K608">
        <v>4580578</v>
      </c>
      <c r="L608">
        <v>39041</v>
      </c>
      <c r="M608" t="s">
        <v>78</v>
      </c>
      <c r="N608" t="s">
        <v>17</v>
      </c>
      <c r="O608">
        <v>912</v>
      </c>
      <c r="P608">
        <v>214.95</v>
      </c>
      <c r="Q608">
        <v>108</v>
      </c>
    </row>
    <row r="609" spans="2:17" x14ac:dyDescent="0.25">
      <c r="B609" t="s">
        <v>78</v>
      </c>
      <c r="C609" t="s">
        <v>79</v>
      </c>
      <c r="D609" t="s">
        <v>1108</v>
      </c>
      <c r="E609" t="s">
        <v>1109</v>
      </c>
      <c r="F609">
        <v>405.35</v>
      </c>
      <c r="G609">
        <v>406</v>
      </c>
      <c r="H609">
        <v>409</v>
      </c>
      <c r="I609">
        <v>391.5</v>
      </c>
      <c r="J609" s="1">
        <v>397.85</v>
      </c>
      <c r="K609">
        <v>11893583.5</v>
      </c>
      <c r="L609">
        <v>29996</v>
      </c>
      <c r="M609" t="s">
        <v>78</v>
      </c>
      <c r="N609" t="s">
        <v>17</v>
      </c>
      <c r="O609">
        <v>1555</v>
      </c>
      <c r="P609">
        <v>796.95</v>
      </c>
      <c r="Q609">
        <v>391.5</v>
      </c>
    </row>
    <row r="610" spans="2:17" x14ac:dyDescent="0.25">
      <c r="B610" t="s">
        <v>78</v>
      </c>
      <c r="C610" t="s">
        <v>79</v>
      </c>
      <c r="D610" t="s">
        <v>1110</v>
      </c>
      <c r="E610" t="s">
        <v>1111</v>
      </c>
      <c r="F610">
        <v>71.599999999999994</v>
      </c>
      <c r="G610">
        <v>71.599999999999994</v>
      </c>
      <c r="H610">
        <v>71.75</v>
      </c>
      <c r="I610">
        <v>70.5</v>
      </c>
      <c r="J610" s="1">
        <v>71.150000000000006</v>
      </c>
      <c r="K610">
        <v>6936698.6500000004</v>
      </c>
      <c r="L610">
        <v>97752</v>
      </c>
      <c r="M610" t="s">
        <v>78</v>
      </c>
      <c r="N610" t="s">
        <v>17</v>
      </c>
      <c r="O610">
        <v>3753</v>
      </c>
      <c r="P610">
        <v>122.7</v>
      </c>
      <c r="Q610">
        <v>69.349999999999994</v>
      </c>
    </row>
    <row r="611" spans="2:17" x14ac:dyDescent="0.25">
      <c r="B611" t="s">
        <v>78</v>
      </c>
      <c r="C611" t="s">
        <v>79</v>
      </c>
      <c r="D611" t="s">
        <v>1112</v>
      </c>
      <c r="E611" t="s">
        <v>1113</v>
      </c>
      <c r="F611">
        <v>1346.75</v>
      </c>
      <c r="G611">
        <v>1344</v>
      </c>
      <c r="H611">
        <v>1349</v>
      </c>
      <c r="I611">
        <v>1262.2</v>
      </c>
      <c r="J611" s="1">
        <v>1279</v>
      </c>
      <c r="K611">
        <v>4549541.7</v>
      </c>
      <c r="L611">
        <v>3507</v>
      </c>
      <c r="M611" t="s">
        <v>78</v>
      </c>
      <c r="N611" t="s">
        <v>17</v>
      </c>
      <c r="O611">
        <v>611</v>
      </c>
      <c r="P611">
        <v>1490</v>
      </c>
      <c r="Q611">
        <v>800</v>
      </c>
    </row>
    <row r="612" spans="2:17" x14ac:dyDescent="0.25">
      <c r="B612" t="s">
        <v>78</v>
      </c>
      <c r="C612" t="s">
        <v>79</v>
      </c>
      <c r="D612" t="s">
        <v>1114</v>
      </c>
      <c r="E612" t="s">
        <v>1115</v>
      </c>
      <c r="F612">
        <v>14.85</v>
      </c>
      <c r="G612">
        <v>14.95</v>
      </c>
      <c r="H612">
        <v>14.95</v>
      </c>
      <c r="I612">
        <v>14.6</v>
      </c>
      <c r="J612" s="1">
        <v>14.8</v>
      </c>
      <c r="K612">
        <v>148190006.80000001</v>
      </c>
      <c r="L612">
        <v>10022220</v>
      </c>
      <c r="M612" t="s">
        <v>78</v>
      </c>
      <c r="N612" t="s">
        <v>17</v>
      </c>
      <c r="O612">
        <v>3824</v>
      </c>
      <c r="P612">
        <v>21.5</v>
      </c>
      <c r="Q612">
        <v>12.95</v>
      </c>
    </row>
    <row r="613" spans="2:17" x14ac:dyDescent="0.25">
      <c r="B613" t="s">
        <v>78</v>
      </c>
      <c r="C613" t="s">
        <v>79</v>
      </c>
      <c r="D613" t="s">
        <v>1116</v>
      </c>
      <c r="E613" t="s">
        <v>1117</v>
      </c>
      <c r="F613">
        <v>260</v>
      </c>
      <c r="G613">
        <v>260.7</v>
      </c>
      <c r="H613">
        <v>265.5</v>
      </c>
      <c r="I613">
        <v>243</v>
      </c>
      <c r="J613" s="1">
        <v>248.8</v>
      </c>
      <c r="K613">
        <v>18404124.300000001</v>
      </c>
      <c r="L613">
        <v>72231</v>
      </c>
      <c r="M613" t="s">
        <v>78</v>
      </c>
      <c r="N613" t="s">
        <v>17</v>
      </c>
      <c r="O613">
        <v>2750</v>
      </c>
      <c r="P613">
        <v>459.75</v>
      </c>
      <c r="Q613">
        <v>234.15</v>
      </c>
    </row>
    <row r="614" spans="2:17" x14ac:dyDescent="0.25">
      <c r="B614" t="s">
        <v>78</v>
      </c>
      <c r="C614" t="s">
        <v>79</v>
      </c>
      <c r="D614" t="s">
        <v>1118</v>
      </c>
      <c r="E614" t="s">
        <v>1119</v>
      </c>
      <c r="F614">
        <v>224.05</v>
      </c>
      <c r="G614">
        <v>228.4</v>
      </c>
      <c r="H614">
        <v>228.4</v>
      </c>
      <c r="I614">
        <v>212</v>
      </c>
      <c r="J614" s="1">
        <v>214.8</v>
      </c>
      <c r="K614">
        <v>69245646.200000003</v>
      </c>
      <c r="L614">
        <v>319064</v>
      </c>
      <c r="M614" t="s">
        <v>78</v>
      </c>
      <c r="N614" t="s">
        <v>17</v>
      </c>
      <c r="O614">
        <v>12754</v>
      </c>
      <c r="P614">
        <v>439.4</v>
      </c>
      <c r="Q614">
        <v>212</v>
      </c>
    </row>
    <row r="615" spans="2:17" x14ac:dyDescent="0.25">
      <c r="B615" t="s">
        <v>78</v>
      </c>
      <c r="C615" t="s">
        <v>79</v>
      </c>
      <c r="D615" t="s">
        <v>3148</v>
      </c>
      <c r="E615" t="s">
        <v>3149</v>
      </c>
      <c r="F615">
        <v>307.60000000000002</v>
      </c>
      <c r="G615">
        <v>310.89999999999998</v>
      </c>
      <c r="H615">
        <v>312.10000000000002</v>
      </c>
      <c r="I615">
        <v>291</v>
      </c>
      <c r="J615" s="1">
        <v>292.39999999999998</v>
      </c>
      <c r="K615">
        <v>18251844.899999999</v>
      </c>
      <c r="L615">
        <v>61682</v>
      </c>
      <c r="M615" t="s">
        <v>78</v>
      </c>
      <c r="N615" t="s">
        <v>17</v>
      </c>
      <c r="O615">
        <v>3190</v>
      </c>
      <c r="P615">
        <v>874</v>
      </c>
      <c r="Q615">
        <v>291</v>
      </c>
    </row>
    <row r="616" spans="2:17" x14ac:dyDescent="0.25">
      <c r="B616" t="s">
        <v>78</v>
      </c>
      <c r="C616" t="s">
        <v>79</v>
      </c>
      <c r="D616" t="s">
        <v>1120</v>
      </c>
      <c r="E616" t="s">
        <v>1121</v>
      </c>
      <c r="F616">
        <v>237.5</v>
      </c>
      <c r="G616">
        <v>235</v>
      </c>
      <c r="H616">
        <v>244.9</v>
      </c>
      <c r="I616">
        <v>222.3</v>
      </c>
      <c r="J616" s="1">
        <v>232</v>
      </c>
      <c r="K616">
        <v>1075006.1499999999</v>
      </c>
      <c r="L616">
        <v>4659</v>
      </c>
      <c r="M616" t="s">
        <v>78</v>
      </c>
      <c r="N616" t="s">
        <v>17</v>
      </c>
      <c r="O616">
        <v>238</v>
      </c>
      <c r="P616">
        <v>409.95</v>
      </c>
      <c r="Q616">
        <v>221.55</v>
      </c>
    </row>
    <row r="617" spans="2:17" x14ac:dyDescent="0.25">
      <c r="B617" t="s">
        <v>78</v>
      </c>
      <c r="C617" t="s">
        <v>79</v>
      </c>
      <c r="D617" t="s">
        <v>1122</v>
      </c>
      <c r="E617" t="s">
        <v>1123</v>
      </c>
      <c r="F617">
        <v>782.35</v>
      </c>
      <c r="G617">
        <v>785.5</v>
      </c>
      <c r="H617">
        <v>797.4</v>
      </c>
      <c r="I617">
        <v>758.45</v>
      </c>
      <c r="J617" s="1">
        <v>764.8</v>
      </c>
      <c r="K617">
        <v>31973170.149999999</v>
      </c>
      <c r="L617">
        <v>41312</v>
      </c>
      <c r="M617" t="s">
        <v>78</v>
      </c>
      <c r="N617" t="s">
        <v>17</v>
      </c>
      <c r="O617">
        <v>2473</v>
      </c>
      <c r="P617">
        <v>1209.9000000000001</v>
      </c>
      <c r="Q617">
        <v>640.25</v>
      </c>
    </row>
    <row r="618" spans="2:17" x14ac:dyDescent="0.25">
      <c r="B618" t="s">
        <v>78</v>
      </c>
      <c r="C618" t="s">
        <v>79</v>
      </c>
      <c r="D618" t="s">
        <v>1124</v>
      </c>
      <c r="E618" t="s">
        <v>1125</v>
      </c>
      <c r="F618">
        <v>487.9</v>
      </c>
      <c r="G618">
        <v>488.7</v>
      </c>
      <c r="H618">
        <v>495.5</v>
      </c>
      <c r="I618">
        <v>484.35</v>
      </c>
      <c r="J618" s="1">
        <v>486.55</v>
      </c>
      <c r="K618">
        <v>38163332.450000003</v>
      </c>
      <c r="L618">
        <v>77914</v>
      </c>
      <c r="M618" t="s">
        <v>78</v>
      </c>
      <c r="N618" t="s">
        <v>17</v>
      </c>
      <c r="O618">
        <v>1841</v>
      </c>
      <c r="P618">
        <v>660</v>
      </c>
      <c r="Q618">
        <v>460</v>
      </c>
    </row>
    <row r="619" spans="2:17" x14ac:dyDescent="0.25">
      <c r="B619" t="s">
        <v>78</v>
      </c>
      <c r="C619" t="s">
        <v>79</v>
      </c>
      <c r="D619" t="s">
        <v>1126</v>
      </c>
      <c r="E619" t="s">
        <v>1127</v>
      </c>
      <c r="F619">
        <v>483.7</v>
      </c>
      <c r="G619">
        <v>484.9</v>
      </c>
      <c r="H619">
        <v>484.9</v>
      </c>
      <c r="I619">
        <v>472.55</v>
      </c>
      <c r="J619" s="1">
        <v>480.85</v>
      </c>
      <c r="K619">
        <v>45408354.850000001</v>
      </c>
      <c r="L619">
        <v>95010</v>
      </c>
      <c r="M619" t="s">
        <v>78</v>
      </c>
      <c r="N619" t="s">
        <v>17</v>
      </c>
      <c r="O619">
        <v>5175</v>
      </c>
      <c r="P619">
        <v>657.6</v>
      </c>
      <c r="Q619">
        <v>434.5</v>
      </c>
    </row>
    <row r="620" spans="2:17" x14ac:dyDescent="0.25">
      <c r="B620" t="s">
        <v>78</v>
      </c>
      <c r="C620" t="s">
        <v>79</v>
      </c>
      <c r="D620" t="s">
        <v>1128</v>
      </c>
      <c r="E620" t="s">
        <v>1129</v>
      </c>
      <c r="F620">
        <v>977.25</v>
      </c>
      <c r="G620">
        <v>982</v>
      </c>
      <c r="H620">
        <v>985.4</v>
      </c>
      <c r="I620">
        <v>945.25</v>
      </c>
      <c r="J620" s="1">
        <v>950.75</v>
      </c>
      <c r="K620">
        <v>262931212.34999999</v>
      </c>
      <c r="L620">
        <v>273752</v>
      </c>
      <c r="M620" t="s">
        <v>78</v>
      </c>
      <c r="N620" t="s">
        <v>17</v>
      </c>
      <c r="O620">
        <v>24366</v>
      </c>
      <c r="P620">
        <v>1119.5999999999999</v>
      </c>
      <c r="Q620">
        <v>460.4</v>
      </c>
    </row>
    <row r="621" spans="2:17" x14ac:dyDescent="0.25">
      <c r="B621" t="s">
        <v>78</v>
      </c>
      <c r="C621" t="s">
        <v>79</v>
      </c>
      <c r="D621" t="s">
        <v>1130</v>
      </c>
      <c r="E621" t="s">
        <v>1131</v>
      </c>
      <c r="F621">
        <v>91.55</v>
      </c>
      <c r="G621">
        <v>93.4</v>
      </c>
      <c r="H621">
        <v>93.8</v>
      </c>
      <c r="I621">
        <v>88.05</v>
      </c>
      <c r="J621" s="1">
        <v>88.4</v>
      </c>
      <c r="K621">
        <v>2473641.2000000002</v>
      </c>
      <c r="L621">
        <v>27600</v>
      </c>
      <c r="M621" t="s">
        <v>78</v>
      </c>
      <c r="N621" t="s">
        <v>17</v>
      </c>
      <c r="O621">
        <v>460</v>
      </c>
      <c r="P621">
        <v>119.05</v>
      </c>
      <c r="Q621">
        <v>65.349999999999994</v>
      </c>
    </row>
    <row r="622" spans="2:17" x14ac:dyDescent="0.25">
      <c r="B622" t="s">
        <v>78</v>
      </c>
      <c r="C622" t="s">
        <v>79</v>
      </c>
      <c r="D622" t="s">
        <v>3152</v>
      </c>
      <c r="E622" t="s">
        <v>3153</v>
      </c>
      <c r="F622">
        <v>30.15</v>
      </c>
      <c r="G622">
        <v>31</v>
      </c>
      <c r="H622">
        <v>32.450000000000003</v>
      </c>
      <c r="I622">
        <v>30.5</v>
      </c>
      <c r="J622" s="1">
        <v>30.55</v>
      </c>
      <c r="K622">
        <v>44596.2</v>
      </c>
      <c r="L622">
        <v>1438</v>
      </c>
      <c r="M622" t="s">
        <v>78</v>
      </c>
      <c r="N622" t="s">
        <v>17</v>
      </c>
      <c r="O622">
        <v>25</v>
      </c>
      <c r="P622">
        <v>70.7</v>
      </c>
      <c r="Q622">
        <v>22</v>
      </c>
    </row>
    <row r="623" spans="2:17" x14ac:dyDescent="0.25">
      <c r="B623" t="s">
        <v>78</v>
      </c>
      <c r="C623" t="s">
        <v>79</v>
      </c>
      <c r="D623" t="s">
        <v>1136</v>
      </c>
      <c r="E623" t="s">
        <v>1137</v>
      </c>
      <c r="F623">
        <v>107.05</v>
      </c>
      <c r="G623">
        <v>108.25</v>
      </c>
      <c r="H623">
        <v>110</v>
      </c>
      <c r="I623">
        <v>99.2</v>
      </c>
      <c r="J623" s="1">
        <v>101.3</v>
      </c>
      <c r="K623">
        <v>7635090.7999999998</v>
      </c>
      <c r="L623">
        <v>73935</v>
      </c>
      <c r="M623" t="s">
        <v>78</v>
      </c>
      <c r="N623" t="s">
        <v>17</v>
      </c>
      <c r="O623">
        <v>1533</v>
      </c>
      <c r="P623">
        <v>136.5</v>
      </c>
      <c r="Q623">
        <v>50</v>
      </c>
    </row>
    <row r="624" spans="2:17" x14ac:dyDescent="0.25">
      <c r="B624" t="s">
        <v>78</v>
      </c>
      <c r="C624" t="s">
        <v>79</v>
      </c>
      <c r="D624" t="s">
        <v>1138</v>
      </c>
      <c r="E624" t="s">
        <v>1139</v>
      </c>
      <c r="F624">
        <v>10.6</v>
      </c>
      <c r="G624">
        <v>10.6</v>
      </c>
      <c r="H624">
        <v>10.8</v>
      </c>
      <c r="I624">
        <v>10.25</v>
      </c>
      <c r="J624" s="1">
        <v>10.35</v>
      </c>
      <c r="K624">
        <v>42016.75</v>
      </c>
      <c r="L624">
        <v>4034</v>
      </c>
      <c r="M624" t="s">
        <v>78</v>
      </c>
      <c r="N624" t="s">
        <v>17</v>
      </c>
      <c r="O624">
        <v>49</v>
      </c>
      <c r="P624">
        <v>29.65</v>
      </c>
      <c r="Q624">
        <v>8.1999999999999993</v>
      </c>
    </row>
    <row r="625" spans="2:17" x14ac:dyDescent="0.25">
      <c r="B625" t="s">
        <v>78</v>
      </c>
      <c r="C625" t="s">
        <v>79</v>
      </c>
      <c r="D625" t="s">
        <v>1140</v>
      </c>
      <c r="E625" t="s">
        <v>1141</v>
      </c>
      <c r="F625">
        <v>63.05</v>
      </c>
      <c r="G625">
        <v>63.05</v>
      </c>
      <c r="H625">
        <v>64.150000000000006</v>
      </c>
      <c r="I625">
        <v>61.6</v>
      </c>
      <c r="J625" s="1">
        <v>62.4</v>
      </c>
      <c r="K625">
        <v>1119077.45</v>
      </c>
      <c r="L625">
        <v>17840</v>
      </c>
      <c r="M625" t="s">
        <v>78</v>
      </c>
      <c r="N625" t="s">
        <v>17</v>
      </c>
      <c r="O625">
        <v>728</v>
      </c>
      <c r="P625">
        <v>84.9</v>
      </c>
      <c r="Q625">
        <v>53.7</v>
      </c>
    </row>
    <row r="626" spans="2:17" x14ac:dyDescent="0.25">
      <c r="B626" t="s">
        <v>78</v>
      </c>
      <c r="C626" t="s">
        <v>79</v>
      </c>
      <c r="D626" t="s">
        <v>3154</v>
      </c>
      <c r="E626" t="s">
        <v>3155</v>
      </c>
      <c r="F626">
        <v>187.5</v>
      </c>
      <c r="G626">
        <v>187.5</v>
      </c>
      <c r="H626">
        <v>189.9</v>
      </c>
      <c r="I626">
        <v>178.2</v>
      </c>
      <c r="J626" s="1">
        <v>184.2</v>
      </c>
      <c r="K626">
        <v>8009379.25</v>
      </c>
      <c r="L626">
        <v>43967</v>
      </c>
      <c r="M626" t="s">
        <v>78</v>
      </c>
      <c r="N626" t="s">
        <v>17</v>
      </c>
      <c r="O626">
        <v>1603</v>
      </c>
      <c r="P626">
        <v>586.95000000000005</v>
      </c>
      <c r="Q626">
        <v>174.3</v>
      </c>
    </row>
    <row r="627" spans="2:17" x14ac:dyDescent="0.25">
      <c r="B627" t="s">
        <v>78</v>
      </c>
      <c r="C627" t="s">
        <v>79</v>
      </c>
      <c r="D627" t="s">
        <v>1144</v>
      </c>
      <c r="E627" t="s">
        <v>1145</v>
      </c>
      <c r="F627">
        <v>81.150000000000006</v>
      </c>
      <c r="G627">
        <v>80.150000000000006</v>
      </c>
      <c r="H627">
        <v>81.5</v>
      </c>
      <c r="I627">
        <v>77.599999999999994</v>
      </c>
      <c r="J627" s="1">
        <v>79.7</v>
      </c>
      <c r="K627">
        <v>39285733.149999999</v>
      </c>
      <c r="L627">
        <v>496046</v>
      </c>
      <c r="M627" t="s">
        <v>78</v>
      </c>
      <c r="N627" t="s">
        <v>17</v>
      </c>
      <c r="O627">
        <v>11268</v>
      </c>
      <c r="P627">
        <v>122.5</v>
      </c>
      <c r="Q627">
        <v>75.900000000000006</v>
      </c>
    </row>
    <row r="628" spans="2:17" x14ac:dyDescent="0.25">
      <c r="B628" t="s">
        <v>78</v>
      </c>
      <c r="C628" t="s">
        <v>79</v>
      </c>
      <c r="D628" t="s">
        <v>1146</v>
      </c>
      <c r="E628" t="s">
        <v>1147</v>
      </c>
      <c r="F628">
        <v>41.4</v>
      </c>
      <c r="G628">
        <v>42.25</v>
      </c>
      <c r="H628">
        <v>42.95</v>
      </c>
      <c r="I628">
        <v>40.1</v>
      </c>
      <c r="J628" s="1">
        <v>40.700000000000003</v>
      </c>
      <c r="K628">
        <v>31515.3</v>
      </c>
      <c r="L628">
        <v>777</v>
      </c>
      <c r="M628" t="s">
        <v>78</v>
      </c>
      <c r="N628" t="s">
        <v>17</v>
      </c>
      <c r="O628">
        <v>25</v>
      </c>
      <c r="P628">
        <v>164</v>
      </c>
      <c r="Q628">
        <v>36.1</v>
      </c>
    </row>
    <row r="629" spans="2:17" x14ac:dyDescent="0.25">
      <c r="B629" t="s">
        <v>78</v>
      </c>
      <c r="C629" t="s">
        <v>79</v>
      </c>
      <c r="D629" t="s">
        <v>1148</v>
      </c>
      <c r="E629" t="s">
        <v>1149</v>
      </c>
      <c r="F629">
        <v>93.55</v>
      </c>
      <c r="G629">
        <v>94.5</v>
      </c>
      <c r="H629">
        <v>94.5</v>
      </c>
      <c r="I629">
        <v>87.5</v>
      </c>
      <c r="J629" s="1">
        <v>88</v>
      </c>
      <c r="K629">
        <v>51729006.75</v>
      </c>
      <c r="L629">
        <v>574406</v>
      </c>
      <c r="M629" t="s">
        <v>78</v>
      </c>
      <c r="N629" t="s">
        <v>17</v>
      </c>
      <c r="O629">
        <v>5102</v>
      </c>
      <c r="P629">
        <v>123.4</v>
      </c>
      <c r="Q629">
        <v>79.150000000000006</v>
      </c>
    </row>
    <row r="630" spans="2:17" x14ac:dyDescent="0.25">
      <c r="B630" t="s">
        <v>78</v>
      </c>
      <c r="C630" t="s">
        <v>79</v>
      </c>
      <c r="D630" t="s">
        <v>1150</v>
      </c>
      <c r="E630" t="s">
        <v>1151</v>
      </c>
      <c r="F630">
        <v>285.75</v>
      </c>
      <c r="G630">
        <v>288</v>
      </c>
      <c r="H630">
        <v>290.35000000000002</v>
      </c>
      <c r="I630">
        <v>272</v>
      </c>
      <c r="J630" s="1">
        <v>273.75</v>
      </c>
      <c r="K630">
        <v>341034164.75</v>
      </c>
      <c r="L630">
        <v>1226193</v>
      </c>
      <c r="M630" t="s">
        <v>78</v>
      </c>
      <c r="N630" t="s">
        <v>17</v>
      </c>
      <c r="O630">
        <v>28627</v>
      </c>
      <c r="P630">
        <v>1127</v>
      </c>
      <c r="Q630">
        <v>272</v>
      </c>
    </row>
    <row r="631" spans="2:17" x14ac:dyDescent="0.25">
      <c r="B631" t="s">
        <v>78</v>
      </c>
      <c r="C631" t="s">
        <v>79</v>
      </c>
      <c r="D631" t="s">
        <v>1152</v>
      </c>
      <c r="E631" t="s">
        <v>1153</v>
      </c>
      <c r="F631">
        <v>44.9</v>
      </c>
      <c r="G631">
        <v>46.9</v>
      </c>
      <c r="H631">
        <v>51.8</v>
      </c>
      <c r="I631">
        <v>45.15</v>
      </c>
      <c r="J631" s="1">
        <v>47.9</v>
      </c>
      <c r="K631">
        <v>14601931.300000001</v>
      </c>
      <c r="L631">
        <v>297408</v>
      </c>
      <c r="M631" t="s">
        <v>78</v>
      </c>
      <c r="N631" t="s">
        <v>17</v>
      </c>
      <c r="O631">
        <v>3631</v>
      </c>
      <c r="P631">
        <v>159.19999999999999</v>
      </c>
      <c r="Q631">
        <v>43.85</v>
      </c>
    </row>
    <row r="632" spans="2:17" x14ac:dyDescent="0.25">
      <c r="B632" t="s">
        <v>78</v>
      </c>
      <c r="C632" t="s">
        <v>79</v>
      </c>
      <c r="D632" t="s">
        <v>1154</v>
      </c>
      <c r="E632" t="s">
        <v>1155</v>
      </c>
      <c r="F632">
        <v>136.05000000000001</v>
      </c>
      <c r="G632">
        <v>136.94999999999999</v>
      </c>
      <c r="H632">
        <v>139</v>
      </c>
      <c r="I632">
        <v>136.1</v>
      </c>
      <c r="J632" s="1">
        <v>137.69999999999999</v>
      </c>
      <c r="K632">
        <v>45538520.049999997</v>
      </c>
      <c r="L632">
        <v>330746</v>
      </c>
      <c r="M632" t="s">
        <v>78</v>
      </c>
      <c r="N632" t="s">
        <v>17</v>
      </c>
      <c r="O632">
        <v>14356</v>
      </c>
      <c r="P632">
        <v>165</v>
      </c>
      <c r="Q632">
        <v>111.05</v>
      </c>
    </row>
    <row r="633" spans="2:17" x14ac:dyDescent="0.25">
      <c r="B633" t="s">
        <v>78</v>
      </c>
      <c r="C633" t="s">
        <v>79</v>
      </c>
      <c r="D633" t="s">
        <v>1156</v>
      </c>
      <c r="E633" t="s">
        <v>1157</v>
      </c>
      <c r="F633">
        <v>765.1</v>
      </c>
      <c r="G633">
        <v>742.25</v>
      </c>
      <c r="H633">
        <v>780</v>
      </c>
      <c r="I633">
        <v>705</v>
      </c>
      <c r="J633" s="1">
        <v>716.5</v>
      </c>
      <c r="K633">
        <v>1382753.15</v>
      </c>
      <c r="L633">
        <v>1871</v>
      </c>
      <c r="M633" t="s">
        <v>78</v>
      </c>
      <c r="N633" t="s">
        <v>17</v>
      </c>
      <c r="O633">
        <v>329</v>
      </c>
      <c r="P633">
        <v>1090</v>
      </c>
      <c r="Q633">
        <v>652.20000000000005</v>
      </c>
    </row>
    <row r="634" spans="2:17" x14ac:dyDescent="0.25">
      <c r="B634" t="s">
        <v>78</v>
      </c>
      <c r="C634" t="s">
        <v>79</v>
      </c>
      <c r="D634" t="s">
        <v>1160</v>
      </c>
      <c r="E634" t="s">
        <v>1161</v>
      </c>
      <c r="F634">
        <v>4.95</v>
      </c>
      <c r="G634">
        <v>5.0999999999999996</v>
      </c>
      <c r="H634">
        <v>5.0999999999999996</v>
      </c>
      <c r="I634">
        <v>4.75</v>
      </c>
      <c r="J634" s="1">
        <v>4.75</v>
      </c>
      <c r="K634">
        <v>497304.1</v>
      </c>
      <c r="L634">
        <v>103624</v>
      </c>
      <c r="M634" t="s">
        <v>78</v>
      </c>
      <c r="N634" t="s">
        <v>17</v>
      </c>
      <c r="O634">
        <v>85</v>
      </c>
      <c r="P634">
        <v>9.9499999999999993</v>
      </c>
      <c r="Q634">
        <v>2.65</v>
      </c>
    </row>
    <row r="635" spans="2:17" x14ac:dyDescent="0.25">
      <c r="B635" t="s">
        <v>78</v>
      </c>
      <c r="C635" t="s">
        <v>79</v>
      </c>
      <c r="D635" t="s">
        <v>1162</v>
      </c>
      <c r="E635" t="s">
        <v>1163</v>
      </c>
      <c r="F635">
        <v>580.79999999999995</v>
      </c>
      <c r="G635">
        <v>578</v>
      </c>
      <c r="H635">
        <v>580.95000000000005</v>
      </c>
      <c r="I635">
        <v>566</v>
      </c>
      <c r="J635" s="1">
        <v>569.54999999999995</v>
      </c>
      <c r="K635">
        <v>3090872.8</v>
      </c>
      <c r="L635">
        <v>5390</v>
      </c>
      <c r="M635" t="s">
        <v>78</v>
      </c>
      <c r="N635" t="s">
        <v>17</v>
      </c>
      <c r="O635">
        <v>469</v>
      </c>
      <c r="P635">
        <v>616.9</v>
      </c>
      <c r="Q635">
        <v>470.45</v>
      </c>
    </row>
    <row r="636" spans="2:17" x14ac:dyDescent="0.25">
      <c r="B636" t="s">
        <v>78</v>
      </c>
      <c r="C636" t="s">
        <v>79</v>
      </c>
      <c r="D636" t="s">
        <v>1166</v>
      </c>
      <c r="E636" t="s">
        <v>1167</v>
      </c>
      <c r="F636">
        <v>290.5</v>
      </c>
      <c r="G636">
        <v>284.05</v>
      </c>
      <c r="H636">
        <v>305.89999999999998</v>
      </c>
      <c r="I636">
        <v>275.5</v>
      </c>
      <c r="J636" s="1">
        <v>296.95</v>
      </c>
      <c r="K636">
        <v>28038.5</v>
      </c>
      <c r="L636">
        <v>99</v>
      </c>
      <c r="M636" t="s">
        <v>78</v>
      </c>
      <c r="N636" t="s">
        <v>17</v>
      </c>
      <c r="O636">
        <v>14</v>
      </c>
      <c r="P636">
        <v>960.8</v>
      </c>
      <c r="Q636">
        <v>275.5</v>
      </c>
    </row>
    <row r="637" spans="2:17" x14ac:dyDescent="0.25">
      <c r="B637" t="s">
        <v>78</v>
      </c>
      <c r="C637" t="s">
        <v>79</v>
      </c>
      <c r="D637" t="s">
        <v>1168</v>
      </c>
      <c r="E637" t="s">
        <v>1169</v>
      </c>
      <c r="F637">
        <v>929</v>
      </c>
      <c r="G637">
        <v>890</v>
      </c>
      <c r="H637">
        <v>949.95</v>
      </c>
      <c r="I637">
        <v>872</v>
      </c>
      <c r="J637" s="1">
        <v>891.7</v>
      </c>
      <c r="K637">
        <v>406948.25</v>
      </c>
      <c r="L637">
        <v>446</v>
      </c>
      <c r="M637" t="s">
        <v>78</v>
      </c>
      <c r="N637" t="s">
        <v>17</v>
      </c>
      <c r="O637">
        <v>56</v>
      </c>
      <c r="P637">
        <v>1307.55</v>
      </c>
      <c r="Q637">
        <v>840</v>
      </c>
    </row>
    <row r="638" spans="2:17" x14ac:dyDescent="0.25">
      <c r="B638" t="s">
        <v>78</v>
      </c>
      <c r="C638" t="s">
        <v>79</v>
      </c>
      <c r="D638" t="s">
        <v>1170</v>
      </c>
      <c r="E638" t="s">
        <v>1171</v>
      </c>
      <c r="F638">
        <v>131.85</v>
      </c>
      <c r="G638">
        <v>132</v>
      </c>
      <c r="H638">
        <v>138.6</v>
      </c>
      <c r="I638">
        <v>131</v>
      </c>
      <c r="J638" s="1">
        <v>132.65</v>
      </c>
      <c r="K638">
        <v>91670622.700000003</v>
      </c>
      <c r="L638">
        <v>682657</v>
      </c>
      <c r="M638" t="s">
        <v>78</v>
      </c>
      <c r="N638" t="s">
        <v>17</v>
      </c>
      <c r="O638">
        <v>14092</v>
      </c>
      <c r="P638">
        <v>138.6</v>
      </c>
      <c r="Q638">
        <v>77.7</v>
      </c>
    </row>
    <row r="639" spans="2:17" x14ac:dyDescent="0.25">
      <c r="B639" t="s">
        <v>78</v>
      </c>
      <c r="C639" t="s">
        <v>79</v>
      </c>
      <c r="D639" t="s">
        <v>6754</v>
      </c>
      <c r="E639" t="s">
        <v>6753</v>
      </c>
      <c r="F639">
        <v>282.3</v>
      </c>
      <c r="G639">
        <v>283.3</v>
      </c>
      <c r="H639">
        <v>289.89999999999998</v>
      </c>
      <c r="I639">
        <v>273</v>
      </c>
      <c r="J639" s="1">
        <v>286.3</v>
      </c>
      <c r="K639">
        <v>578621633.29999995</v>
      </c>
      <c r="L639">
        <v>2039864</v>
      </c>
      <c r="M639" t="s">
        <v>78</v>
      </c>
      <c r="N639" t="s">
        <v>17</v>
      </c>
      <c r="O639">
        <v>26929</v>
      </c>
      <c r="P639">
        <v>349.9</v>
      </c>
      <c r="Q639">
        <v>204.6</v>
      </c>
    </row>
    <row r="640" spans="2:17" x14ac:dyDescent="0.25">
      <c r="B640" t="s">
        <v>78</v>
      </c>
      <c r="C640" t="s">
        <v>79</v>
      </c>
      <c r="D640" t="s">
        <v>1172</v>
      </c>
      <c r="E640" t="s">
        <v>1173</v>
      </c>
      <c r="F640">
        <v>19.100000000000001</v>
      </c>
      <c r="G640">
        <v>19.100000000000001</v>
      </c>
      <c r="H640">
        <v>19.55</v>
      </c>
      <c r="I640">
        <v>19.100000000000001</v>
      </c>
      <c r="J640" s="1">
        <v>19.25</v>
      </c>
      <c r="K640">
        <v>463316</v>
      </c>
      <c r="L640">
        <v>24018</v>
      </c>
      <c r="M640" t="s">
        <v>78</v>
      </c>
      <c r="N640" t="s">
        <v>17</v>
      </c>
      <c r="O640">
        <v>59</v>
      </c>
      <c r="P640">
        <v>31.5</v>
      </c>
      <c r="Q640">
        <v>18.25</v>
      </c>
    </row>
    <row r="641" spans="2:17" x14ac:dyDescent="0.25">
      <c r="B641" t="s">
        <v>78</v>
      </c>
      <c r="C641" t="s">
        <v>79</v>
      </c>
      <c r="D641" t="s">
        <v>1174</v>
      </c>
      <c r="E641" t="s">
        <v>1175</v>
      </c>
      <c r="F641">
        <v>87</v>
      </c>
      <c r="G641">
        <v>87.2</v>
      </c>
      <c r="H641">
        <v>87.35</v>
      </c>
      <c r="I641">
        <v>86.35</v>
      </c>
      <c r="J641" s="1">
        <v>86.8</v>
      </c>
      <c r="K641">
        <v>30755090.300000001</v>
      </c>
      <c r="L641">
        <v>354272</v>
      </c>
      <c r="M641" t="s">
        <v>78</v>
      </c>
      <c r="N641" t="s">
        <v>17</v>
      </c>
      <c r="O641">
        <v>2747</v>
      </c>
      <c r="P641">
        <v>124.8</v>
      </c>
      <c r="Q641">
        <v>85.5</v>
      </c>
    </row>
    <row r="642" spans="2:17" x14ac:dyDescent="0.25">
      <c r="B642" t="s">
        <v>78</v>
      </c>
      <c r="C642" t="s">
        <v>79</v>
      </c>
      <c r="D642" t="s">
        <v>6752</v>
      </c>
      <c r="E642" t="s">
        <v>6751</v>
      </c>
      <c r="F642">
        <v>7474.05</v>
      </c>
      <c r="G642">
        <v>7474.1</v>
      </c>
      <c r="H642">
        <v>7541.95</v>
      </c>
      <c r="I642">
        <v>7335.05</v>
      </c>
      <c r="J642" s="1">
        <v>7383.1</v>
      </c>
      <c r="K642">
        <v>105697163.8</v>
      </c>
      <c r="L642">
        <v>14252</v>
      </c>
      <c r="M642" t="s">
        <v>78</v>
      </c>
      <c r="N642" t="s">
        <v>17</v>
      </c>
      <c r="O642">
        <v>3023</v>
      </c>
      <c r="P642">
        <v>7948</v>
      </c>
      <c r="Q642">
        <v>6150</v>
      </c>
    </row>
    <row r="643" spans="2:17" x14ac:dyDescent="0.25">
      <c r="B643" t="s">
        <v>78</v>
      </c>
      <c r="C643" t="s">
        <v>79</v>
      </c>
      <c r="D643" t="s">
        <v>1176</v>
      </c>
      <c r="E643" t="s">
        <v>1177</v>
      </c>
      <c r="F643">
        <v>208.65</v>
      </c>
      <c r="G643">
        <v>209.3</v>
      </c>
      <c r="H643">
        <v>211.45</v>
      </c>
      <c r="I643">
        <v>201.7</v>
      </c>
      <c r="J643" s="1">
        <v>208.3</v>
      </c>
      <c r="K643">
        <v>43281207.200000003</v>
      </c>
      <c r="L643">
        <v>209746</v>
      </c>
      <c r="M643" t="s">
        <v>78</v>
      </c>
      <c r="N643" t="s">
        <v>17</v>
      </c>
      <c r="O643">
        <v>5135</v>
      </c>
      <c r="P643">
        <v>214.55</v>
      </c>
      <c r="Q643">
        <v>148.65</v>
      </c>
    </row>
    <row r="644" spans="2:17" x14ac:dyDescent="0.25">
      <c r="B644" t="s">
        <v>78</v>
      </c>
      <c r="C644" t="s">
        <v>79</v>
      </c>
      <c r="D644" t="s">
        <v>1178</v>
      </c>
      <c r="E644" t="s">
        <v>1179</v>
      </c>
      <c r="F644">
        <v>42.75</v>
      </c>
      <c r="G644">
        <v>41</v>
      </c>
      <c r="H644">
        <v>41</v>
      </c>
      <c r="I644">
        <v>40.65</v>
      </c>
      <c r="J644" s="1">
        <v>40.65</v>
      </c>
      <c r="K644">
        <v>3610064.2</v>
      </c>
      <c r="L644">
        <v>88668</v>
      </c>
      <c r="M644" t="s">
        <v>78</v>
      </c>
      <c r="N644" t="s">
        <v>17</v>
      </c>
      <c r="O644">
        <v>408</v>
      </c>
      <c r="P644">
        <v>144.80000000000001</v>
      </c>
      <c r="Q644">
        <v>40.65</v>
      </c>
    </row>
    <row r="645" spans="2:17" x14ac:dyDescent="0.25">
      <c r="B645" t="s">
        <v>78</v>
      </c>
      <c r="C645" t="s">
        <v>79</v>
      </c>
      <c r="D645" t="s">
        <v>1180</v>
      </c>
      <c r="E645" t="s">
        <v>1181</v>
      </c>
      <c r="F645">
        <v>2.6</v>
      </c>
      <c r="G645">
        <v>2.5</v>
      </c>
      <c r="H645">
        <v>2.65</v>
      </c>
      <c r="I645">
        <v>2.5</v>
      </c>
      <c r="J645" s="1">
        <v>2.5499999999999998</v>
      </c>
      <c r="K645">
        <v>27065.85</v>
      </c>
      <c r="L645">
        <v>10517</v>
      </c>
      <c r="M645" t="s">
        <v>78</v>
      </c>
      <c r="N645" t="s">
        <v>17</v>
      </c>
      <c r="O645">
        <v>38</v>
      </c>
      <c r="P645">
        <v>8.6</v>
      </c>
      <c r="Q645">
        <v>2.5</v>
      </c>
    </row>
    <row r="646" spans="2:17" x14ac:dyDescent="0.25">
      <c r="B646" t="s">
        <v>78</v>
      </c>
      <c r="C646" t="s">
        <v>79</v>
      </c>
      <c r="D646" t="s">
        <v>1182</v>
      </c>
      <c r="E646" t="s">
        <v>1183</v>
      </c>
      <c r="F646">
        <v>0.65</v>
      </c>
      <c r="G646">
        <v>0.65</v>
      </c>
      <c r="H646">
        <v>0.7</v>
      </c>
      <c r="I646">
        <v>0.65</v>
      </c>
      <c r="J646" s="1">
        <v>0.7</v>
      </c>
      <c r="K646">
        <v>867745.5</v>
      </c>
      <c r="L646">
        <v>1308970</v>
      </c>
      <c r="M646" t="s">
        <v>78</v>
      </c>
      <c r="N646" t="s">
        <v>17</v>
      </c>
      <c r="O646">
        <v>199</v>
      </c>
      <c r="P646">
        <v>1.55</v>
      </c>
      <c r="Q646">
        <v>0.65</v>
      </c>
    </row>
    <row r="647" spans="2:17" x14ac:dyDescent="0.25">
      <c r="B647" t="s">
        <v>78</v>
      </c>
      <c r="C647" t="s">
        <v>79</v>
      </c>
      <c r="D647" t="s">
        <v>6750</v>
      </c>
      <c r="E647" t="s">
        <v>6749</v>
      </c>
      <c r="F647">
        <v>6.6</v>
      </c>
      <c r="G647">
        <v>6.4</v>
      </c>
      <c r="H647">
        <v>7.2</v>
      </c>
      <c r="I647">
        <v>6.4</v>
      </c>
      <c r="J647" s="1">
        <v>6.85</v>
      </c>
      <c r="K647">
        <v>25379.55</v>
      </c>
      <c r="L647">
        <v>3714</v>
      </c>
      <c r="M647" t="s">
        <v>78</v>
      </c>
      <c r="N647" t="s">
        <v>17</v>
      </c>
      <c r="O647">
        <v>26</v>
      </c>
      <c r="P647">
        <v>24.5</v>
      </c>
      <c r="Q647">
        <v>6.4</v>
      </c>
    </row>
    <row r="648" spans="2:17" x14ac:dyDescent="0.25">
      <c r="B648" t="s">
        <v>78</v>
      </c>
      <c r="C648" t="s">
        <v>79</v>
      </c>
      <c r="D648" t="s">
        <v>1184</v>
      </c>
      <c r="E648" t="s">
        <v>1185</v>
      </c>
      <c r="F648">
        <v>8.4499999999999993</v>
      </c>
      <c r="G648">
        <v>7.65</v>
      </c>
      <c r="H648">
        <v>7.95</v>
      </c>
      <c r="I648">
        <v>7.65</v>
      </c>
      <c r="J648" s="1">
        <v>7.8</v>
      </c>
      <c r="K648">
        <v>39890.65</v>
      </c>
      <c r="L648">
        <v>5170</v>
      </c>
      <c r="M648" t="s">
        <v>78</v>
      </c>
      <c r="N648" t="s">
        <v>17</v>
      </c>
      <c r="O648">
        <v>27</v>
      </c>
      <c r="P648">
        <v>14</v>
      </c>
      <c r="Q648">
        <v>7.5</v>
      </c>
    </row>
    <row r="649" spans="2:17" x14ac:dyDescent="0.25">
      <c r="B649" t="s">
        <v>78</v>
      </c>
      <c r="C649" t="s">
        <v>79</v>
      </c>
      <c r="D649" t="s">
        <v>1186</v>
      </c>
      <c r="E649" t="s">
        <v>1187</v>
      </c>
      <c r="F649">
        <v>89.25</v>
      </c>
      <c r="G649">
        <v>89</v>
      </c>
      <c r="H649">
        <v>91.8</v>
      </c>
      <c r="I649">
        <v>84.55</v>
      </c>
      <c r="J649" s="1">
        <v>89.3</v>
      </c>
      <c r="K649">
        <v>21607029.449999999</v>
      </c>
      <c r="L649">
        <v>243286</v>
      </c>
      <c r="M649" t="s">
        <v>78</v>
      </c>
      <c r="N649" t="s">
        <v>17</v>
      </c>
      <c r="O649">
        <v>2903</v>
      </c>
      <c r="P649">
        <v>107.45</v>
      </c>
      <c r="Q649">
        <v>53.05</v>
      </c>
    </row>
    <row r="650" spans="2:17" x14ac:dyDescent="0.25">
      <c r="B650" t="s">
        <v>78</v>
      </c>
      <c r="C650" t="s">
        <v>79</v>
      </c>
      <c r="D650" t="s">
        <v>1188</v>
      </c>
      <c r="E650" t="s">
        <v>1189</v>
      </c>
      <c r="F650">
        <v>69.45</v>
      </c>
      <c r="G650">
        <v>69.2</v>
      </c>
      <c r="H650">
        <v>71.8</v>
      </c>
      <c r="I650">
        <v>68.3</v>
      </c>
      <c r="J650" s="1">
        <v>68.849999999999994</v>
      </c>
      <c r="K650">
        <v>2309897.1</v>
      </c>
      <c r="L650">
        <v>32918</v>
      </c>
      <c r="M650" t="s">
        <v>78</v>
      </c>
      <c r="N650" t="s">
        <v>17</v>
      </c>
      <c r="O650">
        <v>912</v>
      </c>
      <c r="P650">
        <v>140</v>
      </c>
      <c r="Q650">
        <v>65.95</v>
      </c>
    </row>
    <row r="651" spans="2:17" x14ac:dyDescent="0.25">
      <c r="B651" t="s">
        <v>78</v>
      </c>
      <c r="C651" t="s">
        <v>79</v>
      </c>
      <c r="D651" t="s">
        <v>1190</v>
      </c>
      <c r="E651" t="s">
        <v>1191</v>
      </c>
      <c r="F651">
        <v>474.2</v>
      </c>
      <c r="G651">
        <v>475</v>
      </c>
      <c r="H651">
        <v>479.2</v>
      </c>
      <c r="I651">
        <v>450.05</v>
      </c>
      <c r="J651" s="1">
        <v>460.15</v>
      </c>
      <c r="K651">
        <v>14723141.25</v>
      </c>
      <c r="L651">
        <v>32033</v>
      </c>
      <c r="M651" t="s">
        <v>78</v>
      </c>
      <c r="N651" t="s">
        <v>17</v>
      </c>
      <c r="O651">
        <v>2889</v>
      </c>
      <c r="P651">
        <v>648</v>
      </c>
      <c r="Q651">
        <v>416.25</v>
      </c>
    </row>
    <row r="652" spans="2:17" x14ac:dyDescent="0.25">
      <c r="B652" t="s">
        <v>78</v>
      </c>
      <c r="C652" t="s">
        <v>79</v>
      </c>
      <c r="D652" t="s">
        <v>1192</v>
      </c>
      <c r="E652" t="s">
        <v>1193</v>
      </c>
      <c r="F652">
        <v>123.05</v>
      </c>
      <c r="G652">
        <v>129.80000000000001</v>
      </c>
      <c r="H652">
        <v>129.80000000000001</v>
      </c>
      <c r="I652">
        <v>116.25</v>
      </c>
      <c r="J652" s="1">
        <v>118.65</v>
      </c>
      <c r="K652">
        <v>239901.05</v>
      </c>
      <c r="L652">
        <v>1997</v>
      </c>
      <c r="M652" t="s">
        <v>78</v>
      </c>
      <c r="N652" t="s">
        <v>17</v>
      </c>
      <c r="O652">
        <v>135</v>
      </c>
      <c r="P652">
        <v>199</v>
      </c>
      <c r="Q652">
        <v>116.25</v>
      </c>
    </row>
    <row r="653" spans="2:17" x14ac:dyDescent="0.25">
      <c r="B653" t="s">
        <v>78</v>
      </c>
      <c r="C653" t="s">
        <v>79</v>
      </c>
      <c r="D653" t="s">
        <v>6748</v>
      </c>
      <c r="E653" t="s">
        <v>6747</v>
      </c>
      <c r="F653">
        <v>941.1</v>
      </c>
      <c r="G653">
        <v>956</v>
      </c>
      <c r="H653">
        <v>957</v>
      </c>
      <c r="I653">
        <v>925</v>
      </c>
      <c r="J653" s="1">
        <v>929.5</v>
      </c>
      <c r="K653">
        <v>51987532.799999997</v>
      </c>
      <c r="L653">
        <v>55801</v>
      </c>
      <c r="M653" t="s">
        <v>78</v>
      </c>
      <c r="N653" t="s">
        <v>17</v>
      </c>
      <c r="O653">
        <v>7224</v>
      </c>
      <c r="P653">
        <v>1144</v>
      </c>
      <c r="Q653">
        <v>720.55</v>
      </c>
    </row>
    <row r="654" spans="2:17" x14ac:dyDescent="0.25">
      <c r="B654" t="s">
        <v>78</v>
      </c>
      <c r="C654" t="s">
        <v>79</v>
      </c>
      <c r="D654" t="s">
        <v>1194</v>
      </c>
      <c r="E654" t="s">
        <v>1195</v>
      </c>
      <c r="F654">
        <v>163.1</v>
      </c>
      <c r="G654">
        <v>163.05000000000001</v>
      </c>
      <c r="H654">
        <v>167</v>
      </c>
      <c r="I654">
        <v>161.5</v>
      </c>
      <c r="J654" s="1">
        <v>165.6</v>
      </c>
      <c r="K654">
        <v>37085494.299999997</v>
      </c>
      <c r="L654">
        <v>225066</v>
      </c>
      <c r="M654" t="s">
        <v>78</v>
      </c>
      <c r="N654" t="s">
        <v>17</v>
      </c>
      <c r="O654">
        <v>3574</v>
      </c>
      <c r="P654">
        <v>826.35</v>
      </c>
      <c r="Q654">
        <v>115</v>
      </c>
    </row>
    <row r="655" spans="2:17" x14ac:dyDescent="0.25">
      <c r="B655" t="s">
        <v>78</v>
      </c>
      <c r="C655" t="s">
        <v>79</v>
      </c>
      <c r="D655" t="s">
        <v>1196</v>
      </c>
      <c r="E655" t="s">
        <v>1197</v>
      </c>
      <c r="F655">
        <v>823.05</v>
      </c>
      <c r="G655">
        <v>825</v>
      </c>
      <c r="H655">
        <v>825.1</v>
      </c>
      <c r="I655">
        <v>799.25</v>
      </c>
      <c r="J655" s="1">
        <v>801.65</v>
      </c>
      <c r="K655">
        <v>10864244.6</v>
      </c>
      <c r="L655">
        <v>13544</v>
      </c>
      <c r="M655" t="s">
        <v>78</v>
      </c>
      <c r="N655" t="s">
        <v>17</v>
      </c>
      <c r="O655">
        <v>607</v>
      </c>
      <c r="P655">
        <v>937.45</v>
      </c>
      <c r="Q655">
        <v>688.6</v>
      </c>
    </row>
    <row r="656" spans="2:17" x14ac:dyDescent="0.25">
      <c r="B656" t="s">
        <v>78</v>
      </c>
      <c r="C656" t="s">
        <v>79</v>
      </c>
      <c r="D656" t="s">
        <v>1198</v>
      </c>
      <c r="E656" t="s">
        <v>1199</v>
      </c>
      <c r="F656">
        <v>42.6</v>
      </c>
      <c r="G656">
        <v>43</v>
      </c>
      <c r="H656">
        <v>43.95</v>
      </c>
      <c r="I656">
        <v>40.200000000000003</v>
      </c>
      <c r="J656" s="1">
        <v>42.3</v>
      </c>
      <c r="K656">
        <v>758604.3</v>
      </c>
      <c r="L656">
        <v>18056</v>
      </c>
      <c r="M656" t="s">
        <v>78</v>
      </c>
      <c r="N656" t="s">
        <v>17</v>
      </c>
      <c r="O656">
        <v>381</v>
      </c>
      <c r="P656">
        <v>96.75</v>
      </c>
      <c r="Q656">
        <v>40.200000000000003</v>
      </c>
    </row>
    <row r="657" spans="2:17" x14ac:dyDescent="0.25">
      <c r="B657" t="s">
        <v>78</v>
      </c>
      <c r="C657" t="s">
        <v>79</v>
      </c>
      <c r="D657" t="s">
        <v>3160</v>
      </c>
      <c r="E657" t="s">
        <v>3161</v>
      </c>
      <c r="F657">
        <v>39.4</v>
      </c>
      <c r="G657">
        <v>38.299999999999997</v>
      </c>
      <c r="H657">
        <v>40.6</v>
      </c>
      <c r="I657">
        <v>37.15</v>
      </c>
      <c r="J657" s="1">
        <v>38.25</v>
      </c>
      <c r="K657">
        <v>176465.25</v>
      </c>
      <c r="L657">
        <v>4642</v>
      </c>
      <c r="M657" t="s">
        <v>78</v>
      </c>
      <c r="N657" t="s">
        <v>17</v>
      </c>
      <c r="O657">
        <v>145</v>
      </c>
      <c r="P657">
        <v>71.7</v>
      </c>
      <c r="Q657">
        <v>37.15</v>
      </c>
    </row>
    <row r="658" spans="2:17" x14ac:dyDescent="0.25">
      <c r="B658" t="s">
        <v>78</v>
      </c>
      <c r="C658" t="s">
        <v>79</v>
      </c>
      <c r="D658" t="s">
        <v>3614</v>
      </c>
      <c r="E658" t="s">
        <v>3615</v>
      </c>
      <c r="F658">
        <v>5.4</v>
      </c>
      <c r="G658">
        <v>5.4</v>
      </c>
      <c r="H658">
        <v>5.45</v>
      </c>
      <c r="I658">
        <v>5.25</v>
      </c>
      <c r="J658" s="1">
        <v>5.35</v>
      </c>
      <c r="K658">
        <v>5720783.9500000002</v>
      </c>
      <c r="L658">
        <v>1073956</v>
      </c>
      <c r="M658" t="s">
        <v>78</v>
      </c>
      <c r="N658" t="s">
        <v>17</v>
      </c>
      <c r="O658">
        <v>904</v>
      </c>
      <c r="P658">
        <v>12.45</v>
      </c>
      <c r="Q658">
        <v>5</v>
      </c>
    </row>
    <row r="659" spans="2:17" x14ac:dyDescent="0.25">
      <c r="B659" t="s">
        <v>78</v>
      </c>
      <c r="C659" t="s">
        <v>79</v>
      </c>
      <c r="D659" t="s">
        <v>1200</v>
      </c>
      <c r="E659" t="s">
        <v>1201</v>
      </c>
      <c r="F659">
        <v>675.25</v>
      </c>
      <c r="G659">
        <v>673</v>
      </c>
      <c r="H659">
        <v>678.75</v>
      </c>
      <c r="I659">
        <v>672.35</v>
      </c>
      <c r="J659" s="1">
        <v>675.05</v>
      </c>
      <c r="K659">
        <v>5649271.5499999998</v>
      </c>
      <c r="L659">
        <v>8369</v>
      </c>
      <c r="M659" t="s">
        <v>78</v>
      </c>
      <c r="N659" t="s">
        <v>17</v>
      </c>
      <c r="O659">
        <v>613</v>
      </c>
      <c r="P659">
        <v>1013</v>
      </c>
      <c r="Q659">
        <v>610.04999999999995</v>
      </c>
    </row>
    <row r="660" spans="2:17" x14ac:dyDescent="0.25">
      <c r="B660" t="s">
        <v>78</v>
      </c>
      <c r="C660" t="s">
        <v>79</v>
      </c>
      <c r="D660" t="s">
        <v>6746</v>
      </c>
      <c r="E660" t="s">
        <v>6745</v>
      </c>
      <c r="F660">
        <v>394.1</v>
      </c>
      <c r="G660">
        <v>398.85</v>
      </c>
      <c r="H660">
        <v>399.95</v>
      </c>
      <c r="I660">
        <v>364.05</v>
      </c>
      <c r="J660" s="1">
        <v>382.9</v>
      </c>
      <c r="K660">
        <v>7698058</v>
      </c>
      <c r="L660">
        <v>20011</v>
      </c>
      <c r="M660" t="s">
        <v>78</v>
      </c>
      <c r="N660" t="s">
        <v>17</v>
      </c>
      <c r="O660">
        <v>2744</v>
      </c>
      <c r="P660">
        <v>770.95</v>
      </c>
      <c r="Q660">
        <v>364.05</v>
      </c>
    </row>
    <row r="661" spans="2:17" x14ac:dyDescent="0.25">
      <c r="B661" t="s">
        <v>78</v>
      </c>
      <c r="C661" t="s">
        <v>79</v>
      </c>
      <c r="D661" t="s">
        <v>1204</v>
      </c>
      <c r="E661" t="s">
        <v>1205</v>
      </c>
      <c r="F661">
        <v>64.7</v>
      </c>
      <c r="G661">
        <v>66.849999999999994</v>
      </c>
      <c r="H661">
        <v>66.849999999999994</v>
      </c>
      <c r="I661">
        <v>62.1</v>
      </c>
      <c r="J661" s="1">
        <v>63</v>
      </c>
      <c r="K661">
        <v>687430.2</v>
      </c>
      <c r="L661">
        <v>10730</v>
      </c>
      <c r="M661" t="s">
        <v>78</v>
      </c>
      <c r="N661" t="s">
        <v>17</v>
      </c>
      <c r="O661">
        <v>343</v>
      </c>
      <c r="P661">
        <v>112.2</v>
      </c>
      <c r="Q661">
        <v>61.7</v>
      </c>
    </row>
    <row r="662" spans="2:17" x14ac:dyDescent="0.25">
      <c r="B662" t="s">
        <v>78</v>
      </c>
      <c r="C662" t="s">
        <v>79</v>
      </c>
      <c r="D662" t="s">
        <v>1206</v>
      </c>
      <c r="E662" t="s">
        <v>1207</v>
      </c>
      <c r="F662">
        <v>21.3</v>
      </c>
      <c r="G662">
        <v>21.4</v>
      </c>
      <c r="H662">
        <v>22</v>
      </c>
      <c r="I662">
        <v>19.8</v>
      </c>
      <c r="J662" s="1">
        <v>20.5</v>
      </c>
      <c r="K662">
        <v>4497167.8499999996</v>
      </c>
      <c r="L662">
        <v>217669</v>
      </c>
      <c r="M662" t="s">
        <v>78</v>
      </c>
      <c r="N662" t="s">
        <v>17</v>
      </c>
      <c r="O662">
        <v>1199</v>
      </c>
      <c r="P662">
        <v>32.35</v>
      </c>
      <c r="Q662">
        <v>15.1</v>
      </c>
    </row>
    <row r="663" spans="2:17" x14ac:dyDescent="0.25">
      <c r="B663" t="s">
        <v>78</v>
      </c>
      <c r="C663" t="s">
        <v>862</v>
      </c>
      <c r="D663" t="s">
        <v>1208</v>
      </c>
      <c r="E663" t="s">
        <v>6744</v>
      </c>
      <c r="F663">
        <v>574</v>
      </c>
      <c r="G663">
        <v>590</v>
      </c>
      <c r="H663">
        <v>688</v>
      </c>
      <c r="I663">
        <v>580</v>
      </c>
      <c r="J663" s="1">
        <v>600</v>
      </c>
      <c r="K663">
        <v>48373.2</v>
      </c>
      <c r="L663">
        <v>80</v>
      </c>
      <c r="M663" t="s">
        <v>78</v>
      </c>
      <c r="N663" t="s">
        <v>17</v>
      </c>
      <c r="O663">
        <v>12</v>
      </c>
      <c r="P663">
        <v>709</v>
      </c>
      <c r="Q663">
        <v>322.2</v>
      </c>
    </row>
    <row r="664" spans="2:17" x14ac:dyDescent="0.25">
      <c r="B664" t="s">
        <v>78</v>
      </c>
      <c r="C664" t="s">
        <v>79</v>
      </c>
      <c r="D664" t="s">
        <v>1208</v>
      </c>
      <c r="E664" t="s">
        <v>1209</v>
      </c>
      <c r="F664">
        <v>704.3</v>
      </c>
      <c r="G664">
        <v>751.8</v>
      </c>
      <c r="H664">
        <v>775</v>
      </c>
      <c r="I664">
        <v>737</v>
      </c>
      <c r="J664" s="1">
        <v>745.65</v>
      </c>
      <c r="K664">
        <v>82021732.549999997</v>
      </c>
      <c r="L664">
        <v>109034</v>
      </c>
      <c r="M664" t="s">
        <v>78</v>
      </c>
      <c r="N664" t="s">
        <v>17</v>
      </c>
      <c r="O664">
        <v>6309</v>
      </c>
      <c r="P664">
        <v>809.45</v>
      </c>
      <c r="Q664">
        <v>565</v>
      </c>
    </row>
    <row r="665" spans="2:17" x14ac:dyDescent="0.25">
      <c r="B665" t="s">
        <v>78</v>
      </c>
      <c r="C665" t="s">
        <v>79</v>
      </c>
      <c r="D665" t="s">
        <v>1210</v>
      </c>
      <c r="E665" t="s">
        <v>1211</v>
      </c>
      <c r="F665">
        <v>22.15</v>
      </c>
      <c r="G665">
        <v>22.15</v>
      </c>
      <c r="H665">
        <v>22.4</v>
      </c>
      <c r="I665">
        <v>21.55</v>
      </c>
      <c r="J665" s="1">
        <v>21.7</v>
      </c>
      <c r="K665">
        <v>4145651</v>
      </c>
      <c r="L665">
        <v>189670</v>
      </c>
      <c r="M665" t="s">
        <v>78</v>
      </c>
      <c r="N665" t="s">
        <v>17</v>
      </c>
      <c r="O665">
        <v>762</v>
      </c>
      <c r="P665">
        <v>38.950000000000003</v>
      </c>
      <c r="Q665">
        <v>21.55</v>
      </c>
    </row>
    <row r="666" spans="2:17" x14ac:dyDescent="0.25">
      <c r="B666" t="s">
        <v>783</v>
      </c>
      <c r="C666" t="s">
        <v>79</v>
      </c>
      <c r="D666" t="s">
        <v>1212</v>
      </c>
      <c r="E666" t="s">
        <v>1213</v>
      </c>
      <c r="F666">
        <v>7.2</v>
      </c>
      <c r="G666">
        <v>7.5</v>
      </c>
      <c r="H666">
        <v>7.5</v>
      </c>
      <c r="I666">
        <v>7.5</v>
      </c>
      <c r="J666" s="1">
        <v>7.5</v>
      </c>
      <c r="K666">
        <v>75</v>
      </c>
      <c r="L666">
        <v>10</v>
      </c>
      <c r="M666" t="s">
        <v>78</v>
      </c>
      <c r="N666" t="s">
        <v>17</v>
      </c>
      <c r="O666">
        <v>1</v>
      </c>
      <c r="P666">
        <v>21</v>
      </c>
      <c r="Q666">
        <v>6</v>
      </c>
    </row>
    <row r="667" spans="2:17" x14ac:dyDescent="0.25">
      <c r="B667" t="s">
        <v>78</v>
      </c>
      <c r="C667" t="s">
        <v>79</v>
      </c>
      <c r="D667" t="s">
        <v>1214</v>
      </c>
      <c r="E667" t="s">
        <v>1215</v>
      </c>
      <c r="F667">
        <v>10</v>
      </c>
      <c r="G667">
        <v>10.1</v>
      </c>
      <c r="H667">
        <v>10.15</v>
      </c>
      <c r="I667">
        <v>9.3000000000000007</v>
      </c>
      <c r="J667" s="1">
        <v>9.65</v>
      </c>
      <c r="K667">
        <v>14779226.6</v>
      </c>
      <c r="L667">
        <v>1535740</v>
      </c>
      <c r="M667" t="s">
        <v>78</v>
      </c>
      <c r="N667" t="s">
        <v>17</v>
      </c>
      <c r="O667">
        <v>2920</v>
      </c>
      <c r="P667">
        <v>16.600000000000001</v>
      </c>
      <c r="Q667">
        <v>9.3000000000000007</v>
      </c>
    </row>
    <row r="668" spans="2:17" x14ac:dyDescent="0.25">
      <c r="B668" t="s">
        <v>78</v>
      </c>
      <c r="C668" t="s">
        <v>79</v>
      </c>
      <c r="D668" t="s">
        <v>1216</v>
      </c>
      <c r="E668" t="s">
        <v>1217</v>
      </c>
      <c r="F668">
        <v>127.95</v>
      </c>
      <c r="G668">
        <v>126.05</v>
      </c>
      <c r="H668">
        <v>128</v>
      </c>
      <c r="I668">
        <v>125.35</v>
      </c>
      <c r="J668" s="1">
        <v>126.65</v>
      </c>
      <c r="K668">
        <v>872594.05</v>
      </c>
      <c r="L668">
        <v>6900</v>
      </c>
      <c r="M668" t="s">
        <v>78</v>
      </c>
      <c r="N668" t="s">
        <v>17</v>
      </c>
      <c r="O668">
        <v>152</v>
      </c>
      <c r="P668">
        <v>291.39999999999998</v>
      </c>
      <c r="Q668">
        <v>125.35</v>
      </c>
    </row>
    <row r="669" spans="2:17" x14ac:dyDescent="0.25">
      <c r="B669" t="s">
        <v>78</v>
      </c>
      <c r="C669" t="s">
        <v>79</v>
      </c>
      <c r="D669" t="s">
        <v>1218</v>
      </c>
      <c r="E669" t="s">
        <v>1219</v>
      </c>
      <c r="F669">
        <v>11.35</v>
      </c>
      <c r="G669">
        <v>11.4</v>
      </c>
      <c r="H669">
        <v>11.7</v>
      </c>
      <c r="I669">
        <v>10.95</v>
      </c>
      <c r="J669" s="1">
        <v>11.1</v>
      </c>
      <c r="K669">
        <v>3953890.45</v>
      </c>
      <c r="L669">
        <v>355047</v>
      </c>
      <c r="M669" t="s">
        <v>78</v>
      </c>
      <c r="N669" t="s">
        <v>17</v>
      </c>
      <c r="O669">
        <v>991</v>
      </c>
      <c r="P669">
        <v>37.299999999999997</v>
      </c>
      <c r="Q669">
        <v>10.95</v>
      </c>
    </row>
    <row r="670" spans="2:17" x14ac:dyDescent="0.25">
      <c r="B670" t="s">
        <v>78</v>
      </c>
      <c r="C670" t="s">
        <v>79</v>
      </c>
      <c r="D670" t="s">
        <v>3616</v>
      </c>
      <c r="E670" t="s">
        <v>3617</v>
      </c>
      <c r="F670">
        <v>14.1</v>
      </c>
      <c r="G670">
        <v>14</v>
      </c>
      <c r="H670">
        <v>14.3</v>
      </c>
      <c r="I670">
        <v>13.45</v>
      </c>
      <c r="J670" s="1">
        <v>13.55</v>
      </c>
      <c r="K670">
        <v>22871008.600000001</v>
      </c>
      <c r="L670">
        <v>1664100</v>
      </c>
      <c r="M670" t="s">
        <v>78</v>
      </c>
      <c r="N670" t="s">
        <v>17</v>
      </c>
      <c r="O670">
        <v>4213</v>
      </c>
      <c r="P670">
        <v>35.85</v>
      </c>
      <c r="Q670">
        <v>13.05</v>
      </c>
    </row>
    <row r="671" spans="2:17" x14ac:dyDescent="0.25">
      <c r="B671" t="s">
        <v>78</v>
      </c>
      <c r="C671" t="s">
        <v>79</v>
      </c>
      <c r="D671" t="s">
        <v>1220</v>
      </c>
      <c r="E671" t="s">
        <v>1221</v>
      </c>
      <c r="F671">
        <v>1113.75</v>
      </c>
      <c r="G671">
        <v>1124</v>
      </c>
      <c r="H671">
        <v>1135</v>
      </c>
      <c r="I671">
        <v>996.1</v>
      </c>
      <c r="J671" s="1">
        <v>1008</v>
      </c>
      <c r="K671">
        <v>837990699.5</v>
      </c>
      <c r="L671">
        <v>799286</v>
      </c>
      <c r="M671" t="s">
        <v>78</v>
      </c>
      <c r="N671" t="s">
        <v>17</v>
      </c>
      <c r="O671">
        <v>49562</v>
      </c>
      <c r="P671">
        <v>4955</v>
      </c>
      <c r="Q671">
        <v>996.1</v>
      </c>
    </row>
    <row r="672" spans="2:17" x14ac:dyDescent="0.25">
      <c r="B672" t="s">
        <v>78</v>
      </c>
      <c r="C672" t="s">
        <v>79</v>
      </c>
      <c r="D672" t="s">
        <v>1222</v>
      </c>
      <c r="E672" t="s">
        <v>1223</v>
      </c>
      <c r="F672">
        <v>199</v>
      </c>
      <c r="G672">
        <v>203.95</v>
      </c>
      <c r="H672">
        <v>204.4</v>
      </c>
      <c r="I672">
        <v>198.1</v>
      </c>
      <c r="J672" s="1">
        <v>201.55</v>
      </c>
      <c r="K672">
        <v>58302247.25</v>
      </c>
      <c r="L672">
        <v>289067</v>
      </c>
      <c r="M672" t="s">
        <v>78</v>
      </c>
      <c r="N672" t="s">
        <v>17</v>
      </c>
      <c r="O672">
        <v>5017</v>
      </c>
      <c r="P672">
        <v>215</v>
      </c>
      <c r="Q672">
        <v>121.5</v>
      </c>
    </row>
    <row r="673" spans="2:17" x14ac:dyDescent="0.25">
      <c r="B673" t="s">
        <v>78</v>
      </c>
      <c r="C673" t="s">
        <v>79</v>
      </c>
      <c r="D673" t="s">
        <v>1228</v>
      </c>
      <c r="E673" t="s">
        <v>1229</v>
      </c>
      <c r="F673">
        <v>92.2</v>
      </c>
      <c r="G673">
        <v>92.25</v>
      </c>
      <c r="H673">
        <v>92.3</v>
      </c>
      <c r="I673">
        <v>86.9</v>
      </c>
      <c r="J673" s="1">
        <v>87.35</v>
      </c>
      <c r="K673">
        <v>1342397.65</v>
      </c>
      <c r="L673">
        <v>15157</v>
      </c>
      <c r="M673" t="s">
        <v>78</v>
      </c>
      <c r="N673" t="s">
        <v>17</v>
      </c>
      <c r="O673">
        <v>438</v>
      </c>
      <c r="P673">
        <v>139</v>
      </c>
      <c r="Q673">
        <v>86.9</v>
      </c>
    </row>
    <row r="674" spans="2:17" x14ac:dyDescent="0.25">
      <c r="B674" t="s">
        <v>78</v>
      </c>
      <c r="C674" t="s">
        <v>79</v>
      </c>
      <c r="D674" t="s">
        <v>1230</v>
      </c>
      <c r="E674" t="s">
        <v>1231</v>
      </c>
      <c r="F674">
        <v>359.75</v>
      </c>
      <c r="G674">
        <v>363.95</v>
      </c>
      <c r="H674">
        <v>364.25</v>
      </c>
      <c r="I674">
        <v>355</v>
      </c>
      <c r="J674" s="1">
        <v>359.35</v>
      </c>
      <c r="K674">
        <v>12029422.15</v>
      </c>
      <c r="L674">
        <v>33503</v>
      </c>
      <c r="M674" t="s">
        <v>78</v>
      </c>
      <c r="N674" t="s">
        <v>17</v>
      </c>
      <c r="O674">
        <v>1337</v>
      </c>
      <c r="P674">
        <v>648</v>
      </c>
      <c r="Q674">
        <v>352</v>
      </c>
    </row>
    <row r="675" spans="2:17" x14ac:dyDescent="0.25">
      <c r="B675" t="s">
        <v>78</v>
      </c>
      <c r="C675" t="s">
        <v>79</v>
      </c>
      <c r="D675" t="s">
        <v>1232</v>
      </c>
      <c r="E675" t="s">
        <v>1233</v>
      </c>
      <c r="F675">
        <v>1704.25</v>
      </c>
      <c r="G675">
        <v>1721.75</v>
      </c>
      <c r="H675">
        <v>1724.8</v>
      </c>
      <c r="I675">
        <v>1681.8</v>
      </c>
      <c r="J675" s="1">
        <v>1684.85</v>
      </c>
      <c r="K675">
        <v>5066789.6500000004</v>
      </c>
      <c r="L675">
        <v>2996</v>
      </c>
      <c r="M675" t="s">
        <v>78</v>
      </c>
      <c r="N675" t="s">
        <v>17</v>
      </c>
      <c r="O675">
        <v>314</v>
      </c>
      <c r="P675">
        <v>1925</v>
      </c>
      <c r="Q675">
        <v>1033.5</v>
      </c>
    </row>
    <row r="676" spans="2:17" x14ac:dyDescent="0.25">
      <c r="B676" t="s">
        <v>78</v>
      </c>
      <c r="C676" t="s">
        <v>79</v>
      </c>
      <c r="D676" t="s">
        <v>6743</v>
      </c>
      <c r="E676" t="s">
        <v>6742</v>
      </c>
      <c r="F676">
        <v>360.9</v>
      </c>
      <c r="G676">
        <v>361</v>
      </c>
      <c r="H676">
        <v>364.9</v>
      </c>
      <c r="I676">
        <v>351.1</v>
      </c>
      <c r="J676" s="1">
        <v>354.85</v>
      </c>
      <c r="K676">
        <v>208312177.5</v>
      </c>
      <c r="L676">
        <v>582246</v>
      </c>
      <c r="M676" t="s">
        <v>78</v>
      </c>
      <c r="N676" t="s">
        <v>17</v>
      </c>
      <c r="O676">
        <v>13437</v>
      </c>
      <c r="P676">
        <v>515.5</v>
      </c>
      <c r="Q676">
        <v>294.3</v>
      </c>
    </row>
    <row r="677" spans="2:17" x14ac:dyDescent="0.25">
      <c r="B677" t="s">
        <v>78</v>
      </c>
      <c r="C677" t="s">
        <v>79</v>
      </c>
      <c r="D677" t="s">
        <v>3164</v>
      </c>
      <c r="E677" t="s">
        <v>6741</v>
      </c>
      <c r="F677">
        <v>20.05</v>
      </c>
      <c r="G677">
        <v>20.2</v>
      </c>
      <c r="H677">
        <v>20.5</v>
      </c>
      <c r="I677">
        <v>19.850000000000001</v>
      </c>
      <c r="J677" s="1">
        <v>20.05</v>
      </c>
      <c r="K677">
        <v>32647168</v>
      </c>
      <c r="L677">
        <v>1626830</v>
      </c>
      <c r="M677" t="s">
        <v>78</v>
      </c>
      <c r="N677" t="s">
        <v>17</v>
      </c>
      <c r="O677">
        <v>1557</v>
      </c>
      <c r="P677">
        <v>29.1</v>
      </c>
      <c r="Q677">
        <v>17</v>
      </c>
    </row>
    <row r="678" spans="2:17" x14ac:dyDescent="0.25">
      <c r="B678" t="s">
        <v>78</v>
      </c>
      <c r="C678" t="s">
        <v>79</v>
      </c>
      <c r="D678" t="s">
        <v>1236</v>
      </c>
      <c r="E678" t="s">
        <v>1237</v>
      </c>
      <c r="F678">
        <v>251.1</v>
      </c>
      <c r="G678">
        <v>252.2</v>
      </c>
      <c r="H678">
        <v>252.2</v>
      </c>
      <c r="I678">
        <v>245</v>
      </c>
      <c r="J678" s="1">
        <v>248.85</v>
      </c>
      <c r="K678">
        <v>3865263.1</v>
      </c>
      <c r="L678">
        <v>15590</v>
      </c>
      <c r="M678" t="s">
        <v>78</v>
      </c>
      <c r="N678" t="s">
        <v>17</v>
      </c>
      <c r="O678">
        <v>1082</v>
      </c>
      <c r="P678">
        <v>307.85000000000002</v>
      </c>
      <c r="Q678">
        <v>170</v>
      </c>
    </row>
    <row r="679" spans="2:17" x14ac:dyDescent="0.25">
      <c r="B679" t="s">
        <v>78</v>
      </c>
      <c r="C679" t="s">
        <v>79</v>
      </c>
      <c r="D679" t="s">
        <v>3166</v>
      </c>
      <c r="E679" t="s">
        <v>3167</v>
      </c>
      <c r="F679">
        <v>632.79999999999995</v>
      </c>
      <c r="G679">
        <v>621.4</v>
      </c>
      <c r="H679">
        <v>642.5</v>
      </c>
      <c r="I679">
        <v>621.4</v>
      </c>
      <c r="J679" s="1">
        <v>638.65</v>
      </c>
      <c r="K679">
        <v>4141152.4</v>
      </c>
      <c r="L679">
        <v>6518</v>
      </c>
      <c r="M679" t="s">
        <v>78</v>
      </c>
      <c r="N679" t="s">
        <v>17</v>
      </c>
      <c r="O679">
        <v>624</v>
      </c>
      <c r="P679">
        <v>917.8</v>
      </c>
      <c r="Q679">
        <v>561.85</v>
      </c>
    </row>
    <row r="680" spans="2:17" x14ac:dyDescent="0.25">
      <c r="B680" t="s">
        <v>78</v>
      </c>
      <c r="C680" t="s">
        <v>79</v>
      </c>
      <c r="D680" t="s">
        <v>6740</v>
      </c>
      <c r="E680" t="s">
        <v>6739</v>
      </c>
      <c r="F680">
        <v>2.25</v>
      </c>
      <c r="G680">
        <v>2.25</v>
      </c>
      <c r="H680">
        <v>2.35</v>
      </c>
      <c r="I680">
        <v>2.15</v>
      </c>
      <c r="J680" s="1">
        <v>2.15</v>
      </c>
      <c r="K680">
        <v>242037.75</v>
      </c>
      <c r="L680">
        <v>109574</v>
      </c>
      <c r="M680" t="s">
        <v>78</v>
      </c>
      <c r="N680" t="s">
        <v>17</v>
      </c>
      <c r="O680">
        <v>108</v>
      </c>
      <c r="P680">
        <v>15.8</v>
      </c>
      <c r="Q680">
        <v>1.95</v>
      </c>
    </row>
    <row r="681" spans="2:17" x14ac:dyDescent="0.25">
      <c r="B681" t="s">
        <v>78</v>
      </c>
      <c r="C681" t="s">
        <v>79</v>
      </c>
      <c r="D681" t="s">
        <v>1238</v>
      </c>
      <c r="E681" t="s">
        <v>1239</v>
      </c>
      <c r="F681">
        <v>158.75</v>
      </c>
      <c r="G681">
        <v>158.75</v>
      </c>
      <c r="H681">
        <v>158.75</v>
      </c>
      <c r="I681">
        <v>148</v>
      </c>
      <c r="J681" s="1">
        <v>149.65</v>
      </c>
      <c r="K681">
        <v>21423951.300000001</v>
      </c>
      <c r="L681">
        <v>140711</v>
      </c>
      <c r="M681" t="s">
        <v>78</v>
      </c>
      <c r="N681" t="s">
        <v>17</v>
      </c>
      <c r="O681">
        <v>2714</v>
      </c>
      <c r="P681">
        <v>206.9</v>
      </c>
      <c r="Q681">
        <v>135.44999999999999</v>
      </c>
    </row>
    <row r="682" spans="2:17" x14ac:dyDescent="0.25">
      <c r="B682" t="s">
        <v>78</v>
      </c>
      <c r="C682" t="s">
        <v>79</v>
      </c>
      <c r="D682" t="s">
        <v>1240</v>
      </c>
      <c r="E682" t="s">
        <v>1241</v>
      </c>
      <c r="F682">
        <v>1446.75</v>
      </c>
      <c r="G682">
        <v>1441.9</v>
      </c>
      <c r="H682">
        <v>1443</v>
      </c>
      <c r="I682">
        <v>1315</v>
      </c>
      <c r="J682" s="1">
        <v>1325.25</v>
      </c>
      <c r="K682">
        <v>25245056.100000001</v>
      </c>
      <c r="L682">
        <v>18579</v>
      </c>
      <c r="M682" t="s">
        <v>78</v>
      </c>
      <c r="N682" t="s">
        <v>17</v>
      </c>
      <c r="O682">
        <v>2416</v>
      </c>
      <c r="P682">
        <v>2606</v>
      </c>
      <c r="Q682">
        <v>1315</v>
      </c>
    </row>
    <row r="683" spans="2:17" x14ac:dyDescent="0.25">
      <c r="B683" t="s">
        <v>78</v>
      </c>
      <c r="C683" t="s">
        <v>79</v>
      </c>
      <c r="D683" t="s">
        <v>3168</v>
      </c>
      <c r="E683" t="s">
        <v>3169</v>
      </c>
      <c r="F683">
        <v>11.15</v>
      </c>
      <c r="G683">
        <v>11.15</v>
      </c>
      <c r="H683">
        <v>11.15</v>
      </c>
      <c r="I683">
        <v>10.6</v>
      </c>
      <c r="J683" s="1">
        <v>10.6</v>
      </c>
      <c r="K683">
        <v>13949.75</v>
      </c>
      <c r="L683">
        <v>1295</v>
      </c>
      <c r="M683" t="s">
        <v>78</v>
      </c>
      <c r="N683" t="s">
        <v>17</v>
      </c>
      <c r="O683">
        <v>16</v>
      </c>
      <c r="P683">
        <v>32.1</v>
      </c>
      <c r="Q683">
        <v>10.6</v>
      </c>
    </row>
    <row r="684" spans="2:17" x14ac:dyDescent="0.25">
      <c r="B684" t="s">
        <v>78</v>
      </c>
      <c r="C684" t="s">
        <v>79</v>
      </c>
      <c r="D684" t="s">
        <v>1242</v>
      </c>
      <c r="E684" t="s">
        <v>1243</v>
      </c>
      <c r="F684">
        <v>154.1</v>
      </c>
      <c r="G684">
        <v>154.94999999999999</v>
      </c>
      <c r="H684">
        <v>154.94999999999999</v>
      </c>
      <c r="I684">
        <v>146.30000000000001</v>
      </c>
      <c r="J684" s="1">
        <v>147.25</v>
      </c>
      <c r="K684">
        <v>13629141.300000001</v>
      </c>
      <c r="L684">
        <v>91464</v>
      </c>
      <c r="M684" t="s">
        <v>78</v>
      </c>
      <c r="N684" t="s">
        <v>17</v>
      </c>
      <c r="O684">
        <v>1876</v>
      </c>
      <c r="P684">
        <v>321</v>
      </c>
      <c r="Q684">
        <v>146.30000000000001</v>
      </c>
    </row>
    <row r="685" spans="2:17" x14ac:dyDescent="0.25">
      <c r="B685" t="s">
        <v>78</v>
      </c>
      <c r="C685" t="s">
        <v>79</v>
      </c>
      <c r="D685" t="s">
        <v>1244</v>
      </c>
      <c r="E685" t="s">
        <v>1245</v>
      </c>
      <c r="F685">
        <v>180.4</v>
      </c>
      <c r="G685">
        <v>181</v>
      </c>
      <c r="H685">
        <v>183</v>
      </c>
      <c r="I685">
        <v>180</v>
      </c>
      <c r="J685" s="1">
        <v>180</v>
      </c>
      <c r="K685">
        <v>158364.54999999999</v>
      </c>
      <c r="L685">
        <v>879</v>
      </c>
      <c r="M685" t="s">
        <v>78</v>
      </c>
      <c r="N685" t="s">
        <v>17</v>
      </c>
      <c r="O685">
        <v>77</v>
      </c>
      <c r="P685">
        <v>466.9</v>
      </c>
      <c r="Q685">
        <v>175.6</v>
      </c>
    </row>
    <row r="686" spans="2:17" x14ac:dyDescent="0.25">
      <c r="B686" t="s">
        <v>78</v>
      </c>
      <c r="C686" t="s">
        <v>287</v>
      </c>
      <c r="D686" t="s">
        <v>1246</v>
      </c>
      <c r="E686" t="s">
        <v>1247</v>
      </c>
      <c r="F686">
        <v>19</v>
      </c>
      <c r="G686">
        <v>17.649999999999999</v>
      </c>
      <c r="H686">
        <v>17.649999999999999</v>
      </c>
      <c r="I686">
        <v>17.649999999999999</v>
      </c>
      <c r="J686" s="1">
        <v>17.649999999999999</v>
      </c>
      <c r="K686">
        <v>70600</v>
      </c>
      <c r="L686">
        <v>4000</v>
      </c>
      <c r="M686" t="s">
        <v>78</v>
      </c>
      <c r="N686" t="s">
        <v>17</v>
      </c>
      <c r="O686">
        <v>1</v>
      </c>
      <c r="P686">
        <v>25.5</v>
      </c>
      <c r="Q686">
        <v>16</v>
      </c>
    </row>
    <row r="687" spans="2:17" x14ac:dyDescent="0.25">
      <c r="B687" t="s">
        <v>78</v>
      </c>
      <c r="C687" t="s">
        <v>79</v>
      </c>
      <c r="D687" t="s">
        <v>1248</v>
      </c>
      <c r="E687" t="s">
        <v>1249</v>
      </c>
      <c r="F687">
        <v>36.75</v>
      </c>
      <c r="G687">
        <v>36.9</v>
      </c>
      <c r="H687">
        <v>36.9</v>
      </c>
      <c r="I687">
        <v>36</v>
      </c>
      <c r="J687" s="1">
        <v>36.1</v>
      </c>
      <c r="K687">
        <v>15157900.4</v>
      </c>
      <c r="L687">
        <v>418550</v>
      </c>
      <c r="M687" t="s">
        <v>78</v>
      </c>
      <c r="N687" t="s">
        <v>17</v>
      </c>
      <c r="O687">
        <v>1918</v>
      </c>
      <c r="P687">
        <v>67.7</v>
      </c>
      <c r="Q687">
        <v>36</v>
      </c>
    </row>
    <row r="688" spans="2:17" x14ac:dyDescent="0.25">
      <c r="B688" t="s">
        <v>78</v>
      </c>
      <c r="C688" t="s">
        <v>79</v>
      </c>
      <c r="D688" t="s">
        <v>1250</v>
      </c>
      <c r="E688" t="s">
        <v>1251</v>
      </c>
      <c r="F688">
        <v>6.4</v>
      </c>
      <c r="G688">
        <v>6.35</v>
      </c>
      <c r="H688">
        <v>6.35</v>
      </c>
      <c r="I688">
        <v>6</v>
      </c>
      <c r="J688" s="1">
        <v>6.05</v>
      </c>
      <c r="K688">
        <v>753933.45</v>
      </c>
      <c r="L688">
        <v>123015</v>
      </c>
      <c r="M688" t="s">
        <v>78</v>
      </c>
      <c r="N688" t="s">
        <v>17</v>
      </c>
      <c r="O688">
        <v>350</v>
      </c>
      <c r="P688">
        <v>10.15</v>
      </c>
      <c r="Q688">
        <v>6</v>
      </c>
    </row>
    <row r="689" spans="2:17" x14ac:dyDescent="0.25">
      <c r="B689" t="s">
        <v>78</v>
      </c>
      <c r="C689" t="s">
        <v>79</v>
      </c>
      <c r="D689" t="s">
        <v>3170</v>
      </c>
      <c r="E689" t="s">
        <v>3171</v>
      </c>
      <c r="F689">
        <v>22.7</v>
      </c>
      <c r="G689">
        <v>23.8</v>
      </c>
      <c r="H689">
        <v>23.8</v>
      </c>
      <c r="I689">
        <v>23.75</v>
      </c>
      <c r="J689" s="1">
        <v>23.8</v>
      </c>
      <c r="K689">
        <v>196273.6</v>
      </c>
      <c r="L689">
        <v>8247</v>
      </c>
      <c r="M689" t="s">
        <v>78</v>
      </c>
      <c r="N689" t="s">
        <v>17</v>
      </c>
      <c r="O689">
        <v>53</v>
      </c>
      <c r="P689">
        <v>138.69999999999999</v>
      </c>
      <c r="Q689">
        <v>17.100000000000001</v>
      </c>
    </row>
    <row r="690" spans="2:17" x14ac:dyDescent="0.25">
      <c r="B690" t="s">
        <v>78</v>
      </c>
      <c r="C690" t="s">
        <v>79</v>
      </c>
      <c r="D690" t="s">
        <v>1252</v>
      </c>
      <c r="E690" t="s">
        <v>1253</v>
      </c>
      <c r="F690">
        <v>128.35</v>
      </c>
      <c r="G690">
        <v>128</v>
      </c>
      <c r="H690">
        <v>128.30000000000001</v>
      </c>
      <c r="I690">
        <v>126</v>
      </c>
      <c r="J690" s="1">
        <v>127.2</v>
      </c>
      <c r="K690">
        <v>26515412.050000001</v>
      </c>
      <c r="L690">
        <v>208790</v>
      </c>
      <c r="M690" t="s">
        <v>78</v>
      </c>
      <c r="N690" t="s">
        <v>17</v>
      </c>
      <c r="O690">
        <v>2769</v>
      </c>
      <c r="P690">
        <v>164.8</v>
      </c>
      <c r="Q690">
        <v>103.2</v>
      </c>
    </row>
    <row r="691" spans="2:17" x14ac:dyDescent="0.25">
      <c r="B691" t="s">
        <v>78</v>
      </c>
      <c r="C691" t="s">
        <v>79</v>
      </c>
      <c r="D691" t="s">
        <v>6738</v>
      </c>
      <c r="E691" t="s">
        <v>6737</v>
      </c>
      <c r="F691">
        <v>320.60000000000002</v>
      </c>
      <c r="G691">
        <v>325</v>
      </c>
      <c r="H691">
        <v>326.89999999999998</v>
      </c>
      <c r="I691">
        <v>315</v>
      </c>
      <c r="J691" s="1">
        <v>320.05</v>
      </c>
      <c r="K691">
        <v>750369.2</v>
      </c>
      <c r="L691">
        <v>2347</v>
      </c>
      <c r="M691" t="s">
        <v>78</v>
      </c>
      <c r="N691" t="s">
        <v>17</v>
      </c>
      <c r="O691">
        <v>160</v>
      </c>
      <c r="P691">
        <v>705</v>
      </c>
      <c r="Q691">
        <v>310.2</v>
      </c>
    </row>
    <row r="692" spans="2:17" x14ac:dyDescent="0.25">
      <c r="B692" t="s">
        <v>78</v>
      </c>
      <c r="C692" t="s">
        <v>79</v>
      </c>
      <c r="D692" t="s">
        <v>1254</v>
      </c>
      <c r="E692" t="s">
        <v>1255</v>
      </c>
      <c r="F692">
        <v>119.25</v>
      </c>
      <c r="G692">
        <v>119.1</v>
      </c>
      <c r="H692">
        <v>121</v>
      </c>
      <c r="I692">
        <v>118.5</v>
      </c>
      <c r="J692" s="1">
        <v>120.55</v>
      </c>
      <c r="K692">
        <v>247084.55</v>
      </c>
      <c r="L692">
        <v>2068</v>
      </c>
      <c r="M692" t="s">
        <v>78</v>
      </c>
      <c r="N692" t="s">
        <v>17</v>
      </c>
      <c r="O692">
        <v>51</v>
      </c>
      <c r="P692">
        <v>147</v>
      </c>
      <c r="Q692">
        <v>95.9</v>
      </c>
    </row>
    <row r="693" spans="2:17" x14ac:dyDescent="0.25">
      <c r="B693" t="s">
        <v>78</v>
      </c>
      <c r="C693" t="s">
        <v>79</v>
      </c>
      <c r="D693" t="s">
        <v>1256</v>
      </c>
      <c r="E693" t="s">
        <v>1257</v>
      </c>
      <c r="F693">
        <v>47.1</v>
      </c>
      <c r="G693">
        <v>46</v>
      </c>
      <c r="H693">
        <v>46.85</v>
      </c>
      <c r="I693">
        <v>40.1</v>
      </c>
      <c r="J693" s="1">
        <v>41.65</v>
      </c>
      <c r="K693">
        <v>376607.6</v>
      </c>
      <c r="L693">
        <v>8757</v>
      </c>
      <c r="M693" t="s">
        <v>78</v>
      </c>
      <c r="N693" t="s">
        <v>17</v>
      </c>
      <c r="O693">
        <v>175</v>
      </c>
      <c r="P693">
        <v>86.55</v>
      </c>
      <c r="Q693">
        <v>30.9</v>
      </c>
    </row>
    <row r="694" spans="2:17" x14ac:dyDescent="0.25">
      <c r="B694" t="s">
        <v>78</v>
      </c>
      <c r="C694" t="s">
        <v>79</v>
      </c>
      <c r="D694" t="s">
        <v>1258</v>
      </c>
      <c r="E694" t="s">
        <v>1259</v>
      </c>
      <c r="F694">
        <v>249.6</v>
      </c>
      <c r="G694">
        <v>250</v>
      </c>
      <c r="H694">
        <v>253</v>
      </c>
      <c r="I694">
        <v>221</v>
      </c>
      <c r="J694" s="1">
        <v>224.85</v>
      </c>
      <c r="K694">
        <v>721653.95</v>
      </c>
      <c r="L694">
        <v>3079</v>
      </c>
      <c r="M694" t="s">
        <v>78</v>
      </c>
      <c r="N694" t="s">
        <v>17</v>
      </c>
      <c r="O694">
        <v>371</v>
      </c>
      <c r="P694">
        <v>345</v>
      </c>
      <c r="Q694">
        <v>160.6</v>
      </c>
    </row>
    <row r="695" spans="2:17" x14ac:dyDescent="0.25">
      <c r="B695" t="s">
        <v>78</v>
      </c>
      <c r="C695" t="s">
        <v>79</v>
      </c>
      <c r="D695" t="s">
        <v>1260</v>
      </c>
      <c r="E695" t="s">
        <v>1261</v>
      </c>
      <c r="F695">
        <v>77.55</v>
      </c>
      <c r="G695">
        <v>77.25</v>
      </c>
      <c r="H695">
        <v>78.900000000000006</v>
      </c>
      <c r="I695">
        <v>72.599999999999994</v>
      </c>
      <c r="J695" s="1">
        <v>74.900000000000006</v>
      </c>
      <c r="K695">
        <v>328488.09999999998</v>
      </c>
      <c r="L695">
        <v>4291</v>
      </c>
      <c r="M695" t="s">
        <v>78</v>
      </c>
      <c r="N695" t="s">
        <v>17</v>
      </c>
      <c r="O695">
        <v>70</v>
      </c>
      <c r="P695">
        <v>156</v>
      </c>
      <c r="Q695">
        <v>67.5</v>
      </c>
    </row>
    <row r="696" spans="2:17" x14ac:dyDescent="0.25">
      <c r="B696" t="s">
        <v>78</v>
      </c>
      <c r="C696" t="s">
        <v>79</v>
      </c>
      <c r="D696" t="s">
        <v>1262</v>
      </c>
      <c r="E696" t="s">
        <v>1263</v>
      </c>
      <c r="F696">
        <v>202.25</v>
      </c>
      <c r="G696">
        <v>202.95</v>
      </c>
      <c r="H696">
        <v>211.3</v>
      </c>
      <c r="I696">
        <v>200</v>
      </c>
      <c r="J696" s="1">
        <v>200.35</v>
      </c>
      <c r="K696">
        <v>1432169.4</v>
      </c>
      <c r="L696">
        <v>7082</v>
      </c>
      <c r="M696" t="s">
        <v>78</v>
      </c>
      <c r="N696" t="s">
        <v>17</v>
      </c>
      <c r="O696">
        <v>165</v>
      </c>
      <c r="P696">
        <v>505</v>
      </c>
      <c r="Q696">
        <v>197.85</v>
      </c>
    </row>
    <row r="697" spans="2:17" x14ac:dyDescent="0.25">
      <c r="B697" t="s">
        <v>78</v>
      </c>
      <c r="C697" t="s">
        <v>79</v>
      </c>
      <c r="D697" t="s">
        <v>1268</v>
      </c>
      <c r="E697" t="s">
        <v>1269</v>
      </c>
      <c r="F697">
        <v>84.65</v>
      </c>
      <c r="G697">
        <v>84.15</v>
      </c>
      <c r="H697">
        <v>85.95</v>
      </c>
      <c r="I697">
        <v>81</v>
      </c>
      <c r="J697" s="1">
        <v>81.95</v>
      </c>
      <c r="K697">
        <v>1021988.4</v>
      </c>
      <c r="L697">
        <v>12363</v>
      </c>
      <c r="M697" t="s">
        <v>78</v>
      </c>
      <c r="N697" t="s">
        <v>17</v>
      </c>
      <c r="O697">
        <v>383</v>
      </c>
      <c r="P697">
        <v>203.4</v>
      </c>
      <c r="Q697">
        <v>81</v>
      </c>
    </row>
    <row r="698" spans="2:17" x14ac:dyDescent="0.25">
      <c r="B698" t="s">
        <v>78</v>
      </c>
      <c r="C698" t="s">
        <v>79</v>
      </c>
      <c r="D698" t="s">
        <v>1272</v>
      </c>
      <c r="E698" t="s">
        <v>1273</v>
      </c>
      <c r="F698">
        <v>22438.7</v>
      </c>
      <c r="G698">
        <v>22452</v>
      </c>
      <c r="H698">
        <v>22699.85</v>
      </c>
      <c r="I698">
        <v>22357.05</v>
      </c>
      <c r="J698" s="1">
        <v>22386.75</v>
      </c>
      <c r="K698">
        <v>77028437.450000003</v>
      </c>
      <c r="L698">
        <v>3436</v>
      </c>
      <c r="M698" t="s">
        <v>78</v>
      </c>
      <c r="N698" t="s">
        <v>17</v>
      </c>
      <c r="O698">
        <v>1199</v>
      </c>
      <c r="P698">
        <v>27892.35</v>
      </c>
      <c r="Q698">
        <v>18000</v>
      </c>
    </row>
    <row r="699" spans="2:17" x14ac:dyDescent="0.25">
      <c r="B699" t="s">
        <v>78</v>
      </c>
      <c r="C699" t="s">
        <v>79</v>
      </c>
      <c r="D699" t="s">
        <v>1274</v>
      </c>
      <c r="E699" t="s">
        <v>6736</v>
      </c>
      <c r="F699">
        <v>852.2</v>
      </c>
      <c r="G699">
        <v>888</v>
      </c>
      <c r="H699">
        <v>888</v>
      </c>
      <c r="I699">
        <v>851.05</v>
      </c>
      <c r="J699" s="1">
        <v>858.7</v>
      </c>
      <c r="K699">
        <v>1295541.3500000001</v>
      </c>
      <c r="L699">
        <v>1512</v>
      </c>
      <c r="M699" t="s">
        <v>78</v>
      </c>
      <c r="N699" t="s">
        <v>17</v>
      </c>
      <c r="O699">
        <v>203</v>
      </c>
      <c r="P699">
        <v>1408.8</v>
      </c>
      <c r="Q699">
        <v>851.05</v>
      </c>
    </row>
    <row r="700" spans="2:17" x14ac:dyDescent="0.25">
      <c r="B700" t="s">
        <v>78</v>
      </c>
      <c r="C700" t="s">
        <v>79</v>
      </c>
      <c r="D700" t="s">
        <v>6735</v>
      </c>
      <c r="E700" t="s">
        <v>6734</v>
      </c>
      <c r="F700">
        <v>7.95</v>
      </c>
      <c r="G700">
        <v>8</v>
      </c>
      <c r="H700">
        <v>8.0500000000000007</v>
      </c>
      <c r="I700">
        <v>7.8</v>
      </c>
      <c r="J700" s="1">
        <v>7.85</v>
      </c>
      <c r="K700">
        <v>639440.6</v>
      </c>
      <c r="L700">
        <v>80751</v>
      </c>
      <c r="M700" t="s">
        <v>78</v>
      </c>
      <c r="N700" t="s">
        <v>17</v>
      </c>
      <c r="O700">
        <v>243</v>
      </c>
      <c r="P700">
        <v>18.7</v>
      </c>
      <c r="Q700">
        <v>7</v>
      </c>
    </row>
    <row r="701" spans="2:17" x14ac:dyDescent="0.25">
      <c r="B701" t="s">
        <v>78</v>
      </c>
      <c r="C701" t="s">
        <v>79</v>
      </c>
      <c r="D701" t="s">
        <v>1276</v>
      </c>
      <c r="E701" t="s">
        <v>1277</v>
      </c>
      <c r="F701">
        <v>64.05</v>
      </c>
      <c r="G701">
        <v>60.75</v>
      </c>
      <c r="H701">
        <v>67.900000000000006</v>
      </c>
      <c r="I701">
        <v>59.05</v>
      </c>
      <c r="J701" s="1">
        <v>62.8</v>
      </c>
      <c r="K701">
        <v>1877542.05</v>
      </c>
      <c r="L701">
        <v>29892</v>
      </c>
      <c r="M701" t="s">
        <v>78</v>
      </c>
      <c r="N701" t="s">
        <v>17</v>
      </c>
      <c r="O701">
        <v>457</v>
      </c>
      <c r="P701">
        <v>265.5</v>
      </c>
      <c r="Q701">
        <v>59.05</v>
      </c>
    </row>
    <row r="702" spans="2:17" x14ac:dyDescent="0.25">
      <c r="B702" t="s">
        <v>78</v>
      </c>
      <c r="C702" t="s">
        <v>79</v>
      </c>
      <c r="D702" t="s">
        <v>1278</v>
      </c>
      <c r="E702" t="s">
        <v>1279</v>
      </c>
      <c r="F702">
        <v>51.55</v>
      </c>
      <c r="G702">
        <v>51.55</v>
      </c>
      <c r="H702">
        <v>52</v>
      </c>
      <c r="I702">
        <v>48.9</v>
      </c>
      <c r="J702" s="1">
        <v>49.15</v>
      </c>
      <c r="K702">
        <v>1724198.65</v>
      </c>
      <c r="L702">
        <v>34434</v>
      </c>
      <c r="M702" t="s">
        <v>78</v>
      </c>
      <c r="N702" t="s">
        <v>17</v>
      </c>
      <c r="O702">
        <v>582</v>
      </c>
      <c r="P702">
        <v>94</v>
      </c>
      <c r="Q702">
        <v>44.85</v>
      </c>
    </row>
    <row r="703" spans="2:17" x14ac:dyDescent="0.25">
      <c r="B703" t="s">
        <v>78</v>
      </c>
      <c r="C703" t="s">
        <v>79</v>
      </c>
      <c r="D703" t="s">
        <v>1280</v>
      </c>
      <c r="E703" t="s">
        <v>1281</v>
      </c>
      <c r="F703">
        <v>91.2</v>
      </c>
      <c r="G703">
        <v>91</v>
      </c>
      <c r="H703">
        <v>91.55</v>
      </c>
      <c r="I703">
        <v>87.1</v>
      </c>
      <c r="J703" s="1">
        <v>87.6</v>
      </c>
      <c r="K703">
        <v>25899726.050000001</v>
      </c>
      <c r="L703">
        <v>292292</v>
      </c>
      <c r="M703" t="s">
        <v>78</v>
      </c>
      <c r="N703" t="s">
        <v>17</v>
      </c>
      <c r="O703">
        <v>4078</v>
      </c>
      <c r="P703">
        <v>154.85</v>
      </c>
      <c r="Q703">
        <v>87.1</v>
      </c>
    </row>
    <row r="704" spans="2:17" x14ac:dyDescent="0.25">
      <c r="B704" t="s">
        <v>78</v>
      </c>
      <c r="C704" t="s">
        <v>79</v>
      </c>
      <c r="D704" t="s">
        <v>1282</v>
      </c>
      <c r="E704" t="s">
        <v>1283</v>
      </c>
      <c r="F704">
        <v>224.9</v>
      </c>
      <c r="G704">
        <v>224.9</v>
      </c>
      <c r="H704">
        <v>228</v>
      </c>
      <c r="I704">
        <v>220.05</v>
      </c>
      <c r="J704" s="1">
        <v>220.75</v>
      </c>
      <c r="K704">
        <v>19424284.050000001</v>
      </c>
      <c r="L704">
        <v>86919</v>
      </c>
      <c r="M704" t="s">
        <v>78</v>
      </c>
      <c r="N704" t="s">
        <v>17</v>
      </c>
      <c r="O704">
        <v>1122</v>
      </c>
      <c r="P704">
        <v>388.1</v>
      </c>
      <c r="Q704">
        <v>191</v>
      </c>
    </row>
    <row r="705" spans="2:17" x14ac:dyDescent="0.25">
      <c r="B705" t="s">
        <v>78</v>
      </c>
      <c r="C705" t="s">
        <v>79</v>
      </c>
      <c r="D705" t="s">
        <v>1284</v>
      </c>
      <c r="E705" t="s">
        <v>1285</v>
      </c>
      <c r="F705">
        <v>26.1</v>
      </c>
      <c r="G705">
        <v>26.05</v>
      </c>
      <c r="H705">
        <v>26.6</v>
      </c>
      <c r="I705">
        <v>23.75</v>
      </c>
      <c r="J705" s="1">
        <v>24.2</v>
      </c>
      <c r="K705">
        <v>1294049.2</v>
      </c>
      <c r="L705">
        <v>51769</v>
      </c>
      <c r="M705" t="s">
        <v>78</v>
      </c>
      <c r="N705" t="s">
        <v>17</v>
      </c>
      <c r="O705">
        <v>392</v>
      </c>
      <c r="P705">
        <v>73.900000000000006</v>
      </c>
      <c r="Q705">
        <v>23.75</v>
      </c>
    </row>
    <row r="706" spans="2:17" x14ac:dyDescent="0.25">
      <c r="B706" t="s">
        <v>78</v>
      </c>
      <c r="C706" t="s">
        <v>79</v>
      </c>
      <c r="D706" t="s">
        <v>3176</v>
      </c>
      <c r="E706" t="s">
        <v>3177</v>
      </c>
      <c r="F706">
        <v>17.55</v>
      </c>
      <c r="G706">
        <v>17.649999999999999</v>
      </c>
      <c r="H706">
        <v>18.8</v>
      </c>
      <c r="I706">
        <v>17.2</v>
      </c>
      <c r="J706" s="1">
        <v>18</v>
      </c>
      <c r="K706">
        <v>511812.95</v>
      </c>
      <c r="L706">
        <v>28602</v>
      </c>
      <c r="M706" t="s">
        <v>78</v>
      </c>
      <c r="N706" t="s">
        <v>17</v>
      </c>
      <c r="O706">
        <v>175</v>
      </c>
      <c r="P706">
        <v>70.95</v>
      </c>
      <c r="Q706">
        <v>16.5</v>
      </c>
    </row>
    <row r="707" spans="2:17" x14ac:dyDescent="0.25">
      <c r="B707" t="s">
        <v>78</v>
      </c>
      <c r="C707" t="s">
        <v>79</v>
      </c>
      <c r="D707" t="s">
        <v>1286</v>
      </c>
      <c r="E707" t="s">
        <v>1287</v>
      </c>
      <c r="F707">
        <v>37.799999999999997</v>
      </c>
      <c r="G707">
        <v>37.85</v>
      </c>
      <c r="H707">
        <v>38</v>
      </c>
      <c r="I707">
        <v>35.950000000000003</v>
      </c>
      <c r="J707" s="1">
        <v>36.25</v>
      </c>
      <c r="K707">
        <v>44315683.799999997</v>
      </c>
      <c r="L707">
        <v>1202157</v>
      </c>
      <c r="M707" t="s">
        <v>78</v>
      </c>
      <c r="N707" t="s">
        <v>17</v>
      </c>
      <c r="O707">
        <v>4542</v>
      </c>
      <c r="P707">
        <v>63</v>
      </c>
      <c r="Q707">
        <v>35.950000000000003</v>
      </c>
    </row>
    <row r="708" spans="2:17" x14ac:dyDescent="0.25">
      <c r="B708" t="s">
        <v>78</v>
      </c>
      <c r="C708" t="s">
        <v>287</v>
      </c>
      <c r="D708" t="s">
        <v>6733</v>
      </c>
      <c r="E708" t="s">
        <v>6732</v>
      </c>
      <c r="F708">
        <v>30</v>
      </c>
      <c r="G708">
        <v>29</v>
      </c>
      <c r="H708">
        <v>29</v>
      </c>
      <c r="I708">
        <v>29</v>
      </c>
      <c r="J708" s="1">
        <v>29</v>
      </c>
      <c r="K708">
        <v>58000</v>
      </c>
      <c r="L708">
        <v>2000</v>
      </c>
      <c r="M708" t="s">
        <v>78</v>
      </c>
      <c r="N708" t="s">
        <v>17</v>
      </c>
      <c r="O708">
        <v>1</v>
      </c>
      <c r="P708">
        <v>39.6</v>
      </c>
      <c r="Q708">
        <v>29</v>
      </c>
    </row>
    <row r="709" spans="2:17" x14ac:dyDescent="0.25">
      <c r="B709" t="s">
        <v>78</v>
      </c>
      <c r="C709" t="s">
        <v>79</v>
      </c>
      <c r="D709" t="s">
        <v>1290</v>
      </c>
      <c r="E709" t="s">
        <v>1291</v>
      </c>
      <c r="F709">
        <v>112.3</v>
      </c>
      <c r="G709">
        <v>112.95</v>
      </c>
      <c r="H709">
        <v>113.75</v>
      </c>
      <c r="I709">
        <v>109.55</v>
      </c>
      <c r="J709" s="1">
        <v>110.75</v>
      </c>
      <c r="K709">
        <v>246910114.30000001</v>
      </c>
      <c r="L709">
        <v>2208186</v>
      </c>
      <c r="M709" t="s">
        <v>78</v>
      </c>
      <c r="N709" t="s">
        <v>17</v>
      </c>
      <c r="O709">
        <v>24193</v>
      </c>
      <c r="P709">
        <v>164.25</v>
      </c>
      <c r="Q709">
        <v>63.3</v>
      </c>
    </row>
    <row r="710" spans="2:17" x14ac:dyDescent="0.25">
      <c r="B710" t="s">
        <v>78</v>
      </c>
      <c r="C710" t="s">
        <v>79</v>
      </c>
      <c r="D710" t="s">
        <v>6731</v>
      </c>
      <c r="E710" t="s">
        <v>6730</v>
      </c>
      <c r="F710">
        <v>149.1</v>
      </c>
      <c r="G710">
        <v>153.44999999999999</v>
      </c>
      <c r="H710">
        <v>153.44999999999999</v>
      </c>
      <c r="I710">
        <v>144.5</v>
      </c>
      <c r="J710" s="1">
        <v>146.25</v>
      </c>
      <c r="K710">
        <v>22396509.100000001</v>
      </c>
      <c r="L710">
        <v>151764</v>
      </c>
      <c r="M710" t="s">
        <v>78</v>
      </c>
      <c r="N710" t="s">
        <v>17</v>
      </c>
      <c r="O710">
        <v>1986</v>
      </c>
      <c r="P710">
        <v>785</v>
      </c>
      <c r="Q710">
        <v>144.5</v>
      </c>
    </row>
    <row r="711" spans="2:17" x14ac:dyDescent="0.25">
      <c r="B711" t="s">
        <v>78</v>
      </c>
      <c r="C711" t="s">
        <v>6729</v>
      </c>
      <c r="D711" t="s">
        <v>6727</v>
      </c>
      <c r="E711" t="s">
        <v>6728</v>
      </c>
      <c r="F711">
        <v>164.1</v>
      </c>
      <c r="G711">
        <v>163</v>
      </c>
      <c r="H711">
        <v>166.9</v>
      </c>
      <c r="I711">
        <v>152.05000000000001</v>
      </c>
      <c r="J711" s="1">
        <v>153</v>
      </c>
      <c r="K711">
        <v>3879476</v>
      </c>
      <c r="L711">
        <v>25081</v>
      </c>
      <c r="M711" t="s">
        <v>78</v>
      </c>
      <c r="N711" t="s">
        <v>17</v>
      </c>
      <c r="O711">
        <v>183</v>
      </c>
      <c r="P711">
        <v>259.89999999999998</v>
      </c>
      <c r="Q711">
        <v>115.3</v>
      </c>
    </row>
    <row r="712" spans="2:17" x14ac:dyDescent="0.25">
      <c r="B712" t="s">
        <v>78</v>
      </c>
      <c r="C712" t="s">
        <v>79</v>
      </c>
      <c r="D712" t="s">
        <v>6727</v>
      </c>
      <c r="E712" t="s">
        <v>6726</v>
      </c>
      <c r="F712">
        <v>290.5</v>
      </c>
      <c r="G712">
        <v>291.5</v>
      </c>
      <c r="H712">
        <v>293.39999999999998</v>
      </c>
      <c r="I712">
        <v>272.5</v>
      </c>
      <c r="J712" s="1">
        <v>276.2</v>
      </c>
      <c r="K712">
        <v>151344145.05000001</v>
      </c>
      <c r="L712">
        <v>534115</v>
      </c>
      <c r="M712" t="s">
        <v>78</v>
      </c>
      <c r="N712" t="s">
        <v>17</v>
      </c>
      <c r="O712">
        <v>12143</v>
      </c>
      <c r="P712">
        <v>819.8</v>
      </c>
      <c r="Q712">
        <v>208.55</v>
      </c>
    </row>
    <row r="713" spans="2:17" x14ac:dyDescent="0.25">
      <c r="B713" t="s">
        <v>78</v>
      </c>
      <c r="C713" t="s">
        <v>287</v>
      </c>
      <c r="D713" t="s">
        <v>1294</v>
      </c>
      <c r="E713" t="s">
        <v>1295</v>
      </c>
      <c r="F713">
        <v>71</v>
      </c>
      <c r="G713">
        <v>69.05</v>
      </c>
      <c r="H713">
        <v>69.05</v>
      </c>
      <c r="I713">
        <v>69.05</v>
      </c>
      <c r="J713" s="1">
        <v>69.05</v>
      </c>
      <c r="K713">
        <v>138100</v>
      </c>
      <c r="L713">
        <v>2000</v>
      </c>
      <c r="M713" t="s">
        <v>78</v>
      </c>
      <c r="N713" t="s">
        <v>17</v>
      </c>
      <c r="O713">
        <v>1</v>
      </c>
      <c r="P713">
        <v>94.5</v>
      </c>
      <c r="Q713">
        <v>58</v>
      </c>
    </row>
    <row r="714" spans="2:17" x14ac:dyDescent="0.25">
      <c r="B714" t="s">
        <v>78</v>
      </c>
      <c r="C714" t="s">
        <v>79</v>
      </c>
      <c r="D714" t="s">
        <v>4075</v>
      </c>
      <c r="E714" t="s">
        <v>4076</v>
      </c>
      <c r="F714">
        <v>303.45999999999998</v>
      </c>
      <c r="G714">
        <v>304.25</v>
      </c>
      <c r="H714">
        <v>304.25</v>
      </c>
      <c r="I714">
        <v>297.26</v>
      </c>
      <c r="J714" s="1">
        <v>297.69</v>
      </c>
      <c r="K714">
        <v>639475.31000000006</v>
      </c>
      <c r="L714">
        <v>2138</v>
      </c>
      <c r="M714" t="s">
        <v>78</v>
      </c>
      <c r="N714" t="s">
        <v>17</v>
      </c>
      <c r="O714">
        <v>32</v>
      </c>
      <c r="P714">
        <v>306.95</v>
      </c>
      <c r="Q714">
        <v>297.26</v>
      </c>
    </row>
    <row r="715" spans="2:17" x14ac:dyDescent="0.25">
      <c r="B715" t="s">
        <v>78</v>
      </c>
      <c r="C715" t="s">
        <v>79</v>
      </c>
      <c r="D715" t="s">
        <v>1296</v>
      </c>
      <c r="E715" t="s">
        <v>1297</v>
      </c>
      <c r="F715">
        <v>32.6</v>
      </c>
      <c r="G715">
        <v>32.549999999999997</v>
      </c>
      <c r="H715">
        <v>32.9</v>
      </c>
      <c r="I715">
        <v>31.75</v>
      </c>
      <c r="J715" s="1">
        <v>32.450000000000003</v>
      </c>
      <c r="K715">
        <v>1795524</v>
      </c>
      <c r="L715">
        <v>55551</v>
      </c>
      <c r="M715" t="s">
        <v>78</v>
      </c>
      <c r="N715" t="s">
        <v>17</v>
      </c>
      <c r="O715">
        <v>438</v>
      </c>
      <c r="P715">
        <v>89.6</v>
      </c>
      <c r="Q715">
        <v>30.35</v>
      </c>
    </row>
    <row r="716" spans="2:17" x14ac:dyDescent="0.25">
      <c r="B716" t="s">
        <v>78</v>
      </c>
      <c r="C716" t="s">
        <v>79</v>
      </c>
      <c r="D716" t="s">
        <v>1298</v>
      </c>
      <c r="E716" t="s">
        <v>1299</v>
      </c>
      <c r="F716">
        <v>3249.9</v>
      </c>
      <c r="G716">
        <v>3235.15</v>
      </c>
      <c r="H716">
        <v>3248</v>
      </c>
      <c r="I716">
        <v>3230</v>
      </c>
      <c r="J716" s="1">
        <v>3230.55</v>
      </c>
      <c r="K716">
        <v>1397075.45</v>
      </c>
      <c r="L716">
        <v>432</v>
      </c>
      <c r="M716" t="s">
        <v>78</v>
      </c>
      <c r="N716" t="s">
        <v>17</v>
      </c>
      <c r="O716">
        <v>68</v>
      </c>
      <c r="P716">
        <v>4000</v>
      </c>
      <c r="Q716">
        <v>2840.05</v>
      </c>
    </row>
    <row r="717" spans="2:17" x14ac:dyDescent="0.25">
      <c r="B717" t="s">
        <v>78</v>
      </c>
      <c r="C717" t="s">
        <v>79</v>
      </c>
      <c r="D717" t="s">
        <v>1300</v>
      </c>
      <c r="E717" t="s">
        <v>1301</v>
      </c>
      <c r="F717">
        <v>34.450000000000003</v>
      </c>
      <c r="G717">
        <v>34.450000000000003</v>
      </c>
      <c r="H717">
        <v>34.799999999999997</v>
      </c>
      <c r="I717">
        <v>33.65</v>
      </c>
      <c r="J717" s="1">
        <v>33.950000000000003</v>
      </c>
      <c r="K717">
        <v>143499376.5</v>
      </c>
      <c r="L717">
        <v>4202982</v>
      </c>
      <c r="M717" t="s">
        <v>78</v>
      </c>
      <c r="N717" t="s">
        <v>17</v>
      </c>
      <c r="O717">
        <v>7341</v>
      </c>
      <c r="P717">
        <v>65.75</v>
      </c>
      <c r="Q717">
        <v>33.25</v>
      </c>
    </row>
    <row r="718" spans="2:17" x14ac:dyDescent="0.25">
      <c r="B718" t="s">
        <v>78</v>
      </c>
      <c r="C718" t="s">
        <v>79</v>
      </c>
      <c r="D718" t="s">
        <v>1304</v>
      </c>
      <c r="E718" t="s">
        <v>1305</v>
      </c>
      <c r="F718">
        <v>35.950000000000003</v>
      </c>
      <c r="G718">
        <v>35.950000000000003</v>
      </c>
      <c r="H718">
        <v>36.200000000000003</v>
      </c>
      <c r="I718">
        <v>35.049999999999997</v>
      </c>
      <c r="J718" s="1">
        <v>35.200000000000003</v>
      </c>
      <c r="K718">
        <v>45818520.75</v>
      </c>
      <c r="L718">
        <v>1290142</v>
      </c>
      <c r="M718" t="s">
        <v>78</v>
      </c>
      <c r="N718" t="s">
        <v>17</v>
      </c>
      <c r="O718">
        <v>2946</v>
      </c>
      <c r="P718">
        <v>53.55</v>
      </c>
      <c r="Q718">
        <v>31.6</v>
      </c>
    </row>
    <row r="719" spans="2:17" x14ac:dyDescent="0.25">
      <c r="B719" t="s">
        <v>78</v>
      </c>
      <c r="C719" t="s">
        <v>79</v>
      </c>
      <c r="D719" t="s">
        <v>1306</v>
      </c>
      <c r="E719" t="s">
        <v>1307</v>
      </c>
      <c r="F719">
        <v>41.8</v>
      </c>
      <c r="G719">
        <v>41.95</v>
      </c>
      <c r="H719">
        <v>42.2</v>
      </c>
      <c r="I719">
        <v>40</v>
      </c>
      <c r="J719" s="1">
        <v>40.25</v>
      </c>
      <c r="K719">
        <v>495337065.80000001</v>
      </c>
      <c r="L719">
        <v>12143838</v>
      </c>
      <c r="M719" t="s">
        <v>78</v>
      </c>
      <c r="N719" t="s">
        <v>17</v>
      </c>
      <c r="O719">
        <v>24952</v>
      </c>
      <c r="P719">
        <v>56.85</v>
      </c>
      <c r="Q719">
        <v>32.700000000000003</v>
      </c>
    </row>
    <row r="720" spans="2:17" x14ac:dyDescent="0.25">
      <c r="B720" t="s">
        <v>78</v>
      </c>
      <c r="C720" t="s">
        <v>79</v>
      </c>
      <c r="D720" t="s">
        <v>1308</v>
      </c>
      <c r="E720" t="s">
        <v>1309</v>
      </c>
      <c r="F720">
        <v>145</v>
      </c>
      <c r="G720">
        <v>144.19999999999999</v>
      </c>
      <c r="H720">
        <v>145.35</v>
      </c>
      <c r="I720">
        <v>142.5</v>
      </c>
      <c r="J720" s="1">
        <v>142.85</v>
      </c>
      <c r="K720">
        <v>2837074.45</v>
      </c>
      <c r="L720">
        <v>19665</v>
      </c>
      <c r="M720" t="s">
        <v>78</v>
      </c>
      <c r="N720" t="s">
        <v>17</v>
      </c>
      <c r="O720">
        <v>1203</v>
      </c>
      <c r="P720">
        <v>1780</v>
      </c>
      <c r="Q720">
        <v>138.1</v>
      </c>
    </row>
    <row r="721" spans="2:17" x14ac:dyDescent="0.25">
      <c r="B721" t="s">
        <v>78</v>
      </c>
      <c r="C721" t="s">
        <v>79</v>
      </c>
      <c r="D721" t="s">
        <v>1310</v>
      </c>
      <c r="E721" t="s">
        <v>1311</v>
      </c>
      <c r="F721">
        <v>343.65</v>
      </c>
      <c r="G721">
        <v>344</v>
      </c>
      <c r="H721">
        <v>353.95</v>
      </c>
      <c r="I721">
        <v>322.05</v>
      </c>
      <c r="J721" s="1">
        <v>336.15</v>
      </c>
      <c r="K721">
        <v>2359932</v>
      </c>
      <c r="L721">
        <v>7185</v>
      </c>
      <c r="M721" t="s">
        <v>78</v>
      </c>
      <c r="N721" t="s">
        <v>17</v>
      </c>
      <c r="O721">
        <v>470</v>
      </c>
      <c r="P721">
        <v>753</v>
      </c>
      <c r="Q721">
        <v>322.05</v>
      </c>
    </row>
    <row r="722" spans="2:17" x14ac:dyDescent="0.25">
      <c r="B722" t="s">
        <v>78</v>
      </c>
      <c r="C722" t="s">
        <v>79</v>
      </c>
      <c r="D722" t="s">
        <v>1312</v>
      </c>
      <c r="E722" t="s">
        <v>1313</v>
      </c>
      <c r="F722">
        <v>729.85</v>
      </c>
      <c r="G722">
        <v>725.05</v>
      </c>
      <c r="H722">
        <v>736.2</v>
      </c>
      <c r="I722">
        <v>703.6</v>
      </c>
      <c r="J722" s="1">
        <v>714.35</v>
      </c>
      <c r="K722">
        <v>5336390.8</v>
      </c>
      <c r="L722">
        <v>7455</v>
      </c>
      <c r="M722" t="s">
        <v>78</v>
      </c>
      <c r="N722" t="s">
        <v>17</v>
      </c>
      <c r="O722">
        <v>1061</v>
      </c>
      <c r="P722">
        <v>1235</v>
      </c>
      <c r="Q722">
        <v>703.6</v>
      </c>
    </row>
    <row r="723" spans="2:17" x14ac:dyDescent="0.25">
      <c r="B723" t="s">
        <v>78</v>
      </c>
      <c r="C723" t="s">
        <v>79</v>
      </c>
      <c r="D723" t="s">
        <v>1314</v>
      </c>
      <c r="E723" t="s">
        <v>1315</v>
      </c>
      <c r="F723">
        <v>8.35</v>
      </c>
      <c r="G723">
        <v>8.4</v>
      </c>
      <c r="H723">
        <v>8.4499999999999993</v>
      </c>
      <c r="I723">
        <v>8.0500000000000007</v>
      </c>
      <c r="J723" s="1">
        <v>8.0500000000000007</v>
      </c>
      <c r="K723">
        <v>12928105.1</v>
      </c>
      <c r="L723">
        <v>1588271</v>
      </c>
      <c r="M723" t="s">
        <v>78</v>
      </c>
      <c r="N723" t="s">
        <v>17</v>
      </c>
      <c r="O723">
        <v>1661</v>
      </c>
      <c r="P723">
        <v>18.25</v>
      </c>
      <c r="Q723">
        <v>7.1</v>
      </c>
    </row>
    <row r="724" spans="2:17" x14ac:dyDescent="0.25">
      <c r="B724" t="s">
        <v>78</v>
      </c>
      <c r="C724" t="s">
        <v>79</v>
      </c>
      <c r="D724" t="s">
        <v>1316</v>
      </c>
      <c r="E724" t="s">
        <v>1317</v>
      </c>
      <c r="F724">
        <v>170.75</v>
      </c>
      <c r="G724">
        <v>168.5</v>
      </c>
      <c r="H724">
        <v>174</v>
      </c>
      <c r="I724">
        <v>168.5</v>
      </c>
      <c r="J724" s="1">
        <v>170.05</v>
      </c>
      <c r="K724">
        <v>153592.6</v>
      </c>
      <c r="L724">
        <v>903</v>
      </c>
      <c r="M724" t="s">
        <v>78</v>
      </c>
      <c r="N724" t="s">
        <v>17</v>
      </c>
      <c r="O724">
        <v>413</v>
      </c>
      <c r="P724">
        <v>270</v>
      </c>
      <c r="Q724">
        <v>168.5</v>
      </c>
    </row>
    <row r="725" spans="2:17" x14ac:dyDescent="0.25">
      <c r="B725" t="s">
        <v>78</v>
      </c>
      <c r="C725" t="s">
        <v>79</v>
      </c>
      <c r="D725" t="s">
        <v>1318</v>
      </c>
      <c r="E725" t="s">
        <v>1319</v>
      </c>
      <c r="F725">
        <v>228.9</v>
      </c>
      <c r="G725">
        <v>233</v>
      </c>
      <c r="H725">
        <v>239.9</v>
      </c>
      <c r="I725">
        <v>220.1</v>
      </c>
      <c r="J725" s="1">
        <v>222.25</v>
      </c>
      <c r="K725">
        <v>4247418.5</v>
      </c>
      <c r="L725">
        <v>18583</v>
      </c>
      <c r="M725" t="s">
        <v>78</v>
      </c>
      <c r="N725" t="s">
        <v>17</v>
      </c>
      <c r="O725">
        <v>533</v>
      </c>
      <c r="P725">
        <v>854.75</v>
      </c>
      <c r="Q725">
        <v>171.6</v>
      </c>
    </row>
    <row r="726" spans="2:17" x14ac:dyDescent="0.25">
      <c r="B726" t="s">
        <v>78</v>
      </c>
      <c r="C726" t="s">
        <v>79</v>
      </c>
      <c r="D726" t="s">
        <v>232</v>
      </c>
      <c r="E726" t="s">
        <v>233</v>
      </c>
      <c r="F726">
        <v>319.60000000000002</v>
      </c>
      <c r="G726">
        <v>319.60000000000002</v>
      </c>
      <c r="H726">
        <v>325.95</v>
      </c>
      <c r="I726">
        <v>316.89999999999998</v>
      </c>
      <c r="J726" s="1">
        <v>322.85000000000002</v>
      </c>
      <c r="K726">
        <v>1089355783.55</v>
      </c>
      <c r="L726">
        <v>3376692</v>
      </c>
      <c r="M726" t="s">
        <v>78</v>
      </c>
      <c r="N726" t="s">
        <v>17</v>
      </c>
      <c r="O726">
        <v>45674</v>
      </c>
      <c r="P726">
        <v>350.8</v>
      </c>
      <c r="Q726">
        <v>215.2</v>
      </c>
    </row>
    <row r="727" spans="2:17" x14ac:dyDescent="0.25">
      <c r="B727" t="s">
        <v>78</v>
      </c>
      <c r="C727" t="s">
        <v>79</v>
      </c>
      <c r="D727" t="s">
        <v>1320</v>
      </c>
      <c r="E727" t="s">
        <v>1321</v>
      </c>
      <c r="F727">
        <v>225.1</v>
      </c>
      <c r="G727">
        <v>225</v>
      </c>
      <c r="H727">
        <v>229</v>
      </c>
      <c r="I727">
        <v>214.1</v>
      </c>
      <c r="J727" s="1">
        <v>216.9</v>
      </c>
      <c r="K727">
        <v>2250228.1</v>
      </c>
      <c r="L727">
        <v>10280</v>
      </c>
      <c r="M727" t="s">
        <v>78</v>
      </c>
      <c r="N727" t="s">
        <v>17</v>
      </c>
      <c r="O727">
        <v>421</v>
      </c>
      <c r="P727">
        <v>552</v>
      </c>
      <c r="Q727">
        <v>214.1</v>
      </c>
    </row>
    <row r="728" spans="2:17" x14ac:dyDescent="0.25">
      <c r="B728" t="s">
        <v>78</v>
      </c>
      <c r="C728" t="s">
        <v>79</v>
      </c>
      <c r="D728" t="s">
        <v>3179</v>
      </c>
      <c r="E728" t="s">
        <v>3180</v>
      </c>
      <c r="F728">
        <v>130.85</v>
      </c>
      <c r="G728">
        <v>133.94999999999999</v>
      </c>
      <c r="H728">
        <v>143.9</v>
      </c>
      <c r="I728">
        <v>130.19999999999999</v>
      </c>
      <c r="J728" s="1">
        <v>132.19999999999999</v>
      </c>
      <c r="K728">
        <v>14206726.85</v>
      </c>
      <c r="L728">
        <v>103828</v>
      </c>
      <c r="M728" t="s">
        <v>78</v>
      </c>
      <c r="N728" t="s">
        <v>17</v>
      </c>
      <c r="O728">
        <v>3099</v>
      </c>
      <c r="P728">
        <v>754</v>
      </c>
      <c r="Q728">
        <v>128.44999999999999</v>
      </c>
    </row>
    <row r="729" spans="2:17" x14ac:dyDescent="0.25">
      <c r="B729" t="s">
        <v>78</v>
      </c>
      <c r="C729" t="s">
        <v>79</v>
      </c>
      <c r="D729" t="s">
        <v>1326</v>
      </c>
      <c r="E729" t="s">
        <v>1327</v>
      </c>
      <c r="F729">
        <v>70.2</v>
      </c>
      <c r="G729">
        <v>72</v>
      </c>
      <c r="H729">
        <v>72</v>
      </c>
      <c r="I729">
        <v>72</v>
      </c>
      <c r="J729" s="1">
        <v>72</v>
      </c>
      <c r="K729">
        <v>7200</v>
      </c>
      <c r="L729">
        <v>100</v>
      </c>
      <c r="M729" t="s">
        <v>78</v>
      </c>
      <c r="N729" t="s">
        <v>17</v>
      </c>
      <c r="O729">
        <v>1</v>
      </c>
      <c r="P729">
        <v>105.95</v>
      </c>
      <c r="Q729">
        <v>57.55</v>
      </c>
    </row>
    <row r="730" spans="2:17" x14ac:dyDescent="0.25">
      <c r="B730" t="s">
        <v>78</v>
      </c>
      <c r="C730" t="s">
        <v>79</v>
      </c>
      <c r="D730" t="s">
        <v>1328</v>
      </c>
      <c r="E730" t="s">
        <v>1329</v>
      </c>
      <c r="F730">
        <v>179.5</v>
      </c>
      <c r="G730">
        <v>180</v>
      </c>
      <c r="H730">
        <v>183</v>
      </c>
      <c r="I730">
        <v>169</v>
      </c>
      <c r="J730" s="1">
        <v>175.25</v>
      </c>
      <c r="K730">
        <v>2214478.2999999998</v>
      </c>
      <c r="L730">
        <v>12655</v>
      </c>
      <c r="M730" t="s">
        <v>78</v>
      </c>
      <c r="N730" t="s">
        <v>17</v>
      </c>
      <c r="O730">
        <v>552</v>
      </c>
      <c r="P730">
        <v>347.8</v>
      </c>
      <c r="Q730">
        <v>169</v>
      </c>
    </row>
    <row r="731" spans="2:17" x14ac:dyDescent="0.25">
      <c r="B731" t="s">
        <v>78</v>
      </c>
      <c r="C731" t="s">
        <v>79</v>
      </c>
      <c r="D731" t="s">
        <v>1330</v>
      </c>
      <c r="E731" t="s">
        <v>1331</v>
      </c>
      <c r="F731">
        <v>835.95</v>
      </c>
      <c r="G731">
        <v>835</v>
      </c>
      <c r="H731">
        <v>838</v>
      </c>
      <c r="I731">
        <v>835</v>
      </c>
      <c r="J731" s="1">
        <v>835.05</v>
      </c>
      <c r="K731">
        <v>182074.9</v>
      </c>
      <c r="L731">
        <v>218</v>
      </c>
      <c r="M731" t="s">
        <v>78</v>
      </c>
      <c r="N731" t="s">
        <v>17</v>
      </c>
      <c r="O731">
        <v>26</v>
      </c>
      <c r="P731">
        <v>967.95</v>
      </c>
      <c r="Q731">
        <v>804.05</v>
      </c>
    </row>
    <row r="732" spans="2:17" x14ac:dyDescent="0.25">
      <c r="B732" t="s">
        <v>78</v>
      </c>
      <c r="C732" t="s">
        <v>79</v>
      </c>
      <c r="D732" t="s">
        <v>1334</v>
      </c>
      <c r="E732" t="s">
        <v>1335</v>
      </c>
      <c r="F732">
        <v>7.25</v>
      </c>
      <c r="G732">
        <v>7.4</v>
      </c>
      <c r="H732">
        <v>7.4</v>
      </c>
      <c r="I732">
        <v>6.8</v>
      </c>
      <c r="J732" s="1">
        <v>7</v>
      </c>
      <c r="K732">
        <v>165418.75</v>
      </c>
      <c r="L732">
        <v>23677</v>
      </c>
      <c r="M732" t="s">
        <v>78</v>
      </c>
      <c r="N732" t="s">
        <v>17</v>
      </c>
      <c r="O732">
        <v>217</v>
      </c>
      <c r="P732">
        <v>15.35</v>
      </c>
      <c r="Q732">
        <v>6.8</v>
      </c>
    </row>
    <row r="733" spans="2:17" x14ac:dyDescent="0.25">
      <c r="B733" t="s">
        <v>78</v>
      </c>
      <c r="C733" t="s">
        <v>79</v>
      </c>
      <c r="D733" t="s">
        <v>1336</v>
      </c>
      <c r="E733" t="s">
        <v>1337</v>
      </c>
      <c r="F733">
        <v>147.9</v>
      </c>
      <c r="G733">
        <v>148.44999999999999</v>
      </c>
      <c r="H733">
        <v>148.65</v>
      </c>
      <c r="I733">
        <v>144.1</v>
      </c>
      <c r="J733" s="1">
        <v>145.05000000000001</v>
      </c>
      <c r="K733">
        <v>105834857.40000001</v>
      </c>
      <c r="L733">
        <v>729550</v>
      </c>
      <c r="M733" t="s">
        <v>78</v>
      </c>
      <c r="N733" t="s">
        <v>17</v>
      </c>
      <c r="O733">
        <v>13372</v>
      </c>
      <c r="P733">
        <v>164.3</v>
      </c>
      <c r="Q733">
        <v>109.3</v>
      </c>
    </row>
    <row r="734" spans="2:17" x14ac:dyDescent="0.25">
      <c r="B734" t="s">
        <v>78</v>
      </c>
      <c r="C734" t="s">
        <v>79</v>
      </c>
      <c r="D734" t="s">
        <v>1338</v>
      </c>
      <c r="E734" t="s">
        <v>1339</v>
      </c>
      <c r="F734">
        <v>98.7</v>
      </c>
      <c r="G734">
        <v>100.5</v>
      </c>
      <c r="H734">
        <v>101.5</v>
      </c>
      <c r="I734">
        <v>96.85</v>
      </c>
      <c r="J734" s="1">
        <v>98.65</v>
      </c>
      <c r="K734">
        <v>304657042.19999999</v>
      </c>
      <c r="L734">
        <v>3073673</v>
      </c>
      <c r="M734" t="s">
        <v>78</v>
      </c>
      <c r="N734" t="s">
        <v>17</v>
      </c>
      <c r="O734">
        <v>27075</v>
      </c>
      <c r="P734">
        <v>128</v>
      </c>
      <c r="Q734">
        <v>74.75</v>
      </c>
    </row>
    <row r="735" spans="2:17" x14ac:dyDescent="0.25">
      <c r="B735" t="s">
        <v>78</v>
      </c>
      <c r="C735" t="s">
        <v>79</v>
      </c>
      <c r="D735" t="s">
        <v>1340</v>
      </c>
      <c r="E735" t="s">
        <v>1341</v>
      </c>
      <c r="F735">
        <v>229.7</v>
      </c>
      <c r="G735">
        <v>230</v>
      </c>
      <c r="H735">
        <v>230.65</v>
      </c>
      <c r="I735">
        <v>220.5</v>
      </c>
      <c r="J735" s="1">
        <v>222.2</v>
      </c>
      <c r="K735">
        <v>11607143.15</v>
      </c>
      <c r="L735">
        <v>51867</v>
      </c>
      <c r="M735" t="s">
        <v>78</v>
      </c>
      <c r="N735" t="s">
        <v>17</v>
      </c>
      <c r="O735">
        <v>1460</v>
      </c>
      <c r="P735">
        <v>539.9</v>
      </c>
      <c r="Q735">
        <v>220.4</v>
      </c>
    </row>
    <row r="736" spans="2:17" x14ac:dyDescent="0.25">
      <c r="B736" t="s">
        <v>78</v>
      </c>
      <c r="C736" t="s">
        <v>79</v>
      </c>
      <c r="D736" t="s">
        <v>1342</v>
      </c>
      <c r="E736" t="s">
        <v>1343</v>
      </c>
      <c r="F736">
        <v>1265</v>
      </c>
      <c r="G736">
        <v>1271.95</v>
      </c>
      <c r="H736">
        <v>1272.9000000000001</v>
      </c>
      <c r="I736">
        <v>1225</v>
      </c>
      <c r="J736" s="1">
        <v>1225.95</v>
      </c>
      <c r="K736">
        <v>56868039.100000001</v>
      </c>
      <c r="L736">
        <v>45659</v>
      </c>
      <c r="M736" t="s">
        <v>78</v>
      </c>
      <c r="N736" t="s">
        <v>17</v>
      </c>
      <c r="O736">
        <v>2527</v>
      </c>
      <c r="P736">
        <v>1368.7</v>
      </c>
      <c r="Q736">
        <v>1180</v>
      </c>
    </row>
    <row r="737" spans="2:17" x14ac:dyDescent="0.25">
      <c r="B737" t="s">
        <v>78</v>
      </c>
      <c r="C737" t="s">
        <v>79</v>
      </c>
      <c r="D737" t="s">
        <v>1344</v>
      </c>
      <c r="E737" t="s">
        <v>1345</v>
      </c>
      <c r="F737">
        <v>226.3</v>
      </c>
      <c r="G737">
        <v>228</v>
      </c>
      <c r="H737">
        <v>229</v>
      </c>
      <c r="I737">
        <v>220.5</v>
      </c>
      <c r="J737" s="1">
        <v>221.7</v>
      </c>
      <c r="K737">
        <v>88631656.849999994</v>
      </c>
      <c r="L737">
        <v>397448</v>
      </c>
      <c r="M737" t="s">
        <v>78</v>
      </c>
      <c r="N737" t="s">
        <v>17</v>
      </c>
      <c r="O737">
        <v>6322</v>
      </c>
      <c r="P737">
        <v>379.7</v>
      </c>
      <c r="Q737">
        <v>200</v>
      </c>
    </row>
    <row r="738" spans="2:17" x14ac:dyDescent="0.25">
      <c r="B738" t="s">
        <v>78</v>
      </c>
      <c r="C738" t="s">
        <v>79</v>
      </c>
      <c r="D738" t="s">
        <v>1346</v>
      </c>
      <c r="E738" t="s">
        <v>1347</v>
      </c>
      <c r="F738">
        <v>96.1</v>
      </c>
      <c r="G738">
        <v>96</v>
      </c>
      <c r="H738">
        <v>99.75</v>
      </c>
      <c r="I738">
        <v>93.1</v>
      </c>
      <c r="J738" s="1">
        <v>97</v>
      </c>
      <c r="K738">
        <v>22569.35</v>
      </c>
      <c r="L738">
        <v>233</v>
      </c>
      <c r="M738" t="s">
        <v>78</v>
      </c>
      <c r="N738" t="s">
        <v>546</v>
      </c>
      <c r="O738">
        <v>15</v>
      </c>
      <c r="P738">
        <v>159.69999999999999</v>
      </c>
      <c r="Q738">
        <v>81.95</v>
      </c>
    </row>
    <row r="739" spans="2:17" x14ac:dyDescent="0.25">
      <c r="B739" t="s">
        <v>78</v>
      </c>
      <c r="C739" t="s">
        <v>79</v>
      </c>
      <c r="D739" t="s">
        <v>1348</v>
      </c>
      <c r="E739" t="s">
        <v>1349</v>
      </c>
      <c r="F739">
        <v>296.55</v>
      </c>
      <c r="G739">
        <v>296.55</v>
      </c>
      <c r="H739">
        <v>299.2</v>
      </c>
      <c r="I739">
        <v>281.5</v>
      </c>
      <c r="J739" s="1">
        <v>286.8</v>
      </c>
      <c r="K739">
        <v>4376268.7999999998</v>
      </c>
      <c r="L739">
        <v>15215</v>
      </c>
      <c r="M739" t="s">
        <v>78</v>
      </c>
      <c r="N739" t="s">
        <v>17</v>
      </c>
      <c r="O739">
        <v>1538</v>
      </c>
      <c r="P739">
        <v>369.9</v>
      </c>
      <c r="Q739">
        <v>225.85</v>
      </c>
    </row>
    <row r="740" spans="2:17" x14ac:dyDescent="0.25">
      <c r="B740" t="s">
        <v>78</v>
      </c>
      <c r="C740" t="s">
        <v>1352</v>
      </c>
      <c r="D740" t="s">
        <v>1353</v>
      </c>
      <c r="E740" t="s">
        <v>1354</v>
      </c>
      <c r="F740">
        <v>89.74</v>
      </c>
      <c r="G740">
        <v>89.1</v>
      </c>
      <c r="H740">
        <v>90.65</v>
      </c>
      <c r="I740">
        <v>89.1</v>
      </c>
      <c r="J740" s="1">
        <v>90.4</v>
      </c>
      <c r="K740">
        <v>7785391.9500000002</v>
      </c>
      <c r="L740">
        <v>86751</v>
      </c>
      <c r="M740" t="s">
        <v>78</v>
      </c>
      <c r="N740" t="s">
        <v>17</v>
      </c>
      <c r="O740">
        <v>17</v>
      </c>
      <c r="P740">
        <v>97</v>
      </c>
      <c r="Q740">
        <v>80.989999999999995</v>
      </c>
    </row>
    <row r="741" spans="2:17" x14ac:dyDescent="0.25">
      <c r="B741" t="s">
        <v>78</v>
      </c>
      <c r="C741" t="s">
        <v>79</v>
      </c>
      <c r="D741" t="s">
        <v>1355</v>
      </c>
      <c r="E741" t="s">
        <v>1356</v>
      </c>
      <c r="F741">
        <v>21.5</v>
      </c>
      <c r="G741">
        <v>21.15</v>
      </c>
      <c r="H741">
        <v>25.8</v>
      </c>
      <c r="I741">
        <v>21.15</v>
      </c>
      <c r="J741" s="1">
        <v>25.8</v>
      </c>
      <c r="K741">
        <v>852397.5</v>
      </c>
      <c r="L741">
        <v>33847</v>
      </c>
      <c r="M741" t="s">
        <v>78</v>
      </c>
      <c r="N741" t="s">
        <v>17</v>
      </c>
      <c r="O741">
        <v>197</v>
      </c>
      <c r="P741">
        <v>84.6</v>
      </c>
      <c r="Q741">
        <v>19.7</v>
      </c>
    </row>
    <row r="742" spans="2:17" x14ac:dyDescent="0.25">
      <c r="B742" t="s">
        <v>78</v>
      </c>
      <c r="C742" t="s">
        <v>79</v>
      </c>
      <c r="D742" t="s">
        <v>1357</v>
      </c>
      <c r="E742" t="s">
        <v>1358</v>
      </c>
      <c r="F742">
        <v>390.85</v>
      </c>
      <c r="G742">
        <v>386</v>
      </c>
      <c r="H742">
        <v>391.9</v>
      </c>
      <c r="I742">
        <v>377.3</v>
      </c>
      <c r="J742" s="1">
        <v>381.65</v>
      </c>
      <c r="K742">
        <v>1439185.15</v>
      </c>
      <c r="L742">
        <v>3763</v>
      </c>
      <c r="M742" t="s">
        <v>78</v>
      </c>
      <c r="N742" t="s">
        <v>17</v>
      </c>
      <c r="O742">
        <v>322</v>
      </c>
      <c r="P742">
        <v>570</v>
      </c>
      <c r="Q742">
        <v>372</v>
      </c>
    </row>
    <row r="743" spans="2:17" x14ac:dyDescent="0.25">
      <c r="B743" t="s">
        <v>78</v>
      </c>
      <c r="C743" t="s">
        <v>79</v>
      </c>
      <c r="D743" t="s">
        <v>1359</v>
      </c>
      <c r="E743" t="s">
        <v>1360</v>
      </c>
      <c r="F743">
        <v>160.05000000000001</v>
      </c>
      <c r="G743">
        <v>159</v>
      </c>
      <c r="H743">
        <v>163</v>
      </c>
      <c r="I743">
        <v>156.1</v>
      </c>
      <c r="J743" s="1">
        <v>158.15</v>
      </c>
      <c r="K743">
        <v>1119131.8</v>
      </c>
      <c r="L743">
        <v>7010</v>
      </c>
      <c r="M743" t="s">
        <v>78</v>
      </c>
      <c r="N743" t="s">
        <v>17</v>
      </c>
      <c r="O743">
        <v>332</v>
      </c>
      <c r="P743">
        <v>238.9</v>
      </c>
      <c r="Q743">
        <v>134.4</v>
      </c>
    </row>
    <row r="744" spans="2:17" x14ac:dyDescent="0.25">
      <c r="B744" t="s">
        <v>78</v>
      </c>
      <c r="C744" t="s">
        <v>79</v>
      </c>
      <c r="D744" t="s">
        <v>3185</v>
      </c>
      <c r="E744" t="s">
        <v>3186</v>
      </c>
      <c r="F744">
        <v>27.25</v>
      </c>
      <c r="G744">
        <v>27.1</v>
      </c>
      <c r="H744">
        <v>28.35</v>
      </c>
      <c r="I744">
        <v>25.05</v>
      </c>
      <c r="J744" s="1">
        <v>27.6</v>
      </c>
      <c r="K744">
        <v>564216.1</v>
      </c>
      <c r="L744">
        <v>21160</v>
      </c>
      <c r="M744" t="s">
        <v>78</v>
      </c>
      <c r="N744" t="s">
        <v>17</v>
      </c>
      <c r="O744">
        <v>169</v>
      </c>
      <c r="P744">
        <v>40.6</v>
      </c>
      <c r="Q744">
        <v>16.8</v>
      </c>
    </row>
    <row r="745" spans="2:17" x14ac:dyDescent="0.25">
      <c r="B745" t="s">
        <v>78</v>
      </c>
      <c r="C745" t="s">
        <v>79</v>
      </c>
      <c r="D745" t="s">
        <v>1361</v>
      </c>
      <c r="E745" t="s">
        <v>1362</v>
      </c>
      <c r="F745">
        <v>350.1</v>
      </c>
      <c r="G745">
        <v>349.1</v>
      </c>
      <c r="H745">
        <v>353.6</v>
      </c>
      <c r="I745">
        <v>339.1</v>
      </c>
      <c r="J745" s="1">
        <v>339.95</v>
      </c>
      <c r="K745">
        <v>14115291.550000001</v>
      </c>
      <c r="L745">
        <v>41130</v>
      </c>
      <c r="M745" t="s">
        <v>78</v>
      </c>
      <c r="N745" t="s">
        <v>17</v>
      </c>
      <c r="O745">
        <v>3022</v>
      </c>
      <c r="P745">
        <v>506.85</v>
      </c>
      <c r="Q745">
        <v>275.8</v>
      </c>
    </row>
    <row r="746" spans="2:17" x14ac:dyDescent="0.25">
      <c r="B746" t="s">
        <v>78</v>
      </c>
      <c r="C746" t="s">
        <v>79</v>
      </c>
      <c r="D746" t="s">
        <v>1363</v>
      </c>
      <c r="E746" t="s">
        <v>1364</v>
      </c>
      <c r="F746">
        <v>94.85</v>
      </c>
      <c r="G746">
        <v>94.05</v>
      </c>
      <c r="H746">
        <v>96.75</v>
      </c>
      <c r="I746">
        <v>92.1</v>
      </c>
      <c r="J746" s="1">
        <v>92.95</v>
      </c>
      <c r="K746">
        <v>48800.7</v>
      </c>
      <c r="L746">
        <v>522</v>
      </c>
      <c r="M746" t="s">
        <v>78</v>
      </c>
      <c r="N746" t="s">
        <v>17</v>
      </c>
      <c r="O746">
        <v>56</v>
      </c>
      <c r="P746">
        <v>163.9</v>
      </c>
      <c r="Q746">
        <v>83.85</v>
      </c>
    </row>
    <row r="747" spans="2:17" x14ac:dyDescent="0.25">
      <c r="B747" t="s">
        <v>78</v>
      </c>
      <c r="C747" t="s">
        <v>79</v>
      </c>
      <c r="D747" t="s">
        <v>3187</v>
      </c>
      <c r="E747" t="s">
        <v>3188</v>
      </c>
      <c r="F747">
        <v>24.45</v>
      </c>
      <c r="G747">
        <v>24.4</v>
      </c>
      <c r="H747">
        <v>24.4</v>
      </c>
      <c r="I747">
        <v>23</v>
      </c>
      <c r="J747" s="1">
        <v>23.9</v>
      </c>
      <c r="K747">
        <v>166911.45000000001</v>
      </c>
      <c r="L747">
        <v>7065</v>
      </c>
      <c r="M747" t="s">
        <v>78</v>
      </c>
      <c r="N747" t="s">
        <v>17</v>
      </c>
      <c r="O747">
        <v>383</v>
      </c>
      <c r="P747">
        <v>60.65</v>
      </c>
      <c r="Q747">
        <v>23</v>
      </c>
    </row>
    <row r="748" spans="2:17" x14ac:dyDescent="0.25">
      <c r="B748" t="s">
        <v>78</v>
      </c>
      <c r="C748" t="s">
        <v>79</v>
      </c>
      <c r="D748" t="s">
        <v>1365</v>
      </c>
      <c r="E748" t="s">
        <v>1366</v>
      </c>
      <c r="F748">
        <v>3.7</v>
      </c>
      <c r="G748">
        <v>3.9</v>
      </c>
      <c r="H748">
        <v>3.9</v>
      </c>
      <c r="I748">
        <v>3.65</v>
      </c>
      <c r="J748" s="1">
        <v>3.75</v>
      </c>
      <c r="K748">
        <v>90772.9</v>
      </c>
      <c r="L748">
        <v>24467</v>
      </c>
      <c r="M748" t="s">
        <v>78</v>
      </c>
      <c r="N748" t="s">
        <v>17</v>
      </c>
      <c r="O748">
        <v>79</v>
      </c>
      <c r="P748">
        <v>7.15</v>
      </c>
      <c r="Q748">
        <v>3.3</v>
      </c>
    </row>
    <row r="749" spans="2:17" x14ac:dyDescent="0.25">
      <c r="B749" t="s">
        <v>78</v>
      </c>
      <c r="C749" t="s">
        <v>79</v>
      </c>
      <c r="D749" t="s">
        <v>1367</v>
      </c>
      <c r="E749" t="s">
        <v>1368</v>
      </c>
      <c r="F749">
        <v>36.65</v>
      </c>
      <c r="G749">
        <v>36.25</v>
      </c>
      <c r="H749">
        <v>36.700000000000003</v>
      </c>
      <c r="I749">
        <v>35.6</v>
      </c>
      <c r="J749" s="1">
        <v>36</v>
      </c>
      <c r="K749">
        <v>2196637.6</v>
      </c>
      <c r="L749">
        <v>60741</v>
      </c>
      <c r="M749" t="s">
        <v>78</v>
      </c>
      <c r="N749" t="s">
        <v>17</v>
      </c>
      <c r="O749">
        <v>331</v>
      </c>
      <c r="P749">
        <v>52</v>
      </c>
      <c r="Q749">
        <v>35.6</v>
      </c>
    </row>
    <row r="750" spans="2:17" x14ac:dyDescent="0.25">
      <c r="B750" t="s">
        <v>78</v>
      </c>
      <c r="C750" t="s">
        <v>79</v>
      </c>
      <c r="D750" t="s">
        <v>1369</v>
      </c>
      <c r="E750" t="s">
        <v>1370</v>
      </c>
      <c r="F750">
        <v>31.1</v>
      </c>
      <c r="G750">
        <v>30.9</v>
      </c>
      <c r="H750">
        <v>31.7</v>
      </c>
      <c r="I750">
        <v>30.2</v>
      </c>
      <c r="J750" s="1">
        <v>30.35</v>
      </c>
      <c r="K750">
        <v>521316.3</v>
      </c>
      <c r="L750">
        <v>16901</v>
      </c>
      <c r="M750" t="s">
        <v>78</v>
      </c>
      <c r="N750" t="s">
        <v>17</v>
      </c>
      <c r="O750">
        <v>177</v>
      </c>
      <c r="P750">
        <v>98</v>
      </c>
      <c r="Q750">
        <v>30.2</v>
      </c>
    </row>
    <row r="751" spans="2:17" x14ac:dyDescent="0.25">
      <c r="B751" t="s">
        <v>78</v>
      </c>
      <c r="C751" t="s">
        <v>79</v>
      </c>
      <c r="D751" t="s">
        <v>3189</v>
      </c>
      <c r="E751" t="s">
        <v>3190</v>
      </c>
      <c r="F751">
        <v>3.95</v>
      </c>
      <c r="G751">
        <v>3.85</v>
      </c>
      <c r="H751">
        <v>4.05</v>
      </c>
      <c r="I751">
        <v>3.85</v>
      </c>
      <c r="J751" s="1">
        <v>4.05</v>
      </c>
      <c r="K751">
        <v>8493.25</v>
      </c>
      <c r="L751">
        <v>2115</v>
      </c>
      <c r="M751" t="s">
        <v>78</v>
      </c>
      <c r="N751" t="s">
        <v>17</v>
      </c>
      <c r="O751">
        <v>11</v>
      </c>
      <c r="P751">
        <v>11.05</v>
      </c>
      <c r="Q751">
        <v>3.7</v>
      </c>
    </row>
    <row r="752" spans="2:17" x14ac:dyDescent="0.25">
      <c r="B752" t="s">
        <v>78</v>
      </c>
      <c r="C752" t="s">
        <v>79</v>
      </c>
      <c r="D752" t="s">
        <v>1371</v>
      </c>
      <c r="E752" t="s">
        <v>1372</v>
      </c>
      <c r="F752">
        <v>99.7</v>
      </c>
      <c r="G752">
        <v>98.05</v>
      </c>
      <c r="H752">
        <v>104.85</v>
      </c>
      <c r="I752">
        <v>93.1</v>
      </c>
      <c r="J752" s="1">
        <v>95.55</v>
      </c>
      <c r="K752">
        <v>604622.19999999995</v>
      </c>
      <c r="L752">
        <v>6276</v>
      </c>
      <c r="M752" t="s">
        <v>78</v>
      </c>
      <c r="N752" t="s">
        <v>17</v>
      </c>
      <c r="O752">
        <v>383</v>
      </c>
      <c r="P752">
        <v>162.05000000000001</v>
      </c>
      <c r="Q752">
        <v>30.05</v>
      </c>
    </row>
    <row r="753" spans="2:17" x14ac:dyDescent="0.25">
      <c r="B753" t="s">
        <v>78</v>
      </c>
      <c r="C753" t="s">
        <v>79</v>
      </c>
      <c r="D753" t="s">
        <v>1375</v>
      </c>
      <c r="E753" t="s">
        <v>1376</v>
      </c>
      <c r="F753">
        <v>421.75</v>
      </c>
      <c r="G753">
        <v>420</v>
      </c>
      <c r="H753">
        <v>430</v>
      </c>
      <c r="I753">
        <v>415</v>
      </c>
      <c r="J753" s="1">
        <v>417.55</v>
      </c>
      <c r="K753">
        <v>501741.05</v>
      </c>
      <c r="L753">
        <v>1189</v>
      </c>
      <c r="M753" t="s">
        <v>78</v>
      </c>
      <c r="N753" t="s">
        <v>17</v>
      </c>
      <c r="O753">
        <v>84</v>
      </c>
      <c r="P753">
        <v>844</v>
      </c>
      <c r="Q753">
        <v>413.05</v>
      </c>
    </row>
    <row r="754" spans="2:17" x14ac:dyDescent="0.25">
      <c r="B754" t="s">
        <v>78</v>
      </c>
      <c r="C754" t="s">
        <v>79</v>
      </c>
      <c r="D754" t="s">
        <v>1377</v>
      </c>
      <c r="E754" t="s">
        <v>1378</v>
      </c>
      <c r="F754">
        <v>42</v>
      </c>
      <c r="G754">
        <v>42.1</v>
      </c>
      <c r="H754">
        <v>42.45</v>
      </c>
      <c r="I754">
        <v>41.4</v>
      </c>
      <c r="J754" s="1">
        <v>41.85</v>
      </c>
      <c r="K754">
        <v>38981688</v>
      </c>
      <c r="L754">
        <v>933639</v>
      </c>
      <c r="M754" t="s">
        <v>78</v>
      </c>
      <c r="N754" t="s">
        <v>546</v>
      </c>
      <c r="O754">
        <v>2766</v>
      </c>
      <c r="P754">
        <v>242.7</v>
      </c>
      <c r="Q754">
        <v>27.5</v>
      </c>
    </row>
    <row r="755" spans="2:17" x14ac:dyDescent="0.25">
      <c r="B755" t="s">
        <v>78</v>
      </c>
      <c r="C755" t="s">
        <v>79</v>
      </c>
      <c r="D755" t="s">
        <v>3191</v>
      </c>
      <c r="E755" t="s">
        <v>3192</v>
      </c>
      <c r="F755">
        <v>65.150000000000006</v>
      </c>
      <c r="G755">
        <v>61.05</v>
      </c>
      <c r="H755">
        <v>64.75</v>
      </c>
      <c r="I755">
        <v>57.05</v>
      </c>
      <c r="J755" s="1">
        <v>62.45</v>
      </c>
      <c r="K755">
        <v>195514.45</v>
      </c>
      <c r="L755">
        <v>3174</v>
      </c>
      <c r="M755" t="s">
        <v>78</v>
      </c>
      <c r="N755" t="s">
        <v>17</v>
      </c>
      <c r="O755">
        <v>112</v>
      </c>
      <c r="P755">
        <v>73</v>
      </c>
      <c r="Q755">
        <v>57.05</v>
      </c>
    </row>
    <row r="756" spans="2:17" x14ac:dyDescent="0.25">
      <c r="B756" t="s">
        <v>78</v>
      </c>
      <c r="C756" t="s">
        <v>79</v>
      </c>
      <c r="D756" t="s">
        <v>1381</v>
      </c>
      <c r="E756" t="s">
        <v>1382</v>
      </c>
      <c r="F756">
        <v>602.15</v>
      </c>
      <c r="G756">
        <v>605.6</v>
      </c>
      <c r="H756">
        <v>605.75</v>
      </c>
      <c r="I756">
        <v>593.04999999999995</v>
      </c>
      <c r="J756" s="1">
        <v>596.29999999999995</v>
      </c>
      <c r="K756">
        <v>3455160.8</v>
      </c>
      <c r="L756">
        <v>5776</v>
      </c>
      <c r="M756" t="s">
        <v>78</v>
      </c>
      <c r="N756" t="s">
        <v>17</v>
      </c>
      <c r="O756">
        <v>411</v>
      </c>
      <c r="P756">
        <v>672.8</v>
      </c>
      <c r="Q756">
        <v>469</v>
      </c>
    </row>
    <row r="757" spans="2:17" x14ac:dyDescent="0.25">
      <c r="B757" t="s">
        <v>78</v>
      </c>
      <c r="C757" t="s">
        <v>287</v>
      </c>
      <c r="D757" t="s">
        <v>1385</v>
      </c>
      <c r="E757" t="s">
        <v>1386</v>
      </c>
      <c r="F757">
        <v>17.75</v>
      </c>
      <c r="G757">
        <v>16.3</v>
      </c>
      <c r="H757">
        <v>16.3</v>
      </c>
      <c r="I757">
        <v>16.100000000000001</v>
      </c>
      <c r="J757" s="1">
        <v>16.100000000000001</v>
      </c>
      <c r="K757">
        <v>97200</v>
      </c>
      <c r="L757">
        <v>6000</v>
      </c>
      <c r="M757" t="s">
        <v>78</v>
      </c>
      <c r="N757" t="s">
        <v>17</v>
      </c>
      <c r="O757">
        <v>2</v>
      </c>
      <c r="P757">
        <v>39</v>
      </c>
      <c r="Q757">
        <v>15.05</v>
      </c>
    </row>
    <row r="758" spans="2:17" x14ac:dyDescent="0.25">
      <c r="B758" t="s">
        <v>78</v>
      </c>
      <c r="C758" t="s">
        <v>79</v>
      </c>
      <c r="D758" t="s">
        <v>1387</v>
      </c>
      <c r="E758" t="s">
        <v>1388</v>
      </c>
      <c r="F758">
        <v>314.60000000000002</v>
      </c>
      <c r="G758">
        <v>317.45</v>
      </c>
      <c r="H758">
        <v>317.45</v>
      </c>
      <c r="I758">
        <v>304</v>
      </c>
      <c r="J758" s="1">
        <v>306.35000000000002</v>
      </c>
      <c r="K758">
        <v>54624900.200000003</v>
      </c>
      <c r="L758">
        <v>175838</v>
      </c>
      <c r="M758" t="s">
        <v>78</v>
      </c>
      <c r="N758" t="s">
        <v>17</v>
      </c>
      <c r="O758">
        <v>6572</v>
      </c>
      <c r="P758">
        <v>383.4</v>
      </c>
      <c r="Q758">
        <v>187.9</v>
      </c>
    </row>
    <row r="759" spans="2:17" x14ac:dyDescent="0.25">
      <c r="B759" t="s">
        <v>78</v>
      </c>
      <c r="C759" t="s">
        <v>79</v>
      </c>
      <c r="D759" t="s">
        <v>1389</v>
      </c>
      <c r="E759" t="s">
        <v>1390</v>
      </c>
      <c r="F759">
        <v>64.349999999999994</v>
      </c>
      <c r="G759">
        <v>64.349999999999994</v>
      </c>
      <c r="H759">
        <v>64.849999999999994</v>
      </c>
      <c r="I759">
        <v>62.05</v>
      </c>
      <c r="J759" s="1">
        <v>62.75</v>
      </c>
      <c r="K759">
        <v>2582804.75</v>
      </c>
      <c r="L759">
        <v>41137</v>
      </c>
      <c r="M759" t="s">
        <v>78</v>
      </c>
      <c r="N759" t="s">
        <v>17</v>
      </c>
      <c r="O759">
        <v>669</v>
      </c>
      <c r="P759">
        <v>109</v>
      </c>
      <c r="Q759">
        <v>54.55</v>
      </c>
    </row>
    <row r="760" spans="2:17" x14ac:dyDescent="0.25">
      <c r="B760" t="s">
        <v>78</v>
      </c>
      <c r="C760" t="s">
        <v>79</v>
      </c>
      <c r="D760" t="s">
        <v>1391</v>
      </c>
      <c r="E760" t="s">
        <v>1392</v>
      </c>
      <c r="F760">
        <v>680.75</v>
      </c>
      <c r="G760">
        <v>682.3</v>
      </c>
      <c r="H760">
        <v>689.9</v>
      </c>
      <c r="I760">
        <v>660</v>
      </c>
      <c r="J760" s="1">
        <v>668.05</v>
      </c>
      <c r="K760">
        <v>6883423</v>
      </c>
      <c r="L760">
        <v>10295</v>
      </c>
      <c r="M760" t="s">
        <v>78</v>
      </c>
      <c r="N760" t="s">
        <v>17</v>
      </c>
      <c r="O760">
        <v>787</v>
      </c>
      <c r="P760">
        <v>800.5</v>
      </c>
      <c r="Q760">
        <v>360.55</v>
      </c>
    </row>
    <row r="761" spans="2:17" x14ac:dyDescent="0.25">
      <c r="B761" t="s">
        <v>78</v>
      </c>
      <c r="C761" t="s">
        <v>79</v>
      </c>
      <c r="D761" t="s">
        <v>1393</v>
      </c>
      <c r="E761" t="s">
        <v>1394</v>
      </c>
      <c r="F761">
        <v>43.85</v>
      </c>
      <c r="G761">
        <v>41.6</v>
      </c>
      <c r="H761">
        <v>44.15</v>
      </c>
      <c r="I761">
        <v>41.6</v>
      </c>
      <c r="J761" s="1">
        <v>43.9</v>
      </c>
      <c r="K761">
        <v>363156.55</v>
      </c>
      <c r="L761">
        <v>8284</v>
      </c>
      <c r="M761" t="s">
        <v>78</v>
      </c>
      <c r="N761" t="s">
        <v>17</v>
      </c>
      <c r="O761">
        <v>49</v>
      </c>
      <c r="P761">
        <v>90.4</v>
      </c>
      <c r="Q761">
        <v>38.5</v>
      </c>
    </row>
    <row r="762" spans="2:17" x14ac:dyDescent="0.25">
      <c r="B762" t="s">
        <v>78</v>
      </c>
      <c r="C762" t="s">
        <v>79</v>
      </c>
      <c r="D762" t="s">
        <v>1395</v>
      </c>
      <c r="E762" t="s">
        <v>1396</v>
      </c>
      <c r="F762">
        <v>266.60000000000002</v>
      </c>
      <c r="G762">
        <v>273</v>
      </c>
      <c r="H762">
        <v>276.64999999999998</v>
      </c>
      <c r="I762">
        <v>260.5</v>
      </c>
      <c r="J762" s="1">
        <v>262.75</v>
      </c>
      <c r="K762">
        <v>107983806.5</v>
      </c>
      <c r="L762">
        <v>405317</v>
      </c>
      <c r="M762" t="s">
        <v>78</v>
      </c>
      <c r="N762" t="s">
        <v>17</v>
      </c>
      <c r="O762">
        <v>10829</v>
      </c>
      <c r="P762">
        <v>291.8</v>
      </c>
      <c r="Q762">
        <v>151.05000000000001</v>
      </c>
    </row>
    <row r="763" spans="2:17" x14ac:dyDescent="0.25">
      <c r="B763" t="s">
        <v>78</v>
      </c>
      <c r="C763" t="s">
        <v>79</v>
      </c>
      <c r="D763" t="s">
        <v>1397</v>
      </c>
      <c r="E763" t="s">
        <v>1398</v>
      </c>
      <c r="F763">
        <v>26.85</v>
      </c>
      <c r="G763">
        <v>26.1</v>
      </c>
      <c r="H763">
        <v>28.4</v>
      </c>
      <c r="I763">
        <v>25.2</v>
      </c>
      <c r="J763" s="1">
        <v>26.5</v>
      </c>
      <c r="K763">
        <v>361076.6</v>
      </c>
      <c r="L763">
        <v>13872</v>
      </c>
      <c r="M763" t="s">
        <v>78</v>
      </c>
      <c r="N763" t="s">
        <v>17</v>
      </c>
      <c r="O763">
        <v>129</v>
      </c>
      <c r="P763">
        <v>74.7</v>
      </c>
      <c r="Q763">
        <v>25.2</v>
      </c>
    </row>
    <row r="764" spans="2:17" x14ac:dyDescent="0.25">
      <c r="B764" t="s">
        <v>78</v>
      </c>
      <c r="C764" t="s">
        <v>79</v>
      </c>
      <c r="D764" t="s">
        <v>1399</v>
      </c>
      <c r="E764" t="s">
        <v>1400</v>
      </c>
      <c r="F764">
        <v>12.75</v>
      </c>
      <c r="G764">
        <v>12.2</v>
      </c>
      <c r="H764">
        <v>12.8</v>
      </c>
      <c r="I764">
        <v>11.5</v>
      </c>
      <c r="J764" s="1">
        <v>12.4</v>
      </c>
      <c r="K764">
        <v>36377.550000000003</v>
      </c>
      <c r="L764">
        <v>3066</v>
      </c>
      <c r="M764" t="s">
        <v>78</v>
      </c>
      <c r="N764" t="s">
        <v>17</v>
      </c>
      <c r="O764">
        <v>38</v>
      </c>
      <c r="P764">
        <v>18.8</v>
      </c>
      <c r="Q764">
        <v>11.05</v>
      </c>
    </row>
    <row r="765" spans="2:17" x14ac:dyDescent="0.25">
      <c r="B765" t="s">
        <v>78</v>
      </c>
      <c r="C765" t="s">
        <v>79</v>
      </c>
      <c r="D765" t="s">
        <v>1401</v>
      </c>
      <c r="E765" t="s">
        <v>1402</v>
      </c>
      <c r="F765">
        <v>12</v>
      </c>
      <c r="G765">
        <v>12</v>
      </c>
      <c r="H765">
        <v>12.05</v>
      </c>
      <c r="I765">
        <v>11.65</v>
      </c>
      <c r="J765" s="1">
        <v>11.7</v>
      </c>
      <c r="K765">
        <v>5197861.1500000004</v>
      </c>
      <c r="L765">
        <v>441886</v>
      </c>
      <c r="M765" t="s">
        <v>78</v>
      </c>
      <c r="N765" t="s">
        <v>17</v>
      </c>
      <c r="O765">
        <v>1134</v>
      </c>
      <c r="P765">
        <v>17.3</v>
      </c>
      <c r="Q765">
        <v>10.85</v>
      </c>
    </row>
    <row r="766" spans="2:17" x14ac:dyDescent="0.25">
      <c r="B766" t="s">
        <v>78</v>
      </c>
      <c r="C766" t="s">
        <v>79</v>
      </c>
      <c r="D766" t="s">
        <v>1403</v>
      </c>
      <c r="E766" t="s">
        <v>1404</v>
      </c>
      <c r="F766">
        <v>213.8</v>
      </c>
      <c r="G766">
        <v>214.25</v>
      </c>
      <c r="H766">
        <v>217.4</v>
      </c>
      <c r="I766">
        <v>202.9</v>
      </c>
      <c r="J766" s="1">
        <v>203.95</v>
      </c>
      <c r="K766">
        <v>60398192.950000003</v>
      </c>
      <c r="L766">
        <v>289663</v>
      </c>
      <c r="M766" t="s">
        <v>78</v>
      </c>
      <c r="N766" t="s">
        <v>17</v>
      </c>
      <c r="O766">
        <v>5448</v>
      </c>
      <c r="P766">
        <v>235</v>
      </c>
      <c r="Q766">
        <v>81</v>
      </c>
    </row>
    <row r="767" spans="2:17" x14ac:dyDescent="0.25">
      <c r="B767" t="s">
        <v>78</v>
      </c>
      <c r="C767" t="s">
        <v>79</v>
      </c>
      <c r="D767" t="s">
        <v>6725</v>
      </c>
      <c r="E767" t="s">
        <v>6724</v>
      </c>
      <c r="F767">
        <v>433.95</v>
      </c>
      <c r="G767">
        <v>431.6</v>
      </c>
      <c r="H767">
        <v>434</v>
      </c>
      <c r="I767">
        <v>431.6</v>
      </c>
      <c r="J767" s="1">
        <v>432.75</v>
      </c>
      <c r="K767">
        <v>19387883.100000001</v>
      </c>
      <c r="L767">
        <v>44803</v>
      </c>
      <c r="M767" t="s">
        <v>78</v>
      </c>
      <c r="N767" t="s">
        <v>17</v>
      </c>
      <c r="O767">
        <v>1174</v>
      </c>
      <c r="P767">
        <v>591</v>
      </c>
      <c r="Q767">
        <v>308.3</v>
      </c>
    </row>
    <row r="768" spans="2:17" x14ac:dyDescent="0.25">
      <c r="B768" t="s">
        <v>78</v>
      </c>
      <c r="C768" t="s">
        <v>79</v>
      </c>
      <c r="D768" t="s">
        <v>1405</v>
      </c>
      <c r="E768" t="s">
        <v>1406</v>
      </c>
      <c r="F768">
        <v>936.2</v>
      </c>
      <c r="G768">
        <v>938</v>
      </c>
      <c r="H768">
        <v>943</v>
      </c>
      <c r="I768">
        <v>916</v>
      </c>
      <c r="J768" s="1">
        <v>928.9</v>
      </c>
      <c r="K768">
        <v>51703635.149999999</v>
      </c>
      <c r="L768">
        <v>55509</v>
      </c>
      <c r="M768" t="s">
        <v>78</v>
      </c>
      <c r="N768" t="s">
        <v>17</v>
      </c>
      <c r="O768">
        <v>5702</v>
      </c>
      <c r="P768">
        <v>1046</v>
      </c>
      <c r="Q768">
        <v>599.95000000000005</v>
      </c>
    </row>
    <row r="769" spans="2:17" x14ac:dyDescent="0.25">
      <c r="B769" t="s">
        <v>78</v>
      </c>
      <c r="C769" t="s">
        <v>79</v>
      </c>
      <c r="D769" t="s">
        <v>1409</v>
      </c>
      <c r="E769" t="s">
        <v>1410</v>
      </c>
      <c r="F769">
        <v>91.4</v>
      </c>
      <c r="G769">
        <v>91.8</v>
      </c>
      <c r="H769">
        <v>92.25</v>
      </c>
      <c r="I769">
        <v>89.15</v>
      </c>
      <c r="J769" s="1">
        <v>90.65</v>
      </c>
      <c r="K769">
        <v>75204987.650000006</v>
      </c>
      <c r="L769">
        <v>830801</v>
      </c>
      <c r="M769" t="s">
        <v>78</v>
      </c>
      <c r="N769" t="s">
        <v>17</v>
      </c>
      <c r="O769">
        <v>5181</v>
      </c>
      <c r="P769">
        <v>208.3</v>
      </c>
      <c r="Q769">
        <v>83.8</v>
      </c>
    </row>
    <row r="770" spans="2:17" x14ac:dyDescent="0.25">
      <c r="B770" t="s">
        <v>78</v>
      </c>
      <c r="C770" t="s">
        <v>1352</v>
      </c>
      <c r="D770" t="s">
        <v>1411</v>
      </c>
      <c r="E770" t="s">
        <v>1412</v>
      </c>
      <c r="F770">
        <v>65.73</v>
      </c>
      <c r="G770">
        <v>65.31</v>
      </c>
      <c r="H770">
        <v>65.959999999999994</v>
      </c>
      <c r="I770">
        <v>65.31</v>
      </c>
      <c r="J770" s="1">
        <v>65.86</v>
      </c>
      <c r="K770">
        <v>53861600</v>
      </c>
      <c r="L770">
        <v>820000</v>
      </c>
      <c r="M770" t="s">
        <v>78</v>
      </c>
      <c r="N770" t="s">
        <v>17</v>
      </c>
      <c r="O770">
        <v>35</v>
      </c>
      <c r="P770">
        <v>80.2</v>
      </c>
      <c r="Q770">
        <v>63.1</v>
      </c>
    </row>
    <row r="771" spans="2:17" x14ac:dyDescent="0.25">
      <c r="B771" t="s">
        <v>78</v>
      </c>
      <c r="C771" t="s">
        <v>79</v>
      </c>
      <c r="D771" t="s">
        <v>1413</v>
      </c>
      <c r="E771" t="s">
        <v>1414</v>
      </c>
      <c r="F771">
        <v>386.8</v>
      </c>
      <c r="G771">
        <v>391</v>
      </c>
      <c r="H771">
        <v>391</v>
      </c>
      <c r="I771">
        <v>380.2</v>
      </c>
      <c r="J771" s="1">
        <v>381.5</v>
      </c>
      <c r="K771">
        <v>10009167.6</v>
      </c>
      <c r="L771">
        <v>26082</v>
      </c>
      <c r="M771" t="s">
        <v>78</v>
      </c>
      <c r="N771" t="s">
        <v>17</v>
      </c>
      <c r="O771">
        <v>791</v>
      </c>
      <c r="P771">
        <v>471</v>
      </c>
      <c r="Q771">
        <v>338</v>
      </c>
    </row>
    <row r="772" spans="2:17" x14ac:dyDescent="0.25">
      <c r="B772" t="s">
        <v>78</v>
      </c>
      <c r="C772" t="s">
        <v>79</v>
      </c>
      <c r="D772" t="s">
        <v>1421</v>
      </c>
      <c r="E772" t="s">
        <v>1422</v>
      </c>
      <c r="F772">
        <v>225.1</v>
      </c>
      <c r="G772">
        <v>224.1</v>
      </c>
      <c r="H772">
        <v>226.9</v>
      </c>
      <c r="I772">
        <v>222.35</v>
      </c>
      <c r="J772" s="1">
        <v>225.05</v>
      </c>
      <c r="K772">
        <v>22181442.199999999</v>
      </c>
      <c r="L772">
        <v>98633</v>
      </c>
      <c r="M772" t="s">
        <v>78</v>
      </c>
      <c r="N772" t="s">
        <v>17</v>
      </c>
      <c r="O772">
        <v>1345</v>
      </c>
      <c r="P772">
        <v>366.3</v>
      </c>
      <c r="Q772">
        <v>188</v>
      </c>
    </row>
    <row r="773" spans="2:17" x14ac:dyDescent="0.25">
      <c r="B773" t="s">
        <v>78</v>
      </c>
      <c r="C773" t="s">
        <v>79</v>
      </c>
      <c r="D773" t="s">
        <v>1423</v>
      </c>
      <c r="E773" t="s">
        <v>1424</v>
      </c>
      <c r="F773">
        <v>91.75</v>
      </c>
      <c r="G773">
        <v>89.05</v>
      </c>
      <c r="H773">
        <v>92</v>
      </c>
      <c r="I773">
        <v>87.2</v>
      </c>
      <c r="J773" s="1">
        <v>87.9</v>
      </c>
      <c r="K773">
        <v>565443.94999999995</v>
      </c>
      <c r="L773">
        <v>6416</v>
      </c>
      <c r="M773" t="s">
        <v>78</v>
      </c>
      <c r="N773" t="s">
        <v>17</v>
      </c>
      <c r="O773">
        <v>218</v>
      </c>
      <c r="P773">
        <v>355.15</v>
      </c>
      <c r="Q773">
        <v>83.35</v>
      </c>
    </row>
    <row r="774" spans="2:17" x14ac:dyDescent="0.25">
      <c r="B774" t="s">
        <v>78</v>
      </c>
      <c r="C774" t="s">
        <v>79</v>
      </c>
      <c r="D774" t="s">
        <v>3195</v>
      </c>
      <c r="E774" t="s">
        <v>3196</v>
      </c>
      <c r="F774">
        <v>5</v>
      </c>
      <c r="G774">
        <v>4.9000000000000004</v>
      </c>
      <c r="H774">
        <v>5</v>
      </c>
      <c r="I774">
        <v>4.5999999999999996</v>
      </c>
      <c r="J774" s="1">
        <v>4.8499999999999996</v>
      </c>
      <c r="K774">
        <v>148257.45000000001</v>
      </c>
      <c r="L774">
        <v>31276</v>
      </c>
      <c r="M774" t="s">
        <v>78</v>
      </c>
      <c r="N774" t="s">
        <v>17</v>
      </c>
      <c r="O774">
        <v>84</v>
      </c>
      <c r="P774">
        <v>9.6</v>
      </c>
      <c r="Q774">
        <v>4.5999999999999996</v>
      </c>
    </row>
    <row r="775" spans="2:17" x14ac:dyDescent="0.25">
      <c r="B775" t="s">
        <v>78</v>
      </c>
      <c r="C775" t="s">
        <v>79</v>
      </c>
      <c r="D775" t="s">
        <v>1427</v>
      </c>
      <c r="E775" t="s">
        <v>1428</v>
      </c>
      <c r="F775">
        <v>216.15</v>
      </c>
      <c r="G775">
        <v>216</v>
      </c>
      <c r="H775">
        <v>218.1</v>
      </c>
      <c r="I775">
        <v>200.05</v>
      </c>
      <c r="J775" s="1">
        <v>200.95</v>
      </c>
      <c r="K775">
        <v>5129725.7</v>
      </c>
      <c r="L775">
        <v>25052</v>
      </c>
      <c r="M775" t="s">
        <v>78</v>
      </c>
      <c r="N775" t="s">
        <v>17</v>
      </c>
      <c r="O775">
        <v>1190</v>
      </c>
      <c r="P775">
        <v>438.55</v>
      </c>
      <c r="Q775">
        <v>200.05</v>
      </c>
    </row>
    <row r="776" spans="2:17" x14ac:dyDescent="0.25">
      <c r="B776" t="s">
        <v>78</v>
      </c>
      <c r="C776" t="s">
        <v>79</v>
      </c>
      <c r="D776" t="s">
        <v>1429</v>
      </c>
      <c r="E776" t="s">
        <v>1430</v>
      </c>
      <c r="F776">
        <v>91.3</v>
      </c>
      <c r="G776">
        <v>91.75</v>
      </c>
      <c r="H776">
        <v>93</v>
      </c>
      <c r="I776">
        <v>87</v>
      </c>
      <c r="J776" s="1">
        <v>88.35</v>
      </c>
      <c r="K776">
        <v>3554109.2</v>
      </c>
      <c r="L776">
        <v>39662</v>
      </c>
      <c r="M776" t="s">
        <v>78</v>
      </c>
      <c r="N776" t="s">
        <v>17</v>
      </c>
      <c r="O776">
        <v>1168</v>
      </c>
      <c r="P776">
        <v>146.4</v>
      </c>
      <c r="Q776">
        <v>87</v>
      </c>
    </row>
    <row r="777" spans="2:17" x14ac:dyDescent="0.25">
      <c r="B777" t="s">
        <v>78</v>
      </c>
      <c r="C777" t="s">
        <v>79</v>
      </c>
      <c r="D777" t="s">
        <v>1431</v>
      </c>
      <c r="E777" t="s">
        <v>1432</v>
      </c>
      <c r="F777">
        <v>86</v>
      </c>
      <c r="G777">
        <v>85.95</v>
      </c>
      <c r="H777">
        <v>86.5</v>
      </c>
      <c r="I777">
        <v>84</v>
      </c>
      <c r="J777" s="1">
        <v>84.2</v>
      </c>
      <c r="K777">
        <v>26224843.850000001</v>
      </c>
      <c r="L777">
        <v>309517</v>
      </c>
      <c r="M777" t="s">
        <v>78</v>
      </c>
      <c r="N777" t="s">
        <v>17</v>
      </c>
      <c r="O777">
        <v>4386</v>
      </c>
      <c r="P777">
        <v>119.8</v>
      </c>
      <c r="Q777">
        <v>69.099999999999994</v>
      </c>
    </row>
    <row r="778" spans="2:17" x14ac:dyDescent="0.25">
      <c r="B778" t="s">
        <v>78</v>
      </c>
      <c r="C778" t="s">
        <v>79</v>
      </c>
      <c r="D778" t="s">
        <v>3197</v>
      </c>
      <c r="E778" t="s">
        <v>3198</v>
      </c>
      <c r="F778">
        <v>3.7</v>
      </c>
      <c r="G778">
        <v>3.7</v>
      </c>
      <c r="H778">
        <v>3.85</v>
      </c>
      <c r="I778">
        <v>3.6</v>
      </c>
      <c r="J778" s="1">
        <v>3.8</v>
      </c>
      <c r="K778">
        <v>700210.35</v>
      </c>
      <c r="L778">
        <v>185980</v>
      </c>
      <c r="M778" t="s">
        <v>78</v>
      </c>
      <c r="N778" t="s">
        <v>17</v>
      </c>
      <c r="O778">
        <v>187</v>
      </c>
      <c r="P778">
        <v>16.45</v>
      </c>
      <c r="Q778">
        <v>3.55</v>
      </c>
    </row>
    <row r="779" spans="2:17" x14ac:dyDescent="0.25">
      <c r="B779" t="s">
        <v>78</v>
      </c>
      <c r="C779" t="s">
        <v>79</v>
      </c>
      <c r="D779" t="s">
        <v>1433</v>
      </c>
      <c r="E779" t="s">
        <v>1434</v>
      </c>
      <c r="F779">
        <v>79.95</v>
      </c>
      <c r="G779">
        <v>77.5</v>
      </c>
      <c r="H779">
        <v>80.95</v>
      </c>
      <c r="I779">
        <v>77.5</v>
      </c>
      <c r="J779" s="1">
        <v>80.599999999999994</v>
      </c>
      <c r="K779">
        <v>19109.5</v>
      </c>
      <c r="L779">
        <v>240</v>
      </c>
      <c r="M779" t="s">
        <v>78</v>
      </c>
      <c r="N779" t="s">
        <v>17</v>
      </c>
      <c r="O779">
        <v>18</v>
      </c>
      <c r="P779">
        <v>212.7</v>
      </c>
      <c r="Q779">
        <v>77.099999999999994</v>
      </c>
    </row>
    <row r="780" spans="2:17" x14ac:dyDescent="0.25">
      <c r="B780" t="s">
        <v>78</v>
      </c>
      <c r="C780" t="s">
        <v>79</v>
      </c>
      <c r="D780" t="s">
        <v>1435</v>
      </c>
      <c r="E780" t="s">
        <v>1436</v>
      </c>
      <c r="F780">
        <v>36.85</v>
      </c>
      <c r="G780">
        <v>36.15</v>
      </c>
      <c r="H780">
        <v>36.85</v>
      </c>
      <c r="I780">
        <v>29.7</v>
      </c>
      <c r="J780" s="1">
        <v>31.6</v>
      </c>
      <c r="K780">
        <v>3144942.05</v>
      </c>
      <c r="L780">
        <v>99139</v>
      </c>
      <c r="M780" t="s">
        <v>78</v>
      </c>
      <c r="N780" t="s">
        <v>17</v>
      </c>
      <c r="O780">
        <v>1344</v>
      </c>
      <c r="P780">
        <v>96.2</v>
      </c>
      <c r="Q780">
        <v>29.7</v>
      </c>
    </row>
    <row r="781" spans="2:17" x14ac:dyDescent="0.25">
      <c r="B781" t="s">
        <v>78</v>
      </c>
      <c r="C781" t="s">
        <v>79</v>
      </c>
      <c r="D781" t="s">
        <v>1437</v>
      </c>
      <c r="E781" t="s">
        <v>1438</v>
      </c>
      <c r="F781">
        <v>38.35</v>
      </c>
      <c r="G781">
        <v>38.65</v>
      </c>
      <c r="H781">
        <v>38.9</v>
      </c>
      <c r="I781">
        <v>37.5</v>
      </c>
      <c r="J781" s="1">
        <v>37.700000000000003</v>
      </c>
      <c r="K781">
        <v>9269275.0500000007</v>
      </c>
      <c r="L781">
        <v>244400</v>
      </c>
      <c r="M781" t="s">
        <v>78</v>
      </c>
      <c r="N781" t="s">
        <v>17</v>
      </c>
      <c r="O781">
        <v>2151</v>
      </c>
      <c r="P781">
        <v>65.75</v>
      </c>
      <c r="Q781">
        <v>33.35</v>
      </c>
    </row>
    <row r="782" spans="2:17" x14ac:dyDescent="0.25">
      <c r="B782" t="s">
        <v>78</v>
      </c>
      <c r="C782" t="s">
        <v>79</v>
      </c>
      <c r="D782" t="s">
        <v>1439</v>
      </c>
      <c r="E782" t="s">
        <v>1440</v>
      </c>
      <c r="F782">
        <v>98.45</v>
      </c>
      <c r="G782">
        <v>98.45</v>
      </c>
      <c r="H782">
        <v>99.8</v>
      </c>
      <c r="I782">
        <v>92.65</v>
      </c>
      <c r="J782" s="1">
        <v>94.15</v>
      </c>
      <c r="K782">
        <v>5284023.4000000004</v>
      </c>
      <c r="L782">
        <v>56043</v>
      </c>
      <c r="M782" t="s">
        <v>78</v>
      </c>
      <c r="N782" t="s">
        <v>17</v>
      </c>
      <c r="O782">
        <v>1117</v>
      </c>
      <c r="P782">
        <v>137</v>
      </c>
      <c r="Q782">
        <v>92.15</v>
      </c>
    </row>
    <row r="783" spans="2:17" x14ac:dyDescent="0.25">
      <c r="B783" t="s">
        <v>78</v>
      </c>
      <c r="C783" t="s">
        <v>79</v>
      </c>
      <c r="D783" t="s">
        <v>1441</v>
      </c>
      <c r="E783" t="s">
        <v>1442</v>
      </c>
      <c r="F783">
        <v>24</v>
      </c>
      <c r="G783">
        <v>24.4</v>
      </c>
      <c r="H783">
        <v>24.65</v>
      </c>
      <c r="I783">
        <v>23.2</v>
      </c>
      <c r="J783" s="1">
        <v>23.85</v>
      </c>
      <c r="K783">
        <v>50685.2</v>
      </c>
      <c r="L783">
        <v>2121</v>
      </c>
      <c r="M783" t="s">
        <v>78</v>
      </c>
      <c r="N783" t="s">
        <v>17</v>
      </c>
      <c r="O783">
        <v>73</v>
      </c>
      <c r="P783">
        <v>34.950000000000003</v>
      </c>
      <c r="Q783">
        <v>22.4</v>
      </c>
    </row>
    <row r="784" spans="2:17" x14ac:dyDescent="0.25">
      <c r="B784" t="s">
        <v>78</v>
      </c>
      <c r="C784" t="s">
        <v>79</v>
      </c>
      <c r="D784" t="s">
        <v>1443</v>
      </c>
      <c r="E784" t="s">
        <v>1444</v>
      </c>
      <c r="F784">
        <v>23.7</v>
      </c>
      <c r="G784">
        <v>24.25</v>
      </c>
      <c r="H784">
        <v>24.25</v>
      </c>
      <c r="I784">
        <v>22.55</v>
      </c>
      <c r="J784" s="1">
        <v>22.65</v>
      </c>
      <c r="K784">
        <v>162497.54999999999</v>
      </c>
      <c r="L784">
        <v>7166</v>
      </c>
      <c r="M784" t="s">
        <v>78</v>
      </c>
      <c r="N784" t="s">
        <v>17</v>
      </c>
      <c r="O784">
        <v>29</v>
      </c>
      <c r="P784">
        <v>27.6</v>
      </c>
      <c r="Q784">
        <v>8.35</v>
      </c>
    </row>
    <row r="785" spans="2:17" x14ac:dyDescent="0.25">
      <c r="B785" t="s">
        <v>78</v>
      </c>
      <c r="C785" t="s">
        <v>79</v>
      </c>
      <c r="D785" t="s">
        <v>1445</v>
      </c>
      <c r="E785" t="s">
        <v>1446</v>
      </c>
      <c r="F785">
        <v>95.25</v>
      </c>
      <c r="G785">
        <v>96.5</v>
      </c>
      <c r="H785">
        <v>96.7</v>
      </c>
      <c r="I785">
        <v>89.5</v>
      </c>
      <c r="J785" s="1">
        <v>91.35</v>
      </c>
      <c r="K785">
        <v>64240910.049999997</v>
      </c>
      <c r="L785">
        <v>697852</v>
      </c>
      <c r="M785" t="s">
        <v>78</v>
      </c>
      <c r="N785" t="s">
        <v>17</v>
      </c>
      <c r="O785">
        <v>5922</v>
      </c>
      <c r="P785">
        <v>173.95</v>
      </c>
      <c r="Q785">
        <v>85.3</v>
      </c>
    </row>
    <row r="786" spans="2:17" x14ac:dyDescent="0.25">
      <c r="B786" t="s">
        <v>78</v>
      </c>
      <c r="C786" t="s">
        <v>287</v>
      </c>
      <c r="D786" t="s">
        <v>1447</v>
      </c>
      <c r="E786" t="s">
        <v>1448</v>
      </c>
      <c r="F786">
        <v>4.5</v>
      </c>
      <c r="G786">
        <v>4.3</v>
      </c>
      <c r="H786">
        <v>4.3</v>
      </c>
      <c r="I786">
        <v>4.3</v>
      </c>
      <c r="J786" s="1">
        <v>4.3</v>
      </c>
      <c r="K786">
        <v>12900</v>
      </c>
      <c r="L786">
        <v>3000</v>
      </c>
      <c r="M786" t="s">
        <v>78</v>
      </c>
      <c r="N786" t="s">
        <v>17</v>
      </c>
      <c r="O786">
        <v>1</v>
      </c>
      <c r="P786">
        <v>36.5</v>
      </c>
      <c r="Q786">
        <v>4.3</v>
      </c>
    </row>
    <row r="787" spans="2:17" x14ac:dyDescent="0.25">
      <c r="B787" t="s">
        <v>78</v>
      </c>
      <c r="C787" t="s">
        <v>79</v>
      </c>
      <c r="D787" t="s">
        <v>1449</v>
      </c>
      <c r="E787" t="s">
        <v>1450</v>
      </c>
      <c r="F787">
        <v>45.25</v>
      </c>
      <c r="G787">
        <v>45.05</v>
      </c>
      <c r="H787">
        <v>45.8</v>
      </c>
      <c r="I787">
        <v>43.35</v>
      </c>
      <c r="J787" s="1">
        <v>43.65</v>
      </c>
      <c r="K787">
        <v>16994354.649999999</v>
      </c>
      <c r="L787">
        <v>386796</v>
      </c>
      <c r="M787" t="s">
        <v>78</v>
      </c>
      <c r="N787" t="s">
        <v>17</v>
      </c>
      <c r="O787">
        <v>2981</v>
      </c>
      <c r="P787">
        <v>91.75</v>
      </c>
      <c r="Q787">
        <v>43.35</v>
      </c>
    </row>
    <row r="788" spans="2:17" x14ac:dyDescent="0.25">
      <c r="B788" t="s">
        <v>78</v>
      </c>
      <c r="C788" t="s">
        <v>287</v>
      </c>
      <c r="D788" t="s">
        <v>1451</v>
      </c>
      <c r="E788" t="s">
        <v>1452</v>
      </c>
      <c r="F788">
        <v>120</v>
      </c>
      <c r="G788">
        <v>115.1</v>
      </c>
      <c r="H788">
        <v>115.1</v>
      </c>
      <c r="I788">
        <v>105.5</v>
      </c>
      <c r="J788" s="1">
        <v>106</v>
      </c>
      <c r="K788">
        <v>1323660</v>
      </c>
      <c r="L788">
        <v>12000</v>
      </c>
      <c r="M788" t="s">
        <v>78</v>
      </c>
      <c r="N788" t="s">
        <v>17</v>
      </c>
      <c r="O788">
        <v>10</v>
      </c>
      <c r="P788">
        <v>145</v>
      </c>
      <c r="Q788">
        <v>70.2</v>
      </c>
    </row>
    <row r="789" spans="2:17" x14ac:dyDescent="0.25">
      <c r="B789" t="s">
        <v>78</v>
      </c>
      <c r="C789" t="s">
        <v>79</v>
      </c>
      <c r="D789" t="s">
        <v>1453</v>
      </c>
      <c r="E789" t="s">
        <v>1454</v>
      </c>
      <c r="F789">
        <v>158.19999999999999</v>
      </c>
      <c r="G789">
        <v>157.9</v>
      </c>
      <c r="H789">
        <v>161.5</v>
      </c>
      <c r="I789">
        <v>147.5</v>
      </c>
      <c r="J789" s="1">
        <v>148.94999999999999</v>
      </c>
      <c r="K789">
        <v>3041269.8</v>
      </c>
      <c r="L789">
        <v>20138</v>
      </c>
      <c r="M789" t="s">
        <v>78</v>
      </c>
      <c r="N789" t="s">
        <v>17</v>
      </c>
      <c r="O789">
        <v>936</v>
      </c>
      <c r="P789">
        <v>316.85000000000002</v>
      </c>
      <c r="Q789">
        <v>147.5</v>
      </c>
    </row>
    <row r="790" spans="2:17" x14ac:dyDescent="0.25">
      <c r="B790" t="s">
        <v>78</v>
      </c>
      <c r="C790" t="s">
        <v>79</v>
      </c>
      <c r="D790" t="s">
        <v>1455</v>
      </c>
      <c r="E790" t="s">
        <v>1456</v>
      </c>
      <c r="F790">
        <v>165.3</v>
      </c>
      <c r="G790">
        <v>165.3</v>
      </c>
      <c r="H790">
        <v>166.8</v>
      </c>
      <c r="I790">
        <v>155.6</v>
      </c>
      <c r="J790" s="1">
        <v>158.69999999999999</v>
      </c>
      <c r="K790">
        <v>6402905.2999999998</v>
      </c>
      <c r="L790">
        <v>40116</v>
      </c>
      <c r="M790" t="s">
        <v>78</v>
      </c>
      <c r="N790" t="s">
        <v>17</v>
      </c>
      <c r="O790">
        <v>1174</v>
      </c>
      <c r="P790">
        <v>494</v>
      </c>
      <c r="Q790">
        <v>155.6</v>
      </c>
    </row>
    <row r="791" spans="2:17" x14ac:dyDescent="0.25">
      <c r="B791" t="s">
        <v>78</v>
      </c>
      <c r="C791" t="s">
        <v>79</v>
      </c>
      <c r="D791" t="s">
        <v>1457</v>
      </c>
      <c r="E791" t="s">
        <v>1458</v>
      </c>
      <c r="F791">
        <v>50.7</v>
      </c>
      <c r="G791">
        <v>50</v>
      </c>
      <c r="H791">
        <v>51.05</v>
      </c>
      <c r="I791">
        <v>49</v>
      </c>
      <c r="J791" s="1">
        <v>49.25</v>
      </c>
      <c r="K791">
        <v>1657623.6</v>
      </c>
      <c r="L791">
        <v>33466</v>
      </c>
      <c r="M791" t="s">
        <v>78</v>
      </c>
      <c r="N791" t="s">
        <v>17</v>
      </c>
      <c r="O791">
        <v>499</v>
      </c>
      <c r="P791">
        <v>118</v>
      </c>
      <c r="Q791">
        <v>49</v>
      </c>
    </row>
    <row r="792" spans="2:17" x14ac:dyDescent="0.25">
      <c r="B792" t="s">
        <v>78</v>
      </c>
      <c r="C792" t="s">
        <v>79</v>
      </c>
      <c r="D792" t="s">
        <v>1459</v>
      </c>
      <c r="E792" t="s">
        <v>1460</v>
      </c>
      <c r="F792">
        <v>370</v>
      </c>
      <c r="G792">
        <v>371</v>
      </c>
      <c r="H792">
        <v>372.9</v>
      </c>
      <c r="I792">
        <v>361.95</v>
      </c>
      <c r="J792" s="1">
        <v>370.95</v>
      </c>
      <c r="K792">
        <v>12961559.949999999</v>
      </c>
      <c r="L792">
        <v>35103</v>
      </c>
      <c r="M792" t="s">
        <v>78</v>
      </c>
      <c r="N792" t="s">
        <v>17</v>
      </c>
      <c r="O792">
        <v>1553</v>
      </c>
      <c r="P792">
        <v>407</v>
      </c>
      <c r="Q792">
        <v>248</v>
      </c>
    </row>
    <row r="793" spans="2:17" x14ac:dyDescent="0.25">
      <c r="B793" t="s">
        <v>78</v>
      </c>
      <c r="C793" t="s">
        <v>79</v>
      </c>
      <c r="D793" t="s">
        <v>3203</v>
      </c>
      <c r="E793" t="s">
        <v>6723</v>
      </c>
      <c r="F793">
        <v>10.85</v>
      </c>
      <c r="G793">
        <v>10.85</v>
      </c>
      <c r="H793">
        <v>10.95</v>
      </c>
      <c r="I793">
        <v>10.45</v>
      </c>
      <c r="J793" s="1">
        <v>10.45</v>
      </c>
      <c r="K793">
        <v>283906.59999999998</v>
      </c>
      <c r="L793">
        <v>26815</v>
      </c>
      <c r="M793" t="s">
        <v>78</v>
      </c>
      <c r="N793" t="s">
        <v>17</v>
      </c>
      <c r="O793">
        <v>106</v>
      </c>
      <c r="P793">
        <v>45.8</v>
      </c>
      <c r="Q793">
        <v>10.45</v>
      </c>
    </row>
    <row r="794" spans="2:17" x14ac:dyDescent="0.25">
      <c r="B794" t="s">
        <v>78</v>
      </c>
      <c r="C794" t="s">
        <v>79</v>
      </c>
      <c r="D794" t="s">
        <v>1461</v>
      </c>
      <c r="E794" t="s">
        <v>1462</v>
      </c>
      <c r="F794">
        <v>194.4</v>
      </c>
      <c r="G794">
        <v>198</v>
      </c>
      <c r="H794">
        <v>198</v>
      </c>
      <c r="I794">
        <v>179.55</v>
      </c>
      <c r="J794" s="1">
        <v>182.55</v>
      </c>
      <c r="K794">
        <v>9815666.5999999996</v>
      </c>
      <c r="L794">
        <v>53509</v>
      </c>
      <c r="M794" t="s">
        <v>78</v>
      </c>
      <c r="N794" t="s">
        <v>17</v>
      </c>
      <c r="O794">
        <v>1330</v>
      </c>
      <c r="P794">
        <v>392.8</v>
      </c>
      <c r="Q794">
        <v>179.55</v>
      </c>
    </row>
    <row r="795" spans="2:17" x14ac:dyDescent="0.25">
      <c r="B795" t="s">
        <v>78</v>
      </c>
      <c r="C795" t="s">
        <v>79</v>
      </c>
      <c r="D795" t="s">
        <v>1463</v>
      </c>
      <c r="E795" t="s">
        <v>1464</v>
      </c>
      <c r="F795">
        <v>1607.55</v>
      </c>
      <c r="G795">
        <v>1597.5</v>
      </c>
      <c r="H795">
        <v>1669.95</v>
      </c>
      <c r="I795">
        <v>1555</v>
      </c>
      <c r="J795" s="1">
        <v>1622.7</v>
      </c>
      <c r="K795">
        <v>16514856.85</v>
      </c>
      <c r="L795">
        <v>10255</v>
      </c>
      <c r="M795" t="s">
        <v>78</v>
      </c>
      <c r="N795" t="s">
        <v>17</v>
      </c>
      <c r="O795">
        <v>1435</v>
      </c>
      <c r="P795">
        <v>2345</v>
      </c>
      <c r="Q795">
        <v>1525.8</v>
      </c>
    </row>
    <row r="796" spans="2:17" x14ac:dyDescent="0.25">
      <c r="B796" t="s">
        <v>78</v>
      </c>
      <c r="C796" t="s">
        <v>287</v>
      </c>
      <c r="D796" t="s">
        <v>1465</v>
      </c>
      <c r="E796" t="s">
        <v>1466</v>
      </c>
      <c r="F796">
        <v>31.4</v>
      </c>
      <c r="G796">
        <v>30</v>
      </c>
      <c r="H796">
        <v>30</v>
      </c>
      <c r="I796">
        <v>30</v>
      </c>
      <c r="J796" s="1">
        <v>30</v>
      </c>
      <c r="K796">
        <v>180000</v>
      </c>
      <c r="L796">
        <v>6000</v>
      </c>
      <c r="M796" t="s">
        <v>78</v>
      </c>
      <c r="N796" t="s">
        <v>17</v>
      </c>
      <c r="O796">
        <v>2</v>
      </c>
      <c r="P796">
        <v>75.599999999999994</v>
      </c>
      <c r="Q796">
        <v>26.05</v>
      </c>
    </row>
    <row r="797" spans="2:17" x14ac:dyDescent="0.25">
      <c r="B797" t="s">
        <v>78</v>
      </c>
      <c r="C797" t="s">
        <v>79</v>
      </c>
      <c r="D797" t="s">
        <v>1467</v>
      </c>
      <c r="E797" t="s">
        <v>1468</v>
      </c>
      <c r="F797">
        <v>19.5</v>
      </c>
      <c r="G797">
        <v>19.850000000000001</v>
      </c>
      <c r="H797">
        <v>20.2</v>
      </c>
      <c r="I797">
        <v>19</v>
      </c>
      <c r="J797" s="1">
        <v>19.850000000000001</v>
      </c>
      <c r="K797">
        <v>726565.4</v>
      </c>
      <c r="L797">
        <v>37399</v>
      </c>
      <c r="M797" t="s">
        <v>78</v>
      </c>
      <c r="N797" t="s">
        <v>17</v>
      </c>
      <c r="O797">
        <v>251</v>
      </c>
      <c r="P797">
        <v>44.5</v>
      </c>
      <c r="Q797">
        <v>18.2</v>
      </c>
    </row>
    <row r="798" spans="2:17" x14ac:dyDescent="0.25">
      <c r="B798" t="s">
        <v>78</v>
      </c>
      <c r="C798" t="s">
        <v>79</v>
      </c>
      <c r="D798" t="s">
        <v>1469</v>
      </c>
      <c r="E798" t="s">
        <v>1470</v>
      </c>
      <c r="F798">
        <v>230.55</v>
      </c>
      <c r="G798">
        <v>229.9</v>
      </c>
      <c r="H798">
        <v>235</v>
      </c>
      <c r="I798">
        <v>222</v>
      </c>
      <c r="J798" s="1">
        <v>231</v>
      </c>
      <c r="K798">
        <v>2537523.85</v>
      </c>
      <c r="L798">
        <v>11099</v>
      </c>
      <c r="M798" t="s">
        <v>78</v>
      </c>
      <c r="N798" t="s">
        <v>17</v>
      </c>
      <c r="O798">
        <v>604</v>
      </c>
      <c r="P798">
        <v>325</v>
      </c>
      <c r="Q798">
        <v>206.45</v>
      </c>
    </row>
    <row r="799" spans="2:17" x14ac:dyDescent="0.25">
      <c r="B799" t="s">
        <v>78</v>
      </c>
      <c r="C799" t="s">
        <v>79</v>
      </c>
      <c r="D799" t="s">
        <v>1471</v>
      </c>
      <c r="E799" t="s">
        <v>1472</v>
      </c>
      <c r="F799">
        <v>77.2</v>
      </c>
      <c r="G799">
        <v>77.599999999999994</v>
      </c>
      <c r="H799">
        <v>78.400000000000006</v>
      </c>
      <c r="I799">
        <v>76</v>
      </c>
      <c r="J799" s="1">
        <v>76.599999999999994</v>
      </c>
      <c r="K799">
        <v>14843468.699999999</v>
      </c>
      <c r="L799">
        <v>193204</v>
      </c>
      <c r="M799" t="s">
        <v>78</v>
      </c>
      <c r="N799" t="s">
        <v>17</v>
      </c>
      <c r="O799">
        <v>1683</v>
      </c>
      <c r="P799">
        <v>101.9</v>
      </c>
      <c r="Q799">
        <v>67.400000000000006</v>
      </c>
    </row>
    <row r="800" spans="2:17" x14ac:dyDescent="0.25">
      <c r="B800" t="s">
        <v>78</v>
      </c>
      <c r="C800" t="s">
        <v>79</v>
      </c>
      <c r="D800" t="s">
        <v>1473</v>
      </c>
      <c r="E800" t="s">
        <v>1474</v>
      </c>
      <c r="F800">
        <v>142.80000000000001</v>
      </c>
      <c r="G800">
        <v>143.35</v>
      </c>
      <c r="H800">
        <v>144.35</v>
      </c>
      <c r="I800">
        <v>138</v>
      </c>
      <c r="J800" s="1">
        <v>138.69999999999999</v>
      </c>
      <c r="K800">
        <v>1655419080.3</v>
      </c>
      <c r="L800">
        <v>11727125</v>
      </c>
      <c r="M800" t="s">
        <v>78</v>
      </c>
      <c r="N800" t="s">
        <v>17</v>
      </c>
      <c r="O800">
        <v>54770</v>
      </c>
      <c r="P800">
        <v>246.45</v>
      </c>
      <c r="Q800">
        <v>123.25</v>
      </c>
    </row>
    <row r="801" spans="2:17" x14ac:dyDescent="0.25">
      <c r="B801" t="s">
        <v>78</v>
      </c>
      <c r="C801" t="s">
        <v>79</v>
      </c>
      <c r="D801" t="s">
        <v>3209</v>
      </c>
      <c r="E801" t="s">
        <v>3210</v>
      </c>
      <c r="F801">
        <v>2.2000000000000002</v>
      </c>
      <c r="G801">
        <v>2.1</v>
      </c>
      <c r="H801">
        <v>2.2999999999999998</v>
      </c>
      <c r="I801">
        <v>2.1</v>
      </c>
      <c r="J801" s="1">
        <v>2.2999999999999998</v>
      </c>
      <c r="K801">
        <v>24724.5</v>
      </c>
      <c r="L801">
        <v>10788</v>
      </c>
      <c r="M801" t="s">
        <v>78</v>
      </c>
      <c r="N801" t="s">
        <v>17</v>
      </c>
      <c r="O801">
        <v>19</v>
      </c>
      <c r="P801">
        <v>7.1</v>
      </c>
      <c r="Q801">
        <v>2.1</v>
      </c>
    </row>
    <row r="802" spans="2:17" x14ac:dyDescent="0.25">
      <c r="B802" t="s">
        <v>78</v>
      </c>
      <c r="C802" t="s">
        <v>79</v>
      </c>
      <c r="D802" t="s">
        <v>1475</v>
      </c>
      <c r="E802" t="s">
        <v>1476</v>
      </c>
      <c r="F802">
        <v>95</v>
      </c>
      <c r="G802">
        <v>96</v>
      </c>
      <c r="H802">
        <v>97.7</v>
      </c>
      <c r="I802">
        <v>94.5</v>
      </c>
      <c r="J802" s="1">
        <v>96.2</v>
      </c>
      <c r="K802">
        <v>638708.9</v>
      </c>
      <c r="L802">
        <v>6660</v>
      </c>
      <c r="M802" t="s">
        <v>78</v>
      </c>
      <c r="N802" t="s">
        <v>17</v>
      </c>
      <c r="O802">
        <v>151</v>
      </c>
      <c r="P802">
        <v>147.75</v>
      </c>
      <c r="Q802">
        <v>87.35</v>
      </c>
    </row>
    <row r="803" spans="2:17" x14ac:dyDescent="0.25">
      <c r="B803" t="s">
        <v>78</v>
      </c>
      <c r="C803" t="s">
        <v>79</v>
      </c>
      <c r="D803" t="s">
        <v>1477</v>
      </c>
      <c r="E803" t="s">
        <v>1478</v>
      </c>
      <c r="F803">
        <v>70.150000000000006</v>
      </c>
      <c r="G803">
        <v>70.5</v>
      </c>
      <c r="H803">
        <v>70.5</v>
      </c>
      <c r="I803">
        <v>66</v>
      </c>
      <c r="J803" s="1">
        <v>68.75</v>
      </c>
      <c r="K803">
        <v>4346357.2</v>
      </c>
      <c r="L803">
        <v>63287</v>
      </c>
      <c r="M803" t="s">
        <v>78</v>
      </c>
      <c r="N803" t="s">
        <v>17</v>
      </c>
      <c r="O803">
        <v>489</v>
      </c>
      <c r="P803">
        <v>555.4</v>
      </c>
      <c r="Q803">
        <v>54.1</v>
      </c>
    </row>
    <row r="804" spans="2:17" x14ac:dyDescent="0.25">
      <c r="B804" t="s">
        <v>78</v>
      </c>
      <c r="C804" t="s">
        <v>79</v>
      </c>
      <c r="D804" t="s">
        <v>3211</v>
      </c>
      <c r="E804" t="s">
        <v>3212</v>
      </c>
      <c r="F804">
        <v>17.75</v>
      </c>
      <c r="G804">
        <v>18</v>
      </c>
      <c r="H804">
        <v>18</v>
      </c>
      <c r="I804">
        <v>16.95</v>
      </c>
      <c r="J804" s="1">
        <v>17.149999999999999</v>
      </c>
      <c r="K804">
        <v>540457.55000000005</v>
      </c>
      <c r="L804">
        <v>31418</v>
      </c>
      <c r="M804" t="s">
        <v>78</v>
      </c>
      <c r="N804" t="s">
        <v>17</v>
      </c>
      <c r="O804">
        <v>206</v>
      </c>
      <c r="P804">
        <v>59.3</v>
      </c>
      <c r="Q804">
        <v>16.95</v>
      </c>
    </row>
    <row r="805" spans="2:17" x14ac:dyDescent="0.25">
      <c r="B805" t="s">
        <v>78</v>
      </c>
      <c r="C805" t="s">
        <v>79</v>
      </c>
      <c r="D805" t="s">
        <v>1479</v>
      </c>
      <c r="E805" t="s">
        <v>1480</v>
      </c>
      <c r="F805">
        <v>23</v>
      </c>
      <c r="G805">
        <v>23.05</v>
      </c>
      <c r="H805">
        <v>23.5</v>
      </c>
      <c r="I805">
        <v>22.5</v>
      </c>
      <c r="J805" s="1">
        <v>23.3</v>
      </c>
      <c r="K805">
        <v>53805641.399999999</v>
      </c>
      <c r="L805">
        <v>2341202</v>
      </c>
      <c r="M805" t="s">
        <v>78</v>
      </c>
      <c r="N805" t="s">
        <v>17</v>
      </c>
      <c r="O805">
        <v>10745</v>
      </c>
      <c r="P805">
        <v>89.1</v>
      </c>
      <c r="Q805">
        <v>16.3</v>
      </c>
    </row>
    <row r="806" spans="2:17" x14ac:dyDescent="0.25">
      <c r="B806" t="s">
        <v>78</v>
      </c>
      <c r="C806" t="s">
        <v>79</v>
      </c>
      <c r="D806" t="s">
        <v>1481</v>
      </c>
      <c r="E806" t="s">
        <v>1482</v>
      </c>
      <c r="F806">
        <v>976.35</v>
      </c>
      <c r="G806">
        <v>990</v>
      </c>
      <c r="H806">
        <v>1018</v>
      </c>
      <c r="I806">
        <v>979.05</v>
      </c>
      <c r="J806" s="1">
        <v>984.95</v>
      </c>
      <c r="K806">
        <v>79473910.650000006</v>
      </c>
      <c r="L806">
        <v>79440</v>
      </c>
      <c r="M806" t="s">
        <v>78</v>
      </c>
      <c r="N806" t="s">
        <v>17</v>
      </c>
      <c r="O806">
        <v>10921</v>
      </c>
      <c r="P806">
        <v>1075</v>
      </c>
      <c r="Q806">
        <v>649.54999999999995</v>
      </c>
    </row>
    <row r="807" spans="2:17" x14ac:dyDescent="0.25">
      <c r="B807" t="s">
        <v>78</v>
      </c>
      <c r="C807" t="s">
        <v>79</v>
      </c>
      <c r="D807" t="s">
        <v>1483</v>
      </c>
      <c r="E807" t="s">
        <v>1484</v>
      </c>
      <c r="F807">
        <v>144</v>
      </c>
      <c r="G807">
        <v>143.69999999999999</v>
      </c>
      <c r="H807">
        <v>145.44999999999999</v>
      </c>
      <c r="I807">
        <v>125.2</v>
      </c>
      <c r="J807" s="1">
        <v>134.85</v>
      </c>
      <c r="K807">
        <v>24919402.899999999</v>
      </c>
      <c r="L807">
        <v>185274</v>
      </c>
      <c r="M807" t="s">
        <v>78</v>
      </c>
      <c r="N807" t="s">
        <v>17</v>
      </c>
      <c r="O807">
        <v>2025</v>
      </c>
      <c r="P807">
        <v>275</v>
      </c>
      <c r="Q807">
        <v>104.1</v>
      </c>
    </row>
    <row r="808" spans="2:17" x14ac:dyDescent="0.25">
      <c r="B808" t="s">
        <v>78</v>
      </c>
      <c r="C808" t="s">
        <v>79</v>
      </c>
      <c r="D808" t="s">
        <v>1485</v>
      </c>
      <c r="E808" t="s">
        <v>1486</v>
      </c>
      <c r="F808">
        <v>350.25</v>
      </c>
      <c r="G808">
        <v>353.95</v>
      </c>
      <c r="H808">
        <v>371.7</v>
      </c>
      <c r="I808">
        <v>343.45</v>
      </c>
      <c r="J808" s="1">
        <v>349.95</v>
      </c>
      <c r="K808">
        <v>47044293.75</v>
      </c>
      <c r="L808">
        <v>133335</v>
      </c>
      <c r="M808" t="s">
        <v>78</v>
      </c>
      <c r="N808" t="s">
        <v>17</v>
      </c>
      <c r="O808">
        <v>5044</v>
      </c>
      <c r="P808">
        <v>395.95</v>
      </c>
      <c r="Q808">
        <v>260.2</v>
      </c>
    </row>
    <row r="809" spans="2:17" x14ac:dyDescent="0.25">
      <c r="B809" t="s">
        <v>78</v>
      </c>
      <c r="C809" t="s">
        <v>79</v>
      </c>
      <c r="D809" t="s">
        <v>1487</v>
      </c>
      <c r="E809" t="s">
        <v>1488</v>
      </c>
      <c r="F809">
        <v>117.85</v>
      </c>
      <c r="G809">
        <v>118.85</v>
      </c>
      <c r="H809">
        <v>118.95</v>
      </c>
      <c r="I809">
        <v>114.25</v>
      </c>
      <c r="J809" s="1">
        <v>115.8</v>
      </c>
      <c r="K809">
        <v>66263047.75</v>
      </c>
      <c r="L809">
        <v>568802</v>
      </c>
      <c r="M809" t="s">
        <v>78</v>
      </c>
      <c r="N809" t="s">
        <v>17</v>
      </c>
      <c r="O809">
        <v>5749</v>
      </c>
      <c r="P809">
        <v>194.2</v>
      </c>
      <c r="Q809">
        <v>97.3</v>
      </c>
    </row>
    <row r="810" spans="2:17" x14ac:dyDescent="0.25">
      <c r="B810" t="s">
        <v>78</v>
      </c>
      <c r="C810" t="s">
        <v>79</v>
      </c>
      <c r="D810" t="s">
        <v>1489</v>
      </c>
      <c r="E810" t="s">
        <v>1490</v>
      </c>
      <c r="F810">
        <v>76.3</v>
      </c>
      <c r="G810">
        <v>76</v>
      </c>
      <c r="H810">
        <v>76.849999999999994</v>
      </c>
      <c r="I810">
        <v>74.5</v>
      </c>
      <c r="J810" s="1">
        <v>75.05</v>
      </c>
      <c r="K810">
        <v>27034481.25</v>
      </c>
      <c r="L810">
        <v>360028</v>
      </c>
      <c r="M810" t="s">
        <v>78</v>
      </c>
      <c r="N810" t="s">
        <v>17</v>
      </c>
      <c r="O810">
        <v>2706</v>
      </c>
      <c r="P810">
        <v>136.19999999999999</v>
      </c>
      <c r="Q810">
        <v>72.3</v>
      </c>
    </row>
    <row r="811" spans="2:17" x14ac:dyDescent="0.25">
      <c r="B811" t="s">
        <v>78</v>
      </c>
      <c r="C811" t="s">
        <v>79</v>
      </c>
      <c r="D811" t="s">
        <v>1491</v>
      </c>
      <c r="E811" t="s">
        <v>1492</v>
      </c>
      <c r="F811">
        <v>27.85</v>
      </c>
      <c r="G811">
        <v>27.95</v>
      </c>
      <c r="H811">
        <v>27.95</v>
      </c>
      <c r="I811">
        <v>27</v>
      </c>
      <c r="J811" s="1">
        <v>27.4</v>
      </c>
      <c r="K811">
        <v>84892.9</v>
      </c>
      <c r="L811">
        <v>3090</v>
      </c>
      <c r="M811" t="s">
        <v>78</v>
      </c>
      <c r="N811" t="s">
        <v>17</v>
      </c>
      <c r="O811">
        <v>42</v>
      </c>
      <c r="P811">
        <v>254.8</v>
      </c>
      <c r="Q811">
        <v>26.5</v>
      </c>
    </row>
    <row r="812" spans="2:17" x14ac:dyDescent="0.25">
      <c r="B812" t="s">
        <v>78</v>
      </c>
      <c r="C812" t="s">
        <v>79</v>
      </c>
      <c r="D812" t="s">
        <v>1493</v>
      </c>
      <c r="E812" t="s">
        <v>1494</v>
      </c>
      <c r="F812">
        <v>129</v>
      </c>
      <c r="G812">
        <v>128</v>
      </c>
      <c r="H812">
        <v>128.55000000000001</v>
      </c>
      <c r="I812">
        <v>122.05</v>
      </c>
      <c r="J812" s="1">
        <v>127.05</v>
      </c>
      <c r="K812">
        <v>5800206.9000000004</v>
      </c>
      <c r="L812">
        <v>45967</v>
      </c>
      <c r="M812" t="s">
        <v>78</v>
      </c>
      <c r="N812" t="s">
        <v>17</v>
      </c>
      <c r="O812">
        <v>1169</v>
      </c>
      <c r="P812">
        <v>583</v>
      </c>
      <c r="Q812">
        <v>66.599999999999994</v>
      </c>
    </row>
    <row r="813" spans="2:17" x14ac:dyDescent="0.25">
      <c r="B813" t="s">
        <v>78</v>
      </c>
      <c r="C813" t="s">
        <v>79</v>
      </c>
      <c r="D813" t="s">
        <v>1495</v>
      </c>
      <c r="E813" t="s">
        <v>1496</v>
      </c>
      <c r="F813">
        <v>71.849999999999994</v>
      </c>
      <c r="G813">
        <v>72.5</v>
      </c>
      <c r="H813">
        <v>72.75</v>
      </c>
      <c r="I813">
        <v>67.8</v>
      </c>
      <c r="J813" s="1">
        <v>68.95</v>
      </c>
      <c r="K813">
        <v>66806405.149999999</v>
      </c>
      <c r="L813">
        <v>951243</v>
      </c>
      <c r="M813" t="s">
        <v>78</v>
      </c>
      <c r="N813" t="s">
        <v>17</v>
      </c>
      <c r="O813">
        <v>5639</v>
      </c>
      <c r="P813">
        <v>135.85</v>
      </c>
      <c r="Q813">
        <v>64.05</v>
      </c>
    </row>
    <row r="814" spans="2:17" x14ac:dyDescent="0.25">
      <c r="B814" t="s">
        <v>78</v>
      </c>
      <c r="C814" t="s">
        <v>79</v>
      </c>
      <c r="D814" t="s">
        <v>1499</v>
      </c>
      <c r="E814" t="s">
        <v>1500</v>
      </c>
      <c r="F814">
        <v>84.75</v>
      </c>
      <c r="G814">
        <v>81.05</v>
      </c>
      <c r="H814">
        <v>89.9</v>
      </c>
      <c r="I814">
        <v>81.05</v>
      </c>
      <c r="J814" s="1">
        <v>86.2</v>
      </c>
      <c r="K814">
        <v>77574.2</v>
      </c>
      <c r="L814">
        <v>885</v>
      </c>
      <c r="M814" t="s">
        <v>78</v>
      </c>
      <c r="N814" t="s">
        <v>17</v>
      </c>
      <c r="O814">
        <v>43</v>
      </c>
      <c r="P814">
        <v>165.9</v>
      </c>
      <c r="Q814">
        <v>81.05</v>
      </c>
    </row>
    <row r="815" spans="2:17" x14ac:dyDescent="0.25">
      <c r="B815" t="s">
        <v>78</v>
      </c>
      <c r="C815" t="s">
        <v>79</v>
      </c>
      <c r="D815" t="s">
        <v>3217</v>
      </c>
      <c r="E815" t="s">
        <v>3218</v>
      </c>
      <c r="F815">
        <v>2.65</v>
      </c>
      <c r="G815">
        <v>2.65</v>
      </c>
      <c r="H815">
        <v>2.7</v>
      </c>
      <c r="I815">
        <v>2.4500000000000002</v>
      </c>
      <c r="J815" s="1">
        <v>2.5499999999999998</v>
      </c>
      <c r="K815">
        <v>21303073.300000001</v>
      </c>
      <c r="L815">
        <v>8286716</v>
      </c>
      <c r="M815" t="s">
        <v>78</v>
      </c>
      <c r="N815" t="s">
        <v>17</v>
      </c>
      <c r="O815">
        <v>2633</v>
      </c>
      <c r="P815">
        <v>16.25</v>
      </c>
      <c r="Q815">
        <v>2.4500000000000002</v>
      </c>
    </row>
    <row r="816" spans="2:17" x14ac:dyDescent="0.25">
      <c r="B816" t="s">
        <v>78</v>
      </c>
      <c r="C816" t="s">
        <v>79</v>
      </c>
      <c r="D816" t="s">
        <v>3219</v>
      </c>
      <c r="E816" t="s">
        <v>3220</v>
      </c>
      <c r="F816">
        <v>1.45</v>
      </c>
      <c r="G816">
        <v>1.45</v>
      </c>
      <c r="H816">
        <v>1.45</v>
      </c>
      <c r="I816">
        <v>1.4</v>
      </c>
      <c r="J816" s="1">
        <v>1.4</v>
      </c>
      <c r="K816">
        <v>1508765.45</v>
      </c>
      <c r="L816">
        <v>1075551</v>
      </c>
      <c r="M816" t="s">
        <v>78</v>
      </c>
      <c r="N816" t="s">
        <v>17</v>
      </c>
      <c r="O816">
        <v>412</v>
      </c>
      <c r="P816">
        <v>6</v>
      </c>
      <c r="Q816">
        <v>1.35</v>
      </c>
    </row>
    <row r="817" spans="2:17" x14ac:dyDescent="0.25">
      <c r="B817" t="s">
        <v>78</v>
      </c>
      <c r="C817" t="s">
        <v>79</v>
      </c>
      <c r="D817" t="s">
        <v>3221</v>
      </c>
      <c r="E817" t="s">
        <v>3222</v>
      </c>
      <c r="F817">
        <v>19.25</v>
      </c>
      <c r="G817">
        <v>19.5</v>
      </c>
      <c r="H817">
        <v>20</v>
      </c>
      <c r="I817">
        <v>19.149999999999999</v>
      </c>
      <c r="J817" s="1">
        <v>19.5</v>
      </c>
      <c r="K817">
        <v>62532.7</v>
      </c>
      <c r="L817">
        <v>3167</v>
      </c>
      <c r="M817" t="s">
        <v>78</v>
      </c>
      <c r="N817" t="s">
        <v>17</v>
      </c>
      <c r="O817">
        <v>30</v>
      </c>
      <c r="P817">
        <v>47</v>
      </c>
      <c r="Q817">
        <v>18</v>
      </c>
    </row>
    <row r="818" spans="2:17" x14ac:dyDescent="0.25">
      <c r="B818" t="s">
        <v>78</v>
      </c>
      <c r="C818" t="s">
        <v>79</v>
      </c>
      <c r="D818" t="s">
        <v>1501</v>
      </c>
      <c r="E818" t="s">
        <v>1502</v>
      </c>
      <c r="F818">
        <v>2</v>
      </c>
      <c r="G818">
        <v>1.95</v>
      </c>
      <c r="H818">
        <v>1.95</v>
      </c>
      <c r="I818">
        <v>1.9</v>
      </c>
      <c r="J818" s="1">
        <v>1.9</v>
      </c>
      <c r="K818">
        <v>2292740.2000000002</v>
      </c>
      <c r="L818">
        <v>1202689</v>
      </c>
      <c r="M818" t="s">
        <v>78</v>
      </c>
      <c r="N818" t="s">
        <v>17</v>
      </c>
      <c r="O818">
        <v>537</v>
      </c>
      <c r="P818">
        <v>4.7</v>
      </c>
      <c r="Q818">
        <v>1.5</v>
      </c>
    </row>
    <row r="819" spans="2:17" x14ac:dyDescent="0.25">
      <c r="B819" t="s">
        <v>78</v>
      </c>
      <c r="C819" t="s">
        <v>79</v>
      </c>
      <c r="D819" t="s">
        <v>1503</v>
      </c>
      <c r="E819" t="s">
        <v>1504</v>
      </c>
      <c r="F819">
        <v>31</v>
      </c>
      <c r="G819">
        <v>31.25</v>
      </c>
      <c r="H819">
        <v>31.5</v>
      </c>
      <c r="I819">
        <v>29.7</v>
      </c>
      <c r="J819" s="1">
        <v>29.8</v>
      </c>
      <c r="K819">
        <v>6174158.7999999998</v>
      </c>
      <c r="L819">
        <v>204916</v>
      </c>
      <c r="M819" t="s">
        <v>78</v>
      </c>
      <c r="N819" t="s">
        <v>17</v>
      </c>
      <c r="O819">
        <v>1016</v>
      </c>
      <c r="P819">
        <v>72</v>
      </c>
      <c r="Q819">
        <v>23.4</v>
      </c>
    </row>
    <row r="820" spans="2:17" x14ac:dyDescent="0.25">
      <c r="B820" t="s">
        <v>78</v>
      </c>
      <c r="C820" t="s">
        <v>79</v>
      </c>
      <c r="D820" t="s">
        <v>1505</v>
      </c>
      <c r="E820" t="s">
        <v>1506</v>
      </c>
      <c r="F820">
        <v>70.45</v>
      </c>
      <c r="G820">
        <v>70.55</v>
      </c>
      <c r="H820">
        <v>71.849999999999994</v>
      </c>
      <c r="I820">
        <v>67.349999999999994</v>
      </c>
      <c r="J820" s="1">
        <v>69.650000000000006</v>
      </c>
      <c r="K820">
        <v>13205204.65</v>
      </c>
      <c r="L820">
        <v>191226</v>
      </c>
      <c r="M820" t="s">
        <v>78</v>
      </c>
      <c r="N820" t="s">
        <v>17</v>
      </c>
      <c r="O820">
        <v>3923</v>
      </c>
      <c r="P820">
        <v>160.5</v>
      </c>
      <c r="Q820">
        <v>67.349999999999994</v>
      </c>
    </row>
    <row r="821" spans="2:17" x14ac:dyDescent="0.25">
      <c r="B821" t="s">
        <v>78</v>
      </c>
      <c r="C821" t="s">
        <v>79</v>
      </c>
      <c r="D821" t="s">
        <v>1507</v>
      </c>
      <c r="E821" t="s">
        <v>1508</v>
      </c>
      <c r="F821">
        <v>71.75</v>
      </c>
      <c r="G821">
        <v>72.3</v>
      </c>
      <c r="H821">
        <v>73.5</v>
      </c>
      <c r="I821">
        <v>70.75</v>
      </c>
      <c r="J821" s="1">
        <v>72.2</v>
      </c>
      <c r="K821">
        <v>43920074.25</v>
      </c>
      <c r="L821">
        <v>611636</v>
      </c>
      <c r="M821" t="s">
        <v>78</v>
      </c>
      <c r="N821" t="s">
        <v>17</v>
      </c>
      <c r="O821">
        <v>3773</v>
      </c>
      <c r="P821">
        <v>77.25</v>
      </c>
      <c r="Q821">
        <v>56.1</v>
      </c>
    </row>
    <row r="822" spans="2:17" x14ac:dyDescent="0.25">
      <c r="B822" t="s">
        <v>78</v>
      </c>
      <c r="C822" t="s">
        <v>79</v>
      </c>
      <c r="D822" t="s">
        <v>1509</v>
      </c>
      <c r="E822" t="s">
        <v>1510</v>
      </c>
      <c r="F822">
        <v>2849.7</v>
      </c>
      <c r="G822">
        <v>2839.8</v>
      </c>
      <c r="H822">
        <v>2872</v>
      </c>
      <c r="I822">
        <v>2806.9</v>
      </c>
      <c r="J822" s="1">
        <v>2861.45</v>
      </c>
      <c r="K822">
        <v>2251829.1</v>
      </c>
      <c r="L822">
        <v>789</v>
      </c>
      <c r="M822" t="s">
        <v>78</v>
      </c>
      <c r="N822" t="s">
        <v>17</v>
      </c>
      <c r="O822">
        <v>103</v>
      </c>
      <c r="P822">
        <v>3131.85</v>
      </c>
      <c r="Q822">
        <v>1721</v>
      </c>
    </row>
    <row r="823" spans="2:17" x14ac:dyDescent="0.25">
      <c r="B823" t="s">
        <v>78</v>
      </c>
      <c r="C823" t="s">
        <v>79</v>
      </c>
      <c r="D823" t="s">
        <v>1511</v>
      </c>
      <c r="E823" t="s">
        <v>1512</v>
      </c>
      <c r="F823">
        <v>89.9</v>
      </c>
      <c r="G823">
        <v>89.25</v>
      </c>
      <c r="H823">
        <v>90.2</v>
      </c>
      <c r="I823">
        <v>86.4</v>
      </c>
      <c r="J823" s="1">
        <v>87</v>
      </c>
      <c r="K823">
        <v>3234702.4</v>
      </c>
      <c r="L823">
        <v>36854</v>
      </c>
      <c r="M823" t="s">
        <v>78</v>
      </c>
      <c r="N823" t="s">
        <v>17</v>
      </c>
      <c r="O823">
        <v>569</v>
      </c>
      <c r="P823">
        <v>146.4</v>
      </c>
      <c r="Q823">
        <v>83</v>
      </c>
    </row>
    <row r="824" spans="2:17" x14ac:dyDescent="0.25">
      <c r="B824" t="s">
        <v>78</v>
      </c>
      <c r="C824" t="s">
        <v>79</v>
      </c>
      <c r="D824" t="s">
        <v>6722</v>
      </c>
      <c r="E824" t="s">
        <v>6721</v>
      </c>
      <c r="F824">
        <v>453.7</v>
      </c>
      <c r="G824">
        <v>454.05</v>
      </c>
      <c r="H824">
        <v>456.75</v>
      </c>
      <c r="I824">
        <v>425</v>
      </c>
      <c r="J824" s="1">
        <v>441.45</v>
      </c>
      <c r="K824">
        <v>384175676.85000002</v>
      </c>
      <c r="L824">
        <v>874276</v>
      </c>
      <c r="M824" t="s">
        <v>78</v>
      </c>
      <c r="N824" t="s">
        <v>17</v>
      </c>
      <c r="O824">
        <v>28362</v>
      </c>
      <c r="P824">
        <v>898.85</v>
      </c>
      <c r="Q824">
        <v>425</v>
      </c>
    </row>
    <row r="825" spans="2:17" x14ac:dyDescent="0.25">
      <c r="B825" t="s">
        <v>78</v>
      </c>
      <c r="C825" t="s">
        <v>79</v>
      </c>
      <c r="D825" t="s">
        <v>1513</v>
      </c>
      <c r="E825" t="s">
        <v>1514</v>
      </c>
      <c r="F825">
        <v>1245.8499999999999</v>
      </c>
      <c r="G825">
        <v>1249</v>
      </c>
      <c r="H825">
        <v>1253.5999999999999</v>
      </c>
      <c r="I825">
        <v>1210</v>
      </c>
      <c r="J825" s="1">
        <v>1215.9000000000001</v>
      </c>
      <c r="K825">
        <v>764919716.5</v>
      </c>
      <c r="L825">
        <v>622853</v>
      </c>
      <c r="M825" t="s">
        <v>78</v>
      </c>
      <c r="N825" t="s">
        <v>17</v>
      </c>
      <c r="O825">
        <v>23058</v>
      </c>
      <c r="P825">
        <v>1578</v>
      </c>
      <c r="Q825">
        <v>977</v>
      </c>
    </row>
    <row r="826" spans="2:17" x14ac:dyDescent="0.25">
      <c r="B826" t="s">
        <v>78</v>
      </c>
      <c r="C826" t="s">
        <v>79</v>
      </c>
      <c r="D826" t="s">
        <v>1515</v>
      </c>
      <c r="E826" t="s">
        <v>1516</v>
      </c>
      <c r="F826">
        <v>83.7</v>
      </c>
      <c r="G826">
        <v>85.85</v>
      </c>
      <c r="H826">
        <v>85.85</v>
      </c>
      <c r="I826">
        <v>80.099999999999994</v>
      </c>
      <c r="J826" s="1">
        <v>82</v>
      </c>
      <c r="K826">
        <v>266126.55</v>
      </c>
      <c r="L826">
        <v>3249</v>
      </c>
      <c r="M826" t="s">
        <v>78</v>
      </c>
      <c r="N826" t="s">
        <v>17</v>
      </c>
      <c r="O826">
        <v>198</v>
      </c>
      <c r="P826">
        <v>154</v>
      </c>
      <c r="Q826">
        <v>80.099999999999994</v>
      </c>
    </row>
    <row r="827" spans="2:17" x14ac:dyDescent="0.25">
      <c r="B827" t="s">
        <v>78</v>
      </c>
      <c r="C827" t="s">
        <v>79</v>
      </c>
      <c r="D827" t="s">
        <v>1523</v>
      </c>
      <c r="E827" t="s">
        <v>1524</v>
      </c>
      <c r="F827">
        <v>759.9</v>
      </c>
      <c r="G827">
        <v>761.05</v>
      </c>
      <c r="H827">
        <v>795</v>
      </c>
      <c r="I827">
        <v>758.55</v>
      </c>
      <c r="J827" s="1">
        <v>783.75</v>
      </c>
      <c r="K827">
        <v>2069263308.4000001</v>
      </c>
      <c r="L827">
        <v>2677445</v>
      </c>
      <c r="M827" t="s">
        <v>78</v>
      </c>
      <c r="N827" t="s">
        <v>17</v>
      </c>
      <c r="O827">
        <v>57142</v>
      </c>
      <c r="P827">
        <v>824.8</v>
      </c>
      <c r="Q827">
        <v>409.15</v>
      </c>
    </row>
    <row r="828" spans="2:17" x14ac:dyDescent="0.25">
      <c r="B828" t="s">
        <v>78</v>
      </c>
      <c r="C828" t="s">
        <v>79</v>
      </c>
      <c r="D828" t="s">
        <v>1525</v>
      </c>
      <c r="E828" t="s">
        <v>6720</v>
      </c>
      <c r="F828">
        <v>160</v>
      </c>
      <c r="G828">
        <v>160</v>
      </c>
      <c r="H828">
        <v>161.94999999999999</v>
      </c>
      <c r="I828">
        <v>156.1</v>
      </c>
      <c r="J828" s="1">
        <v>158.85</v>
      </c>
      <c r="K828">
        <v>9930600.9000000004</v>
      </c>
      <c r="L828">
        <v>62262</v>
      </c>
      <c r="M828" t="s">
        <v>78</v>
      </c>
      <c r="N828" t="s">
        <v>17</v>
      </c>
      <c r="O828">
        <v>2119</v>
      </c>
      <c r="P828">
        <v>238</v>
      </c>
      <c r="Q828">
        <v>142.9</v>
      </c>
    </row>
    <row r="829" spans="2:17" x14ac:dyDescent="0.25">
      <c r="B829" t="s">
        <v>78</v>
      </c>
      <c r="C829" t="s">
        <v>79</v>
      </c>
      <c r="D829" t="s">
        <v>1527</v>
      </c>
      <c r="E829" t="s">
        <v>1528</v>
      </c>
      <c r="F829">
        <v>75.650000000000006</v>
      </c>
      <c r="G829">
        <v>76.25</v>
      </c>
      <c r="H829">
        <v>77</v>
      </c>
      <c r="I829">
        <v>74</v>
      </c>
      <c r="J829" s="1">
        <v>74.849999999999994</v>
      </c>
      <c r="K829">
        <v>1107502</v>
      </c>
      <c r="L829">
        <v>14791</v>
      </c>
      <c r="M829" t="s">
        <v>78</v>
      </c>
      <c r="N829" t="s">
        <v>17</v>
      </c>
      <c r="O829">
        <v>120</v>
      </c>
      <c r="P829">
        <v>102</v>
      </c>
      <c r="Q829">
        <v>60.25</v>
      </c>
    </row>
    <row r="830" spans="2:17" x14ac:dyDescent="0.25">
      <c r="B830" t="s">
        <v>78</v>
      </c>
      <c r="C830" t="s">
        <v>79</v>
      </c>
      <c r="D830" t="s">
        <v>1529</v>
      </c>
      <c r="E830" t="s">
        <v>1530</v>
      </c>
      <c r="F830">
        <v>536.95000000000005</v>
      </c>
      <c r="G830">
        <v>536.9</v>
      </c>
      <c r="H830">
        <v>539.79999999999995</v>
      </c>
      <c r="I830">
        <v>522.6</v>
      </c>
      <c r="J830" s="1">
        <v>529.04999999999995</v>
      </c>
      <c r="K830">
        <v>609712498.79999995</v>
      </c>
      <c r="L830">
        <v>1153434</v>
      </c>
      <c r="M830" t="s">
        <v>78</v>
      </c>
      <c r="N830" t="s">
        <v>17</v>
      </c>
      <c r="O830">
        <v>32127</v>
      </c>
      <c r="P830">
        <v>649.65</v>
      </c>
      <c r="Q830">
        <v>310</v>
      </c>
    </row>
    <row r="831" spans="2:17" x14ac:dyDescent="0.25">
      <c r="B831" t="s">
        <v>78</v>
      </c>
      <c r="C831" t="s">
        <v>79</v>
      </c>
      <c r="D831" t="s">
        <v>1531</v>
      </c>
      <c r="E831" t="s">
        <v>1532</v>
      </c>
      <c r="F831">
        <v>173.8</v>
      </c>
      <c r="G831">
        <v>177.3</v>
      </c>
      <c r="H831">
        <v>184.5</v>
      </c>
      <c r="I831">
        <v>173.1</v>
      </c>
      <c r="J831" s="1">
        <v>174</v>
      </c>
      <c r="K831">
        <v>3986753.8</v>
      </c>
      <c r="L831">
        <v>22425</v>
      </c>
      <c r="M831" t="s">
        <v>78</v>
      </c>
      <c r="N831" t="s">
        <v>17</v>
      </c>
      <c r="O831">
        <v>795</v>
      </c>
      <c r="P831">
        <v>270.89999999999998</v>
      </c>
      <c r="Q831">
        <v>134.05000000000001</v>
      </c>
    </row>
    <row r="832" spans="2:17" x14ac:dyDescent="0.25">
      <c r="B832" t="s">
        <v>78</v>
      </c>
      <c r="C832" t="s">
        <v>79</v>
      </c>
      <c r="D832" t="s">
        <v>1533</v>
      </c>
      <c r="E832" t="s">
        <v>1534</v>
      </c>
      <c r="F832">
        <v>510.6</v>
      </c>
      <c r="G832">
        <v>510</v>
      </c>
      <c r="H832">
        <v>516.9</v>
      </c>
      <c r="I832">
        <v>507.1</v>
      </c>
      <c r="J832" s="1">
        <v>511.5</v>
      </c>
      <c r="K832">
        <v>25269761.050000001</v>
      </c>
      <c r="L832">
        <v>49422</v>
      </c>
      <c r="M832" t="s">
        <v>78</v>
      </c>
      <c r="N832" t="s">
        <v>17</v>
      </c>
      <c r="O832">
        <v>5394</v>
      </c>
      <c r="P832">
        <v>554.5</v>
      </c>
      <c r="Q832">
        <v>267</v>
      </c>
    </row>
    <row r="833" spans="2:17" x14ac:dyDescent="0.25">
      <c r="B833" t="s">
        <v>78</v>
      </c>
      <c r="C833" t="s">
        <v>79</v>
      </c>
      <c r="D833" t="s">
        <v>3227</v>
      </c>
      <c r="E833" t="s">
        <v>3228</v>
      </c>
      <c r="F833">
        <v>40.6</v>
      </c>
      <c r="G833">
        <v>40.299999999999997</v>
      </c>
      <c r="H833">
        <v>41</v>
      </c>
      <c r="I833">
        <v>37.85</v>
      </c>
      <c r="J833" s="1">
        <v>38.35</v>
      </c>
      <c r="K833">
        <v>1833112.2</v>
      </c>
      <c r="L833">
        <v>46889</v>
      </c>
      <c r="M833" t="s">
        <v>78</v>
      </c>
      <c r="N833" t="s">
        <v>17</v>
      </c>
      <c r="O833">
        <v>549</v>
      </c>
      <c r="P833">
        <v>83.45</v>
      </c>
      <c r="Q833">
        <v>37.450000000000003</v>
      </c>
    </row>
    <row r="834" spans="2:17" x14ac:dyDescent="0.25">
      <c r="B834" t="s">
        <v>78</v>
      </c>
      <c r="C834" t="s">
        <v>79</v>
      </c>
      <c r="D834" t="s">
        <v>1537</v>
      </c>
      <c r="E834" t="s">
        <v>1538</v>
      </c>
      <c r="F834">
        <v>149.85</v>
      </c>
      <c r="G834">
        <v>149</v>
      </c>
      <c r="H834">
        <v>149.94999999999999</v>
      </c>
      <c r="I834">
        <v>137</v>
      </c>
      <c r="J834" s="1">
        <v>140.05000000000001</v>
      </c>
      <c r="K834">
        <v>3121937.05</v>
      </c>
      <c r="L834">
        <v>21483</v>
      </c>
      <c r="M834" t="s">
        <v>78</v>
      </c>
      <c r="N834" t="s">
        <v>17</v>
      </c>
      <c r="O834">
        <v>586</v>
      </c>
      <c r="P834">
        <v>236</v>
      </c>
      <c r="Q834">
        <v>137</v>
      </c>
    </row>
    <row r="835" spans="2:17" x14ac:dyDescent="0.25">
      <c r="B835" t="s">
        <v>78</v>
      </c>
      <c r="C835" t="s">
        <v>79</v>
      </c>
      <c r="D835" t="s">
        <v>3229</v>
      </c>
      <c r="E835" t="s">
        <v>3230</v>
      </c>
      <c r="F835">
        <v>3.95</v>
      </c>
      <c r="G835">
        <v>3.8</v>
      </c>
      <c r="H835">
        <v>3.9</v>
      </c>
      <c r="I835">
        <v>3.8</v>
      </c>
      <c r="J835" s="1">
        <v>3.9</v>
      </c>
      <c r="K835">
        <v>13489</v>
      </c>
      <c r="L835">
        <v>3510</v>
      </c>
      <c r="M835" t="s">
        <v>78</v>
      </c>
      <c r="N835" t="s">
        <v>17</v>
      </c>
      <c r="O835">
        <v>8</v>
      </c>
      <c r="P835">
        <v>7.95</v>
      </c>
      <c r="Q835">
        <v>3.6</v>
      </c>
    </row>
    <row r="836" spans="2:17" x14ac:dyDescent="0.25">
      <c r="B836" t="s">
        <v>78</v>
      </c>
      <c r="C836" t="s">
        <v>79</v>
      </c>
      <c r="D836" t="s">
        <v>1539</v>
      </c>
      <c r="E836" t="s">
        <v>1540</v>
      </c>
      <c r="F836">
        <v>53.25</v>
      </c>
      <c r="G836">
        <v>53.8</v>
      </c>
      <c r="H836">
        <v>53.85</v>
      </c>
      <c r="I836">
        <v>52</v>
      </c>
      <c r="J836" s="1">
        <v>52.4</v>
      </c>
      <c r="K836">
        <v>676961.45</v>
      </c>
      <c r="L836">
        <v>12899</v>
      </c>
      <c r="M836" t="s">
        <v>78</v>
      </c>
      <c r="N836" t="s">
        <v>17</v>
      </c>
      <c r="O836">
        <v>142</v>
      </c>
      <c r="P836">
        <v>84.9</v>
      </c>
      <c r="Q836">
        <v>52</v>
      </c>
    </row>
    <row r="837" spans="2:17" x14ac:dyDescent="0.25">
      <c r="B837" t="s">
        <v>78</v>
      </c>
      <c r="C837" t="s">
        <v>79</v>
      </c>
      <c r="D837" t="s">
        <v>1543</v>
      </c>
      <c r="E837" t="s">
        <v>1544</v>
      </c>
      <c r="F837">
        <v>423.8</v>
      </c>
      <c r="G837">
        <v>423</v>
      </c>
      <c r="H837">
        <v>427.45</v>
      </c>
      <c r="I837">
        <v>411.25</v>
      </c>
      <c r="J837" s="1">
        <v>419.9</v>
      </c>
      <c r="K837">
        <v>55285928.200000003</v>
      </c>
      <c r="L837">
        <v>132979</v>
      </c>
      <c r="M837" t="s">
        <v>78</v>
      </c>
      <c r="N837" t="s">
        <v>17</v>
      </c>
      <c r="O837">
        <v>3792</v>
      </c>
      <c r="P837">
        <v>543.20000000000005</v>
      </c>
      <c r="Q837">
        <v>343</v>
      </c>
    </row>
    <row r="838" spans="2:17" x14ac:dyDescent="0.25">
      <c r="B838" t="s">
        <v>78</v>
      </c>
      <c r="C838" t="s">
        <v>79</v>
      </c>
      <c r="D838" t="s">
        <v>3233</v>
      </c>
      <c r="E838" t="s">
        <v>3234</v>
      </c>
      <c r="F838">
        <v>194.95</v>
      </c>
      <c r="G838">
        <v>195</v>
      </c>
      <c r="H838">
        <v>197.95</v>
      </c>
      <c r="I838">
        <v>160.55000000000001</v>
      </c>
      <c r="J838" s="1">
        <v>173.6</v>
      </c>
      <c r="K838">
        <v>11571337.949999999</v>
      </c>
      <c r="L838">
        <v>66241</v>
      </c>
      <c r="M838" t="s">
        <v>78</v>
      </c>
      <c r="N838" t="s">
        <v>17</v>
      </c>
      <c r="O838">
        <v>1934</v>
      </c>
      <c r="P838">
        <v>238.8</v>
      </c>
      <c r="Q838">
        <v>123.05</v>
      </c>
    </row>
    <row r="839" spans="2:17" x14ac:dyDescent="0.25">
      <c r="B839" t="s">
        <v>78</v>
      </c>
      <c r="C839" t="s">
        <v>79</v>
      </c>
      <c r="D839" t="s">
        <v>3235</v>
      </c>
      <c r="E839" t="s">
        <v>3236</v>
      </c>
      <c r="F839">
        <v>13.6</v>
      </c>
      <c r="G839">
        <v>13.35</v>
      </c>
      <c r="H839">
        <v>14.35</v>
      </c>
      <c r="I839">
        <v>13</v>
      </c>
      <c r="J839" s="1">
        <v>13.05</v>
      </c>
      <c r="K839">
        <v>1871.15</v>
      </c>
      <c r="L839">
        <v>143</v>
      </c>
      <c r="M839" t="s">
        <v>78</v>
      </c>
      <c r="N839" t="s">
        <v>17</v>
      </c>
      <c r="O839">
        <v>11</v>
      </c>
      <c r="P839">
        <v>33.25</v>
      </c>
      <c r="Q839">
        <v>11.7</v>
      </c>
    </row>
    <row r="840" spans="2:17" x14ac:dyDescent="0.25">
      <c r="B840" t="s">
        <v>78</v>
      </c>
      <c r="C840" t="s">
        <v>79</v>
      </c>
      <c r="D840" t="s">
        <v>1545</v>
      </c>
      <c r="E840" t="s">
        <v>1546</v>
      </c>
      <c r="F840">
        <v>67.400000000000006</v>
      </c>
      <c r="G840">
        <v>68</v>
      </c>
      <c r="H840">
        <v>68.25</v>
      </c>
      <c r="I840">
        <v>65.5</v>
      </c>
      <c r="J840" s="1">
        <v>67.099999999999994</v>
      </c>
      <c r="K840">
        <v>30985587.399999999</v>
      </c>
      <c r="L840">
        <v>462799</v>
      </c>
      <c r="M840" t="s">
        <v>78</v>
      </c>
      <c r="N840" t="s">
        <v>17</v>
      </c>
      <c r="O840">
        <v>2242</v>
      </c>
      <c r="P840">
        <v>109.8</v>
      </c>
      <c r="Q840">
        <v>63.2</v>
      </c>
    </row>
    <row r="841" spans="2:17" x14ac:dyDescent="0.25">
      <c r="B841" t="s">
        <v>78</v>
      </c>
      <c r="C841" t="s">
        <v>79</v>
      </c>
      <c r="D841" t="s">
        <v>3239</v>
      </c>
      <c r="E841" t="s">
        <v>3240</v>
      </c>
      <c r="F841">
        <v>3.5</v>
      </c>
      <c r="G841">
        <v>3.8</v>
      </c>
      <c r="H841">
        <v>3.8</v>
      </c>
      <c r="I841">
        <v>3.25</v>
      </c>
      <c r="J841" s="1">
        <v>3.35</v>
      </c>
      <c r="K841">
        <v>3312.3</v>
      </c>
      <c r="L841">
        <v>985</v>
      </c>
      <c r="M841" t="s">
        <v>78</v>
      </c>
      <c r="N841" t="s">
        <v>17</v>
      </c>
      <c r="O841">
        <v>14</v>
      </c>
      <c r="P841">
        <v>11.25</v>
      </c>
      <c r="Q841">
        <v>3.05</v>
      </c>
    </row>
    <row r="842" spans="2:17" x14ac:dyDescent="0.25">
      <c r="B842" t="s">
        <v>78</v>
      </c>
      <c r="C842" t="s">
        <v>79</v>
      </c>
      <c r="D842" t="s">
        <v>1547</v>
      </c>
      <c r="E842" t="s">
        <v>1548</v>
      </c>
      <c r="F842">
        <v>495.9</v>
      </c>
      <c r="G842">
        <v>495</v>
      </c>
      <c r="H842">
        <v>495</v>
      </c>
      <c r="I842">
        <v>455</v>
      </c>
      <c r="J842" s="1">
        <v>464.85</v>
      </c>
      <c r="K842">
        <v>4953341.8</v>
      </c>
      <c r="L842">
        <v>10440</v>
      </c>
      <c r="M842" t="s">
        <v>78</v>
      </c>
      <c r="N842" t="s">
        <v>17</v>
      </c>
      <c r="O842">
        <v>769</v>
      </c>
      <c r="P842">
        <v>1083.95</v>
      </c>
      <c r="Q842">
        <v>455</v>
      </c>
    </row>
    <row r="843" spans="2:17" x14ac:dyDescent="0.25">
      <c r="B843" t="s">
        <v>78</v>
      </c>
      <c r="C843" t="s">
        <v>79</v>
      </c>
      <c r="D843" t="s">
        <v>1549</v>
      </c>
      <c r="E843" t="s">
        <v>1550</v>
      </c>
      <c r="F843">
        <v>80.25</v>
      </c>
      <c r="G843">
        <v>83.9</v>
      </c>
      <c r="H843">
        <v>83.9</v>
      </c>
      <c r="I843">
        <v>77.349999999999994</v>
      </c>
      <c r="J843" s="1">
        <v>77.8</v>
      </c>
      <c r="K843">
        <v>14178761.300000001</v>
      </c>
      <c r="L843">
        <v>176990</v>
      </c>
      <c r="M843" t="s">
        <v>78</v>
      </c>
      <c r="N843" t="s">
        <v>17</v>
      </c>
      <c r="O843">
        <v>1345</v>
      </c>
      <c r="P843">
        <v>117</v>
      </c>
      <c r="Q843">
        <v>74.900000000000006</v>
      </c>
    </row>
    <row r="844" spans="2:17" x14ac:dyDescent="0.25">
      <c r="B844" t="s">
        <v>78</v>
      </c>
      <c r="C844" t="s">
        <v>79</v>
      </c>
      <c r="D844" t="s">
        <v>1551</v>
      </c>
      <c r="E844" t="s">
        <v>1552</v>
      </c>
      <c r="F844">
        <v>14.15</v>
      </c>
      <c r="G844">
        <v>14.25</v>
      </c>
      <c r="H844">
        <v>14.25</v>
      </c>
      <c r="I844">
        <v>13.6</v>
      </c>
      <c r="J844" s="1">
        <v>13.85</v>
      </c>
      <c r="K844">
        <v>715892.6</v>
      </c>
      <c r="L844">
        <v>51418</v>
      </c>
      <c r="M844" t="s">
        <v>78</v>
      </c>
      <c r="N844" t="s">
        <v>17</v>
      </c>
      <c r="O844">
        <v>180</v>
      </c>
      <c r="P844">
        <v>27.75</v>
      </c>
      <c r="Q844">
        <v>11.65</v>
      </c>
    </row>
    <row r="845" spans="2:17" x14ac:dyDescent="0.25">
      <c r="B845" t="s">
        <v>78</v>
      </c>
      <c r="C845" t="s">
        <v>79</v>
      </c>
      <c r="D845" t="s">
        <v>3241</v>
      </c>
      <c r="E845" t="s">
        <v>3242</v>
      </c>
      <c r="F845">
        <v>391.75</v>
      </c>
      <c r="G845">
        <v>381</v>
      </c>
      <c r="H845">
        <v>387</v>
      </c>
      <c r="I845">
        <v>372.4</v>
      </c>
      <c r="J845" s="1">
        <v>378.6</v>
      </c>
      <c r="K845">
        <v>522027.1</v>
      </c>
      <c r="L845">
        <v>1370</v>
      </c>
      <c r="M845" t="s">
        <v>78</v>
      </c>
      <c r="N845" t="s">
        <v>17</v>
      </c>
      <c r="O845">
        <v>35</v>
      </c>
      <c r="P845">
        <v>539.85</v>
      </c>
      <c r="Q845">
        <v>356.9</v>
      </c>
    </row>
    <row r="846" spans="2:17" x14ac:dyDescent="0.25">
      <c r="B846" t="s">
        <v>78</v>
      </c>
      <c r="C846" t="s">
        <v>79</v>
      </c>
      <c r="D846" t="s">
        <v>1553</v>
      </c>
      <c r="E846" t="s">
        <v>1554</v>
      </c>
      <c r="F846">
        <v>318.75</v>
      </c>
      <c r="G846">
        <v>318.75</v>
      </c>
      <c r="H846">
        <v>320.2</v>
      </c>
      <c r="I846">
        <v>308.60000000000002</v>
      </c>
      <c r="J846" s="1">
        <v>318.14999999999998</v>
      </c>
      <c r="K846">
        <v>40763507.600000001</v>
      </c>
      <c r="L846">
        <v>128946</v>
      </c>
      <c r="M846" t="s">
        <v>78</v>
      </c>
      <c r="N846" t="s">
        <v>17</v>
      </c>
      <c r="O846">
        <v>3899</v>
      </c>
      <c r="P846">
        <v>354.7</v>
      </c>
      <c r="Q846">
        <v>233.3</v>
      </c>
    </row>
    <row r="847" spans="2:17" x14ac:dyDescent="0.25">
      <c r="B847" t="s">
        <v>78</v>
      </c>
      <c r="C847" t="s">
        <v>79</v>
      </c>
      <c r="D847" t="s">
        <v>3243</v>
      </c>
      <c r="E847" t="s">
        <v>3244</v>
      </c>
      <c r="F847">
        <v>12.25</v>
      </c>
      <c r="G847">
        <v>12.05</v>
      </c>
      <c r="H847">
        <v>12.65</v>
      </c>
      <c r="I847">
        <v>11.5</v>
      </c>
      <c r="J847" s="1">
        <v>11.9</v>
      </c>
      <c r="K847">
        <v>344110.75</v>
      </c>
      <c r="L847">
        <v>28664</v>
      </c>
      <c r="M847" t="s">
        <v>78</v>
      </c>
      <c r="N847" t="s">
        <v>17</v>
      </c>
      <c r="O847">
        <v>245</v>
      </c>
      <c r="P847">
        <v>26.1</v>
      </c>
      <c r="Q847">
        <v>10.65</v>
      </c>
    </row>
    <row r="848" spans="2:17" x14ac:dyDescent="0.25">
      <c r="B848" t="s">
        <v>78</v>
      </c>
      <c r="C848" t="s">
        <v>287</v>
      </c>
      <c r="D848" t="s">
        <v>1556</v>
      </c>
      <c r="E848" t="s">
        <v>1557</v>
      </c>
      <c r="F848">
        <v>72.5</v>
      </c>
      <c r="G848">
        <v>75.75</v>
      </c>
      <c r="H848">
        <v>75.75</v>
      </c>
      <c r="I848">
        <v>75.599999999999994</v>
      </c>
      <c r="J848" s="1">
        <v>75.75</v>
      </c>
      <c r="K848">
        <v>605500</v>
      </c>
      <c r="L848">
        <v>8000</v>
      </c>
      <c r="M848" t="s">
        <v>78</v>
      </c>
      <c r="N848" t="s">
        <v>17</v>
      </c>
      <c r="O848">
        <v>4</v>
      </c>
      <c r="P848">
        <v>86</v>
      </c>
      <c r="Q848">
        <v>56</v>
      </c>
    </row>
    <row r="849" spans="2:17" x14ac:dyDescent="0.25">
      <c r="B849" t="s">
        <v>78</v>
      </c>
      <c r="C849" t="s">
        <v>79</v>
      </c>
      <c r="D849" t="s">
        <v>1558</v>
      </c>
      <c r="E849" t="s">
        <v>1559</v>
      </c>
      <c r="F849">
        <v>458.2</v>
      </c>
      <c r="G849">
        <v>460</v>
      </c>
      <c r="H849">
        <v>474.95</v>
      </c>
      <c r="I849">
        <v>450</v>
      </c>
      <c r="J849" s="1">
        <v>471.3</v>
      </c>
      <c r="K849">
        <v>40841053.600000001</v>
      </c>
      <c r="L849">
        <v>87354</v>
      </c>
      <c r="M849" t="s">
        <v>78</v>
      </c>
      <c r="N849" t="s">
        <v>17</v>
      </c>
      <c r="O849">
        <v>6507</v>
      </c>
      <c r="P849">
        <v>532.5</v>
      </c>
      <c r="Q849">
        <v>248</v>
      </c>
    </row>
    <row r="850" spans="2:17" x14ac:dyDescent="0.25">
      <c r="B850" t="s">
        <v>78</v>
      </c>
      <c r="C850" t="s">
        <v>79</v>
      </c>
      <c r="D850" t="s">
        <v>1560</v>
      </c>
      <c r="E850" t="s">
        <v>1561</v>
      </c>
      <c r="F850">
        <v>23.85</v>
      </c>
      <c r="G850">
        <v>23.85</v>
      </c>
      <c r="H850">
        <v>24.3</v>
      </c>
      <c r="I850">
        <v>23.1</v>
      </c>
      <c r="J850" s="1">
        <v>23.75</v>
      </c>
      <c r="K850">
        <v>1289659.55</v>
      </c>
      <c r="L850">
        <v>54404</v>
      </c>
      <c r="M850" t="s">
        <v>78</v>
      </c>
      <c r="N850" t="s">
        <v>17</v>
      </c>
      <c r="O850">
        <v>236</v>
      </c>
      <c r="P850">
        <v>54.5</v>
      </c>
      <c r="Q850">
        <v>22.15</v>
      </c>
    </row>
    <row r="851" spans="2:17" x14ac:dyDescent="0.25">
      <c r="B851" t="s">
        <v>78</v>
      </c>
      <c r="C851" t="s">
        <v>79</v>
      </c>
      <c r="D851" t="s">
        <v>1564</v>
      </c>
      <c r="E851" t="s">
        <v>1565</v>
      </c>
      <c r="F851">
        <v>62.8</v>
      </c>
      <c r="G851">
        <v>63.55</v>
      </c>
      <c r="H851">
        <v>64.2</v>
      </c>
      <c r="I851">
        <v>60.05</v>
      </c>
      <c r="J851" s="1">
        <v>60.7</v>
      </c>
      <c r="K851">
        <v>14636878.75</v>
      </c>
      <c r="L851">
        <v>236396</v>
      </c>
      <c r="M851" t="s">
        <v>78</v>
      </c>
      <c r="N851" t="s">
        <v>17</v>
      </c>
      <c r="O851">
        <v>1834</v>
      </c>
      <c r="P851">
        <v>99.35</v>
      </c>
      <c r="Q851">
        <v>54.1</v>
      </c>
    </row>
    <row r="852" spans="2:17" x14ac:dyDescent="0.25">
      <c r="B852" t="s">
        <v>78</v>
      </c>
      <c r="C852" t="s">
        <v>79</v>
      </c>
      <c r="D852" t="s">
        <v>1568</v>
      </c>
      <c r="E852" t="s">
        <v>1569</v>
      </c>
      <c r="F852">
        <v>263.60000000000002</v>
      </c>
      <c r="G852">
        <v>262.35000000000002</v>
      </c>
      <c r="H852">
        <v>265.45</v>
      </c>
      <c r="I852">
        <v>241.05</v>
      </c>
      <c r="J852" s="1">
        <v>247.1</v>
      </c>
      <c r="K852">
        <v>1537689.55</v>
      </c>
      <c r="L852">
        <v>6132</v>
      </c>
      <c r="M852" t="s">
        <v>78</v>
      </c>
      <c r="N852" t="s">
        <v>17</v>
      </c>
      <c r="O852">
        <v>610</v>
      </c>
      <c r="P852">
        <v>819</v>
      </c>
      <c r="Q852">
        <v>241.05</v>
      </c>
    </row>
    <row r="853" spans="2:17" x14ac:dyDescent="0.25">
      <c r="B853" t="s">
        <v>78</v>
      </c>
      <c r="C853" t="s">
        <v>79</v>
      </c>
      <c r="D853" t="s">
        <v>3247</v>
      </c>
      <c r="E853" t="s">
        <v>3248</v>
      </c>
      <c r="F853">
        <v>21.5</v>
      </c>
      <c r="G853">
        <v>22.95</v>
      </c>
      <c r="H853">
        <v>22.95</v>
      </c>
      <c r="I853">
        <v>21.5</v>
      </c>
      <c r="J853" s="1">
        <v>22.2</v>
      </c>
      <c r="K853">
        <v>3669.55</v>
      </c>
      <c r="L853">
        <v>163</v>
      </c>
      <c r="M853" t="s">
        <v>78</v>
      </c>
      <c r="N853" t="s">
        <v>17</v>
      </c>
      <c r="O853">
        <v>16</v>
      </c>
      <c r="P853">
        <v>64.900000000000006</v>
      </c>
      <c r="Q853">
        <v>20</v>
      </c>
    </row>
    <row r="854" spans="2:17" x14ac:dyDescent="0.25">
      <c r="B854" t="s">
        <v>78</v>
      </c>
      <c r="C854" t="s">
        <v>287</v>
      </c>
      <c r="D854" t="s">
        <v>5875</v>
      </c>
      <c r="E854" t="s">
        <v>5874</v>
      </c>
      <c r="F854">
        <v>34.950000000000003</v>
      </c>
      <c r="G854">
        <v>32.5</v>
      </c>
      <c r="H854">
        <v>32.5</v>
      </c>
      <c r="I854">
        <v>32.5</v>
      </c>
      <c r="J854" s="1">
        <v>32.5</v>
      </c>
      <c r="K854">
        <v>97500</v>
      </c>
      <c r="L854">
        <v>3000</v>
      </c>
      <c r="M854" t="s">
        <v>78</v>
      </c>
      <c r="N854" t="s">
        <v>17</v>
      </c>
      <c r="O854">
        <v>1</v>
      </c>
      <c r="P854">
        <v>37</v>
      </c>
      <c r="Q854">
        <v>31.5</v>
      </c>
    </row>
    <row r="855" spans="2:17" x14ac:dyDescent="0.25">
      <c r="B855" t="s">
        <v>78</v>
      </c>
      <c r="C855" t="s">
        <v>79</v>
      </c>
      <c r="D855" t="s">
        <v>1574</v>
      </c>
      <c r="E855" t="s">
        <v>1575</v>
      </c>
      <c r="F855">
        <v>1766.35</v>
      </c>
      <c r="G855">
        <v>1753</v>
      </c>
      <c r="H855">
        <v>1766.4</v>
      </c>
      <c r="I855">
        <v>1731.05</v>
      </c>
      <c r="J855" s="1">
        <v>1749.45</v>
      </c>
      <c r="K855">
        <v>1455926.45</v>
      </c>
      <c r="L855">
        <v>829</v>
      </c>
      <c r="M855" t="s">
        <v>78</v>
      </c>
      <c r="N855" t="s">
        <v>17</v>
      </c>
      <c r="O855">
        <v>172</v>
      </c>
      <c r="P855">
        <v>2599.9499999999998</v>
      </c>
      <c r="Q855">
        <v>1395</v>
      </c>
    </row>
    <row r="856" spans="2:17" x14ac:dyDescent="0.25">
      <c r="B856" t="s">
        <v>78</v>
      </c>
      <c r="C856" t="s">
        <v>79</v>
      </c>
      <c r="D856" t="s">
        <v>3249</v>
      </c>
      <c r="E856" t="s">
        <v>3250</v>
      </c>
      <c r="F856">
        <v>117.5</v>
      </c>
      <c r="G856">
        <v>128</v>
      </c>
      <c r="H856">
        <v>128</v>
      </c>
      <c r="I856">
        <v>119</v>
      </c>
      <c r="J856" s="1">
        <v>120.35</v>
      </c>
      <c r="K856">
        <v>2819802</v>
      </c>
      <c r="L856">
        <v>23235</v>
      </c>
      <c r="M856" t="s">
        <v>78</v>
      </c>
      <c r="N856" t="s">
        <v>17</v>
      </c>
      <c r="O856">
        <v>1006</v>
      </c>
      <c r="P856">
        <v>242.8</v>
      </c>
      <c r="Q856">
        <v>82</v>
      </c>
    </row>
    <row r="857" spans="2:17" x14ac:dyDescent="0.25">
      <c r="B857" t="s">
        <v>78</v>
      </c>
      <c r="C857" t="s">
        <v>79</v>
      </c>
      <c r="D857" t="s">
        <v>1578</v>
      </c>
      <c r="E857" t="s">
        <v>1579</v>
      </c>
      <c r="F857">
        <v>609.54999999999995</v>
      </c>
      <c r="G857">
        <v>608.6</v>
      </c>
      <c r="H857">
        <v>622.29999999999995</v>
      </c>
      <c r="I857">
        <v>588.6</v>
      </c>
      <c r="J857" s="1">
        <v>595.15</v>
      </c>
      <c r="K857">
        <v>1684911.9</v>
      </c>
      <c r="L857">
        <v>2797</v>
      </c>
      <c r="M857" t="s">
        <v>78</v>
      </c>
      <c r="N857" t="s">
        <v>17</v>
      </c>
      <c r="O857">
        <v>211</v>
      </c>
      <c r="P857">
        <v>959.95</v>
      </c>
      <c r="Q857">
        <v>547</v>
      </c>
    </row>
    <row r="858" spans="2:17" x14ac:dyDescent="0.25">
      <c r="B858" t="s">
        <v>78</v>
      </c>
      <c r="C858" t="s">
        <v>79</v>
      </c>
      <c r="D858" t="s">
        <v>1580</v>
      </c>
      <c r="E858" t="s">
        <v>1581</v>
      </c>
      <c r="F858">
        <v>118.55</v>
      </c>
      <c r="G858">
        <v>119</v>
      </c>
      <c r="H858">
        <v>120.75</v>
      </c>
      <c r="I858">
        <v>111.15</v>
      </c>
      <c r="J858" s="1">
        <v>115.1</v>
      </c>
      <c r="K858">
        <v>1025021.45</v>
      </c>
      <c r="L858">
        <v>8849</v>
      </c>
      <c r="M858" t="s">
        <v>78</v>
      </c>
      <c r="N858" t="s">
        <v>17</v>
      </c>
      <c r="O858">
        <v>419</v>
      </c>
      <c r="P858">
        <v>250.9</v>
      </c>
      <c r="Q858">
        <v>111.15</v>
      </c>
    </row>
    <row r="859" spans="2:17" x14ac:dyDescent="0.25">
      <c r="B859" t="s">
        <v>78</v>
      </c>
      <c r="C859" t="s">
        <v>79</v>
      </c>
      <c r="D859" t="s">
        <v>1582</v>
      </c>
      <c r="E859" t="s">
        <v>1583</v>
      </c>
      <c r="F859">
        <v>511.9</v>
      </c>
      <c r="G859">
        <v>516.65</v>
      </c>
      <c r="H859">
        <v>516.65</v>
      </c>
      <c r="I859">
        <v>495.55</v>
      </c>
      <c r="J859" s="1">
        <v>498.1</v>
      </c>
      <c r="K859">
        <v>27779983.75</v>
      </c>
      <c r="L859">
        <v>55381</v>
      </c>
      <c r="M859" t="s">
        <v>78</v>
      </c>
      <c r="N859" t="s">
        <v>17</v>
      </c>
      <c r="O859">
        <v>1944</v>
      </c>
      <c r="P859">
        <v>654</v>
      </c>
      <c r="Q859">
        <v>373</v>
      </c>
    </row>
    <row r="860" spans="2:17" x14ac:dyDescent="0.25">
      <c r="B860" t="s">
        <v>78</v>
      </c>
      <c r="C860" t="s">
        <v>79</v>
      </c>
      <c r="D860" t="s">
        <v>3251</v>
      </c>
      <c r="E860" t="s">
        <v>3252</v>
      </c>
      <c r="F860">
        <v>178.95</v>
      </c>
      <c r="G860">
        <v>177.65</v>
      </c>
      <c r="H860">
        <v>182</v>
      </c>
      <c r="I860">
        <v>173.55</v>
      </c>
      <c r="J860" s="1">
        <v>176.45</v>
      </c>
      <c r="K860">
        <v>3466570.1</v>
      </c>
      <c r="L860">
        <v>19668</v>
      </c>
      <c r="M860" t="s">
        <v>78</v>
      </c>
      <c r="N860" t="s">
        <v>17</v>
      </c>
      <c r="O860">
        <v>1655</v>
      </c>
      <c r="P860">
        <v>300.10000000000002</v>
      </c>
      <c r="Q860">
        <v>134.15</v>
      </c>
    </row>
    <row r="861" spans="2:17" x14ac:dyDescent="0.25">
      <c r="B861" t="s">
        <v>78</v>
      </c>
      <c r="C861" t="s">
        <v>79</v>
      </c>
      <c r="D861" t="s">
        <v>1586</v>
      </c>
      <c r="E861" t="s">
        <v>1587</v>
      </c>
      <c r="F861">
        <v>190.05</v>
      </c>
      <c r="G861">
        <v>188.25</v>
      </c>
      <c r="H861">
        <v>191.9</v>
      </c>
      <c r="I861">
        <v>181</v>
      </c>
      <c r="J861" s="1">
        <v>181.75</v>
      </c>
      <c r="K861">
        <v>2440577.2999999998</v>
      </c>
      <c r="L861">
        <v>13129</v>
      </c>
      <c r="M861" t="s">
        <v>78</v>
      </c>
      <c r="N861" t="s">
        <v>17</v>
      </c>
      <c r="O861">
        <v>570</v>
      </c>
      <c r="P861">
        <v>355.6</v>
      </c>
      <c r="Q861">
        <v>154.6</v>
      </c>
    </row>
    <row r="862" spans="2:17" x14ac:dyDescent="0.25">
      <c r="B862" t="s">
        <v>78</v>
      </c>
      <c r="C862" t="s">
        <v>79</v>
      </c>
      <c r="D862" t="s">
        <v>1588</v>
      </c>
      <c r="E862" t="s">
        <v>1589</v>
      </c>
      <c r="F862">
        <v>782.95</v>
      </c>
      <c r="G862">
        <v>775</v>
      </c>
      <c r="H862">
        <v>775</v>
      </c>
      <c r="I862">
        <v>760.2</v>
      </c>
      <c r="J862" s="1">
        <v>763.95</v>
      </c>
      <c r="K862">
        <v>233936</v>
      </c>
      <c r="L862">
        <v>306</v>
      </c>
      <c r="M862" t="s">
        <v>78</v>
      </c>
      <c r="N862" t="s">
        <v>17</v>
      </c>
      <c r="O862">
        <v>30</v>
      </c>
      <c r="P862">
        <v>1195</v>
      </c>
      <c r="Q862">
        <v>724.95</v>
      </c>
    </row>
    <row r="863" spans="2:17" x14ac:dyDescent="0.25">
      <c r="B863" t="s">
        <v>78</v>
      </c>
      <c r="C863" t="s">
        <v>79</v>
      </c>
      <c r="D863" t="s">
        <v>1590</v>
      </c>
      <c r="E863" t="s">
        <v>1591</v>
      </c>
      <c r="F863">
        <v>93.8</v>
      </c>
      <c r="G863">
        <v>93.95</v>
      </c>
      <c r="H863">
        <v>94</v>
      </c>
      <c r="I863">
        <v>91.4</v>
      </c>
      <c r="J863" s="1">
        <v>92.9</v>
      </c>
      <c r="K863">
        <v>2886807.75</v>
      </c>
      <c r="L863">
        <v>31172</v>
      </c>
      <c r="M863" t="s">
        <v>78</v>
      </c>
      <c r="N863" t="s">
        <v>17</v>
      </c>
      <c r="O863">
        <v>544</v>
      </c>
      <c r="P863">
        <v>138</v>
      </c>
      <c r="Q863">
        <v>87.65</v>
      </c>
    </row>
    <row r="864" spans="2:17" x14ac:dyDescent="0.25">
      <c r="B864" t="s">
        <v>78</v>
      </c>
      <c r="C864" t="s">
        <v>79</v>
      </c>
      <c r="D864" t="s">
        <v>1592</v>
      </c>
      <c r="E864" t="s">
        <v>1593</v>
      </c>
      <c r="F864">
        <v>1048.05</v>
      </c>
      <c r="G864">
        <v>1020.05</v>
      </c>
      <c r="H864">
        <v>1180</v>
      </c>
      <c r="I864">
        <v>1015.25</v>
      </c>
      <c r="J864" s="1">
        <v>1029.4000000000001</v>
      </c>
      <c r="K864">
        <v>4226318.3</v>
      </c>
      <c r="L864">
        <v>3863</v>
      </c>
      <c r="M864" t="s">
        <v>78</v>
      </c>
      <c r="N864" t="s">
        <v>17</v>
      </c>
      <c r="O864">
        <v>343</v>
      </c>
      <c r="P864">
        <v>1508</v>
      </c>
      <c r="Q864">
        <v>1015.25</v>
      </c>
    </row>
    <row r="865" spans="2:17" x14ac:dyDescent="0.25">
      <c r="B865" t="s">
        <v>78</v>
      </c>
      <c r="C865" t="s">
        <v>79</v>
      </c>
      <c r="D865" t="s">
        <v>1594</v>
      </c>
      <c r="E865" t="s">
        <v>1595</v>
      </c>
      <c r="F865">
        <v>7.45</v>
      </c>
      <c r="G865">
        <v>7.5</v>
      </c>
      <c r="H865">
        <v>7.6</v>
      </c>
      <c r="I865">
        <v>7.25</v>
      </c>
      <c r="J865" s="1">
        <v>7.3</v>
      </c>
      <c r="K865">
        <v>213248.65</v>
      </c>
      <c r="L865">
        <v>29024</v>
      </c>
      <c r="M865" t="s">
        <v>78</v>
      </c>
      <c r="N865" t="s">
        <v>17</v>
      </c>
      <c r="O865">
        <v>154</v>
      </c>
      <c r="P865">
        <v>13.9</v>
      </c>
      <c r="Q865">
        <v>6.55</v>
      </c>
    </row>
    <row r="866" spans="2:17" x14ac:dyDescent="0.25">
      <c r="B866" t="s">
        <v>78</v>
      </c>
      <c r="C866" t="s">
        <v>79</v>
      </c>
      <c r="D866" t="s">
        <v>1596</v>
      </c>
      <c r="E866" t="s">
        <v>1597</v>
      </c>
      <c r="F866">
        <v>275.75</v>
      </c>
      <c r="G866">
        <v>274</v>
      </c>
      <c r="H866">
        <v>281.2</v>
      </c>
      <c r="I866">
        <v>269.95</v>
      </c>
      <c r="J866" s="1">
        <v>270.45</v>
      </c>
      <c r="K866">
        <v>13449992.949999999</v>
      </c>
      <c r="L866">
        <v>49170</v>
      </c>
      <c r="M866" t="s">
        <v>78</v>
      </c>
      <c r="N866" t="s">
        <v>17</v>
      </c>
      <c r="O866">
        <v>1914</v>
      </c>
      <c r="P866">
        <v>303.35000000000002</v>
      </c>
      <c r="Q866">
        <v>165</v>
      </c>
    </row>
    <row r="867" spans="2:17" x14ac:dyDescent="0.25">
      <c r="B867" t="s">
        <v>78</v>
      </c>
      <c r="C867" t="s">
        <v>79</v>
      </c>
      <c r="D867" t="s">
        <v>5867</v>
      </c>
      <c r="E867" t="s">
        <v>5866</v>
      </c>
      <c r="F867">
        <v>16.8</v>
      </c>
      <c r="G867">
        <v>16.8</v>
      </c>
      <c r="H867">
        <v>17.05</v>
      </c>
      <c r="I867">
        <v>16.100000000000001</v>
      </c>
      <c r="J867" s="1">
        <v>16.2</v>
      </c>
      <c r="K867">
        <v>2772986.25</v>
      </c>
      <c r="L867">
        <v>168503</v>
      </c>
      <c r="M867" t="s">
        <v>78</v>
      </c>
      <c r="N867" t="s">
        <v>17</v>
      </c>
      <c r="O867">
        <v>1723</v>
      </c>
      <c r="P867">
        <v>44</v>
      </c>
      <c r="Q867">
        <v>15.1</v>
      </c>
    </row>
    <row r="868" spans="2:17" x14ac:dyDescent="0.25">
      <c r="B868" t="s">
        <v>78</v>
      </c>
      <c r="C868" t="s">
        <v>79</v>
      </c>
      <c r="D868" t="s">
        <v>1598</v>
      </c>
      <c r="E868" t="s">
        <v>1599</v>
      </c>
      <c r="F868">
        <v>73.650000000000006</v>
      </c>
      <c r="G868">
        <v>73.45</v>
      </c>
      <c r="H868">
        <v>73.45</v>
      </c>
      <c r="I868">
        <v>71.099999999999994</v>
      </c>
      <c r="J868" s="1">
        <v>71.75</v>
      </c>
      <c r="K868">
        <v>2181395.4500000002</v>
      </c>
      <c r="L868">
        <v>30187</v>
      </c>
      <c r="M868" t="s">
        <v>78</v>
      </c>
      <c r="N868" t="s">
        <v>17</v>
      </c>
      <c r="O868">
        <v>282</v>
      </c>
      <c r="P868">
        <v>154.19999999999999</v>
      </c>
      <c r="Q868">
        <v>71.099999999999994</v>
      </c>
    </row>
    <row r="869" spans="2:17" x14ac:dyDescent="0.25">
      <c r="B869" t="s">
        <v>78</v>
      </c>
      <c r="C869" t="s">
        <v>79</v>
      </c>
      <c r="D869" t="s">
        <v>1600</v>
      </c>
      <c r="E869" t="s">
        <v>1601</v>
      </c>
      <c r="F869">
        <v>245.65</v>
      </c>
      <c r="G869">
        <v>243.5</v>
      </c>
      <c r="H869">
        <v>243.5</v>
      </c>
      <c r="I869">
        <v>232</v>
      </c>
      <c r="J869" s="1">
        <v>234.2</v>
      </c>
      <c r="K869">
        <v>8759674.1999999993</v>
      </c>
      <c r="L869">
        <v>37231</v>
      </c>
      <c r="M869" t="s">
        <v>78</v>
      </c>
      <c r="N869" t="s">
        <v>17</v>
      </c>
      <c r="O869">
        <v>1463</v>
      </c>
      <c r="P869">
        <v>320.2</v>
      </c>
      <c r="Q869">
        <v>197.8</v>
      </c>
    </row>
    <row r="870" spans="2:17" x14ac:dyDescent="0.25">
      <c r="B870" t="s">
        <v>78</v>
      </c>
      <c r="C870" t="s">
        <v>79</v>
      </c>
      <c r="D870" t="s">
        <v>3253</v>
      </c>
      <c r="E870" t="s">
        <v>3254</v>
      </c>
      <c r="F870">
        <v>34.75</v>
      </c>
      <c r="G870">
        <v>34.5</v>
      </c>
      <c r="H870">
        <v>34.85</v>
      </c>
      <c r="I870">
        <v>33.4</v>
      </c>
      <c r="J870" s="1">
        <v>34.35</v>
      </c>
      <c r="K870">
        <v>1129746.75</v>
      </c>
      <c r="L870">
        <v>33303</v>
      </c>
      <c r="M870" t="s">
        <v>78</v>
      </c>
      <c r="N870" t="s">
        <v>17</v>
      </c>
      <c r="O870">
        <v>382</v>
      </c>
      <c r="P870">
        <v>57.25</v>
      </c>
      <c r="Q870">
        <v>32.6</v>
      </c>
    </row>
    <row r="871" spans="2:17" x14ac:dyDescent="0.25">
      <c r="B871" t="s">
        <v>78</v>
      </c>
      <c r="C871" t="s">
        <v>79</v>
      </c>
      <c r="D871" t="s">
        <v>1602</v>
      </c>
      <c r="E871" t="s">
        <v>1603</v>
      </c>
      <c r="F871">
        <v>9.8000000000000007</v>
      </c>
      <c r="G871">
        <v>10</v>
      </c>
      <c r="H871">
        <v>10.1</v>
      </c>
      <c r="I871">
        <v>9.65</v>
      </c>
      <c r="J871" s="1">
        <v>9.8000000000000007</v>
      </c>
      <c r="K871">
        <v>84701.05</v>
      </c>
      <c r="L871">
        <v>8645</v>
      </c>
      <c r="M871" t="s">
        <v>78</v>
      </c>
      <c r="N871" t="s">
        <v>17</v>
      </c>
      <c r="O871">
        <v>76</v>
      </c>
      <c r="P871">
        <v>15.5</v>
      </c>
      <c r="Q871">
        <v>7.3</v>
      </c>
    </row>
    <row r="872" spans="2:17" x14ac:dyDescent="0.25">
      <c r="B872" t="s">
        <v>78</v>
      </c>
      <c r="C872" t="s">
        <v>79</v>
      </c>
      <c r="D872" t="s">
        <v>1604</v>
      </c>
      <c r="E872" t="s">
        <v>1605</v>
      </c>
      <c r="F872">
        <v>17.850000000000001</v>
      </c>
      <c r="G872">
        <v>17.850000000000001</v>
      </c>
      <c r="H872">
        <v>18.100000000000001</v>
      </c>
      <c r="I872">
        <v>16.7</v>
      </c>
      <c r="J872" s="1">
        <v>17.95</v>
      </c>
      <c r="K872">
        <v>238271.8</v>
      </c>
      <c r="L872">
        <v>13447</v>
      </c>
      <c r="M872" t="s">
        <v>78</v>
      </c>
      <c r="N872" t="s">
        <v>17</v>
      </c>
      <c r="O872">
        <v>121</v>
      </c>
      <c r="P872">
        <v>25.95</v>
      </c>
      <c r="Q872">
        <v>15.5</v>
      </c>
    </row>
    <row r="873" spans="2:17" x14ac:dyDescent="0.25">
      <c r="B873" t="s">
        <v>78</v>
      </c>
      <c r="C873" t="s">
        <v>79</v>
      </c>
      <c r="D873" t="s">
        <v>1606</v>
      </c>
      <c r="E873" t="s">
        <v>1607</v>
      </c>
      <c r="F873">
        <v>68.7</v>
      </c>
      <c r="G873">
        <v>70</v>
      </c>
      <c r="H873">
        <v>72.7</v>
      </c>
      <c r="I873">
        <v>65.650000000000006</v>
      </c>
      <c r="J873" s="1">
        <v>66.7</v>
      </c>
      <c r="K873">
        <v>233886.5</v>
      </c>
      <c r="L873">
        <v>3484</v>
      </c>
      <c r="M873" t="s">
        <v>78</v>
      </c>
      <c r="N873" t="s">
        <v>17</v>
      </c>
      <c r="O873">
        <v>211</v>
      </c>
      <c r="P873">
        <v>131.44999999999999</v>
      </c>
      <c r="Q873">
        <v>65.650000000000006</v>
      </c>
    </row>
    <row r="874" spans="2:17" x14ac:dyDescent="0.25">
      <c r="B874" t="s">
        <v>78</v>
      </c>
      <c r="C874" t="s">
        <v>79</v>
      </c>
      <c r="D874" t="s">
        <v>1608</v>
      </c>
      <c r="E874" t="s">
        <v>1609</v>
      </c>
      <c r="F874">
        <v>86.2</v>
      </c>
      <c r="G874">
        <v>86.2</v>
      </c>
      <c r="H874">
        <v>87.5</v>
      </c>
      <c r="I874">
        <v>82.5</v>
      </c>
      <c r="J874" s="1">
        <v>83.65</v>
      </c>
      <c r="K874">
        <v>83197507.200000003</v>
      </c>
      <c r="L874">
        <v>992961</v>
      </c>
      <c r="M874" t="s">
        <v>78</v>
      </c>
      <c r="N874" t="s">
        <v>17</v>
      </c>
      <c r="O874">
        <v>19768</v>
      </c>
      <c r="P874">
        <v>105</v>
      </c>
      <c r="Q874">
        <v>82.5</v>
      </c>
    </row>
    <row r="875" spans="2:17" x14ac:dyDescent="0.25">
      <c r="B875" t="s">
        <v>78</v>
      </c>
      <c r="C875" t="s">
        <v>79</v>
      </c>
      <c r="D875" t="s">
        <v>1610</v>
      </c>
      <c r="E875" t="s">
        <v>1611</v>
      </c>
      <c r="F875">
        <v>594.04999999999995</v>
      </c>
      <c r="G875">
        <v>591.20000000000005</v>
      </c>
      <c r="H875">
        <v>595</v>
      </c>
      <c r="I875">
        <v>591</v>
      </c>
      <c r="J875" s="1">
        <v>593.04999999999995</v>
      </c>
      <c r="K875">
        <v>5839950.7999999998</v>
      </c>
      <c r="L875">
        <v>9860</v>
      </c>
      <c r="M875" t="s">
        <v>78</v>
      </c>
      <c r="N875" t="s">
        <v>17</v>
      </c>
      <c r="O875">
        <v>372</v>
      </c>
      <c r="P875">
        <v>713.4</v>
      </c>
      <c r="Q875">
        <v>511.2</v>
      </c>
    </row>
    <row r="876" spans="2:17" x14ac:dyDescent="0.25">
      <c r="B876" t="s">
        <v>78</v>
      </c>
      <c r="C876" t="s">
        <v>79</v>
      </c>
      <c r="D876" t="s">
        <v>1612</v>
      </c>
      <c r="E876" t="s">
        <v>1613</v>
      </c>
      <c r="F876">
        <v>210.05</v>
      </c>
      <c r="G876">
        <v>211.2</v>
      </c>
      <c r="H876">
        <v>213</v>
      </c>
      <c r="I876">
        <v>200</v>
      </c>
      <c r="J876" s="1">
        <v>200.7</v>
      </c>
      <c r="K876">
        <v>39844260.799999997</v>
      </c>
      <c r="L876">
        <v>196114</v>
      </c>
      <c r="M876" t="s">
        <v>78</v>
      </c>
      <c r="N876" t="s">
        <v>17</v>
      </c>
      <c r="O876">
        <v>2215</v>
      </c>
      <c r="P876">
        <v>403.8</v>
      </c>
      <c r="Q876">
        <v>200</v>
      </c>
    </row>
    <row r="877" spans="2:17" x14ac:dyDescent="0.25">
      <c r="B877" t="s">
        <v>78</v>
      </c>
      <c r="C877" t="s">
        <v>79</v>
      </c>
      <c r="D877" t="s">
        <v>1614</v>
      </c>
      <c r="E877" t="s">
        <v>1615</v>
      </c>
      <c r="F877">
        <v>73.400000000000006</v>
      </c>
      <c r="G877">
        <v>72.25</v>
      </c>
      <c r="H877">
        <v>76.95</v>
      </c>
      <c r="I877">
        <v>71.55</v>
      </c>
      <c r="J877" s="1">
        <v>71.55</v>
      </c>
      <c r="K877">
        <v>119249.3</v>
      </c>
      <c r="L877">
        <v>1648</v>
      </c>
      <c r="M877" t="s">
        <v>78</v>
      </c>
      <c r="N877" t="s">
        <v>17</v>
      </c>
      <c r="O877">
        <v>24</v>
      </c>
      <c r="P877">
        <v>135</v>
      </c>
      <c r="Q877">
        <v>68</v>
      </c>
    </row>
    <row r="878" spans="2:17" x14ac:dyDescent="0.25">
      <c r="B878" t="s">
        <v>78</v>
      </c>
      <c r="C878" t="s">
        <v>79</v>
      </c>
      <c r="D878" t="s">
        <v>1618</v>
      </c>
      <c r="E878" t="s">
        <v>1619</v>
      </c>
      <c r="F878">
        <v>668.35</v>
      </c>
      <c r="G878">
        <v>668.35</v>
      </c>
      <c r="H878">
        <v>670.9</v>
      </c>
      <c r="I878">
        <v>650.75</v>
      </c>
      <c r="J878" s="1">
        <v>661.15</v>
      </c>
      <c r="K878">
        <v>1854915.85</v>
      </c>
      <c r="L878">
        <v>2815</v>
      </c>
      <c r="M878" t="s">
        <v>78</v>
      </c>
      <c r="N878" t="s">
        <v>17</v>
      </c>
      <c r="O878">
        <v>368</v>
      </c>
      <c r="P878">
        <v>875</v>
      </c>
      <c r="Q878">
        <v>638.6</v>
      </c>
    </row>
    <row r="879" spans="2:17" x14ac:dyDescent="0.25">
      <c r="B879" t="s">
        <v>78</v>
      </c>
      <c r="C879" t="s">
        <v>79</v>
      </c>
      <c r="D879" t="s">
        <v>1620</v>
      </c>
      <c r="E879" t="s">
        <v>1621</v>
      </c>
      <c r="F879">
        <v>415.8</v>
      </c>
      <c r="G879">
        <v>419.9</v>
      </c>
      <c r="H879">
        <v>448</v>
      </c>
      <c r="I879">
        <v>417</v>
      </c>
      <c r="J879" s="1">
        <v>444.1</v>
      </c>
      <c r="K879">
        <v>105077163.40000001</v>
      </c>
      <c r="L879">
        <v>241377</v>
      </c>
      <c r="M879" t="s">
        <v>78</v>
      </c>
      <c r="N879" t="s">
        <v>17</v>
      </c>
      <c r="O879">
        <v>8105</v>
      </c>
      <c r="P879">
        <v>660.7</v>
      </c>
      <c r="Q879">
        <v>368.8</v>
      </c>
    </row>
    <row r="880" spans="2:17" x14ac:dyDescent="0.25">
      <c r="B880" t="s">
        <v>78</v>
      </c>
      <c r="C880" t="s">
        <v>79</v>
      </c>
      <c r="D880" t="s">
        <v>6719</v>
      </c>
      <c r="E880" t="s">
        <v>6718</v>
      </c>
      <c r="F880">
        <v>0.1</v>
      </c>
      <c r="G880">
        <v>0.1</v>
      </c>
      <c r="H880">
        <v>0.15</v>
      </c>
      <c r="I880">
        <v>0.1</v>
      </c>
      <c r="J880" s="1">
        <v>0.15</v>
      </c>
      <c r="K880">
        <v>54765.5</v>
      </c>
      <c r="L880">
        <v>442845</v>
      </c>
      <c r="M880" t="s">
        <v>78</v>
      </c>
      <c r="N880" t="s">
        <v>17</v>
      </c>
      <c r="O880">
        <v>125</v>
      </c>
      <c r="P880">
        <v>0.25</v>
      </c>
      <c r="Q880">
        <v>0.1</v>
      </c>
    </row>
    <row r="881" spans="2:17" x14ac:dyDescent="0.25">
      <c r="B881" t="s">
        <v>78</v>
      </c>
      <c r="C881" t="s">
        <v>287</v>
      </c>
      <c r="D881" t="s">
        <v>5121</v>
      </c>
      <c r="E881" t="s">
        <v>5120</v>
      </c>
      <c r="F881">
        <v>25.25</v>
      </c>
      <c r="G881">
        <v>25.5</v>
      </c>
      <c r="H881">
        <v>25.8</v>
      </c>
      <c r="I881">
        <v>25.5</v>
      </c>
      <c r="J881" s="1">
        <v>25.8</v>
      </c>
      <c r="K881">
        <v>205200</v>
      </c>
      <c r="L881">
        <v>8000</v>
      </c>
      <c r="M881" t="s">
        <v>78</v>
      </c>
      <c r="N881" t="s">
        <v>17</v>
      </c>
      <c r="O881">
        <v>2</v>
      </c>
      <c r="P881">
        <v>37</v>
      </c>
      <c r="Q881">
        <v>23</v>
      </c>
    </row>
    <row r="882" spans="2:17" x14ac:dyDescent="0.25">
      <c r="B882" t="s">
        <v>78</v>
      </c>
      <c r="C882" t="s">
        <v>79</v>
      </c>
      <c r="D882" t="s">
        <v>6717</v>
      </c>
      <c r="E882" t="s">
        <v>6716</v>
      </c>
      <c r="F882">
        <v>0.65</v>
      </c>
      <c r="G882">
        <v>0.65</v>
      </c>
      <c r="H882">
        <v>0.7</v>
      </c>
      <c r="I882">
        <v>0.65</v>
      </c>
      <c r="J882" s="1">
        <v>0.7</v>
      </c>
      <c r="K882">
        <v>153590.45000000001</v>
      </c>
      <c r="L882">
        <v>234013</v>
      </c>
      <c r="M882" t="s">
        <v>78</v>
      </c>
      <c r="N882" t="s">
        <v>17</v>
      </c>
      <c r="O882">
        <v>134</v>
      </c>
      <c r="P882">
        <v>2.1</v>
      </c>
      <c r="Q882">
        <v>0.6</v>
      </c>
    </row>
    <row r="883" spans="2:17" x14ac:dyDescent="0.25">
      <c r="B883" t="s">
        <v>78</v>
      </c>
      <c r="C883" t="s">
        <v>79</v>
      </c>
      <c r="D883" t="s">
        <v>1622</v>
      </c>
      <c r="E883" t="s">
        <v>1623</v>
      </c>
      <c r="F883">
        <v>192.8</v>
      </c>
      <c r="G883">
        <v>192.8</v>
      </c>
      <c r="H883">
        <v>195</v>
      </c>
      <c r="I883">
        <v>186.15</v>
      </c>
      <c r="J883" s="1">
        <v>187.8</v>
      </c>
      <c r="K883">
        <v>5831888.8499999996</v>
      </c>
      <c r="L883">
        <v>30698</v>
      </c>
      <c r="M883" t="s">
        <v>78</v>
      </c>
      <c r="N883" t="s">
        <v>17</v>
      </c>
      <c r="O883">
        <v>1260</v>
      </c>
      <c r="P883">
        <v>305</v>
      </c>
      <c r="Q883">
        <v>175.6</v>
      </c>
    </row>
    <row r="884" spans="2:17" x14ac:dyDescent="0.25">
      <c r="B884" t="s">
        <v>78</v>
      </c>
      <c r="C884" t="s">
        <v>79</v>
      </c>
      <c r="D884" t="s">
        <v>6715</v>
      </c>
      <c r="E884" t="s">
        <v>6714</v>
      </c>
      <c r="F884">
        <v>39.950000000000003</v>
      </c>
      <c r="G884">
        <v>40</v>
      </c>
      <c r="H884">
        <v>40.299999999999997</v>
      </c>
      <c r="I884">
        <v>38.25</v>
      </c>
      <c r="J884" s="1">
        <v>38.549999999999997</v>
      </c>
      <c r="K884">
        <v>142807.70000000001</v>
      </c>
      <c r="L884">
        <v>3648</v>
      </c>
      <c r="M884" t="s">
        <v>78</v>
      </c>
      <c r="N884" t="s">
        <v>17</v>
      </c>
      <c r="O884">
        <v>86</v>
      </c>
      <c r="P884">
        <v>110</v>
      </c>
      <c r="Q884">
        <v>34.25</v>
      </c>
    </row>
    <row r="885" spans="2:17" x14ac:dyDescent="0.25">
      <c r="B885" t="s">
        <v>78</v>
      </c>
      <c r="C885" t="s">
        <v>79</v>
      </c>
      <c r="D885" t="s">
        <v>1626</v>
      </c>
      <c r="E885" t="s">
        <v>1627</v>
      </c>
      <c r="F885">
        <v>96.7</v>
      </c>
      <c r="G885">
        <v>97.1</v>
      </c>
      <c r="H885">
        <v>97.7</v>
      </c>
      <c r="I885">
        <v>95.4</v>
      </c>
      <c r="J885" s="1">
        <v>96.3</v>
      </c>
      <c r="K885">
        <v>109637247.05</v>
      </c>
      <c r="L885">
        <v>1135476</v>
      </c>
      <c r="M885" t="s">
        <v>78</v>
      </c>
      <c r="N885" t="s">
        <v>17</v>
      </c>
      <c r="O885">
        <v>8461</v>
      </c>
      <c r="P885">
        <v>141.25</v>
      </c>
      <c r="Q885">
        <v>92.65</v>
      </c>
    </row>
    <row r="886" spans="2:17" x14ac:dyDescent="0.25">
      <c r="B886" t="s">
        <v>78</v>
      </c>
      <c r="C886" t="s">
        <v>79</v>
      </c>
      <c r="D886" t="s">
        <v>6713</v>
      </c>
      <c r="E886" t="s">
        <v>6712</v>
      </c>
      <c r="F886">
        <v>3.5</v>
      </c>
      <c r="G886">
        <v>3.5</v>
      </c>
      <c r="H886">
        <v>3.55</v>
      </c>
      <c r="I886">
        <v>3.35</v>
      </c>
      <c r="J886" s="1">
        <v>3.35</v>
      </c>
      <c r="K886">
        <v>1195726.6499999999</v>
      </c>
      <c r="L886">
        <v>354823</v>
      </c>
      <c r="M886" t="s">
        <v>78</v>
      </c>
      <c r="N886" t="s">
        <v>17</v>
      </c>
      <c r="O886">
        <v>590</v>
      </c>
      <c r="P886">
        <v>27.85</v>
      </c>
      <c r="Q886">
        <v>2.25</v>
      </c>
    </row>
    <row r="887" spans="2:17" x14ac:dyDescent="0.25">
      <c r="B887" t="s">
        <v>78</v>
      </c>
      <c r="C887" t="s">
        <v>287</v>
      </c>
      <c r="D887" t="s">
        <v>1632</v>
      </c>
      <c r="E887" t="s">
        <v>1633</v>
      </c>
      <c r="F887">
        <v>13.6</v>
      </c>
      <c r="G887">
        <v>13.6</v>
      </c>
      <c r="H887">
        <v>13.6</v>
      </c>
      <c r="I887">
        <v>13.5</v>
      </c>
      <c r="J887" s="1">
        <v>13.5</v>
      </c>
      <c r="K887">
        <v>81300</v>
      </c>
      <c r="L887">
        <v>6000</v>
      </c>
      <c r="M887" t="s">
        <v>78</v>
      </c>
      <c r="N887" t="s">
        <v>17</v>
      </c>
      <c r="O887">
        <v>2</v>
      </c>
      <c r="P887">
        <v>41</v>
      </c>
      <c r="Q887">
        <v>12.85</v>
      </c>
    </row>
    <row r="888" spans="2:17" x14ac:dyDescent="0.25">
      <c r="B888" t="s">
        <v>78</v>
      </c>
      <c r="C888" t="s">
        <v>79</v>
      </c>
      <c r="D888" t="s">
        <v>6711</v>
      </c>
      <c r="E888" t="s">
        <v>6710</v>
      </c>
      <c r="F888">
        <v>63</v>
      </c>
      <c r="G888">
        <v>63.15</v>
      </c>
      <c r="H888">
        <v>64.2</v>
      </c>
      <c r="I888">
        <v>60.4</v>
      </c>
      <c r="J888" s="1">
        <v>60.7</v>
      </c>
      <c r="K888">
        <v>45664418.350000001</v>
      </c>
      <c r="L888">
        <v>738166</v>
      </c>
      <c r="M888" t="s">
        <v>78</v>
      </c>
      <c r="N888" t="s">
        <v>17</v>
      </c>
      <c r="O888">
        <v>4045</v>
      </c>
      <c r="P888">
        <v>107.45</v>
      </c>
      <c r="Q888">
        <v>53.7</v>
      </c>
    </row>
    <row r="889" spans="2:17" x14ac:dyDescent="0.25">
      <c r="B889" t="s">
        <v>78</v>
      </c>
      <c r="C889" t="s">
        <v>79</v>
      </c>
      <c r="D889" t="s">
        <v>1634</v>
      </c>
      <c r="E889" t="s">
        <v>1635</v>
      </c>
      <c r="F889">
        <v>1117.2</v>
      </c>
      <c r="G889">
        <v>1117.2</v>
      </c>
      <c r="H889">
        <v>1122.8499999999999</v>
      </c>
      <c r="I889">
        <v>1065.05</v>
      </c>
      <c r="J889" s="1">
        <v>1073.8499999999999</v>
      </c>
      <c r="K889">
        <v>67274540.200000003</v>
      </c>
      <c r="L889">
        <v>61400</v>
      </c>
      <c r="M889" t="s">
        <v>78</v>
      </c>
      <c r="N889" t="s">
        <v>17</v>
      </c>
      <c r="O889">
        <v>4397</v>
      </c>
      <c r="P889">
        <v>1178.0999999999999</v>
      </c>
      <c r="Q889">
        <v>813.45</v>
      </c>
    </row>
    <row r="890" spans="2:17" x14ac:dyDescent="0.25">
      <c r="B890" t="s">
        <v>78</v>
      </c>
      <c r="C890" t="s">
        <v>79</v>
      </c>
      <c r="D890" t="s">
        <v>1636</v>
      </c>
      <c r="E890" t="s">
        <v>1637</v>
      </c>
      <c r="F890">
        <v>36.049999999999997</v>
      </c>
      <c r="G890">
        <v>35.75</v>
      </c>
      <c r="H890">
        <v>35.75</v>
      </c>
      <c r="I890">
        <v>34.9</v>
      </c>
      <c r="J890" s="1">
        <v>35.15</v>
      </c>
      <c r="K890">
        <v>131468.70000000001</v>
      </c>
      <c r="L890">
        <v>3704</v>
      </c>
      <c r="M890" t="s">
        <v>78</v>
      </c>
      <c r="N890" t="s">
        <v>17</v>
      </c>
      <c r="O890">
        <v>69</v>
      </c>
      <c r="P890">
        <v>67.900000000000006</v>
      </c>
      <c r="Q890">
        <v>34.25</v>
      </c>
    </row>
    <row r="891" spans="2:17" x14ac:dyDescent="0.25">
      <c r="B891" t="s">
        <v>78</v>
      </c>
      <c r="C891" t="s">
        <v>79</v>
      </c>
      <c r="D891" t="s">
        <v>1638</v>
      </c>
      <c r="E891" t="s">
        <v>1639</v>
      </c>
      <c r="F891">
        <v>195.85</v>
      </c>
      <c r="G891">
        <v>196.1</v>
      </c>
      <c r="H891">
        <v>197.45</v>
      </c>
      <c r="I891">
        <v>188.7</v>
      </c>
      <c r="J891" s="1">
        <v>190.8</v>
      </c>
      <c r="K891">
        <v>2130504.2999999998</v>
      </c>
      <c r="L891">
        <v>11046</v>
      </c>
      <c r="M891" t="s">
        <v>78</v>
      </c>
      <c r="N891" t="s">
        <v>17</v>
      </c>
      <c r="O891">
        <v>456</v>
      </c>
      <c r="P891">
        <v>294</v>
      </c>
      <c r="Q891">
        <v>180.3</v>
      </c>
    </row>
    <row r="892" spans="2:17" x14ac:dyDescent="0.25">
      <c r="B892" t="s">
        <v>78</v>
      </c>
      <c r="C892" t="s">
        <v>79</v>
      </c>
      <c r="D892" t="s">
        <v>1640</v>
      </c>
      <c r="E892" t="s">
        <v>1641</v>
      </c>
      <c r="F892">
        <v>11.1</v>
      </c>
      <c r="G892">
        <v>11.5</v>
      </c>
      <c r="H892">
        <v>11.65</v>
      </c>
      <c r="I892">
        <v>11.5</v>
      </c>
      <c r="J892" s="1">
        <v>11.65</v>
      </c>
      <c r="K892">
        <v>190124.2</v>
      </c>
      <c r="L892">
        <v>16327</v>
      </c>
      <c r="M892" t="s">
        <v>78</v>
      </c>
      <c r="N892" t="s">
        <v>17</v>
      </c>
      <c r="O892">
        <v>44</v>
      </c>
      <c r="P892">
        <v>45.5</v>
      </c>
      <c r="Q892">
        <v>9.6999999999999993</v>
      </c>
    </row>
    <row r="893" spans="2:17" x14ac:dyDescent="0.25">
      <c r="B893" t="s">
        <v>78</v>
      </c>
      <c r="C893" t="s">
        <v>79</v>
      </c>
      <c r="D893" t="s">
        <v>1642</v>
      </c>
      <c r="E893" t="s">
        <v>1643</v>
      </c>
      <c r="F893">
        <v>350.25</v>
      </c>
      <c r="G893">
        <v>353.9</v>
      </c>
      <c r="H893">
        <v>353.9</v>
      </c>
      <c r="I893">
        <v>350</v>
      </c>
      <c r="J893" s="1">
        <v>351.45</v>
      </c>
      <c r="K893">
        <v>16312140.15</v>
      </c>
      <c r="L893">
        <v>46581</v>
      </c>
      <c r="M893" t="s">
        <v>78</v>
      </c>
      <c r="N893" t="s">
        <v>17</v>
      </c>
      <c r="O893">
        <v>623</v>
      </c>
      <c r="P893">
        <v>472</v>
      </c>
      <c r="Q893">
        <v>321.35000000000002</v>
      </c>
    </row>
    <row r="894" spans="2:17" x14ac:dyDescent="0.25">
      <c r="B894" t="s">
        <v>78</v>
      </c>
      <c r="C894" t="s">
        <v>79</v>
      </c>
      <c r="D894" t="s">
        <v>1646</v>
      </c>
      <c r="E894" t="s">
        <v>1647</v>
      </c>
      <c r="F894">
        <v>4664.95</v>
      </c>
      <c r="G894">
        <v>4659.25</v>
      </c>
      <c r="H894">
        <v>4692.3999999999996</v>
      </c>
      <c r="I894">
        <v>4527.1499999999996</v>
      </c>
      <c r="J894" s="1">
        <v>4562.5</v>
      </c>
      <c r="K894">
        <v>9005692.1999999993</v>
      </c>
      <c r="L894">
        <v>1951</v>
      </c>
      <c r="M894" t="s">
        <v>78</v>
      </c>
      <c r="N894" t="s">
        <v>17</v>
      </c>
      <c r="O894">
        <v>775</v>
      </c>
      <c r="P894">
        <v>8199</v>
      </c>
      <c r="Q894">
        <v>4365</v>
      </c>
    </row>
    <row r="895" spans="2:17" x14ac:dyDescent="0.25">
      <c r="B895" t="s">
        <v>78</v>
      </c>
      <c r="C895" t="s">
        <v>79</v>
      </c>
      <c r="D895" t="s">
        <v>1648</v>
      </c>
      <c r="E895" t="s">
        <v>1649</v>
      </c>
      <c r="F895">
        <v>64.55</v>
      </c>
      <c r="G895">
        <v>64.849999999999994</v>
      </c>
      <c r="H895">
        <v>64.849999999999994</v>
      </c>
      <c r="I895">
        <v>63.8</v>
      </c>
      <c r="J895" s="1">
        <v>64.2</v>
      </c>
      <c r="K895">
        <v>11033942.199999999</v>
      </c>
      <c r="L895">
        <v>172026</v>
      </c>
      <c r="M895" t="s">
        <v>78</v>
      </c>
      <c r="N895" t="s">
        <v>17</v>
      </c>
      <c r="O895">
        <v>1451</v>
      </c>
      <c r="P895">
        <v>89.3</v>
      </c>
      <c r="Q895">
        <v>63.7</v>
      </c>
    </row>
    <row r="896" spans="2:17" x14ac:dyDescent="0.25">
      <c r="B896" t="s">
        <v>78</v>
      </c>
      <c r="C896" t="s">
        <v>79</v>
      </c>
      <c r="D896" t="s">
        <v>1654</v>
      </c>
      <c r="E896" t="s">
        <v>1655</v>
      </c>
      <c r="F896">
        <v>270.14999999999998</v>
      </c>
      <c r="G896">
        <v>271</v>
      </c>
      <c r="H896">
        <v>276.75</v>
      </c>
      <c r="I896">
        <v>265</v>
      </c>
      <c r="J896" s="1">
        <v>265.7</v>
      </c>
      <c r="K896">
        <v>3867441.55</v>
      </c>
      <c r="L896">
        <v>14418</v>
      </c>
      <c r="M896" t="s">
        <v>78</v>
      </c>
      <c r="N896" t="s">
        <v>17</v>
      </c>
      <c r="O896">
        <v>409</v>
      </c>
      <c r="P896">
        <v>588</v>
      </c>
      <c r="Q896">
        <v>265</v>
      </c>
    </row>
    <row r="897" spans="2:17" x14ac:dyDescent="0.25">
      <c r="B897" t="s">
        <v>78</v>
      </c>
      <c r="C897" t="s">
        <v>287</v>
      </c>
      <c r="D897" t="s">
        <v>1656</v>
      </c>
      <c r="E897" t="s">
        <v>6709</v>
      </c>
      <c r="F897">
        <v>48.95</v>
      </c>
      <c r="G897">
        <v>47.5</v>
      </c>
      <c r="H897">
        <v>49.9</v>
      </c>
      <c r="I897">
        <v>46.55</v>
      </c>
      <c r="J897" s="1">
        <v>46.55</v>
      </c>
      <c r="K897">
        <v>1442100</v>
      </c>
      <c r="L897">
        <v>30000</v>
      </c>
      <c r="M897" t="s">
        <v>78</v>
      </c>
      <c r="N897" t="s">
        <v>17</v>
      </c>
      <c r="O897">
        <v>10</v>
      </c>
      <c r="P897">
        <v>101.9</v>
      </c>
      <c r="Q897">
        <v>43.3</v>
      </c>
    </row>
    <row r="898" spans="2:17" x14ac:dyDescent="0.25">
      <c r="B898" t="s">
        <v>78</v>
      </c>
      <c r="C898" t="s">
        <v>79</v>
      </c>
      <c r="D898" t="s">
        <v>1658</v>
      </c>
      <c r="E898" t="s">
        <v>1659</v>
      </c>
      <c r="F898">
        <v>105.8</v>
      </c>
      <c r="G898">
        <v>105.9</v>
      </c>
      <c r="H898">
        <v>106.75</v>
      </c>
      <c r="I898">
        <v>101.5</v>
      </c>
      <c r="J898" s="1">
        <v>101.85</v>
      </c>
      <c r="K898">
        <v>5567883.8499999996</v>
      </c>
      <c r="L898">
        <v>53987</v>
      </c>
      <c r="M898" t="s">
        <v>78</v>
      </c>
      <c r="N898" t="s">
        <v>17</v>
      </c>
      <c r="O898">
        <v>1132</v>
      </c>
      <c r="P898">
        <v>231.7</v>
      </c>
      <c r="Q898">
        <v>101.5</v>
      </c>
    </row>
    <row r="899" spans="2:17" x14ac:dyDescent="0.25">
      <c r="B899" t="s">
        <v>78</v>
      </c>
      <c r="C899" t="s">
        <v>79</v>
      </c>
      <c r="D899" t="s">
        <v>1660</v>
      </c>
      <c r="E899" t="s">
        <v>1661</v>
      </c>
      <c r="F899">
        <v>533.95000000000005</v>
      </c>
      <c r="G899">
        <v>534.79999999999995</v>
      </c>
      <c r="H899">
        <v>536.25</v>
      </c>
      <c r="I899">
        <v>520.70000000000005</v>
      </c>
      <c r="J899" s="1">
        <v>522.9</v>
      </c>
      <c r="K899">
        <v>1120489637.25</v>
      </c>
      <c r="L899">
        <v>2124260</v>
      </c>
      <c r="M899" t="s">
        <v>78</v>
      </c>
      <c r="N899" t="s">
        <v>17</v>
      </c>
      <c r="O899">
        <v>40101</v>
      </c>
      <c r="P899">
        <v>587</v>
      </c>
      <c r="Q899">
        <v>387.6</v>
      </c>
    </row>
    <row r="900" spans="2:17" x14ac:dyDescent="0.25">
      <c r="B900" t="s">
        <v>78</v>
      </c>
      <c r="C900" t="s">
        <v>79</v>
      </c>
      <c r="D900" t="s">
        <v>1664</v>
      </c>
      <c r="E900" t="s">
        <v>1665</v>
      </c>
      <c r="F900">
        <v>155.85</v>
      </c>
      <c r="G900">
        <v>154.1</v>
      </c>
      <c r="H900">
        <v>156.94999999999999</v>
      </c>
      <c r="I900">
        <v>143</v>
      </c>
      <c r="J900" s="1">
        <v>145.30000000000001</v>
      </c>
      <c r="K900">
        <v>3872024.9</v>
      </c>
      <c r="L900">
        <v>26062</v>
      </c>
      <c r="M900" t="s">
        <v>78</v>
      </c>
      <c r="N900" t="s">
        <v>17</v>
      </c>
      <c r="O900">
        <v>760</v>
      </c>
      <c r="P900">
        <v>314.39999999999998</v>
      </c>
      <c r="Q900">
        <v>143</v>
      </c>
    </row>
    <row r="901" spans="2:17" x14ac:dyDescent="0.25">
      <c r="B901" t="s">
        <v>78</v>
      </c>
      <c r="C901" t="s">
        <v>79</v>
      </c>
      <c r="D901" t="s">
        <v>3261</v>
      </c>
      <c r="E901" t="s">
        <v>3262</v>
      </c>
      <c r="F901">
        <v>195.3</v>
      </c>
      <c r="G901">
        <v>195</v>
      </c>
      <c r="H901">
        <v>199.9</v>
      </c>
      <c r="I901">
        <v>195</v>
      </c>
      <c r="J901" s="1">
        <v>195</v>
      </c>
      <c r="K901">
        <v>179631.45</v>
      </c>
      <c r="L901">
        <v>921</v>
      </c>
      <c r="M901" t="s">
        <v>78</v>
      </c>
      <c r="N901" t="s">
        <v>17</v>
      </c>
      <c r="O901">
        <v>14</v>
      </c>
      <c r="P901">
        <v>388</v>
      </c>
      <c r="Q901">
        <v>184.75</v>
      </c>
    </row>
    <row r="902" spans="2:17" x14ac:dyDescent="0.25">
      <c r="B902" t="s">
        <v>78</v>
      </c>
      <c r="C902" t="s">
        <v>79</v>
      </c>
      <c r="D902" t="s">
        <v>1666</v>
      </c>
      <c r="E902" t="s">
        <v>1667</v>
      </c>
      <c r="F902">
        <v>503.6</v>
      </c>
      <c r="G902">
        <v>504</v>
      </c>
      <c r="H902">
        <v>511</v>
      </c>
      <c r="I902">
        <v>484.95</v>
      </c>
      <c r="J902" s="1">
        <v>490.95</v>
      </c>
      <c r="K902">
        <v>6628960</v>
      </c>
      <c r="L902">
        <v>13430</v>
      </c>
      <c r="M902" t="s">
        <v>78</v>
      </c>
      <c r="N902" t="s">
        <v>17</v>
      </c>
      <c r="O902">
        <v>697</v>
      </c>
      <c r="P902">
        <v>819</v>
      </c>
      <c r="Q902">
        <v>382.25</v>
      </c>
    </row>
    <row r="903" spans="2:17" x14ac:dyDescent="0.25">
      <c r="B903" t="s">
        <v>78</v>
      </c>
      <c r="C903" t="s">
        <v>79</v>
      </c>
      <c r="D903" t="s">
        <v>3263</v>
      </c>
      <c r="E903" t="s">
        <v>3264</v>
      </c>
      <c r="F903">
        <v>44.2</v>
      </c>
      <c r="G903">
        <v>44</v>
      </c>
      <c r="H903">
        <v>44.5</v>
      </c>
      <c r="I903">
        <v>41</v>
      </c>
      <c r="J903" s="1">
        <v>41.7</v>
      </c>
      <c r="K903">
        <v>1307151.3999999999</v>
      </c>
      <c r="L903">
        <v>30690</v>
      </c>
      <c r="M903" t="s">
        <v>78</v>
      </c>
      <c r="N903" t="s">
        <v>17</v>
      </c>
      <c r="O903">
        <v>388</v>
      </c>
      <c r="P903">
        <v>65.55</v>
      </c>
      <c r="Q903">
        <v>36.700000000000003</v>
      </c>
    </row>
    <row r="904" spans="2:17" x14ac:dyDescent="0.25">
      <c r="B904" t="s">
        <v>78</v>
      </c>
      <c r="C904" t="s">
        <v>79</v>
      </c>
      <c r="D904" t="s">
        <v>3265</v>
      </c>
      <c r="E904" t="s">
        <v>3266</v>
      </c>
      <c r="F904">
        <v>18.8</v>
      </c>
      <c r="G904">
        <v>19</v>
      </c>
      <c r="H904">
        <v>20</v>
      </c>
      <c r="I904">
        <v>17</v>
      </c>
      <c r="J904" s="1">
        <v>17.899999999999999</v>
      </c>
      <c r="K904">
        <v>98090.9</v>
      </c>
      <c r="L904">
        <v>5381</v>
      </c>
      <c r="M904" t="s">
        <v>78</v>
      </c>
      <c r="N904" t="s">
        <v>17</v>
      </c>
      <c r="O904">
        <v>74</v>
      </c>
      <c r="P904">
        <v>33.75</v>
      </c>
      <c r="Q904">
        <v>17</v>
      </c>
    </row>
    <row r="905" spans="2:17" x14ac:dyDescent="0.25">
      <c r="B905" t="s">
        <v>78</v>
      </c>
      <c r="C905" t="s">
        <v>79</v>
      </c>
      <c r="D905" t="s">
        <v>3267</v>
      </c>
      <c r="E905" t="s">
        <v>3268</v>
      </c>
      <c r="F905">
        <v>66.900000000000006</v>
      </c>
      <c r="G905">
        <v>66.849999999999994</v>
      </c>
      <c r="H905">
        <v>66.900000000000006</v>
      </c>
      <c r="I905">
        <v>65</v>
      </c>
      <c r="J905" s="1">
        <v>65.95</v>
      </c>
      <c r="K905">
        <v>588434.1</v>
      </c>
      <c r="L905">
        <v>8933</v>
      </c>
      <c r="M905" t="s">
        <v>78</v>
      </c>
      <c r="N905" t="s">
        <v>17</v>
      </c>
      <c r="O905">
        <v>217</v>
      </c>
      <c r="P905">
        <v>140.94999999999999</v>
      </c>
      <c r="Q905">
        <v>63</v>
      </c>
    </row>
    <row r="906" spans="2:17" x14ac:dyDescent="0.25">
      <c r="B906" t="s">
        <v>78</v>
      </c>
      <c r="C906" t="s">
        <v>79</v>
      </c>
      <c r="D906" t="s">
        <v>3269</v>
      </c>
      <c r="E906" t="s">
        <v>3270</v>
      </c>
      <c r="F906">
        <v>2.4</v>
      </c>
      <c r="G906">
        <v>2.2999999999999998</v>
      </c>
      <c r="H906">
        <v>2.4500000000000002</v>
      </c>
      <c r="I906">
        <v>2.2999999999999998</v>
      </c>
      <c r="J906" s="1">
        <v>2.35</v>
      </c>
      <c r="K906">
        <v>4690.8999999999996</v>
      </c>
      <c r="L906">
        <v>2001</v>
      </c>
      <c r="M906" t="s">
        <v>78</v>
      </c>
      <c r="N906" t="s">
        <v>17</v>
      </c>
      <c r="O906">
        <v>11</v>
      </c>
      <c r="P906">
        <v>7.15</v>
      </c>
      <c r="Q906">
        <v>2.2999999999999998</v>
      </c>
    </row>
    <row r="907" spans="2:17" x14ac:dyDescent="0.25">
      <c r="B907" t="s">
        <v>78</v>
      </c>
      <c r="C907" t="s">
        <v>79</v>
      </c>
      <c r="D907" t="s">
        <v>3271</v>
      </c>
      <c r="E907" t="s">
        <v>3272</v>
      </c>
      <c r="F907">
        <v>0.5</v>
      </c>
      <c r="G907">
        <v>0.55000000000000004</v>
      </c>
      <c r="H907">
        <v>0.55000000000000004</v>
      </c>
      <c r="I907">
        <v>0.5</v>
      </c>
      <c r="J907" s="1">
        <v>0.5</v>
      </c>
      <c r="K907">
        <v>193872.25</v>
      </c>
      <c r="L907">
        <v>372446</v>
      </c>
      <c r="M907" t="s">
        <v>78</v>
      </c>
      <c r="N907" t="s">
        <v>17</v>
      </c>
      <c r="O907">
        <v>109</v>
      </c>
      <c r="P907">
        <v>1.85</v>
      </c>
      <c r="Q907">
        <v>0.45</v>
      </c>
    </row>
    <row r="908" spans="2:17" x14ac:dyDescent="0.25">
      <c r="B908" t="s">
        <v>78</v>
      </c>
      <c r="C908" t="s">
        <v>79</v>
      </c>
      <c r="D908" t="s">
        <v>236</v>
      </c>
      <c r="E908" t="s">
        <v>237</v>
      </c>
      <c r="F908">
        <v>1576.25</v>
      </c>
      <c r="G908">
        <v>1569.9</v>
      </c>
      <c r="H908">
        <v>1569.9</v>
      </c>
      <c r="I908">
        <v>1495</v>
      </c>
      <c r="J908" s="1">
        <v>1516</v>
      </c>
      <c r="K908">
        <v>363159165.69999999</v>
      </c>
      <c r="L908">
        <v>239097</v>
      </c>
      <c r="M908" t="s">
        <v>78</v>
      </c>
      <c r="N908" t="s">
        <v>17</v>
      </c>
      <c r="O908">
        <v>17171</v>
      </c>
      <c r="P908">
        <v>1987</v>
      </c>
      <c r="Q908">
        <v>1436.7</v>
      </c>
    </row>
    <row r="909" spans="2:17" x14ac:dyDescent="0.25">
      <c r="B909" t="s">
        <v>78</v>
      </c>
      <c r="C909" t="s">
        <v>79</v>
      </c>
      <c r="D909" t="s">
        <v>1670</v>
      </c>
      <c r="E909" t="s">
        <v>1671</v>
      </c>
      <c r="F909">
        <v>1660.45</v>
      </c>
      <c r="G909">
        <v>1658</v>
      </c>
      <c r="H909">
        <v>1659.05</v>
      </c>
      <c r="I909">
        <v>1591.1</v>
      </c>
      <c r="J909" s="1">
        <v>1605.45</v>
      </c>
      <c r="K909">
        <v>213793045.34999999</v>
      </c>
      <c r="L909">
        <v>132636</v>
      </c>
      <c r="M909" t="s">
        <v>78</v>
      </c>
      <c r="N909" t="s">
        <v>17</v>
      </c>
      <c r="O909">
        <v>11111</v>
      </c>
      <c r="P909">
        <v>1855</v>
      </c>
      <c r="Q909">
        <v>1251.5</v>
      </c>
    </row>
    <row r="910" spans="2:17" x14ac:dyDescent="0.25">
      <c r="B910" t="s">
        <v>78</v>
      </c>
      <c r="C910" t="s">
        <v>79</v>
      </c>
      <c r="D910" t="s">
        <v>1672</v>
      </c>
      <c r="E910" t="s">
        <v>1673</v>
      </c>
      <c r="F910">
        <v>1140.8</v>
      </c>
      <c r="G910">
        <v>1140.8499999999999</v>
      </c>
      <c r="H910">
        <v>1151.9000000000001</v>
      </c>
      <c r="I910">
        <v>1082</v>
      </c>
      <c r="J910" s="1">
        <v>1090.45</v>
      </c>
      <c r="K910">
        <v>2783595.5</v>
      </c>
      <c r="L910">
        <v>2504</v>
      </c>
      <c r="M910" t="s">
        <v>78</v>
      </c>
      <c r="N910" t="s">
        <v>17</v>
      </c>
      <c r="O910">
        <v>523</v>
      </c>
      <c r="P910">
        <v>2277.85</v>
      </c>
      <c r="Q910">
        <v>1082</v>
      </c>
    </row>
    <row r="911" spans="2:17" x14ac:dyDescent="0.25">
      <c r="B911" t="s">
        <v>78</v>
      </c>
      <c r="C911" t="s">
        <v>79</v>
      </c>
      <c r="D911" t="s">
        <v>1674</v>
      </c>
      <c r="E911" t="s">
        <v>1675</v>
      </c>
      <c r="F911">
        <v>92.35</v>
      </c>
      <c r="G911">
        <v>92.35</v>
      </c>
      <c r="H911">
        <v>93.9</v>
      </c>
      <c r="I911">
        <v>81.7</v>
      </c>
      <c r="J911" s="1">
        <v>86.25</v>
      </c>
      <c r="K911">
        <v>3900078.1</v>
      </c>
      <c r="L911">
        <v>45250</v>
      </c>
      <c r="M911" t="s">
        <v>78</v>
      </c>
      <c r="N911" t="s">
        <v>17</v>
      </c>
      <c r="O911">
        <v>1464</v>
      </c>
      <c r="P911">
        <v>224.5</v>
      </c>
      <c r="Q911">
        <v>81.7</v>
      </c>
    </row>
    <row r="912" spans="2:17" x14ac:dyDescent="0.25">
      <c r="B912" t="s">
        <v>78</v>
      </c>
      <c r="C912" t="s">
        <v>79</v>
      </c>
      <c r="D912" t="s">
        <v>1676</v>
      </c>
      <c r="E912" t="s">
        <v>1677</v>
      </c>
      <c r="F912">
        <v>1118.8</v>
      </c>
      <c r="G912">
        <v>1120.75</v>
      </c>
      <c r="H912">
        <v>1133</v>
      </c>
      <c r="I912">
        <v>1083</v>
      </c>
      <c r="J912" s="1">
        <v>1107.3</v>
      </c>
      <c r="K912">
        <v>54577927.549999997</v>
      </c>
      <c r="L912">
        <v>49247</v>
      </c>
      <c r="M912" t="s">
        <v>78</v>
      </c>
      <c r="N912" t="s">
        <v>17</v>
      </c>
      <c r="O912">
        <v>2601</v>
      </c>
      <c r="P912">
        <v>2015.5</v>
      </c>
      <c r="Q912">
        <v>1055.0999999999999</v>
      </c>
    </row>
    <row r="913" spans="2:17" x14ac:dyDescent="0.25">
      <c r="B913" t="s">
        <v>78</v>
      </c>
      <c r="C913" t="s">
        <v>79</v>
      </c>
      <c r="D913" t="s">
        <v>3273</v>
      </c>
      <c r="E913" t="s">
        <v>5810</v>
      </c>
      <c r="F913">
        <v>20.65</v>
      </c>
      <c r="G913">
        <v>21.35</v>
      </c>
      <c r="H913">
        <v>21.4</v>
      </c>
      <c r="I913">
        <v>20.5</v>
      </c>
      <c r="J913" s="1">
        <v>20.5</v>
      </c>
      <c r="K913">
        <v>125547.05</v>
      </c>
      <c r="L913">
        <v>6111</v>
      </c>
      <c r="M913" t="s">
        <v>78</v>
      </c>
      <c r="N913" t="s">
        <v>17</v>
      </c>
      <c r="O913">
        <v>44</v>
      </c>
      <c r="P913">
        <v>52.25</v>
      </c>
      <c r="Q913">
        <v>20.2</v>
      </c>
    </row>
    <row r="914" spans="2:17" x14ac:dyDescent="0.25">
      <c r="B914" t="s">
        <v>78</v>
      </c>
      <c r="C914" t="s">
        <v>79</v>
      </c>
      <c r="D914" t="s">
        <v>1680</v>
      </c>
      <c r="E914" t="s">
        <v>1681</v>
      </c>
      <c r="F914">
        <v>4.5999999999999996</v>
      </c>
      <c r="G914">
        <v>4.7</v>
      </c>
      <c r="H914">
        <v>4.7</v>
      </c>
      <c r="I914">
        <v>4.4000000000000004</v>
      </c>
      <c r="J914" s="1">
        <v>4.6500000000000004</v>
      </c>
      <c r="K914">
        <v>61001.75</v>
      </c>
      <c r="L914">
        <v>13301</v>
      </c>
      <c r="M914" t="s">
        <v>78</v>
      </c>
      <c r="N914" t="s">
        <v>17</v>
      </c>
      <c r="O914">
        <v>44</v>
      </c>
      <c r="P914">
        <v>16.7</v>
      </c>
      <c r="Q914">
        <v>4.4000000000000004</v>
      </c>
    </row>
    <row r="915" spans="2:17" x14ac:dyDescent="0.25">
      <c r="B915" t="s">
        <v>78</v>
      </c>
      <c r="C915" t="s">
        <v>79</v>
      </c>
      <c r="D915" t="s">
        <v>1682</v>
      </c>
      <c r="E915" t="s">
        <v>1683</v>
      </c>
      <c r="F915">
        <v>377.4</v>
      </c>
      <c r="G915">
        <v>378</v>
      </c>
      <c r="H915">
        <v>380.05</v>
      </c>
      <c r="I915">
        <v>358.9</v>
      </c>
      <c r="J915" s="1">
        <v>361.4</v>
      </c>
      <c r="K915">
        <v>850097581.14999998</v>
      </c>
      <c r="L915">
        <v>2306752</v>
      </c>
      <c r="M915" t="s">
        <v>78</v>
      </c>
      <c r="N915" t="s">
        <v>17</v>
      </c>
      <c r="O915">
        <v>34862</v>
      </c>
      <c r="P915">
        <v>526.85</v>
      </c>
      <c r="Q915">
        <v>342.65</v>
      </c>
    </row>
    <row r="916" spans="2:17" x14ac:dyDescent="0.25">
      <c r="B916" t="s">
        <v>78</v>
      </c>
      <c r="C916" t="s">
        <v>79</v>
      </c>
      <c r="D916" t="s">
        <v>1684</v>
      </c>
      <c r="E916" t="s">
        <v>1685</v>
      </c>
      <c r="F916">
        <v>75.3</v>
      </c>
      <c r="G916">
        <v>75</v>
      </c>
      <c r="H916">
        <v>76</v>
      </c>
      <c r="I916">
        <v>70.55</v>
      </c>
      <c r="J916" s="1">
        <v>72</v>
      </c>
      <c r="K916">
        <v>334641.25</v>
      </c>
      <c r="L916">
        <v>4605</v>
      </c>
      <c r="M916" t="s">
        <v>78</v>
      </c>
      <c r="N916" t="s">
        <v>17</v>
      </c>
      <c r="O916">
        <v>250</v>
      </c>
      <c r="P916">
        <v>141.65</v>
      </c>
      <c r="Q916">
        <v>70.55</v>
      </c>
    </row>
    <row r="917" spans="2:17" x14ac:dyDescent="0.25">
      <c r="B917" t="s">
        <v>78</v>
      </c>
      <c r="C917" t="s">
        <v>287</v>
      </c>
      <c r="D917" t="s">
        <v>1686</v>
      </c>
      <c r="E917" t="s">
        <v>1687</v>
      </c>
      <c r="F917">
        <v>120</v>
      </c>
      <c r="G917">
        <v>122</v>
      </c>
      <c r="H917">
        <v>122.05</v>
      </c>
      <c r="I917">
        <v>121.95</v>
      </c>
      <c r="J917" s="1">
        <v>121.95</v>
      </c>
      <c r="K917">
        <v>183000</v>
      </c>
      <c r="L917">
        <v>1500</v>
      </c>
      <c r="M917" t="s">
        <v>78</v>
      </c>
      <c r="N917" t="s">
        <v>17</v>
      </c>
      <c r="O917">
        <v>3</v>
      </c>
      <c r="P917">
        <v>238</v>
      </c>
      <c r="Q917">
        <v>108</v>
      </c>
    </row>
    <row r="918" spans="2:17" x14ac:dyDescent="0.25">
      <c r="B918" t="s">
        <v>78</v>
      </c>
      <c r="C918" t="s">
        <v>79</v>
      </c>
      <c r="D918" t="s">
        <v>1688</v>
      </c>
      <c r="E918" t="s">
        <v>1689</v>
      </c>
      <c r="F918">
        <v>34.35</v>
      </c>
      <c r="G918">
        <v>34.200000000000003</v>
      </c>
      <c r="H918">
        <v>34.200000000000003</v>
      </c>
      <c r="I918">
        <v>27.5</v>
      </c>
      <c r="J918" s="1">
        <v>29.95</v>
      </c>
      <c r="K918">
        <v>313328.59999999998</v>
      </c>
      <c r="L918">
        <v>10277</v>
      </c>
      <c r="M918" t="s">
        <v>78</v>
      </c>
      <c r="N918" t="s">
        <v>17</v>
      </c>
      <c r="O918">
        <v>199</v>
      </c>
      <c r="P918">
        <v>58.6</v>
      </c>
      <c r="Q918">
        <v>27.5</v>
      </c>
    </row>
    <row r="919" spans="2:17" x14ac:dyDescent="0.25">
      <c r="B919" t="s">
        <v>78</v>
      </c>
      <c r="C919" t="s">
        <v>79</v>
      </c>
      <c r="D919" t="s">
        <v>1690</v>
      </c>
      <c r="E919" t="s">
        <v>1691</v>
      </c>
      <c r="F919">
        <v>5.4</v>
      </c>
      <c r="G919">
        <v>5.2</v>
      </c>
      <c r="H919">
        <v>5.35</v>
      </c>
      <c r="I919">
        <v>5.15</v>
      </c>
      <c r="J919" s="1">
        <v>5.25</v>
      </c>
      <c r="K919">
        <v>148870.45000000001</v>
      </c>
      <c r="L919">
        <v>28778</v>
      </c>
      <c r="M919" t="s">
        <v>78</v>
      </c>
      <c r="N919" t="s">
        <v>17</v>
      </c>
      <c r="O919">
        <v>52</v>
      </c>
      <c r="P919">
        <v>13</v>
      </c>
      <c r="Q919">
        <v>4.3</v>
      </c>
    </row>
    <row r="920" spans="2:17" x14ac:dyDescent="0.25">
      <c r="B920" t="s">
        <v>78</v>
      </c>
      <c r="C920" t="s">
        <v>79</v>
      </c>
      <c r="D920" t="s">
        <v>1692</v>
      </c>
      <c r="E920" t="s">
        <v>1693</v>
      </c>
      <c r="F920">
        <v>21.9</v>
      </c>
      <c r="G920">
        <v>22.3</v>
      </c>
      <c r="H920">
        <v>22.85</v>
      </c>
      <c r="I920">
        <v>21.3</v>
      </c>
      <c r="J920" s="1">
        <v>22</v>
      </c>
      <c r="K920">
        <v>4988868.05</v>
      </c>
      <c r="L920">
        <v>225336</v>
      </c>
      <c r="M920" t="s">
        <v>78</v>
      </c>
      <c r="N920" t="s">
        <v>17</v>
      </c>
      <c r="O920">
        <v>1350</v>
      </c>
      <c r="P920">
        <v>31.5</v>
      </c>
      <c r="Q920">
        <v>15.1</v>
      </c>
    </row>
    <row r="921" spans="2:17" x14ac:dyDescent="0.25">
      <c r="B921" t="s">
        <v>78</v>
      </c>
      <c r="C921" t="s">
        <v>79</v>
      </c>
      <c r="D921" t="s">
        <v>1694</v>
      </c>
      <c r="E921" t="s">
        <v>1695</v>
      </c>
      <c r="F921">
        <v>110.35</v>
      </c>
      <c r="G921">
        <v>112</v>
      </c>
      <c r="H921">
        <v>112</v>
      </c>
      <c r="I921">
        <v>104.85</v>
      </c>
      <c r="J921" s="1">
        <v>104.85</v>
      </c>
      <c r="K921">
        <v>4762034.4000000004</v>
      </c>
      <c r="L921">
        <v>45231</v>
      </c>
      <c r="M921" t="s">
        <v>78</v>
      </c>
      <c r="N921" t="s">
        <v>17</v>
      </c>
      <c r="O921">
        <v>309</v>
      </c>
      <c r="P921">
        <v>190.95</v>
      </c>
      <c r="Q921">
        <v>64</v>
      </c>
    </row>
    <row r="922" spans="2:17" x14ac:dyDescent="0.25">
      <c r="B922" t="s">
        <v>78</v>
      </c>
      <c r="C922" t="s">
        <v>79</v>
      </c>
      <c r="D922" t="s">
        <v>3275</v>
      </c>
      <c r="E922" t="s">
        <v>3276</v>
      </c>
      <c r="F922">
        <v>87.75</v>
      </c>
      <c r="G922">
        <v>88.45</v>
      </c>
      <c r="H922">
        <v>89.95</v>
      </c>
      <c r="I922">
        <v>82.75</v>
      </c>
      <c r="J922" s="1">
        <v>83.8</v>
      </c>
      <c r="K922">
        <v>15276779.199999999</v>
      </c>
      <c r="L922">
        <v>180082</v>
      </c>
      <c r="M922" t="s">
        <v>78</v>
      </c>
      <c r="N922" t="s">
        <v>17</v>
      </c>
      <c r="O922">
        <v>2095</v>
      </c>
      <c r="P922">
        <v>161.05000000000001</v>
      </c>
      <c r="Q922">
        <v>80.650000000000006</v>
      </c>
    </row>
    <row r="923" spans="2:17" x14ac:dyDescent="0.25">
      <c r="B923" t="s">
        <v>78</v>
      </c>
      <c r="C923" t="s">
        <v>79</v>
      </c>
      <c r="D923" t="s">
        <v>1696</v>
      </c>
      <c r="E923" t="s">
        <v>1697</v>
      </c>
      <c r="F923">
        <v>15.5</v>
      </c>
      <c r="G923">
        <v>15.55</v>
      </c>
      <c r="H923">
        <v>15.75</v>
      </c>
      <c r="I923">
        <v>14.85</v>
      </c>
      <c r="J923" s="1">
        <v>14.9</v>
      </c>
      <c r="K923">
        <v>6974052.7999999998</v>
      </c>
      <c r="L923">
        <v>462006</v>
      </c>
      <c r="M923" t="s">
        <v>78</v>
      </c>
      <c r="N923" t="s">
        <v>17</v>
      </c>
      <c r="O923">
        <v>1292</v>
      </c>
      <c r="P923">
        <v>19.899999999999999</v>
      </c>
      <c r="Q923">
        <v>10.7</v>
      </c>
    </row>
    <row r="924" spans="2:17" x14ac:dyDescent="0.25">
      <c r="B924" t="s">
        <v>78</v>
      </c>
      <c r="C924" t="s">
        <v>79</v>
      </c>
      <c r="D924" t="s">
        <v>1702</v>
      </c>
      <c r="E924" t="s">
        <v>1703</v>
      </c>
      <c r="F924">
        <v>260.95</v>
      </c>
      <c r="G924">
        <v>247</v>
      </c>
      <c r="H924">
        <v>263.75</v>
      </c>
      <c r="I924">
        <v>247</v>
      </c>
      <c r="J924" s="1">
        <v>251.35</v>
      </c>
      <c r="K924">
        <v>2902592.15</v>
      </c>
      <c r="L924">
        <v>11225</v>
      </c>
      <c r="M924" t="s">
        <v>78</v>
      </c>
      <c r="N924" t="s">
        <v>17</v>
      </c>
      <c r="O924">
        <v>83</v>
      </c>
      <c r="P924">
        <v>297.5</v>
      </c>
      <c r="Q924">
        <v>206.25</v>
      </c>
    </row>
    <row r="925" spans="2:17" x14ac:dyDescent="0.25">
      <c r="B925" t="s">
        <v>78</v>
      </c>
      <c r="C925" t="s">
        <v>79</v>
      </c>
      <c r="D925" t="s">
        <v>1706</v>
      </c>
      <c r="E925" t="s">
        <v>1707</v>
      </c>
      <c r="F925">
        <v>218.65</v>
      </c>
      <c r="G925">
        <v>219</v>
      </c>
      <c r="H925">
        <v>221.5</v>
      </c>
      <c r="I925">
        <v>196.6</v>
      </c>
      <c r="J925" s="1">
        <v>206.7</v>
      </c>
      <c r="K925">
        <v>36500552.5</v>
      </c>
      <c r="L925">
        <v>176246</v>
      </c>
      <c r="M925" t="s">
        <v>78</v>
      </c>
      <c r="N925" t="s">
        <v>17</v>
      </c>
      <c r="O925">
        <v>6488</v>
      </c>
      <c r="P925">
        <v>302</v>
      </c>
      <c r="Q925">
        <v>196.6</v>
      </c>
    </row>
    <row r="926" spans="2:17" x14ac:dyDescent="0.25">
      <c r="B926" t="s">
        <v>78</v>
      </c>
      <c r="C926" t="s">
        <v>79</v>
      </c>
      <c r="D926" t="s">
        <v>1708</v>
      </c>
      <c r="E926" t="s">
        <v>1709</v>
      </c>
      <c r="F926">
        <v>401.65</v>
      </c>
      <c r="G926">
        <v>400.1</v>
      </c>
      <c r="H926">
        <v>405</v>
      </c>
      <c r="I926">
        <v>391</v>
      </c>
      <c r="J926" s="1">
        <v>395.45</v>
      </c>
      <c r="K926">
        <v>5758631.5499999998</v>
      </c>
      <c r="L926">
        <v>14543</v>
      </c>
      <c r="M926" t="s">
        <v>78</v>
      </c>
      <c r="N926" t="s">
        <v>17</v>
      </c>
      <c r="O926">
        <v>723</v>
      </c>
      <c r="P926">
        <v>605.54999999999995</v>
      </c>
      <c r="Q926">
        <v>354.1</v>
      </c>
    </row>
    <row r="927" spans="2:17" x14ac:dyDescent="0.25">
      <c r="B927" t="s">
        <v>78</v>
      </c>
      <c r="C927" t="s">
        <v>79</v>
      </c>
      <c r="D927" t="s">
        <v>1710</v>
      </c>
      <c r="E927" t="s">
        <v>1711</v>
      </c>
      <c r="F927">
        <v>449.2</v>
      </c>
      <c r="G927">
        <v>447.5</v>
      </c>
      <c r="H927">
        <v>450</v>
      </c>
      <c r="I927">
        <v>440</v>
      </c>
      <c r="J927" s="1">
        <v>441.9</v>
      </c>
      <c r="K927">
        <v>9029075.4499999993</v>
      </c>
      <c r="L927">
        <v>20372</v>
      </c>
      <c r="M927" t="s">
        <v>78</v>
      </c>
      <c r="N927" t="s">
        <v>17</v>
      </c>
      <c r="O927">
        <v>1490</v>
      </c>
      <c r="P927">
        <v>622</v>
      </c>
      <c r="Q927">
        <v>418.15</v>
      </c>
    </row>
    <row r="928" spans="2:17" x14ac:dyDescent="0.25">
      <c r="B928" t="s">
        <v>78</v>
      </c>
      <c r="C928" t="s">
        <v>79</v>
      </c>
      <c r="D928" t="s">
        <v>1712</v>
      </c>
      <c r="E928" t="s">
        <v>1713</v>
      </c>
      <c r="F928">
        <v>4183.6000000000004</v>
      </c>
      <c r="G928">
        <v>4224.95</v>
      </c>
      <c r="H928">
        <v>4225</v>
      </c>
      <c r="I928">
        <v>4000</v>
      </c>
      <c r="J928" s="1">
        <v>4021.6</v>
      </c>
      <c r="K928">
        <v>13612613.800000001</v>
      </c>
      <c r="L928">
        <v>3356</v>
      </c>
      <c r="M928" t="s">
        <v>78</v>
      </c>
      <c r="N928" t="s">
        <v>17</v>
      </c>
      <c r="O928">
        <v>821</v>
      </c>
      <c r="P928">
        <v>4786</v>
      </c>
      <c r="Q928">
        <v>2010</v>
      </c>
    </row>
    <row r="929" spans="2:17" x14ac:dyDescent="0.25">
      <c r="B929" t="s">
        <v>78</v>
      </c>
      <c r="C929" t="s">
        <v>79</v>
      </c>
      <c r="D929" t="s">
        <v>1714</v>
      </c>
      <c r="E929" t="s">
        <v>1715</v>
      </c>
      <c r="F929">
        <v>434.65</v>
      </c>
      <c r="G929">
        <v>433.35</v>
      </c>
      <c r="H929">
        <v>433.35</v>
      </c>
      <c r="I929">
        <v>423.7</v>
      </c>
      <c r="J929" s="1">
        <v>427.6</v>
      </c>
      <c r="K929">
        <v>2098195.9500000002</v>
      </c>
      <c r="L929">
        <v>4906</v>
      </c>
      <c r="M929" t="s">
        <v>78</v>
      </c>
      <c r="N929" t="s">
        <v>17</v>
      </c>
      <c r="O929">
        <v>671</v>
      </c>
      <c r="P929">
        <v>531.5</v>
      </c>
      <c r="Q929">
        <v>406.1</v>
      </c>
    </row>
    <row r="930" spans="2:17" x14ac:dyDescent="0.25">
      <c r="B930" t="s">
        <v>78</v>
      </c>
      <c r="C930" t="s">
        <v>79</v>
      </c>
      <c r="D930" t="s">
        <v>1716</v>
      </c>
      <c r="E930" t="s">
        <v>1717</v>
      </c>
      <c r="F930">
        <v>509.6</v>
      </c>
      <c r="G930">
        <v>514</v>
      </c>
      <c r="H930">
        <v>540.1</v>
      </c>
      <c r="I930">
        <v>487</v>
      </c>
      <c r="J930" s="1">
        <v>498.25</v>
      </c>
      <c r="K930">
        <v>12865130.4</v>
      </c>
      <c r="L930">
        <v>25356</v>
      </c>
      <c r="M930" t="s">
        <v>78</v>
      </c>
      <c r="N930" t="s">
        <v>17</v>
      </c>
      <c r="O930">
        <v>1981</v>
      </c>
      <c r="P930">
        <v>699.8</v>
      </c>
      <c r="Q930">
        <v>340</v>
      </c>
    </row>
    <row r="931" spans="2:17" x14ac:dyDescent="0.25">
      <c r="B931" t="s">
        <v>78</v>
      </c>
      <c r="C931" t="s">
        <v>79</v>
      </c>
      <c r="D931" t="s">
        <v>1718</v>
      </c>
      <c r="E931" t="s">
        <v>1719</v>
      </c>
      <c r="F931">
        <v>530.79999999999995</v>
      </c>
      <c r="G931">
        <v>530.79999999999995</v>
      </c>
      <c r="H931">
        <v>540.04999999999995</v>
      </c>
      <c r="I931">
        <v>529.15</v>
      </c>
      <c r="J931" s="1">
        <v>530.85</v>
      </c>
      <c r="K931">
        <v>11671625.4</v>
      </c>
      <c r="L931">
        <v>21939</v>
      </c>
      <c r="M931" t="s">
        <v>78</v>
      </c>
      <c r="N931" t="s">
        <v>17</v>
      </c>
      <c r="O931">
        <v>1635</v>
      </c>
      <c r="P931">
        <v>587.1</v>
      </c>
      <c r="Q931">
        <v>401.1</v>
      </c>
    </row>
    <row r="932" spans="2:17" x14ac:dyDescent="0.25">
      <c r="B932" t="s">
        <v>78</v>
      </c>
      <c r="C932" t="s">
        <v>79</v>
      </c>
      <c r="D932" t="s">
        <v>1720</v>
      </c>
      <c r="E932" t="s">
        <v>1721</v>
      </c>
      <c r="F932">
        <v>19.7</v>
      </c>
      <c r="G932">
        <v>19.25</v>
      </c>
      <c r="H932">
        <v>20.100000000000001</v>
      </c>
      <c r="I932">
        <v>19.25</v>
      </c>
      <c r="J932" s="1">
        <v>20.100000000000001</v>
      </c>
      <c r="K932">
        <v>3804.45</v>
      </c>
      <c r="L932">
        <v>194</v>
      </c>
      <c r="M932" t="s">
        <v>78</v>
      </c>
      <c r="N932" t="s">
        <v>17</v>
      </c>
      <c r="O932">
        <v>7</v>
      </c>
      <c r="P932">
        <v>51.45</v>
      </c>
      <c r="Q932">
        <v>18.649999999999999</v>
      </c>
    </row>
    <row r="933" spans="2:17" x14ac:dyDescent="0.25">
      <c r="B933" t="s">
        <v>78</v>
      </c>
      <c r="C933" t="s">
        <v>79</v>
      </c>
      <c r="D933" t="s">
        <v>3279</v>
      </c>
      <c r="E933" t="s">
        <v>3280</v>
      </c>
      <c r="F933">
        <v>5.4</v>
      </c>
      <c r="G933">
        <v>5.75</v>
      </c>
      <c r="H933">
        <v>5.75</v>
      </c>
      <c r="I933">
        <v>5.15</v>
      </c>
      <c r="J933" s="1">
        <v>5.2</v>
      </c>
      <c r="K933">
        <v>32617.85</v>
      </c>
      <c r="L933">
        <v>6138</v>
      </c>
      <c r="M933" t="s">
        <v>78</v>
      </c>
      <c r="N933" t="s">
        <v>17</v>
      </c>
      <c r="O933">
        <v>52</v>
      </c>
      <c r="P933">
        <v>10.45</v>
      </c>
      <c r="Q933">
        <v>5.05</v>
      </c>
    </row>
    <row r="934" spans="2:17" x14ac:dyDescent="0.25">
      <c r="B934" t="s">
        <v>78</v>
      </c>
      <c r="C934" t="s">
        <v>79</v>
      </c>
      <c r="D934" t="s">
        <v>1722</v>
      </c>
      <c r="E934" t="s">
        <v>1723</v>
      </c>
      <c r="F934">
        <v>4</v>
      </c>
      <c r="G934">
        <v>3.9</v>
      </c>
      <c r="H934">
        <v>4.2</v>
      </c>
      <c r="I934">
        <v>3.9</v>
      </c>
      <c r="J934" s="1">
        <v>4.05</v>
      </c>
      <c r="K934">
        <v>17606.900000000001</v>
      </c>
      <c r="L934">
        <v>4434</v>
      </c>
      <c r="M934" t="s">
        <v>78</v>
      </c>
      <c r="N934" t="s">
        <v>17</v>
      </c>
      <c r="O934">
        <v>19</v>
      </c>
      <c r="P934">
        <v>13.8</v>
      </c>
      <c r="Q934">
        <v>3.75</v>
      </c>
    </row>
    <row r="935" spans="2:17" x14ac:dyDescent="0.25">
      <c r="B935" t="s">
        <v>78</v>
      </c>
      <c r="C935" t="s">
        <v>79</v>
      </c>
      <c r="D935" t="s">
        <v>1724</v>
      </c>
      <c r="E935" t="s">
        <v>1725</v>
      </c>
      <c r="F935">
        <v>34.85</v>
      </c>
      <c r="G935">
        <v>37.299999999999997</v>
      </c>
      <c r="H935">
        <v>37.299999999999997</v>
      </c>
      <c r="I935">
        <v>34.5</v>
      </c>
      <c r="J935" s="1">
        <v>34.700000000000003</v>
      </c>
      <c r="K935">
        <v>121262.1</v>
      </c>
      <c r="L935">
        <v>3489</v>
      </c>
      <c r="M935" t="s">
        <v>78</v>
      </c>
      <c r="N935" t="s">
        <v>17</v>
      </c>
      <c r="O935">
        <v>51</v>
      </c>
      <c r="P935">
        <v>51.9</v>
      </c>
      <c r="Q935">
        <v>33.4</v>
      </c>
    </row>
    <row r="936" spans="2:17" x14ac:dyDescent="0.25">
      <c r="B936" t="s">
        <v>78</v>
      </c>
      <c r="C936" t="s">
        <v>79</v>
      </c>
      <c r="D936" t="s">
        <v>1726</v>
      </c>
      <c r="E936" t="s">
        <v>1727</v>
      </c>
      <c r="F936">
        <v>16.399999999999999</v>
      </c>
      <c r="G936">
        <v>16.45</v>
      </c>
      <c r="H936">
        <v>16.45</v>
      </c>
      <c r="I936">
        <v>15.4</v>
      </c>
      <c r="J936" s="1">
        <v>15.9</v>
      </c>
      <c r="K936">
        <v>158094.54999999999</v>
      </c>
      <c r="L936">
        <v>9842</v>
      </c>
      <c r="M936" t="s">
        <v>78</v>
      </c>
      <c r="N936" t="s">
        <v>17</v>
      </c>
      <c r="O936">
        <v>103</v>
      </c>
      <c r="P936">
        <v>30.6</v>
      </c>
      <c r="Q936">
        <v>15.4</v>
      </c>
    </row>
    <row r="937" spans="2:17" x14ac:dyDescent="0.25">
      <c r="B937" t="s">
        <v>78</v>
      </c>
      <c r="C937" t="s">
        <v>79</v>
      </c>
      <c r="D937" t="s">
        <v>3281</v>
      </c>
      <c r="E937" t="s">
        <v>3282</v>
      </c>
      <c r="F937">
        <v>22.55</v>
      </c>
      <c r="G937">
        <v>23.1</v>
      </c>
      <c r="H937">
        <v>23.1</v>
      </c>
      <c r="I937">
        <v>22.55</v>
      </c>
      <c r="J937" s="1">
        <v>22.65</v>
      </c>
      <c r="K937">
        <v>1977518.75</v>
      </c>
      <c r="L937">
        <v>86953</v>
      </c>
      <c r="M937" t="s">
        <v>78</v>
      </c>
      <c r="N937" t="s">
        <v>17</v>
      </c>
      <c r="O937">
        <v>420</v>
      </c>
      <c r="P937">
        <v>52.25</v>
      </c>
      <c r="Q937">
        <v>21.1</v>
      </c>
    </row>
    <row r="938" spans="2:17" x14ac:dyDescent="0.25">
      <c r="B938" t="s">
        <v>78</v>
      </c>
      <c r="C938" t="s">
        <v>79</v>
      </c>
      <c r="D938" t="s">
        <v>1728</v>
      </c>
      <c r="E938" t="s">
        <v>1729</v>
      </c>
      <c r="F938">
        <v>129.25</v>
      </c>
      <c r="G938">
        <v>131</v>
      </c>
      <c r="H938">
        <v>131.55000000000001</v>
      </c>
      <c r="I938">
        <v>121.7</v>
      </c>
      <c r="J938" s="1">
        <v>123.15</v>
      </c>
      <c r="K938">
        <v>739213698.70000005</v>
      </c>
      <c r="L938">
        <v>5852209</v>
      </c>
      <c r="M938" t="s">
        <v>78</v>
      </c>
      <c r="N938" t="s">
        <v>17</v>
      </c>
      <c r="O938">
        <v>24674</v>
      </c>
      <c r="P938">
        <v>144.94999999999999</v>
      </c>
      <c r="Q938">
        <v>66.25</v>
      </c>
    </row>
    <row r="939" spans="2:17" x14ac:dyDescent="0.25">
      <c r="B939" t="s">
        <v>78</v>
      </c>
      <c r="C939" t="s">
        <v>79</v>
      </c>
      <c r="D939" t="s">
        <v>1730</v>
      </c>
      <c r="E939" t="s">
        <v>1731</v>
      </c>
      <c r="F939">
        <v>37.1</v>
      </c>
      <c r="G939">
        <v>38.950000000000003</v>
      </c>
      <c r="H939">
        <v>38.950000000000003</v>
      </c>
      <c r="I939">
        <v>37.200000000000003</v>
      </c>
      <c r="J939" s="1">
        <v>38.950000000000003</v>
      </c>
      <c r="K939">
        <v>1960260.6</v>
      </c>
      <c r="L939">
        <v>50499</v>
      </c>
      <c r="M939" t="s">
        <v>78</v>
      </c>
      <c r="N939" t="s">
        <v>17</v>
      </c>
      <c r="O939">
        <v>313</v>
      </c>
      <c r="P939">
        <v>113.95</v>
      </c>
      <c r="Q939">
        <v>28.05</v>
      </c>
    </row>
    <row r="940" spans="2:17" x14ac:dyDescent="0.25">
      <c r="B940" t="s">
        <v>78</v>
      </c>
      <c r="C940" t="s">
        <v>79</v>
      </c>
      <c r="D940" t="s">
        <v>1732</v>
      </c>
      <c r="E940" t="s">
        <v>1733</v>
      </c>
      <c r="F940">
        <v>33.35</v>
      </c>
      <c r="G940">
        <v>33</v>
      </c>
      <c r="H940">
        <v>33.549999999999997</v>
      </c>
      <c r="I940">
        <v>31</v>
      </c>
      <c r="J940" s="1">
        <v>31.1</v>
      </c>
      <c r="K940">
        <v>1143380.55</v>
      </c>
      <c r="L940">
        <v>36032</v>
      </c>
      <c r="M940" t="s">
        <v>78</v>
      </c>
      <c r="N940" t="s">
        <v>17</v>
      </c>
      <c r="O940">
        <v>409</v>
      </c>
      <c r="P940">
        <v>64.900000000000006</v>
      </c>
      <c r="Q940">
        <v>27.85</v>
      </c>
    </row>
    <row r="941" spans="2:17" x14ac:dyDescent="0.25">
      <c r="B941" t="s">
        <v>78</v>
      </c>
      <c r="C941" t="s">
        <v>79</v>
      </c>
      <c r="D941" t="s">
        <v>1734</v>
      </c>
      <c r="E941" t="s">
        <v>1735</v>
      </c>
      <c r="F941">
        <v>235.4</v>
      </c>
      <c r="G941">
        <v>237.1</v>
      </c>
      <c r="H941">
        <v>243</v>
      </c>
      <c r="I941">
        <v>228.35</v>
      </c>
      <c r="J941" s="1">
        <v>230.85</v>
      </c>
      <c r="K941">
        <v>1047534.35</v>
      </c>
      <c r="L941">
        <v>4458</v>
      </c>
      <c r="M941" t="s">
        <v>78</v>
      </c>
      <c r="N941" t="s">
        <v>17</v>
      </c>
      <c r="O941">
        <v>382</v>
      </c>
      <c r="P941">
        <v>286</v>
      </c>
      <c r="Q941">
        <v>188</v>
      </c>
    </row>
    <row r="942" spans="2:17" x14ac:dyDescent="0.25">
      <c r="B942" t="s">
        <v>78</v>
      </c>
      <c r="C942" t="s">
        <v>79</v>
      </c>
      <c r="D942" t="s">
        <v>1736</v>
      </c>
      <c r="E942" t="s">
        <v>1737</v>
      </c>
      <c r="F942">
        <v>47.75</v>
      </c>
      <c r="G942">
        <v>47.5</v>
      </c>
      <c r="H942">
        <v>48</v>
      </c>
      <c r="I942">
        <v>45.5</v>
      </c>
      <c r="J942" s="1">
        <v>45.9</v>
      </c>
      <c r="K942">
        <v>2789059.3</v>
      </c>
      <c r="L942">
        <v>60816</v>
      </c>
      <c r="M942" t="s">
        <v>78</v>
      </c>
      <c r="N942" t="s">
        <v>17</v>
      </c>
      <c r="O942">
        <v>526</v>
      </c>
      <c r="P942">
        <v>126.4</v>
      </c>
      <c r="Q942">
        <v>45.5</v>
      </c>
    </row>
    <row r="943" spans="2:17" x14ac:dyDescent="0.25">
      <c r="B943" t="s">
        <v>78</v>
      </c>
      <c r="C943" t="s">
        <v>79</v>
      </c>
      <c r="D943" t="s">
        <v>1738</v>
      </c>
      <c r="E943" t="s">
        <v>1739</v>
      </c>
      <c r="F943">
        <v>26.7</v>
      </c>
      <c r="G943">
        <v>26.7</v>
      </c>
      <c r="H943">
        <v>27</v>
      </c>
      <c r="I943">
        <v>25.4</v>
      </c>
      <c r="J943" s="1">
        <v>25.65</v>
      </c>
      <c r="K943">
        <v>2185269.6</v>
      </c>
      <c r="L943">
        <v>84252</v>
      </c>
      <c r="M943" t="s">
        <v>78</v>
      </c>
      <c r="N943" t="s">
        <v>17</v>
      </c>
      <c r="O943">
        <v>504</v>
      </c>
      <c r="P943">
        <v>50.75</v>
      </c>
      <c r="Q943">
        <v>25.4</v>
      </c>
    </row>
    <row r="944" spans="2:17" x14ac:dyDescent="0.25">
      <c r="B944" t="s">
        <v>78</v>
      </c>
      <c r="C944" t="s">
        <v>79</v>
      </c>
      <c r="D944" t="s">
        <v>6708</v>
      </c>
      <c r="E944" t="s">
        <v>6707</v>
      </c>
      <c r="F944">
        <v>31.6</v>
      </c>
      <c r="G944">
        <v>30.5</v>
      </c>
      <c r="H944">
        <v>32.4</v>
      </c>
      <c r="I944">
        <v>30.05</v>
      </c>
      <c r="J944" s="1">
        <v>30.05</v>
      </c>
      <c r="K944">
        <v>14346058.15</v>
      </c>
      <c r="L944">
        <v>471142</v>
      </c>
      <c r="M944" t="s">
        <v>78</v>
      </c>
      <c r="N944" t="s">
        <v>17</v>
      </c>
      <c r="O944">
        <v>2879</v>
      </c>
      <c r="P944">
        <v>160</v>
      </c>
      <c r="Q944">
        <v>25.3</v>
      </c>
    </row>
    <row r="945" spans="2:17" x14ac:dyDescent="0.25">
      <c r="B945" t="s">
        <v>78</v>
      </c>
      <c r="C945" t="s">
        <v>79</v>
      </c>
      <c r="D945" t="s">
        <v>3285</v>
      </c>
      <c r="E945" t="s">
        <v>3286</v>
      </c>
      <c r="F945">
        <v>16.45</v>
      </c>
      <c r="G945">
        <v>17.45</v>
      </c>
      <c r="H945">
        <v>17.45</v>
      </c>
      <c r="I945">
        <v>15.9</v>
      </c>
      <c r="J945" s="1">
        <v>16.399999999999999</v>
      </c>
      <c r="K945">
        <v>71403.5</v>
      </c>
      <c r="L945">
        <v>4308</v>
      </c>
      <c r="M945" t="s">
        <v>78</v>
      </c>
      <c r="N945" t="s">
        <v>17</v>
      </c>
      <c r="O945">
        <v>77</v>
      </c>
      <c r="P945">
        <v>49.9</v>
      </c>
      <c r="Q945">
        <v>15.9</v>
      </c>
    </row>
    <row r="946" spans="2:17" x14ac:dyDescent="0.25">
      <c r="B946" t="s">
        <v>78</v>
      </c>
      <c r="C946" t="s">
        <v>79</v>
      </c>
      <c r="D946" t="s">
        <v>1740</v>
      </c>
      <c r="E946" t="s">
        <v>1741</v>
      </c>
      <c r="F946">
        <v>18.5</v>
      </c>
      <c r="G946">
        <v>18</v>
      </c>
      <c r="H946">
        <v>18.2</v>
      </c>
      <c r="I946">
        <v>17.05</v>
      </c>
      <c r="J946" s="1">
        <v>17.399999999999999</v>
      </c>
      <c r="K946">
        <v>45988.2</v>
      </c>
      <c r="L946">
        <v>2603</v>
      </c>
      <c r="M946" t="s">
        <v>78</v>
      </c>
      <c r="N946" t="s">
        <v>17</v>
      </c>
      <c r="O946">
        <v>72</v>
      </c>
      <c r="P946">
        <v>35</v>
      </c>
      <c r="Q946">
        <v>17.05</v>
      </c>
    </row>
    <row r="947" spans="2:17" x14ac:dyDescent="0.25">
      <c r="B947" t="s">
        <v>78</v>
      </c>
      <c r="C947" t="s">
        <v>79</v>
      </c>
      <c r="D947" t="s">
        <v>1742</v>
      </c>
      <c r="E947" t="s">
        <v>1743</v>
      </c>
      <c r="F947">
        <v>84.95</v>
      </c>
      <c r="G947">
        <v>84</v>
      </c>
      <c r="H947">
        <v>84.15</v>
      </c>
      <c r="I947">
        <v>78</v>
      </c>
      <c r="J947" s="1">
        <v>80.2</v>
      </c>
      <c r="K947">
        <v>1061564.45</v>
      </c>
      <c r="L947">
        <v>13072</v>
      </c>
      <c r="M947" t="s">
        <v>78</v>
      </c>
      <c r="N947" t="s">
        <v>17</v>
      </c>
      <c r="O947">
        <v>211</v>
      </c>
      <c r="P947">
        <v>179</v>
      </c>
      <c r="Q947">
        <v>78</v>
      </c>
    </row>
    <row r="948" spans="2:17" x14ac:dyDescent="0.25">
      <c r="B948" t="s">
        <v>78</v>
      </c>
      <c r="C948" t="s">
        <v>287</v>
      </c>
      <c r="D948" t="s">
        <v>1744</v>
      </c>
      <c r="E948" t="s">
        <v>1745</v>
      </c>
      <c r="F948">
        <v>99</v>
      </c>
      <c r="G948">
        <v>100</v>
      </c>
      <c r="H948">
        <v>101</v>
      </c>
      <c r="I948">
        <v>99</v>
      </c>
      <c r="J948" s="1">
        <v>100.1</v>
      </c>
      <c r="K948">
        <v>1401700</v>
      </c>
      <c r="L948">
        <v>14000</v>
      </c>
      <c r="M948" t="s">
        <v>78</v>
      </c>
      <c r="N948" t="s">
        <v>17</v>
      </c>
      <c r="O948">
        <v>7</v>
      </c>
      <c r="P948">
        <v>112.7</v>
      </c>
      <c r="Q948">
        <v>66.5</v>
      </c>
    </row>
    <row r="949" spans="2:17" x14ac:dyDescent="0.25">
      <c r="B949" t="s">
        <v>78</v>
      </c>
      <c r="C949" t="s">
        <v>79</v>
      </c>
      <c r="D949" t="s">
        <v>1746</v>
      </c>
      <c r="E949" t="s">
        <v>1747</v>
      </c>
      <c r="F949">
        <v>17.75</v>
      </c>
      <c r="G949">
        <v>17.95</v>
      </c>
      <c r="H949">
        <v>17.95</v>
      </c>
      <c r="I949">
        <v>17</v>
      </c>
      <c r="J949" s="1">
        <v>17.25</v>
      </c>
      <c r="K949">
        <v>12617102.65</v>
      </c>
      <c r="L949">
        <v>732088</v>
      </c>
      <c r="M949" t="s">
        <v>78</v>
      </c>
      <c r="N949" t="s">
        <v>17</v>
      </c>
      <c r="O949">
        <v>1892</v>
      </c>
      <c r="P949">
        <v>40.6</v>
      </c>
      <c r="Q949">
        <v>17</v>
      </c>
    </row>
    <row r="950" spans="2:17" x14ac:dyDescent="0.25">
      <c r="B950" t="s">
        <v>78</v>
      </c>
      <c r="C950" t="s">
        <v>79</v>
      </c>
      <c r="D950" t="s">
        <v>1750</v>
      </c>
      <c r="E950" t="s">
        <v>1751</v>
      </c>
      <c r="F950">
        <v>596.29999999999995</v>
      </c>
      <c r="G950">
        <v>595</v>
      </c>
      <c r="H950">
        <v>600</v>
      </c>
      <c r="I950">
        <v>583.29999999999995</v>
      </c>
      <c r="J950" s="1">
        <v>587.85</v>
      </c>
      <c r="K950">
        <v>2331901.7999999998</v>
      </c>
      <c r="L950">
        <v>3956</v>
      </c>
      <c r="M950" t="s">
        <v>78</v>
      </c>
      <c r="N950" t="s">
        <v>17</v>
      </c>
      <c r="O950">
        <v>378</v>
      </c>
      <c r="P950">
        <v>634.9</v>
      </c>
      <c r="Q950">
        <v>367.95</v>
      </c>
    </row>
    <row r="951" spans="2:17" x14ac:dyDescent="0.25">
      <c r="B951" t="s">
        <v>78</v>
      </c>
      <c r="C951" t="s">
        <v>79</v>
      </c>
      <c r="D951" t="s">
        <v>1752</v>
      </c>
      <c r="E951" t="s">
        <v>1753</v>
      </c>
      <c r="F951">
        <v>455.2</v>
      </c>
      <c r="G951">
        <v>454</v>
      </c>
      <c r="H951">
        <v>457.55</v>
      </c>
      <c r="I951">
        <v>453.6</v>
      </c>
      <c r="J951" s="1">
        <v>455.45</v>
      </c>
      <c r="K951">
        <v>6274283.5999999996</v>
      </c>
      <c r="L951">
        <v>13777</v>
      </c>
      <c r="M951" t="s">
        <v>78</v>
      </c>
      <c r="N951" t="s">
        <v>17</v>
      </c>
      <c r="O951">
        <v>1542</v>
      </c>
      <c r="P951">
        <v>644.5</v>
      </c>
      <c r="Q951">
        <v>365</v>
      </c>
    </row>
    <row r="952" spans="2:17" x14ac:dyDescent="0.25">
      <c r="B952" t="s">
        <v>78</v>
      </c>
      <c r="C952" t="s">
        <v>79</v>
      </c>
      <c r="D952" t="s">
        <v>1754</v>
      </c>
      <c r="E952" t="s">
        <v>1755</v>
      </c>
      <c r="F952">
        <v>589.75</v>
      </c>
      <c r="G952">
        <v>607.9</v>
      </c>
      <c r="H952">
        <v>607.9</v>
      </c>
      <c r="I952">
        <v>524.95000000000005</v>
      </c>
      <c r="J952" s="1">
        <v>560.29999999999995</v>
      </c>
      <c r="K952">
        <v>2628225.9500000002</v>
      </c>
      <c r="L952">
        <v>4775</v>
      </c>
      <c r="M952" t="s">
        <v>78</v>
      </c>
      <c r="N952" t="s">
        <v>17</v>
      </c>
      <c r="O952">
        <v>534</v>
      </c>
      <c r="P952">
        <v>785.95</v>
      </c>
      <c r="Q952">
        <v>364</v>
      </c>
    </row>
    <row r="953" spans="2:17" x14ac:dyDescent="0.25">
      <c r="B953" t="s">
        <v>78</v>
      </c>
      <c r="C953" t="s">
        <v>79</v>
      </c>
      <c r="D953" t="s">
        <v>3289</v>
      </c>
      <c r="E953" t="s">
        <v>3290</v>
      </c>
      <c r="F953">
        <v>40.450000000000003</v>
      </c>
      <c r="G953">
        <v>40.4</v>
      </c>
      <c r="H953">
        <v>40.9</v>
      </c>
      <c r="I953">
        <v>38.549999999999997</v>
      </c>
      <c r="J953" s="1">
        <v>38.9</v>
      </c>
      <c r="K953">
        <v>5179204.8</v>
      </c>
      <c r="L953">
        <v>131430</v>
      </c>
      <c r="M953" t="s">
        <v>78</v>
      </c>
      <c r="N953" t="s">
        <v>17</v>
      </c>
      <c r="O953">
        <v>904</v>
      </c>
      <c r="P953">
        <v>73.5</v>
      </c>
      <c r="Q953">
        <v>31.35</v>
      </c>
    </row>
    <row r="954" spans="2:17" x14ac:dyDescent="0.25">
      <c r="B954" t="s">
        <v>78</v>
      </c>
      <c r="C954" t="s">
        <v>79</v>
      </c>
      <c r="D954" t="s">
        <v>6706</v>
      </c>
      <c r="E954" t="s">
        <v>1759</v>
      </c>
      <c r="F954">
        <v>63</v>
      </c>
      <c r="G954">
        <v>63.4</v>
      </c>
      <c r="H954">
        <v>63.75</v>
      </c>
      <c r="I954">
        <v>61.2</v>
      </c>
      <c r="J954" s="1">
        <v>62.15</v>
      </c>
      <c r="K954">
        <v>18408914.149999999</v>
      </c>
      <c r="L954">
        <v>292444</v>
      </c>
      <c r="M954" t="s">
        <v>78</v>
      </c>
      <c r="N954" t="s">
        <v>17</v>
      </c>
      <c r="O954">
        <v>1054</v>
      </c>
      <c r="P954">
        <v>95.3</v>
      </c>
      <c r="Q954">
        <v>59.55</v>
      </c>
    </row>
    <row r="955" spans="2:17" x14ac:dyDescent="0.25">
      <c r="B955" t="s">
        <v>78</v>
      </c>
      <c r="C955" t="s">
        <v>79</v>
      </c>
      <c r="D955" t="s">
        <v>1760</v>
      </c>
      <c r="E955" t="s">
        <v>1761</v>
      </c>
      <c r="F955">
        <v>39.200000000000003</v>
      </c>
      <c r="G955">
        <v>39</v>
      </c>
      <c r="H955">
        <v>39.75</v>
      </c>
      <c r="I955">
        <v>37.1</v>
      </c>
      <c r="J955" s="1">
        <v>37.549999999999997</v>
      </c>
      <c r="K955">
        <v>1612815.75</v>
      </c>
      <c r="L955">
        <v>42536</v>
      </c>
      <c r="M955" t="s">
        <v>78</v>
      </c>
      <c r="N955" t="s">
        <v>17</v>
      </c>
      <c r="O955">
        <v>500</v>
      </c>
      <c r="P955">
        <v>75.75</v>
      </c>
      <c r="Q955">
        <v>37.1</v>
      </c>
    </row>
    <row r="956" spans="2:17" x14ac:dyDescent="0.25">
      <c r="B956" t="s">
        <v>78</v>
      </c>
      <c r="C956" t="s">
        <v>79</v>
      </c>
      <c r="D956" t="s">
        <v>1762</v>
      </c>
      <c r="E956" t="s">
        <v>1763</v>
      </c>
      <c r="F956">
        <v>258.3</v>
      </c>
      <c r="G956">
        <v>260</v>
      </c>
      <c r="H956">
        <v>260</v>
      </c>
      <c r="I956">
        <v>234.2</v>
      </c>
      <c r="J956" s="1">
        <v>245.15</v>
      </c>
      <c r="K956">
        <v>11076535.1</v>
      </c>
      <c r="L956">
        <v>45524</v>
      </c>
      <c r="M956" t="s">
        <v>78</v>
      </c>
      <c r="N956" t="s">
        <v>17</v>
      </c>
      <c r="O956">
        <v>1967</v>
      </c>
      <c r="P956">
        <v>434.9</v>
      </c>
      <c r="Q956">
        <v>234.2</v>
      </c>
    </row>
    <row r="957" spans="2:17" x14ac:dyDescent="0.25">
      <c r="B957" t="s">
        <v>78</v>
      </c>
      <c r="C957" t="s">
        <v>79</v>
      </c>
      <c r="D957" t="s">
        <v>1764</v>
      </c>
      <c r="E957" t="s">
        <v>1765</v>
      </c>
      <c r="F957">
        <v>392.6</v>
      </c>
      <c r="G957">
        <v>393</v>
      </c>
      <c r="H957">
        <v>394.1</v>
      </c>
      <c r="I957">
        <v>372.1</v>
      </c>
      <c r="J957" s="1">
        <v>381</v>
      </c>
      <c r="K957">
        <v>378628.55</v>
      </c>
      <c r="L957">
        <v>991</v>
      </c>
      <c r="M957" t="s">
        <v>78</v>
      </c>
      <c r="N957" t="s">
        <v>17</v>
      </c>
      <c r="O957">
        <v>61</v>
      </c>
      <c r="P957">
        <v>484.85</v>
      </c>
      <c r="Q957">
        <v>245</v>
      </c>
    </row>
    <row r="958" spans="2:17" x14ac:dyDescent="0.25">
      <c r="B958" t="s">
        <v>78</v>
      </c>
      <c r="C958" t="s">
        <v>287</v>
      </c>
      <c r="D958" t="s">
        <v>1768</v>
      </c>
      <c r="E958" t="s">
        <v>6705</v>
      </c>
      <c r="F958">
        <v>55</v>
      </c>
      <c r="G958">
        <v>50.8</v>
      </c>
      <c r="H958">
        <v>51</v>
      </c>
      <c r="I958">
        <v>50.75</v>
      </c>
      <c r="J958" s="1">
        <v>51</v>
      </c>
      <c r="K958">
        <v>2137800</v>
      </c>
      <c r="L958">
        <v>42000</v>
      </c>
      <c r="M958" t="s">
        <v>78</v>
      </c>
      <c r="N958" t="s">
        <v>17</v>
      </c>
      <c r="O958">
        <v>4</v>
      </c>
      <c r="P958">
        <v>67.400000000000006</v>
      </c>
      <c r="Q958">
        <v>41</v>
      </c>
    </row>
    <row r="959" spans="2:17" x14ac:dyDescent="0.25">
      <c r="B959" t="s">
        <v>78</v>
      </c>
      <c r="C959" t="s">
        <v>79</v>
      </c>
      <c r="D959" t="s">
        <v>1770</v>
      </c>
      <c r="E959" t="s">
        <v>1771</v>
      </c>
      <c r="F959">
        <v>6.5</v>
      </c>
      <c r="G959">
        <v>6.6</v>
      </c>
      <c r="H959">
        <v>6.6</v>
      </c>
      <c r="I959">
        <v>6.25</v>
      </c>
      <c r="J959" s="1">
        <v>6.45</v>
      </c>
      <c r="K959">
        <v>131709.45000000001</v>
      </c>
      <c r="L959">
        <v>20549</v>
      </c>
      <c r="M959" t="s">
        <v>78</v>
      </c>
      <c r="N959" t="s">
        <v>17</v>
      </c>
      <c r="O959">
        <v>106</v>
      </c>
      <c r="P959">
        <v>22.6</v>
      </c>
      <c r="Q959">
        <v>5.65</v>
      </c>
    </row>
    <row r="960" spans="2:17" x14ac:dyDescent="0.25">
      <c r="B960" t="s">
        <v>78</v>
      </c>
      <c r="C960" t="s">
        <v>79</v>
      </c>
      <c r="D960" t="s">
        <v>3293</v>
      </c>
      <c r="E960" t="s">
        <v>3294</v>
      </c>
      <c r="F960">
        <v>17.149999999999999</v>
      </c>
      <c r="G960">
        <v>17.25</v>
      </c>
      <c r="H960">
        <v>17.899999999999999</v>
      </c>
      <c r="I960">
        <v>17</v>
      </c>
      <c r="J960" s="1">
        <v>17.05</v>
      </c>
      <c r="K960">
        <v>58872.85</v>
      </c>
      <c r="L960">
        <v>3419</v>
      </c>
      <c r="M960" t="s">
        <v>78</v>
      </c>
      <c r="N960" t="s">
        <v>17</v>
      </c>
      <c r="O960">
        <v>40</v>
      </c>
      <c r="P960">
        <v>35.85</v>
      </c>
      <c r="Q960">
        <v>16.2</v>
      </c>
    </row>
    <row r="961" spans="2:17" x14ac:dyDescent="0.25">
      <c r="B961" t="s">
        <v>78</v>
      </c>
      <c r="C961" t="s">
        <v>287</v>
      </c>
      <c r="D961" t="s">
        <v>1772</v>
      </c>
      <c r="E961" t="s">
        <v>1773</v>
      </c>
      <c r="F961">
        <v>245.25</v>
      </c>
      <c r="G961">
        <v>255</v>
      </c>
      <c r="H961">
        <v>256</v>
      </c>
      <c r="I961">
        <v>255</v>
      </c>
      <c r="J961" s="1">
        <v>256</v>
      </c>
      <c r="K961">
        <v>1840800</v>
      </c>
      <c r="L961">
        <v>7200</v>
      </c>
      <c r="M961" t="s">
        <v>78</v>
      </c>
      <c r="N961" t="s">
        <v>17</v>
      </c>
      <c r="O961">
        <v>2</v>
      </c>
      <c r="P961">
        <v>457.8</v>
      </c>
      <c r="Q961">
        <v>134</v>
      </c>
    </row>
    <row r="962" spans="2:17" x14ac:dyDescent="0.25">
      <c r="B962" t="s">
        <v>78</v>
      </c>
      <c r="C962" t="s">
        <v>79</v>
      </c>
      <c r="D962" t="s">
        <v>3295</v>
      </c>
      <c r="E962" t="s">
        <v>3296</v>
      </c>
      <c r="F962">
        <v>12.65</v>
      </c>
      <c r="G962">
        <v>12.85</v>
      </c>
      <c r="H962">
        <v>13.15</v>
      </c>
      <c r="I962">
        <v>12.05</v>
      </c>
      <c r="J962" s="1">
        <v>12.1</v>
      </c>
      <c r="K962">
        <v>4066525.05</v>
      </c>
      <c r="L962">
        <v>327356</v>
      </c>
      <c r="M962" t="s">
        <v>78</v>
      </c>
      <c r="N962" t="s">
        <v>17</v>
      </c>
      <c r="O962">
        <v>1208</v>
      </c>
      <c r="P962">
        <v>174.9</v>
      </c>
      <c r="Q962">
        <v>10.85</v>
      </c>
    </row>
    <row r="963" spans="2:17" x14ac:dyDescent="0.25">
      <c r="B963" t="s">
        <v>78</v>
      </c>
      <c r="C963" t="s">
        <v>79</v>
      </c>
      <c r="D963" t="s">
        <v>1774</v>
      </c>
      <c r="E963" t="s">
        <v>1775</v>
      </c>
      <c r="F963">
        <v>871.15</v>
      </c>
      <c r="G963">
        <v>869.05</v>
      </c>
      <c r="H963">
        <v>874.3</v>
      </c>
      <c r="I963">
        <v>849.35</v>
      </c>
      <c r="J963" s="1">
        <v>856.2</v>
      </c>
      <c r="K963">
        <v>498112732.94999999</v>
      </c>
      <c r="L963">
        <v>578220</v>
      </c>
      <c r="M963" t="s">
        <v>78</v>
      </c>
      <c r="N963" t="s">
        <v>17</v>
      </c>
      <c r="O963">
        <v>20174</v>
      </c>
      <c r="P963">
        <v>917.95</v>
      </c>
      <c r="Q963">
        <v>643.5</v>
      </c>
    </row>
    <row r="964" spans="2:17" x14ac:dyDescent="0.25">
      <c r="B964" t="s">
        <v>78</v>
      </c>
      <c r="C964" t="s">
        <v>287</v>
      </c>
      <c r="D964" t="s">
        <v>1776</v>
      </c>
      <c r="E964" t="s">
        <v>1777</v>
      </c>
      <c r="F964">
        <v>23</v>
      </c>
      <c r="G964">
        <v>23</v>
      </c>
      <c r="H964">
        <v>23</v>
      </c>
      <c r="I964">
        <v>23</v>
      </c>
      <c r="J964" s="1">
        <v>23</v>
      </c>
      <c r="K964">
        <v>46000</v>
      </c>
      <c r="L964">
        <v>2000</v>
      </c>
      <c r="M964" t="s">
        <v>78</v>
      </c>
      <c r="N964" t="s">
        <v>17</v>
      </c>
      <c r="O964">
        <v>1</v>
      </c>
      <c r="P964">
        <v>57.6</v>
      </c>
      <c r="Q964">
        <v>22.1</v>
      </c>
    </row>
    <row r="965" spans="2:17" x14ac:dyDescent="0.25">
      <c r="B965" t="s">
        <v>78</v>
      </c>
      <c r="C965" t="s">
        <v>79</v>
      </c>
      <c r="D965" t="s">
        <v>6704</v>
      </c>
      <c r="E965" t="s">
        <v>6703</v>
      </c>
      <c r="F965">
        <v>57.15</v>
      </c>
      <c r="G965">
        <v>57.8</v>
      </c>
      <c r="H965">
        <v>57.85</v>
      </c>
      <c r="I965">
        <v>53.5</v>
      </c>
      <c r="J965" s="1">
        <v>53.9</v>
      </c>
      <c r="K965">
        <v>37184690.100000001</v>
      </c>
      <c r="L965">
        <v>678197</v>
      </c>
      <c r="M965" t="s">
        <v>78</v>
      </c>
      <c r="N965" t="s">
        <v>17</v>
      </c>
      <c r="O965">
        <v>4895</v>
      </c>
      <c r="P965">
        <v>99</v>
      </c>
      <c r="Q965">
        <v>42.15</v>
      </c>
    </row>
    <row r="966" spans="2:17" x14ac:dyDescent="0.25">
      <c r="B966" t="s">
        <v>78</v>
      </c>
      <c r="C966" t="s">
        <v>79</v>
      </c>
      <c r="D966" t="s">
        <v>1778</v>
      </c>
      <c r="E966" t="s">
        <v>1779</v>
      </c>
      <c r="F966">
        <v>68.7</v>
      </c>
      <c r="G966">
        <v>69.3</v>
      </c>
      <c r="H966">
        <v>70.599999999999994</v>
      </c>
      <c r="I966">
        <v>68.099999999999994</v>
      </c>
      <c r="J966" s="1">
        <v>68.5</v>
      </c>
      <c r="K966">
        <v>397512</v>
      </c>
      <c r="L966">
        <v>5758</v>
      </c>
      <c r="M966" t="s">
        <v>78</v>
      </c>
      <c r="N966" t="s">
        <v>17</v>
      </c>
      <c r="O966">
        <v>121</v>
      </c>
      <c r="P966">
        <v>98.5</v>
      </c>
      <c r="Q966">
        <v>66.75</v>
      </c>
    </row>
    <row r="967" spans="2:17" x14ac:dyDescent="0.25">
      <c r="B967" t="s">
        <v>78</v>
      </c>
      <c r="C967" t="s">
        <v>79</v>
      </c>
      <c r="D967" t="s">
        <v>1780</v>
      </c>
      <c r="E967" t="s">
        <v>1781</v>
      </c>
      <c r="F967">
        <v>33.450000000000003</v>
      </c>
      <c r="G967">
        <v>33.450000000000003</v>
      </c>
      <c r="H967">
        <v>35.25</v>
      </c>
      <c r="I967">
        <v>31.5</v>
      </c>
      <c r="J967" s="1">
        <v>32.5</v>
      </c>
      <c r="K967">
        <v>21362657.149999999</v>
      </c>
      <c r="L967">
        <v>638098</v>
      </c>
      <c r="M967" t="s">
        <v>78</v>
      </c>
      <c r="N967" t="s">
        <v>17</v>
      </c>
      <c r="O967">
        <v>3716</v>
      </c>
      <c r="P967">
        <v>63.3</v>
      </c>
      <c r="Q967">
        <v>25.55</v>
      </c>
    </row>
    <row r="968" spans="2:17" x14ac:dyDescent="0.25">
      <c r="B968" t="s">
        <v>78</v>
      </c>
      <c r="C968" t="s">
        <v>79</v>
      </c>
      <c r="D968" t="s">
        <v>1782</v>
      </c>
      <c r="E968" t="s">
        <v>1783</v>
      </c>
      <c r="F968">
        <v>1026.75</v>
      </c>
      <c r="G968">
        <v>1027.05</v>
      </c>
      <c r="H968">
        <v>1039.8</v>
      </c>
      <c r="I968">
        <v>1010</v>
      </c>
      <c r="J968" s="1">
        <v>1031.3</v>
      </c>
      <c r="K968">
        <v>13961547.199999999</v>
      </c>
      <c r="L968">
        <v>13628</v>
      </c>
      <c r="M968" t="s">
        <v>78</v>
      </c>
      <c r="N968" t="s">
        <v>17</v>
      </c>
      <c r="O968">
        <v>2065</v>
      </c>
      <c r="P968">
        <v>1080</v>
      </c>
      <c r="Q968">
        <v>907</v>
      </c>
    </row>
    <row r="969" spans="2:17" x14ac:dyDescent="0.25">
      <c r="B969" t="s">
        <v>78</v>
      </c>
      <c r="C969" t="s">
        <v>79</v>
      </c>
      <c r="D969" t="s">
        <v>1784</v>
      </c>
      <c r="E969" t="s">
        <v>1785</v>
      </c>
      <c r="F969">
        <v>422.35</v>
      </c>
      <c r="G969">
        <v>424.45</v>
      </c>
      <c r="H969">
        <v>430</v>
      </c>
      <c r="I969">
        <v>405</v>
      </c>
      <c r="J969" s="1">
        <v>406.75</v>
      </c>
      <c r="K969">
        <v>107776977</v>
      </c>
      <c r="L969">
        <v>259005</v>
      </c>
      <c r="M969" t="s">
        <v>78</v>
      </c>
      <c r="N969" t="s">
        <v>17</v>
      </c>
      <c r="O969">
        <v>6674</v>
      </c>
      <c r="P969">
        <v>534</v>
      </c>
      <c r="Q969">
        <v>350</v>
      </c>
    </row>
    <row r="970" spans="2:17" x14ac:dyDescent="0.25">
      <c r="B970" t="s">
        <v>78</v>
      </c>
      <c r="C970" t="s">
        <v>79</v>
      </c>
      <c r="D970" t="s">
        <v>1788</v>
      </c>
      <c r="E970" t="s">
        <v>1789</v>
      </c>
      <c r="F970">
        <v>792.3</v>
      </c>
      <c r="G970">
        <v>795.9</v>
      </c>
      <c r="H970">
        <v>795.9</v>
      </c>
      <c r="I970">
        <v>768.8</v>
      </c>
      <c r="J970" s="1">
        <v>777.2</v>
      </c>
      <c r="K970">
        <v>417591195.44999999</v>
      </c>
      <c r="L970">
        <v>537544</v>
      </c>
      <c r="M970" t="s">
        <v>78</v>
      </c>
      <c r="N970" t="s">
        <v>17</v>
      </c>
      <c r="O970">
        <v>29130</v>
      </c>
      <c r="P970">
        <v>1067.25</v>
      </c>
      <c r="Q970">
        <v>756</v>
      </c>
    </row>
    <row r="971" spans="2:17" x14ac:dyDescent="0.25">
      <c r="B971" t="s">
        <v>78</v>
      </c>
      <c r="C971" t="s">
        <v>79</v>
      </c>
      <c r="D971" t="s">
        <v>1792</v>
      </c>
      <c r="E971" t="s">
        <v>1793</v>
      </c>
      <c r="F971">
        <v>227.3</v>
      </c>
      <c r="G971">
        <v>226</v>
      </c>
      <c r="H971">
        <v>230</v>
      </c>
      <c r="I971">
        <v>224.85</v>
      </c>
      <c r="J971" s="1">
        <v>226.35</v>
      </c>
      <c r="K971">
        <v>13024733.75</v>
      </c>
      <c r="L971">
        <v>57470</v>
      </c>
      <c r="M971" t="s">
        <v>78</v>
      </c>
      <c r="N971" t="s">
        <v>17</v>
      </c>
      <c r="O971">
        <v>1224</v>
      </c>
      <c r="P971">
        <v>301.45</v>
      </c>
      <c r="Q971">
        <v>185.5</v>
      </c>
    </row>
    <row r="972" spans="2:17" x14ac:dyDescent="0.25">
      <c r="B972" t="s">
        <v>78</v>
      </c>
      <c r="C972" t="s">
        <v>79</v>
      </c>
      <c r="D972" t="s">
        <v>1794</v>
      </c>
      <c r="E972" t="s">
        <v>1795</v>
      </c>
      <c r="F972">
        <v>118.25</v>
      </c>
      <c r="G972">
        <v>118</v>
      </c>
      <c r="H972">
        <v>120.35</v>
      </c>
      <c r="I972">
        <v>113.5</v>
      </c>
      <c r="J972" s="1">
        <v>114.5</v>
      </c>
      <c r="K972">
        <v>5309151.0999999996</v>
      </c>
      <c r="L972">
        <v>45959</v>
      </c>
      <c r="M972" t="s">
        <v>78</v>
      </c>
      <c r="N972" t="s">
        <v>17</v>
      </c>
      <c r="O972">
        <v>1080</v>
      </c>
      <c r="P972">
        <v>159.9</v>
      </c>
      <c r="Q972">
        <v>100.2</v>
      </c>
    </row>
    <row r="973" spans="2:17" x14ac:dyDescent="0.25">
      <c r="B973" t="s">
        <v>78</v>
      </c>
      <c r="C973" t="s">
        <v>79</v>
      </c>
      <c r="D973" t="s">
        <v>1796</v>
      </c>
      <c r="E973" t="s">
        <v>1797</v>
      </c>
      <c r="F973">
        <v>102.85</v>
      </c>
      <c r="G973">
        <v>102.85</v>
      </c>
      <c r="H973">
        <v>105</v>
      </c>
      <c r="I973">
        <v>97.3</v>
      </c>
      <c r="J973" s="1">
        <v>99.35</v>
      </c>
      <c r="K973">
        <v>7668838.3499999996</v>
      </c>
      <c r="L973">
        <v>77028</v>
      </c>
      <c r="M973" t="s">
        <v>78</v>
      </c>
      <c r="N973" t="s">
        <v>17</v>
      </c>
      <c r="O973">
        <v>1508</v>
      </c>
      <c r="P973">
        <v>169.85</v>
      </c>
      <c r="Q973">
        <v>97.3</v>
      </c>
    </row>
    <row r="974" spans="2:17" x14ac:dyDescent="0.25">
      <c r="B974" t="s">
        <v>78</v>
      </c>
      <c r="C974" t="s">
        <v>79</v>
      </c>
      <c r="D974" t="s">
        <v>1798</v>
      </c>
      <c r="E974" t="s">
        <v>1799</v>
      </c>
      <c r="F974">
        <v>297.89999999999998</v>
      </c>
      <c r="G974">
        <v>296.8</v>
      </c>
      <c r="H974">
        <v>304.8</v>
      </c>
      <c r="I974">
        <v>281.95</v>
      </c>
      <c r="J974" s="1">
        <v>287.39999999999998</v>
      </c>
      <c r="K974">
        <v>98039409.25</v>
      </c>
      <c r="L974">
        <v>339876</v>
      </c>
      <c r="M974" t="s">
        <v>78</v>
      </c>
      <c r="N974" t="s">
        <v>17</v>
      </c>
      <c r="O974">
        <v>13551</v>
      </c>
      <c r="P974">
        <v>449.9</v>
      </c>
      <c r="Q974">
        <v>260.7</v>
      </c>
    </row>
    <row r="975" spans="2:17" x14ac:dyDescent="0.25">
      <c r="B975" t="s">
        <v>78</v>
      </c>
      <c r="C975" t="s">
        <v>287</v>
      </c>
      <c r="D975" t="s">
        <v>6702</v>
      </c>
      <c r="E975" t="s">
        <v>6701</v>
      </c>
      <c r="F975">
        <v>18.75</v>
      </c>
      <c r="G975">
        <v>18.75</v>
      </c>
      <c r="H975">
        <v>18.75</v>
      </c>
      <c r="I975">
        <v>18.75</v>
      </c>
      <c r="J975" s="1">
        <v>18.75</v>
      </c>
      <c r="K975">
        <v>1875000</v>
      </c>
      <c r="L975">
        <v>100000</v>
      </c>
      <c r="M975" t="s">
        <v>78</v>
      </c>
      <c r="N975" t="s">
        <v>17</v>
      </c>
      <c r="O975">
        <v>13</v>
      </c>
      <c r="P975">
        <v>30</v>
      </c>
      <c r="Q975">
        <v>16.25</v>
      </c>
    </row>
    <row r="976" spans="2:17" x14ac:dyDescent="0.25">
      <c r="B976" t="s">
        <v>78</v>
      </c>
      <c r="C976" t="s">
        <v>79</v>
      </c>
      <c r="D976" t="s">
        <v>1802</v>
      </c>
      <c r="E976" t="s">
        <v>1803</v>
      </c>
      <c r="F976">
        <v>37.9</v>
      </c>
      <c r="G976">
        <v>38.75</v>
      </c>
      <c r="H976">
        <v>38.75</v>
      </c>
      <c r="I976">
        <v>36</v>
      </c>
      <c r="J976" s="1">
        <v>36.950000000000003</v>
      </c>
      <c r="K976">
        <v>190610.55</v>
      </c>
      <c r="L976">
        <v>5145</v>
      </c>
      <c r="M976" t="s">
        <v>78</v>
      </c>
      <c r="N976" t="s">
        <v>17</v>
      </c>
      <c r="O976">
        <v>93</v>
      </c>
      <c r="P976">
        <v>55</v>
      </c>
      <c r="Q976">
        <v>30.55</v>
      </c>
    </row>
    <row r="977" spans="2:17" x14ac:dyDescent="0.25">
      <c r="B977" t="s">
        <v>78</v>
      </c>
      <c r="C977" t="s">
        <v>79</v>
      </c>
      <c r="D977" t="s">
        <v>1804</v>
      </c>
      <c r="E977" t="s">
        <v>1805</v>
      </c>
      <c r="F977">
        <v>690.65</v>
      </c>
      <c r="G977">
        <v>705</v>
      </c>
      <c r="H977">
        <v>708</v>
      </c>
      <c r="I977">
        <v>661.35</v>
      </c>
      <c r="J977" s="1">
        <v>667.6</v>
      </c>
      <c r="K977">
        <v>2743204151</v>
      </c>
      <c r="L977">
        <v>3987027</v>
      </c>
      <c r="M977" t="s">
        <v>78</v>
      </c>
      <c r="N977" t="s">
        <v>17</v>
      </c>
      <c r="O977">
        <v>86641</v>
      </c>
      <c r="P977">
        <v>1183.8</v>
      </c>
      <c r="Q977">
        <v>661.35</v>
      </c>
    </row>
    <row r="978" spans="2:17" x14ac:dyDescent="0.25">
      <c r="B978" t="s">
        <v>78</v>
      </c>
      <c r="C978" t="s">
        <v>79</v>
      </c>
      <c r="D978" t="s">
        <v>1806</v>
      </c>
      <c r="E978" t="s">
        <v>1807</v>
      </c>
      <c r="F978">
        <v>14.45</v>
      </c>
      <c r="G978">
        <v>14.15</v>
      </c>
      <c r="H978">
        <v>14.65</v>
      </c>
      <c r="I978">
        <v>12.7</v>
      </c>
      <c r="J978" s="1">
        <v>13.8</v>
      </c>
      <c r="K978">
        <v>4909780.55</v>
      </c>
      <c r="L978">
        <v>363998</v>
      </c>
      <c r="M978" t="s">
        <v>78</v>
      </c>
      <c r="N978" t="s">
        <v>17</v>
      </c>
      <c r="O978">
        <v>1311</v>
      </c>
      <c r="P978">
        <v>35.75</v>
      </c>
      <c r="Q978">
        <v>12.7</v>
      </c>
    </row>
    <row r="979" spans="2:17" x14ac:dyDescent="0.25">
      <c r="B979" t="s">
        <v>78</v>
      </c>
      <c r="C979" t="s">
        <v>79</v>
      </c>
      <c r="D979" t="s">
        <v>1808</v>
      </c>
      <c r="E979" t="s">
        <v>1809</v>
      </c>
      <c r="F979">
        <v>62.95</v>
      </c>
      <c r="G979">
        <v>63.05</v>
      </c>
      <c r="H979">
        <v>64.3</v>
      </c>
      <c r="I979">
        <v>61.4</v>
      </c>
      <c r="J979" s="1">
        <v>62.2</v>
      </c>
      <c r="K979">
        <v>5737389.9500000002</v>
      </c>
      <c r="L979">
        <v>92473</v>
      </c>
      <c r="M979" t="s">
        <v>78</v>
      </c>
      <c r="N979" t="s">
        <v>17</v>
      </c>
      <c r="O979">
        <v>862</v>
      </c>
      <c r="P979">
        <v>109.95</v>
      </c>
      <c r="Q979">
        <v>49.55</v>
      </c>
    </row>
    <row r="980" spans="2:17" x14ac:dyDescent="0.25">
      <c r="B980" t="s">
        <v>78</v>
      </c>
      <c r="C980" t="s">
        <v>287</v>
      </c>
      <c r="D980" t="s">
        <v>1810</v>
      </c>
      <c r="E980" t="s">
        <v>1811</v>
      </c>
      <c r="F980">
        <v>38.299999999999997</v>
      </c>
      <c r="G980">
        <v>40.200000000000003</v>
      </c>
      <c r="H980">
        <v>40.200000000000003</v>
      </c>
      <c r="I980">
        <v>36.5</v>
      </c>
      <c r="J980" s="1">
        <v>36.5</v>
      </c>
      <c r="K980">
        <v>530400</v>
      </c>
      <c r="L980">
        <v>14000</v>
      </c>
      <c r="M980" t="s">
        <v>78</v>
      </c>
      <c r="N980" t="s">
        <v>17</v>
      </c>
      <c r="O980">
        <v>4</v>
      </c>
      <c r="P980">
        <v>60</v>
      </c>
      <c r="Q980">
        <v>36.5</v>
      </c>
    </row>
    <row r="981" spans="2:17" x14ac:dyDescent="0.25">
      <c r="B981" t="s">
        <v>78</v>
      </c>
      <c r="C981" t="s">
        <v>287</v>
      </c>
      <c r="D981" t="s">
        <v>5108</v>
      </c>
      <c r="E981" t="s">
        <v>5107</v>
      </c>
      <c r="F981">
        <v>71.8</v>
      </c>
      <c r="G981">
        <v>71.599999999999994</v>
      </c>
      <c r="H981">
        <v>71.8</v>
      </c>
      <c r="I981">
        <v>71.5</v>
      </c>
      <c r="J981" s="1">
        <v>71.8</v>
      </c>
      <c r="K981">
        <v>429800</v>
      </c>
      <c r="L981">
        <v>6000</v>
      </c>
      <c r="M981" t="s">
        <v>78</v>
      </c>
      <c r="N981" t="s">
        <v>17</v>
      </c>
      <c r="O981">
        <v>3</v>
      </c>
      <c r="P981">
        <v>84</v>
      </c>
      <c r="Q981">
        <v>63.5</v>
      </c>
    </row>
    <row r="982" spans="2:17" x14ac:dyDescent="0.25">
      <c r="B982" t="s">
        <v>78</v>
      </c>
      <c r="C982" t="s">
        <v>79</v>
      </c>
      <c r="D982" t="s">
        <v>1814</v>
      </c>
      <c r="E982" t="s">
        <v>1815</v>
      </c>
      <c r="F982">
        <v>418.7</v>
      </c>
      <c r="G982">
        <v>410</v>
      </c>
      <c r="H982">
        <v>474.3</v>
      </c>
      <c r="I982">
        <v>408.15</v>
      </c>
      <c r="J982" s="1">
        <v>418.7</v>
      </c>
      <c r="K982">
        <v>22725920.850000001</v>
      </c>
      <c r="L982">
        <v>54035</v>
      </c>
      <c r="M982" t="s">
        <v>78</v>
      </c>
      <c r="N982" t="s">
        <v>17</v>
      </c>
      <c r="O982">
        <v>1227</v>
      </c>
      <c r="P982">
        <v>1441.55</v>
      </c>
      <c r="Q982">
        <v>390</v>
      </c>
    </row>
    <row r="983" spans="2:17" x14ac:dyDescent="0.25">
      <c r="B983" t="s">
        <v>78</v>
      </c>
      <c r="C983" t="s">
        <v>79</v>
      </c>
      <c r="D983" t="s">
        <v>1818</v>
      </c>
      <c r="E983" t="s">
        <v>1819</v>
      </c>
      <c r="F983">
        <v>22.25</v>
      </c>
      <c r="G983">
        <v>22.3</v>
      </c>
      <c r="H983">
        <v>22.4</v>
      </c>
      <c r="I983">
        <v>21.55</v>
      </c>
      <c r="J983" s="1">
        <v>21.65</v>
      </c>
      <c r="K983">
        <v>6753150.8499999996</v>
      </c>
      <c r="L983">
        <v>309357</v>
      </c>
      <c r="M983" t="s">
        <v>78</v>
      </c>
      <c r="N983" t="s">
        <v>17</v>
      </c>
      <c r="O983">
        <v>1491</v>
      </c>
      <c r="P983">
        <v>35.75</v>
      </c>
      <c r="Q983">
        <v>21.55</v>
      </c>
    </row>
    <row r="984" spans="2:17" x14ac:dyDescent="0.25">
      <c r="B984" t="s">
        <v>78</v>
      </c>
      <c r="C984" t="s">
        <v>79</v>
      </c>
      <c r="D984" t="s">
        <v>3303</v>
      </c>
      <c r="E984" t="s">
        <v>3304</v>
      </c>
      <c r="F984">
        <v>5.7</v>
      </c>
      <c r="G984">
        <v>5.6</v>
      </c>
      <c r="H984">
        <v>6.1</v>
      </c>
      <c r="I984">
        <v>5.5</v>
      </c>
      <c r="J984" s="1">
        <v>5.9</v>
      </c>
      <c r="K984">
        <v>15400.3</v>
      </c>
      <c r="L984">
        <v>2758</v>
      </c>
      <c r="M984" t="s">
        <v>78</v>
      </c>
      <c r="N984" t="s">
        <v>17</v>
      </c>
      <c r="O984">
        <v>60</v>
      </c>
      <c r="P984">
        <v>11.8</v>
      </c>
      <c r="Q984">
        <v>5.5</v>
      </c>
    </row>
    <row r="985" spans="2:17" x14ac:dyDescent="0.25">
      <c r="B985" t="s">
        <v>78</v>
      </c>
      <c r="C985" t="s">
        <v>79</v>
      </c>
      <c r="D985" t="s">
        <v>1822</v>
      </c>
      <c r="E985" t="s">
        <v>1823</v>
      </c>
      <c r="F985">
        <v>17.899999999999999</v>
      </c>
      <c r="G985">
        <v>18.7</v>
      </c>
      <c r="H985">
        <v>18.7</v>
      </c>
      <c r="I985">
        <v>17.2</v>
      </c>
      <c r="J985" s="1">
        <v>17.3</v>
      </c>
      <c r="K985">
        <v>61122</v>
      </c>
      <c r="L985">
        <v>3410</v>
      </c>
      <c r="M985" t="s">
        <v>78</v>
      </c>
      <c r="N985" t="s">
        <v>17</v>
      </c>
      <c r="O985">
        <v>42</v>
      </c>
      <c r="P985">
        <v>115</v>
      </c>
      <c r="Q985">
        <v>16.25</v>
      </c>
    </row>
    <row r="986" spans="2:17" x14ac:dyDescent="0.25">
      <c r="B986" t="s">
        <v>78</v>
      </c>
      <c r="C986" t="s">
        <v>79</v>
      </c>
      <c r="D986" t="s">
        <v>1824</v>
      </c>
      <c r="E986" t="s">
        <v>1825</v>
      </c>
      <c r="F986">
        <v>148.19999999999999</v>
      </c>
      <c r="G986">
        <v>147.5</v>
      </c>
      <c r="H986">
        <v>147.94999999999999</v>
      </c>
      <c r="I986">
        <v>143</v>
      </c>
      <c r="J986" s="1">
        <v>143.1</v>
      </c>
      <c r="K986">
        <v>15483467.9</v>
      </c>
      <c r="L986">
        <v>107279</v>
      </c>
      <c r="M986" t="s">
        <v>78</v>
      </c>
      <c r="N986" t="s">
        <v>17</v>
      </c>
      <c r="O986">
        <v>3428</v>
      </c>
      <c r="P986">
        <v>199.8</v>
      </c>
      <c r="Q986">
        <v>140.05000000000001</v>
      </c>
    </row>
    <row r="987" spans="2:17" x14ac:dyDescent="0.25">
      <c r="B987" t="s">
        <v>78</v>
      </c>
      <c r="C987" t="s">
        <v>287</v>
      </c>
      <c r="D987" t="s">
        <v>1826</v>
      </c>
      <c r="E987" t="s">
        <v>1827</v>
      </c>
      <c r="F987">
        <v>19.600000000000001</v>
      </c>
      <c r="G987">
        <v>19.5</v>
      </c>
      <c r="H987">
        <v>19.55</v>
      </c>
      <c r="I987">
        <v>19.5</v>
      </c>
      <c r="J987" s="1">
        <v>19.55</v>
      </c>
      <c r="K987">
        <v>117150</v>
      </c>
      <c r="L987">
        <v>6000</v>
      </c>
      <c r="M987" t="s">
        <v>78</v>
      </c>
      <c r="N987" t="s">
        <v>17</v>
      </c>
      <c r="O987">
        <v>2</v>
      </c>
      <c r="P987">
        <v>33.799999999999997</v>
      </c>
      <c r="Q987">
        <v>16.25</v>
      </c>
    </row>
    <row r="988" spans="2:17" x14ac:dyDescent="0.25">
      <c r="B988" t="s">
        <v>78</v>
      </c>
      <c r="C988" t="s">
        <v>79</v>
      </c>
      <c r="D988" t="s">
        <v>1828</v>
      </c>
      <c r="E988" t="s">
        <v>1829</v>
      </c>
      <c r="F988">
        <v>52.3</v>
      </c>
      <c r="G988">
        <v>52.3</v>
      </c>
      <c r="H988">
        <v>53.3</v>
      </c>
      <c r="I988">
        <v>50.1</v>
      </c>
      <c r="J988" s="1">
        <v>51</v>
      </c>
      <c r="K988">
        <v>237591.6</v>
      </c>
      <c r="L988">
        <v>4594</v>
      </c>
      <c r="M988" t="s">
        <v>78</v>
      </c>
      <c r="N988" t="s">
        <v>17</v>
      </c>
      <c r="O988">
        <v>93</v>
      </c>
      <c r="P988">
        <v>63.45</v>
      </c>
      <c r="Q988">
        <v>38.1</v>
      </c>
    </row>
    <row r="989" spans="2:17" x14ac:dyDescent="0.25">
      <c r="B989" t="s">
        <v>78</v>
      </c>
      <c r="C989" t="s">
        <v>79</v>
      </c>
      <c r="D989" t="s">
        <v>1832</v>
      </c>
      <c r="E989" t="s">
        <v>1833</v>
      </c>
      <c r="F989">
        <v>261.85000000000002</v>
      </c>
      <c r="G989">
        <v>260.8</v>
      </c>
      <c r="H989">
        <v>264.45</v>
      </c>
      <c r="I989">
        <v>252</v>
      </c>
      <c r="J989" s="1">
        <v>254</v>
      </c>
      <c r="K989">
        <v>5631588.8499999996</v>
      </c>
      <c r="L989">
        <v>22001</v>
      </c>
      <c r="M989" t="s">
        <v>78</v>
      </c>
      <c r="N989" t="s">
        <v>17</v>
      </c>
      <c r="O989">
        <v>910</v>
      </c>
      <c r="P989">
        <v>331.9</v>
      </c>
      <c r="Q989">
        <v>202</v>
      </c>
    </row>
    <row r="990" spans="2:17" x14ac:dyDescent="0.25">
      <c r="B990" t="s">
        <v>78</v>
      </c>
      <c r="C990" t="s">
        <v>79</v>
      </c>
      <c r="D990" t="s">
        <v>6700</v>
      </c>
      <c r="E990" t="s">
        <v>6699</v>
      </c>
      <c r="F990">
        <v>2129.6</v>
      </c>
      <c r="G990">
        <v>2180</v>
      </c>
      <c r="H990">
        <v>2180</v>
      </c>
      <c r="I990">
        <v>2050</v>
      </c>
      <c r="J990" s="1">
        <v>2061.9</v>
      </c>
      <c r="K990">
        <v>5546931.5999999996</v>
      </c>
      <c r="L990">
        <v>2643</v>
      </c>
      <c r="M990" t="s">
        <v>78</v>
      </c>
      <c r="N990" t="s">
        <v>17</v>
      </c>
      <c r="O990">
        <v>748</v>
      </c>
      <c r="P990">
        <v>3371</v>
      </c>
      <c r="Q990">
        <v>2050</v>
      </c>
    </row>
    <row r="991" spans="2:17" x14ac:dyDescent="0.25">
      <c r="B991" t="s">
        <v>78</v>
      </c>
      <c r="C991" t="s">
        <v>79</v>
      </c>
      <c r="D991" t="s">
        <v>1834</v>
      </c>
      <c r="E991" t="s">
        <v>1835</v>
      </c>
      <c r="F991">
        <v>280.55</v>
      </c>
      <c r="G991">
        <v>280</v>
      </c>
      <c r="H991">
        <v>282</v>
      </c>
      <c r="I991">
        <v>260.10000000000002</v>
      </c>
      <c r="J991" s="1">
        <v>262.39999999999998</v>
      </c>
      <c r="K991">
        <v>6327667.0499999998</v>
      </c>
      <c r="L991">
        <v>23762</v>
      </c>
      <c r="M991" t="s">
        <v>78</v>
      </c>
      <c r="N991" t="s">
        <v>17</v>
      </c>
      <c r="O991">
        <v>970</v>
      </c>
      <c r="P991">
        <v>453.65</v>
      </c>
      <c r="Q991">
        <v>260.10000000000002</v>
      </c>
    </row>
    <row r="992" spans="2:17" x14ac:dyDescent="0.25">
      <c r="B992" t="s">
        <v>78</v>
      </c>
      <c r="C992" t="s">
        <v>79</v>
      </c>
      <c r="D992" t="s">
        <v>1836</v>
      </c>
      <c r="E992" t="s">
        <v>1837</v>
      </c>
      <c r="F992">
        <v>10.65</v>
      </c>
      <c r="G992">
        <v>11.1</v>
      </c>
      <c r="H992">
        <v>12.75</v>
      </c>
      <c r="I992">
        <v>10.5</v>
      </c>
      <c r="J992" s="1">
        <v>12.3</v>
      </c>
      <c r="K992">
        <v>460143.85</v>
      </c>
      <c r="L992">
        <v>37526</v>
      </c>
      <c r="M992" t="s">
        <v>78</v>
      </c>
      <c r="N992" t="s">
        <v>17</v>
      </c>
      <c r="O992">
        <v>170</v>
      </c>
      <c r="P992">
        <v>31.75</v>
      </c>
      <c r="Q992">
        <v>10.5</v>
      </c>
    </row>
    <row r="993" spans="2:17" x14ac:dyDescent="0.25">
      <c r="B993" t="s">
        <v>78</v>
      </c>
      <c r="C993" t="s">
        <v>79</v>
      </c>
      <c r="D993" t="s">
        <v>1838</v>
      </c>
      <c r="E993" t="s">
        <v>1839</v>
      </c>
      <c r="F993">
        <v>16.899999999999999</v>
      </c>
      <c r="G993">
        <v>17</v>
      </c>
      <c r="H993">
        <v>17.2</v>
      </c>
      <c r="I993">
        <v>16.55</v>
      </c>
      <c r="J993" s="1">
        <v>16.649999999999999</v>
      </c>
      <c r="K993">
        <v>5297369.8</v>
      </c>
      <c r="L993">
        <v>315293</v>
      </c>
      <c r="M993" t="s">
        <v>78</v>
      </c>
      <c r="N993" t="s">
        <v>17</v>
      </c>
      <c r="O993">
        <v>1243</v>
      </c>
      <c r="P993">
        <v>37.1</v>
      </c>
      <c r="Q993">
        <v>14.55</v>
      </c>
    </row>
    <row r="994" spans="2:17" x14ac:dyDescent="0.25">
      <c r="B994" t="s">
        <v>78</v>
      </c>
      <c r="C994" t="s">
        <v>79</v>
      </c>
      <c r="D994" t="s">
        <v>1840</v>
      </c>
      <c r="E994" t="s">
        <v>1841</v>
      </c>
      <c r="F994">
        <v>624.75</v>
      </c>
      <c r="G994">
        <v>628.75</v>
      </c>
      <c r="H994">
        <v>632.85</v>
      </c>
      <c r="I994">
        <v>601.29999999999995</v>
      </c>
      <c r="J994" s="1">
        <v>605.5</v>
      </c>
      <c r="K994">
        <v>16270608.15</v>
      </c>
      <c r="L994">
        <v>26642</v>
      </c>
      <c r="M994" t="s">
        <v>78</v>
      </c>
      <c r="N994" t="s">
        <v>17</v>
      </c>
      <c r="O994">
        <v>1286</v>
      </c>
      <c r="P994">
        <v>949</v>
      </c>
      <c r="Q994">
        <v>545.1</v>
      </c>
    </row>
    <row r="995" spans="2:17" x14ac:dyDescent="0.25">
      <c r="B995" t="s">
        <v>78</v>
      </c>
      <c r="C995" t="s">
        <v>79</v>
      </c>
      <c r="D995" t="s">
        <v>1844</v>
      </c>
      <c r="E995" t="s">
        <v>1845</v>
      </c>
      <c r="F995">
        <v>933.95</v>
      </c>
      <c r="G995">
        <v>930.3</v>
      </c>
      <c r="H995">
        <v>939</v>
      </c>
      <c r="I995">
        <v>925.05</v>
      </c>
      <c r="J995" s="1">
        <v>931.9</v>
      </c>
      <c r="K995">
        <v>192358118.84999999</v>
      </c>
      <c r="L995">
        <v>206510</v>
      </c>
      <c r="M995" t="s">
        <v>78</v>
      </c>
      <c r="N995" t="s">
        <v>17</v>
      </c>
      <c r="O995">
        <v>5167</v>
      </c>
      <c r="P995">
        <v>1278.8</v>
      </c>
      <c r="Q995">
        <v>858</v>
      </c>
    </row>
    <row r="996" spans="2:17" x14ac:dyDescent="0.25">
      <c r="B996" t="s">
        <v>78</v>
      </c>
      <c r="C996" t="s">
        <v>79</v>
      </c>
      <c r="D996" t="s">
        <v>1846</v>
      </c>
      <c r="E996" t="s">
        <v>1847</v>
      </c>
      <c r="F996">
        <v>553.5</v>
      </c>
      <c r="G996">
        <v>551</v>
      </c>
      <c r="H996">
        <v>551</v>
      </c>
      <c r="I996">
        <v>513.20000000000005</v>
      </c>
      <c r="J996" s="1">
        <v>516.95000000000005</v>
      </c>
      <c r="K996">
        <v>2022869.1</v>
      </c>
      <c r="L996">
        <v>3862</v>
      </c>
      <c r="M996" t="s">
        <v>78</v>
      </c>
      <c r="N996" t="s">
        <v>17</v>
      </c>
      <c r="O996">
        <v>591</v>
      </c>
      <c r="P996">
        <v>626.65</v>
      </c>
      <c r="Q996">
        <v>427</v>
      </c>
    </row>
    <row r="997" spans="2:17" x14ac:dyDescent="0.25">
      <c r="B997" t="s">
        <v>78</v>
      </c>
      <c r="C997" t="s">
        <v>287</v>
      </c>
      <c r="D997" t="s">
        <v>1848</v>
      </c>
      <c r="E997" t="s">
        <v>1849</v>
      </c>
      <c r="F997">
        <v>32.549999999999997</v>
      </c>
      <c r="G997">
        <v>31.25</v>
      </c>
      <c r="H997">
        <v>34</v>
      </c>
      <c r="I997">
        <v>30.95</v>
      </c>
      <c r="J997" s="1">
        <v>33.799999999999997</v>
      </c>
      <c r="K997">
        <v>1633500</v>
      </c>
      <c r="L997">
        <v>52000</v>
      </c>
      <c r="M997" t="s">
        <v>78</v>
      </c>
      <c r="N997" t="s">
        <v>17</v>
      </c>
      <c r="O997">
        <v>12</v>
      </c>
      <c r="P997">
        <v>70</v>
      </c>
      <c r="Q997">
        <v>30.95</v>
      </c>
    </row>
    <row r="998" spans="2:17" x14ac:dyDescent="0.25">
      <c r="B998" t="s">
        <v>78</v>
      </c>
      <c r="C998" t="s">
        <v>79</v>
      </c>
      <c r="D998" t="s">
        <v>1854</v>
      </c>
      <c r="E998" t="s">
        <v>1854</v>
      </c>
      <c r="F998">
        <v>58</v>
      </c>
      <c r="G998">
        <v>58.8</v>
      </c>
      <c r="H998">
        <v>58.8</v>
      </c>
      <c r="I998">
        <v>57.2</v>
      </c>
      <c r="J998" s="1">
        <v>57.95</v>
      </c>
      <c r="K998">
        <v>15857064.050000001</v>
      </c>
      <c r="L998">
        <v>274126</v>
      </c>
      <c r="M998" t="s">
        <v>78</v>
      </c>
      <c r="N998" t="s">
        <v>17</v>
      </c>
      <c r="O998">
        <v>2732</v>
      </c>
      <c r="P998">
        <v>87.25</v>
      </c>
      <c r="Q998">
        <v>57.2</v>
      </c>
    </row>
    <row r="999" spans="2:17" x14ac:dyDescent="0.25">
      <c r="B999" t="s">
        <v>78</v>
      </c>
      <c r="C999" t="s">
        <v>79</v>
      </c>
      <c r="D999" t="s">
        <v>3305</v>
      </c>
      <c r="E999" t="s">
        <v>3306</v>
      </c>
      <c r="F999">
        <v>6.3</v>
      </c>
      <c r="G999">
        <v>6.25</v>
      </c>
      <c r="H999">
        <v>6.6</v>
      </c>
      <c r="I999">
        <v>6.1</v>
      </c>
      <c r="J999" s="1">
        <v>6.4</v>
      </c>
      <c r="K999">
        <v>82444.05</v>
      </c>
      <c r="L999">
        <v>12856</v>
      </c>
      <c r="M999" t="s">
        <v>78</v>
      </c>
      <c r="N999" t="s">
        <v>17</v>
      </c>
      <c r="O999">
        <v>59</v>
      </c>
      <c r="P999">
        <v>16.5</v>
      </c>
      <c r="Q999">
        <v>6.05</v>
      </c>
    </row>
    <row r="1000" spans="2:17" x14ac:dyDescent="0.25">
      <c r="B1000" t="s">
        <v>78</v>
      </c>
      <c r="C1000" t="s">
        <v>79</v>
      </c>
      <c r="D1000" t="s">
        <v>1855</v>
      </c>
      <c r="E1000" t="s">
        <v>1856</v>
      </c>
      <c r="F1000">
        <v>93</v>
      </c>
      <c r="G1000">
        <v>93.1</v>
      </c>
      <c r="H1000">
        <v>93.8</v>
      </c>
      <c r="I1000">
        <v>91.5</v>
      </c>
      <c r="J1000" s="1">
        <v>91.9</v>
      </c>
      <c r="K1000">
        <v>446294.15</v>
      </c>
      <c r="L1000">
        <v>4813</v>
      </c>
      <c r="M1000" t="s">
        <v>78</v>
      </c>
      <c r="N1000" t="s">
        <v>17</v>
      </c>
      <c r="O1000">
        <v>169</v>
      </c>
      <c r="P1000">
        <v>120.5</v>
      </c>
      <c r="Q1000">
        <v>83.2</v>
      </c>
    </row>
    <row r="1001" spans="2:17" x14ac:dyDescent="0.25">
      <c r="B1001" t="s">
        <v>78</v>
      </c>
      <c r="C1001" t="s">
        <v>79</v>
      </c>
      <c r="D1001" t="s">
        <v>3307</v>
      </c>
      <c r="E1001" t="s">
        <v>3308</v>
      </c>
      <c r="F1001">
        <v>32.5</v>
      </c>
      <c r="G1001">
        <v>31.85</v>
      </c>
      <c r="H1001">
        <v>32.5</v>
      </c>
      <c r="I1001">
        <v>30.8</v>
      </c>
      <c r="J1001" s="1">
        <v>30.95</v>
      </c>
      <c r="K1001">
        <v>825186.45</v>
      </c>
      <c r="L1001">
        <v>26368</v>
      </c>
      <c r="M1001" t="s">
        <v>78</v>
      </c>
      <c r="N1001" t="s">
        <v>17</v>
      </c>
      <c r="O1001">
        <v>292</v>
      </c>
      <c r="P1001">
        <v>94.25</v>
      </c>
      <c r="Q1001">
        <v>30.8</v>
      </c>
    </row>
    <row r="1002" spans="2:17" x14ac:dyDescent="0.25">
      <c r="B1002" t="s">
        <v>78</v>
      </c>
      <c r="C1002" t="s">
        <v>79</v>
      </c>
      <c r="D1002" t="s">
        <v>1859</v>
      </c>
      <c r="E1002" t="s">
        <v>1860</v>
      </c>
      <c r="F1002">
        <v>7.25</v>
      </c>
      <c r="G1002">
        <v>7.35</v>
      </c>
      <c r="H1002">
        <v>7.4</v>
      </c>
      <c r="I1002">
        <v>7</v>
      </c>
      <c r="J1002" s="1">
        <v>7.05</v>
      </c>
      <c r="K1002">
        <v>6945830.7000000002</v>
      </c>
      <c r="L1002">
        <v>974219</v>
      </c>
      <c r="M1002" t="s">
        <v>78</v>
      </c>
      <c r="N1002" t="s">
        <v>17</v>
      </c>
      <c r="O1002">
        <v>1358</v>
      </c>
      <c r="P1002">
        <v>19.399999999999999</v>
      </c>
      <c r="Q1002">
        <v>7</v>
      </c>
    </row>
    <row r="1003" spans="2:17" x14ac:dyDescent="0.25">
      <c r="B1003" t="s">
        <v>78</v>
      </c>
      <c r="C1003" t="s">
        <v>79</v>
      </c>
      <c r="D1003" t="s">
        <v>3309</v>
      </c>
      <c r="E1003" t="s">
        <v>3310</v>
      </c>
      <c r="F1003">
        <v>15.95</v>
      </c>
      <c r="G1003">
        <v>16</v>
      </c>
      <c r="H1003">
        <v>16.899999999999999</v>
      </c>
      <c r="I1003">
        <v>15.2</v>
      </c>
      <c r="J1003" s="1">
        <v>15.35</v>
      </c>
      <c r="K1003">
        <v>190877.75</v>
      </c>
      <c r="L1003">
        <v>12176</v>
      </c>
      <c r="M1003" t="s">
        <v>78</v>
      </c>
      <c r="N1003" t="s">
        <v>17</v>
      </c>
      <c r="O1003">
        <v>129</v>
      </c>
      <c r="P1003">
        <v>33</v>
      </c>
      <c r="Q1003">
        <v>13.8</v>
      </c>
    </row>
    <row r="1004" spans="2:17" x14ac:dyDescent="0.25">
      <c r="B1004" t="s">
        <v>78</v>
      </c>
      <c r="C1004" t="s">
        <v>79</v>
      </c>
      <c r="D1004" t="s">
        <v>3311</v>
      </c>
      <c r="E1004" t="s">
        <v>3312</v>
      </c>
      <c r="F1004">
        <v>35.15</v>
      </c>
      <c r="G1004">
        <v>36.5</v>
      </c>
      <c r="H1004">
        <v>36.5</v>
      </c>
      <c r="I1004">
        <v>34</v>
      </c>
      <c r="J1004" s="1">
        <v>35.4</v>
      </c>
      <c r="K1004">
        <v>805814.7</v>
      </c>
      <c r="L1004">
        <v>23008</v>
      </c>
      <c r="M1004" t="s">
        <v>78</v>
      </c>
      <c r="N1004" t="s">
        <v>17</v>
      </c>
      <c r="O1004">
        <v>215</v>
      </c>
      <c r="P1004">
        <v>73.5</v>
      </c>
      <c r="Q1004">
        <v>31.75</v>
      </c>
    </row>
    <row r="1005" spans="2:17" x14ac:dyDescent="0.25">
      <c r="B1005" t="s">
        <v>78</v>
      </c>
      <c r="C1005" t="s">
        <v>79</v>
      </c>
      <c r="D1005" t="s">
        <v>1861</v>
      </c>
      <c r="E1005" t="s">
        <v>1862</v>
      </c>
      <c r="F1005">
        <v>35.15</v>
      </c>
      <c r="G1005">
        <v>34.549999999999997</v>
      </c>
      <c r="H1005">
        <v>36.950000000000003</v>
      </c>
      <c r="I1005">
        <v>33</v>
      </c>
      <c r="J1005" s="1">
        <v>33.299999999999997</v>
      </c>
      <c r="K1005">
        <v>817541.1</v>
      </c>
      <c r="L1005">
        <v>24153</v>
      </c>
      <c r="M1005" t="s">
        <v>78</v>
      </c>
      <c r="N1005" t="s">
        <v>17</v>
      </c>
      <c r="O1005">
        <v>384</v>
      </c>
      <c r="P1005">
        <v>60.25</v>
      </c>
      <c r="Q1005">
        <v>31.85</v>
      </c>
    </row>
    <row r="1006" spans="2:17" x14ac:dyDescent="0.25">
      <c r="B1006" t="s">
        <v>78</v>
      </c>
      <c r="C1006" t="s">
        <v>79</v>
      </c>
      <c r="D1006" t="s">
        <v>1863</v>
      </c>
      <c r="E1006" t="s">
        <v>1864</v>
      </c>
      <c r="F1006">
        <v>36.25</v>
      </c>
      <c r="G1006">
        <v>36.15</v>
      </c>
      <c r="H1006">
        <v>36.75</v>
      </c>
      <c r="I1006">
        <v>34.35</v>
      </c>
      <c r="J1006" s="1">
        <v>34.65</v>
      </c>
      <c r="K1006">
        <v>2122474.0499999998</v>
      </c>
      <c r="L1006">
        <v>60190</v>
      </c>
      <c r="M1006" t="s">
        <v>78</v>
      </c>
      <c r="N1006" t="s">
        <v>17</v>
      </c>
      <c r="O1006">
        <v>633</v>
      </c>
      <c r="P1006">
        <v>76.45</v>
      </c>
      <c r="Q1006">
        <v>34.35</v>
      </c>
    </row>
    <row r="1007" spans="2:17" x14ac:dyDescent="0.25">
      <c r="B1007" t="s">
        <v>78</v>
      </c>
      <c r="C1007" t="s">
        <v>79</v>
      </c>
      <c r="D1007" t="s">
        <v>1865</v>
      </c>
      <c r="E1007" t="s">
        <v>1866</v>
      </c>
      <c r="F1007">
        <v>135.75</v>
      </c>
      <c r="G1007">
        <v>135.05000000000001</v>
      </c>
      <c r="H1007">
        <v>136.44999999999999</v>
      </c>
      <c r="I1007">
        <v>129</v>
      </c>
      <c r="J1007" s="1">
        <v>131.9</v>
      </c>
      <c r="K1007">
        <v>1566516.05</v>
      </c>
      <c r="L1007">
        <v>11889</v>
      </c>
      <c r="M1007" t="s">
        <v>78</v>
      </c>
      <c r="N1007" t="s">
        <v>17</v>
      </c>
      <c r="O1007">
        <v>433</v>
      </c>
      <c r="P1007">
        <v>239.8</v>
      </c>
      <c r="Q1007">
        <v>129</v>
      </c>
    </row>
    <row r="1008" spans="2:17" x14ac:dyDescent="0.25">
      <c r="B1008" t="s">
        <v>78</v>
      </c>
      <c r="C1008" t="s">
        <v>79</v>
      </c>
      <c r="D1008" t="s">
        <v>1867</v>
      </c>
      <c r="E1008" t="s">
        <v>1868</v>
      </c>
      <c r="F1008">
        <v>16.649999999999999</v>
      </c>
      <c r="G1008">
        <v>16.25</v>
      </c>
      <c r="H1008">
        <v>16.45</v>
      </c>
      <c r="I1008">
        <v>15.6</v>
      </c>
      <c r="J1008" s="1">
        <v>16.350000000000001</v>
      </c>
      <c r="K1008">
        <v>460366</v>
      </c>
      <c r="L1008">
        <v>28627</v>
      </c>
      <c r="M1008" t="s">
        <v>78</v>
      </c>
      <c r="N1008" t="s">
        <v>17</v>
      </c>
      <c r="O1008">
        <v>321</v>
      </c>
      <c r="P1008">
        <v>41.4</v>
      </c>
      <c r="Q1008">
        <v>15.6</v>
      </c>
    </row>
    <row r="1009" spans="2:17" x14ac:dyDescent="0.25">
      <c r="B1009" t="s">
        <v>78</v>
      </c>
      <c r="C1009" t="s">
        <v>79</v>
      </c>
      <c r="D1009" t="s">
        <v>1869</v>
      </c>
      <c r="E1009" t="s">
        <v>1870</v>
      </c>
      <c r="F1009">
        <v>569.04999999999995</v>
      </c>
      <c r="G1009">
        <v>572.95000000000005</v>
      </c>
      <c r="H1009">
        <v>585</v>
      </c>
      <c r="I1009">
        <v>560</v>
      </c>
      <c r="J1009" s="1">
        <v>560.9</v>
      </c>
      <c r="K1009">
        <v>5239885.75</v>
      </c>
      <c r="L1009">
        <v>9289</v>
      </c>
      <c r="M1009" t="s">
        <v>78</v>
      </c>
      <c r="N1009" t="s">
        <v>17</v>
      </c>
      <c r="O1009">
        <v>701</v>
      </c>
      <c r="P1009">
        <v>1300</v>
      </c>
      <c r="Q1009">
        <v>560</v>
      </c>
    </row>
    <row r="1010" spans="2:17" x14ac:dyDescent="0.25">
      <c r="B1010" t="s">
        <v>78</v>
      </c>
      <c r="C1010" t="s">
        <v>79</v>
      </c>
      <c r="D1010" t="s">
        <v>246</v>
      </c>
      <c r="E1010" t="s">
        <v>247</v>
      </c>
      <c r="F1010">
        <v>625.95000000000005</v>
      </c>
      <c r="G1010">
        <v>629.04999999999995</v>
      </c>
      <c r="H1010">
        <v>635</v>
      </c>
      <c r="I1010">
        <v>593</v>
      </c>
      <c r="J1010" s="1">
        <v>606.1</v>
      </c>
      <c r="K1010">
        <v>496394700.10000002</v>
      </c>
      <c r="L1010">
        <v>812407</v>
      </c>
      <c r="M1010" t="s">
        <v>78</v>
      </c>
      <c r="N1010" t="s">
        <v>17</v>
      </c>
      <c r="O1010">
        <v>15774</v>
      </c>
      <c r="P1010">
        <v>656.4</v>
      </c>
      <c r="Q1010">
        <v>356</v>
      </c>
    </row>
    <row r="1011" spans="2:17" x14ac:dyDescent="0.25">
      <c r="B1011" t="s">
        <v>78</v>
      </c>
      <c r="C1011" t="s">
        <v>79</v>
      </c>
      <c r="D1011" t="s">
        <v>6698</v>
      </c>
      <c r="E1011" t="s">
        <v>6697</v>
      </c>
      <c r="F1011">
        <v>0.15</v>
      </c>
      <c r="G1011">
        <v>0.2</v>
      </c>
      <c r="H1011">
        <v>0.2</v>
      </c>
      <c r="I1011">
        <v>0.15</v>
      </c>
      <c r="J1011" s="1">
        <v>0.2</v>
      </c>
      <c r="K1011">
        <v>8796.5</v>
      </c>
      <c r="L1011">
        <v>48196</v>
      </c>
      <c r="M1011" t="s">
        <v>78</v>
      </c>
      <c r="N1011" t="s">
        <v>17</v>
      </c>
      <c r="O1011">
        <v>36</v>
      </c>
      <c r="P1011">
        <v>0.3</v>
      </c>
      <c r="Q1011">
        <v>0.15</v>
      </c>
    </row>
    <row r="1012" spans="2:17" x14ac:dyDescent="0.25">
      <c r="B1012" t="s">
        <v>78</v>
      </c>
      <c r="C1012" t="s">
        <v>79</v>
      </c>
      <c r="D1012" t="s">
        <v>1871</v>
      </c>
      <c r="E1012" t="s">
        <v>1872</v>
      </c>
      <c r="F1012">
        <v>28.7</v>
      </c>
      <c r="G1012">
        <v>28.35</v>
      </c>
      <c r="H1012">
        <v>29.45</v>
      </c>
      <c r="I1012">
        <v>28.25</v>
      </c>
      <c r="J1012" s="1">
        <v>28.55</v>
      </c>
      <c r="K1012">
        <v>953744.7</v>
      </c>
      <c r="L1012">
        <v>33133</v>
      </c>
      <c r="M1012" t="s">
        <v>78</v>
      </c>
      <c r="N1012" t="s">
        <v>17</v>
      </c>
      <c r="O1012">
        <v>126</v>
      </c>
      <c r="P1012">
        <v>43.8</v>
      </c>
      <c r="Q1012">
        <v>22.4</v>
      </c>
    </row>
    <row r="1013" spans="2:17" x14ac:dyDescent="0.25">
      <c r="B1013" t="s">
        <v>78</v>
      </c>
      <c r="C1013" t="s">
        <v>79</v>
      </c>
      <c r="D1013" t="s">
        <v>3313</v>
      </c>
      <c r="E1013" t="s">
        <v>3314</v>
      </c>
      <c r="F1013">
        <v>4.9000000000000004</v>
      </c>
      <c r="G1013">
        <v>4.9000000000000004</v>
      </c>
      <c r="H1013">
        <v>4.95</v>
      </c>
      <c r="I1013">
        <v>4.6500000000000004</v>
      </c>
      <c r="J1013" s="1">
        <v>4.7</v>
      </c>
      <c r="K1013">
        <v>658210.55000000005</v>
      </c>
      <c r="L1013">
        <v>138712</v>
      </c>
      <c r="M1013" t="s">
        <v>78</v>
      </c>
      <c r="N1013" t="s">
        <v>17</v>
      </c>
      <c r="O1013">
        <v>353</v>
      </c>
      <c r="P1013">
        <v>14.25</v>
      </c>
      <c r="Q1013">
        <v>4.3</v>
      </c>
    </row>
    <row r="1014" spans="2:17" x14ac:dyDescent="0.25">
      <c r="B1014" t="s">
        <v>78</v>
      </c>
      <c r="C1014" t="s">
        <v>79</v>
      </c>
      <c r="D1014" t="s">
        <v>6696</v>
      </c>
      <c r="E1014" t="s">
        <v>6695</v>
      </c>
      <c r="F1014">
        <v>0.25</v>
      </c>
      <c r="G1014">
        <v>0.3</v>
      </c>
      <c r="H1014">
        <v>0.3</v>
      </c>
      <c r="I1014">
        <v>0.25</v>
      </c>
      <c r="J1014" s="1">
        <v>0.25</v>
      </c>
      <c r="K1014">
        <v>57396.35</v>
      </c>
      <c r="L1014">
        <v>220486</v>
      </c>
      <c r="M1014" t="s">
        <v>78</v>
      </c>
      <c r="N1014" t="s">
        <v>17</v>
      </c>
      <c r="O1014">
        <v>127</v>
      </c>
      <c r="P1014">
        <v>1.95</v>
      </c>
      <c r="Q1014">
        <v>0.2</v>
      </c>
    </row>
    <row r="1015" spans="2:17" x14ac:dyDescent="0.25">
      <c r="B1015" t="s">
        <v>78</v>
      </c>
      <c r="C1015" t="s">
        <v>79</v>
      </c>
      <c r="D1015" t="s">
        <v>1873</v>
      </c>
      <c r="E1015" t="s">
        <v>1874</v>
      </c>
      <c r="F1015">
        <v>7.4</v>
      </c>
      <c r="G1015">
        <v>7.2</v>
      </c>
      <c r="H1015">
        <v>7.35</v>
      </c>
      <c r="I1015">
        <v>6.3</v>
      </c>
      <c r="J1015" s="1">
        <v>6.9</v>
      </c>
      <c r="K1015">
        <v>23858.75</v>
      </c>
      <c r="L1015">
        <v>3524</v>
      </c>
      <c r="M1015" t="s">
        <v>78</v>
      </c>
      <c r="N1015" t="s">
        <v>17</v>
      </c>
      <c r="O1015">
        <v>49</v>
      </c>
      <c r="P1015">
        <v>30.2</v>
      </c>
      <c r="Q1015">
        <v>6.3</v>
      </c>
    </row>
    <row r="1016" spans="2:17" x14ac:dyDescent="0.25">
      <c r="B1016" t="s">
        <v>78</v>
      </c>
      <c r="C1016" t="s">
        <v>79</v>
      </c>
      <c r="D1016" t="s">
        <v>1875</v>
      </c>
      <c r="E1016" t="s">
        <v>1876</v>
      </c>
      <c r="F1016">
        <v>16.8</v>
      </c>
      <c r="G1016">
        <v>17.149999999999999</v>
      </c>
      <c r="H1016">
        <v>17.149999999999999</v>
      </c>
      <c r="I1016">
        <v>15.6</v>
      </c>
      <c r="J1016" s="1">
        <v>16.600000000000001</v>
      </c>
      <c r="K1016">
        <v>52292.95</v>
      </c>
      <c r="L1016">
        <v>3229</v>
      </c>
      <c r="M1016" t="s">
        <v>78</v>
      </c>
      <c r="N1016" t="s">
        <v>17</v>
      </c>
      <c r="O1016">
        <v>34</v>
      </c>
      <c r="P1016">
        <v>35</v>
      </c>
      <c r="Q1016">
        <v>15.6</v>
      </c>
    </row>
    <row r="1017" spans="2:17" x14ac:dyDescent="0.25">
      <c r="B1017" t="s">
        <v>78</v>
      </c>
      <c r="C1017" t="s">
        <v>79</v>
      </c>
      <c r="D1017" t="s">
        <v>1877</v>
      </c>
      <c r="E1017" t="s">
        <v>1878</v>
      </c>
      <c r="F1017">
        <v>72.2</v>
      </c>
      <c r="G1017">
        <v>72.5</v>
      </c>
      <c r="H1017">
        <v>72.5</v>
      </c>
      <c r="I1017">
        <v>70.2</v>
      </c>
      <c r="J1017" s="1">
        <v>71.25</v>
      </c>
      <c r="K1017">
        <v>139883.20000000001</v>
      </c>
      <c r="L1017">
        <v>1961</v>
      </c>
      <c r="M1017" t="s">
        <v>78</v>
      </c>
      <c r="N1017" t="s">
        <v>17</v>
      </c>
      <c r="O1017">
        <v>39</v>
      </c>
      <c r="P1017">
        <v>132.25</v>
      </c>
      <c r="Q1017">
        <v>70.2</v>
      </c>
    </row>
    <row r="1018" spans="2:17" x14ac:dyDescent="0.25">
      <c r="B1018" t="s">
        <v>78</v>
      </c>
      <c r="C1018" t="s">
        <v>79</v>
      </c>
      <c r="D1018" t="s">
        <v>1879</v>
      </c>
      <c r="E1018" t="s">
        <v>1880</v>
      </c>
      <c r="F1018">
        <v>30</v>
      </c>
      <c r="G1018">
        <v>29</v>
      </c>
      <c r="H1018">
        <v>29.85</v>
      </c>
      <c r="I1018">
        <v>28.6</v>
      </c>
      <c r="J1018" s="1">
        <v>29.1</v>
      </c>
      <c r="K1018">
        <v>129268.15</v>
      </c>
      <c r="L1018">
        <v>4467</v>
      </c>
      <c r="M1018" t="s">
        <v>78</v>
      </c>
      <c r="N1018" t="s">
        <v>17</v>
      </c>
      <c r="O1018">
        <v>219</v>
      </c>
      <c r="P1018">
        <v>73.900000000000006</v>
      </c>
      <c r="Q1018">
        <v>28.2</v>
      </c>
    </row>
    <row r="1019" spans="2:17" x14ac:dyDescent="0.25">
      <c r="B1019" t="s">
        <v>78</v>
      </c>
      <c r="C1019" t="s">
        <v>79</v>
      </c>
      <c r="D1019" t="s">
        <v>1881</v>
      </c>
      <c r="E1019" t="s">
        <v>1882</v>
      </c>
      <c r="F1019">
        <v>30.9</v>
      </c>
      <c r="G1019">
        <v>31.05</v>
      </c>
      <c r="H1019">
        <v>31.05</v>
      </c>
      <c r="I1019">
        <v>27.5</v>
      </c>
      <c r="J1019" s="1">
        <v>29.15</v>
      </c>
      <c r="K1019">
        <v>171458.35</v>
      </c>
      <c r="L1019">
        <v>5777</v>
      </c>
      <c r="M1019" t="s">
        <v>78</v>
      </c>
      <c r="N1019" t="s">
        <v>17</v>
      </c>
      <c r="O1019">
        <v>80</v>
      </c>
      <c r="P1019">
        <v>52.6</v>
      </c>
      <c r="Q1019">
        <v>27.5</v>
      </c>
    </row>
    <row r="1020" spans="2:17" x14ac:dyDescent="0.25">
      <c r="B1020" t="s">
        <v>78</v>
      </c>
      <c r="C1020" t="s">
        <v>79</v>
      </c>
      <c r="D1020" t="s">
        <v>3315</v>
      </c>
      <c r="E1020" t="s">
        <v>3316</v>
      </c>
      <c r="F1020">
        <v>64.05</v>
      </c>
      <c r="G1020">
        <v>63.35</v>
      </c>
      <c r="H1020">
        <v>63.75</v>
      </c>
      <c r="I1020">
        <v>63.15</v>
      </c>
      <c r="J1020" s="1">
        <v>63.2</v>
      </c>
      <c r="K1020">
        <v>642058.35</v>
      </c>
      <c r="L1020">
        <v>10142</v>
      </c>
      <c r="M1020" t="s">
        <v>78</v>
      </c>
      <c r="N1020" t="s">
        <v>17</v>
      </c>
      <c r="O1020">
        <v>68</v>
      </c>
      <c r="P1020">
        <v>109.8</v>
      </c>
      <c r="Q1020">
        <v>63.15</v>
      </c>
    </row>
    <row r="1021" spans="2:17" x14ac:dyDescent="0.25">
      <c r="B1021" t="s">
        <v>78</v>
      </c>
      <c r="C1021" t="s">
        <v>79</v>
      </c>
      <c r="D1021" t="s">
        <v>1885</v>
      </c>
      <c r="E1021" t="s">
        <v>1886</v>
      </c>
      <c r="F1021">
        <v>511.85</v>
      </c>
      <c r="G1021">
        <v>515</v>
      </c>
      <c r="H1021">
        <v>521</v>
      </c>
      <c r="I1021">
        <v>490</v>
      </c>
      <c r="J1021" s="1">
        <v>507.05</v>
      </c>
      <c r="K1021">
        <v>136211231.44999999</v>
      </c>
      <c r="L1021">
        <v>267017</v>
      </c>
      <c r="M1021" t="s">
        <v>78</v>
      </c>
      <c r="N1021" t="s">
        <v>17</v>
      </c>
      <c r="O1021">
        <v>4553</v>
      </c>
      <c r="P1021">
        <v>848.3</v>
      </c>
      <c r="Q1021">
        <v>480</v>
      </c>
    </row>
    <row r="1022" spans="2:17" x14ac:dyDescent="0.25">
      <c r="B1022" t="s">
        <v>78</v>
      </c>
      <c r="C1022" t="s">
        <v>79</v>
      </c>
      <c r="D1022" t="s">
        <v>1887</v>
      </c>
      <c r="E1022" t="s">
        <v>1888</v>
      </c>
      <c r="F1022">
        <v>388.55</v>
      </c>
      <c r="G1022">
        <v>392.15</v>
      </c>
      <c r="H1022">
        <v>392.15</v>
      </c>
      <c r="I1022">
        <v>381</v>
      </c>
      <c r="J1022" s="1">
        <v>385.95</v>
      </c>
      <c r="K1022">
        <v>1203315.8</v>
      </c>
      <c r="L1022">
        <v>3129</v>
      </c>
      <c r="M1022" t="s">
        <v>78</v>
      </c>
      <c r="N1022" t="s">
        <v>17</v>
      </c>
      <c r="O1022">
        <v>253</v>
      </c>
      <c r="P1022">
        <v>534</v>
      </c>
      <c r="Q1022">
        <v>328</v>
      </c>
    </row>
    <row r="1023" spans="2:17" x14ac:dyDescent="0.25">
      <c r="B1023" t="s">
        <v>78</v>
      </c>
      <c r="C1023" t="s">
        <v>79</v>
      </c>
      <c r="D1023" t="s">
        <v>1889</v>
      </c>
      <c r="E1023" t="s">
        <v>1890</v>
      </c>
      <c r="F1023">
        <v>46.45</v>
      </c>
      <c r="G1023">
        <v>46.65</v>
      </c>
      <c r="H1023">
        <v>46.75</v>
      </c>
      <c r="I1023">
        <v>45.6</v>
      </c>
      <c r="J1023" s="1">
        <v>45.75</v>
      </c>
      <c r="K1023">
        <v>287655283.14999998</v>
      </c>
      <c r="L1023">
        <v>6251491</v>
      </c>
      <c r="M1023" t="s">
        <v>78</v>
      </c>
      <c r="N1023" t="s">
        <v>17</v>
      </c>
      <c r="O1023">
        <v>13590</v>
      </c>
      <c r="P1023">
        <v>78.45</v>
      </c>
      <c r="Q1023">
        <v>45.6</v>
      </c>
    </row>
    <row r="1024" spans="2:17" x14ac:dyDescent="0.25">
      <c r="B1024" t="s">
        <v>78</v>
      </c>
      <c r="C1024" t="s">
        <v>79</v>
      </c>
      <c r="D1024" t="s">
        <v>248</v>
      </c>
      <c r="E1024" t="s">
        <v>249</v>
      </c>
      <c r="F1024">
        <v>2215.75</v>
      </c>
      <c r="G1024">
        <v>2226</v>
      </c>
      <c r="H1024">
        <v>2240</v>
      </c>
      <c r="I1024">
        <v>2125</v>
      </c>
      <c r="J1024" s="1">
        <v>2151.6</v>
      </c>
      <c r="K1024">
        <v>297660176</v>
      </c>
      <c r="L1024">
        <v>136534</v>
      </c>
      <c r="M1024" t="s">
        <v>78</v>
      </c>
      <c r="N1024" t="s">
        <v>17</v>
      </c>
      <c r="O1024">
        <v>16915</v>
      </c>
      <c r="P1024">
        <v>2443.9</v>
      </c>
      <c r="Q1024">
        <v>1230</v>
      </c>
    </row>
    <row r="1025" spans="2:17" x14ac:dyDescent="0.25">
      <c r="B1025" t="s">
        <v>78</v>
      </c>
      <c r="C1025" t="s">
        <v>79</v>
      </c>
      <c r="D1025" t="s">
        <v>1891</v>
      </c>
      <c r="E1025" t="s">
        <v>1892</v>
      </c>
      <c r="F1025">
        <v>606.6</v>
      </c>
      <c r="G1025">
        <v>606.6</v>
      </c>
      <c r="H1025">
        <v>610.04999999999995</v>
      </c>
      <c r="I1025">
        <v>595</v>
      </c>
      <c r="J1025" s="1">
        <v>598.70000000000005</v>
      </c>
      <c r="K1025">
        <v>12501699.35</v>
      </c>
      <c r="L1025">
        <v>20829</v>
      </c>
      <c r="M1025" t="s">
        <v>78</v>
      </c>
      <c r="N1025" t="s">
        <v>17</v>
      </c>
      <c r="O1025">
        <v>1151</v>
      </c>
      <c r="P1025">
        <v>781.9</v>
      </c>
      <c r="Q1025">
        <v>579.70000000000005</v>
      </c>
    </row>
    <row r="1026" spans="2:17" x14ac:dyDescent="0.25">
      <c r="B1026" t="s">
        <v>78</v>
      </c>
      <c r="C1026" t="s">
        <v>79</v>
      </c>
      <c r="D1026" t="s">
        <v>1893</v>
      </c>
      <c r="E1026" t="s">
        <v>1894</v>
      </c>
      <c r="F1026">
        <v>24.2</v>
      </c>
      <c r="G1026">
        <v>26.7</v>
      </c>
      <c r="H1026">
        <v>26.7</v>
      </c>
      <c r="I1026">
        <v>23</v>
      </c>
      <c r="J1026" s="1">
        <v>23.3</v>
      </c>
      <c r="K1026">
        <v>6693530.4500000002</v>
      </c>
      <c r="L1026">
        <v>280817</v>
      </c>
      <c r="M1026" t="s">
        <v>78</v>
      </c>
      <c r="N1026" t="s">
        <v>17</v>
      </c>
      <c r="O1026">
        <v>1390</v>
      </c>
      <c r="P1026">
        <v>141.69999999999999</v>
      </c>
      <c r="Q1026">
        <v>23</v>
      </c>
    </row>
    <row r="1027" spans="2:17" x14ac:dyDescent="0.25">
      <c r="B1027" t="s">
        <v>78</v>
      </c>
      <c r="C1027" t="s">
        <v>79</v>
      </c>
      <c r="D1027" t="s">
        <v>1895</v>
      </c>
      <c r="E1027" t="s">
        <v>1896</v>
      </c>
      <c r="F1027">
        <v>105.45</v>
      </c>
      <c r="G1027">
        <v>105</v>
      </c>
      <c r="H1027">
        <v>106</v>
      </c>
      <c r="I1027">
        <v>102</v>
      </c>
      <c r="J1027" s="1">
        <v>102.55</v>
      </c>
      <c r="K1027">
        <v>1468746.5</v>
      </c>
      <c r="L1027">
        <v>14270</v>
      </c>
      <c r="M1027" t="s">
        <v>78</v>
      </c>
      <c r="N1027" t="s">
        <v>17</v>
      </c>
      <c r="O1027">
        <v>496</v>
      </c>
      <c r="P1027">
        <v>139.25</v>
      </c>
      <c r="Q1027">
        <v>98.65</v>
      </c>
    </row>
    <row r="1028" spans="2:17" x14ac:dyDescent="0.25">
      <c r="B1028" t="s">
        <v>78</v>
      </c>
      <c r="C1028" t="s">
        <v>79</v>
      </c>
      <c r="D1028" t="s">
        <v>1899</v>
      </c>
      <c r="E1028" t="s">
        <v>1900</v>
      </c>
      <c r="F1028">
        <v>52.1</v>
      </c>
      <c r="G1028">
        <v>52.5</v>
      </c>
      <c r="H1028">
        <v>52.7</v>
      </c>
      <c r="I1028">
        <v>50.65</v>
      </c>
      <c r="J1028" s="1">
        <v>51.2</v>
      </c>
      <c r="K1028">
        <v>582001986.04999995</v>
      </c>
      <c r="L1028">
        <v>11331923</v>
      </c>
      <c r="M1028" t="s">
        <v>78</v>
      </c>
      <c r="N1028" t="s">
        <v>17</v>
      </c>
      <c r="O1028">
        <v>35862</v>
      </c>
      <c r="P1028">
        <v>79.599999999999994</v>
      </c>
      <c r="Q1028">
        <v>47.2</v>
      </c>
    </row>
    <row r="1029" spans="2:17" x14ac:dyDescent="0.25">
      <c r="B1029" t="s">
        <v>78</v>
      </c>
      <c r="C1029" t="s">
        <v>79</v>
      </c>
      <c r="D1029" t="s">
        <v>1901</v>
      </c>
      <c r="E1029" t="s">
        <v>1902</v>
      </c>
      <c r="F1029">
        <v>1390</v>
      </c>
      <c r="G1029">
        <v>1390</v>
      </c>
      <c r="H1029">
        <v>1390</v>
      </c>
      <c r="I1029">
        <v>1370</v>
      </c>
      <c r="J1029" s="1">
        <v>1389.9</v>
      </c>
      <c r="K1029">
        <v>172439.8</v>
      </c>
      <c r="L1029">
        <v>125</v>
      </c>
      <c r="M1029" t="s">
        <v>78</v>
      </c>
      <c r="N1029" t="s">
        <v>17</v>
      </c>
      <c r="O1029">
        <v>12</v>
      </c>
      <c r="P1029">
        <v>1600</v>
      </c>
      <c r="Q1029">
        <v>885.2</v>
      </c>
    </row>
    <row r="1030" spans="2:17" x14ac:dyDescent="0.25">
      <c r="B1030" t="s">
        <v>78</v>
      </c>
      <c r="C1030" t="s">
        <v>79</v>
      </c>
      <c r="D1030" t="s">
        <v>1903</v>
      </c>
      <c r="E1030" t="s">
        <v>1904</v>
      </c>
      <c r="F1030">
        <v>93.7</v>
      </c>
      <c r="G1030">
        <v>93</v>
      </c>
      <c r="H1030">
        <v>93.9</v>
      </c>
      <c r="I1030">
        <v>90.1</v>
      </c>
      <c r="J1030" s="1">
        <v>90.6</v>
      </c>
      <c r="K1030">
        <v>5316680.55</v>
      </c>
      <c r="L1030">
        <v>58215</v>
      </c>
      <c r="M1030" t="s">
        <v>78</v>
      </c>
      <c r="N1030" t="s">
        <v>17</v>
      </c>
      <c r="O1030">
        <v>847</v>
      </c>
      <c r="P1030">
        <v>144.80000000000001</v>
      </c>
      <c r="Q1030">
        <v>87.65</v>
      </c>
    </row>
    <row r="1031" spans="2:17" x14ac:dyDescent="0.25">
      <c r="B1031" t="s">
        <v>78</v>
      </c>
      <c r="C1031" t="s">
        <v>79</v>
      </c>
      <c r="D1031" t="s">
        <v>1905</v>
      </c>
      <c r="E1031" t="s">
        <v>1906</v>
      </c>
      <c r="F1031">
        <v>80.7</v>
      </c>
      <c r="G1031">
        <v>81.45</v>
      </c>
      <c r="H1031">
        <v>83.35</v>
      </c>
      <c r="I1031">
        <v>76.5</v>
      </c>
      <c r="J1031" s="1">
        <v>78.650000000000006</v>
      </c>
      <c r="K1031">
        <v>1306014199.95</v>
      </c>
      <c r="L1031">
        <v>16209297</v>
      </c>
      <c r="M1031" t="s">
        <v>78</v>
      </c>
      <c r="N1031" t="s">
        <v>17</v>
      </c>
      <c r="O1031">
        <v>64330</v>
      </c>
      <c r="P1031">
        <v>119.2</v>
      </c>
      <c r="Q1031">
        <v>63.25</v>
      </c>
    </row>
    <row r="1032" spans="2:17" x14ac:dyDescent="0.25">
      <c r="B1032" t="s">
        <v>78</v>
      </c>
      <c r="C1032" t="s">
        <v>79</v>
      </c>
      <c r="D1032" t="s">
        <v>1907</v>
      </c>
      <c r="E1032" t="s">
        <v>1908</v>
      </c>
      <c r="F1032">
        <v>122.5</v>
      </c>
      <c r="G1032">
        <v>122</v>
      </c>
      <c r="H1032">
        <v>127</v>
      </c>
      <c r="I1032">
        <v>121.4</v>
      </c>
      <c r="J1032" s="1">
        <v>123.65</v>
      </c>
      <c r="K1032">
        <v>2793342.85</v>
      </c>
      <c r="L1032">
        <v>22553</v>
      </c>
      <c r="M1032" t="s">
        <v>78</v>
      </c>
      <c r="N1032" t="s">
        <v>17</v>
      </c>
      <c r="O1032">
        <v>586</v>
      </c>
      <c r="P1032">
        <v>178.8</v>
      </c>
      <c r="Q1032">
        <v>97</v>
      </c>
    </row>
    <row r="1033" spans="2:17" x14ac:dyDescent="0.25">
      <c r="B1033" t="s">
        <v>78</v>
      </c>
      <c r="C1033" t="s">
        <v>79</v>
      </c>
      <c r="D1033" t="s">
        <v>1909</v>
      </c>
      <c r="E1033" t="s">
        <v>1910</v>
      </c>
      <c r="F1033">
        <v>622.35</v>
      </c>
      <c r="G1033">
        <v>611</v>
      </c>
      <c r="H1033">
        <v>620</v>
      </c>
      <c r="I1033">
        <v>578.5</v>
      </c>
      <c r="J1033" s="1">
        <v>580.04999999999995</v>
      </c>
      <c r="K1033">
        <v>41205.949999999997</v>
      </c>
      <c r="L1033">
        <v>69</v>
      </c>
      <c r="M1033" t="s">
        <v>78</v>
      </c>
      <c r="N1033" t="s">
        <v>17</v>
      </c>
      <c r="O1033">
        <v>11</v>
      </c>
      <c r="P1033">
        <v>1273.7</v>
      </c>
      <c r="Q1033">
        <v>576.20000000000005</v>
      </c>
    </row>
    <row r="1034" spans="2:17" x14ac:dyDescent="0.25">
      <c r="B1034" t="s">
        <v>78</v>
      </c>
      <c r="C1034" t="s">
        <v>79</v>
      </c>
      <c r="D1034" t="s">
        <v>3319</v>
      </c>
      <c r="E1034" t="s">
        <v>3320</v>
      </c>
      <c r="F1034">
        <v>33.700000000000003</v>
      </c>
      <c r="G1034">
        <v>33.4</v>
      </c>
      <c r="H1034">
        <v>34</v>
      </c>
      <c r="I1034">
        <v>30.5</v>
      </c>
      <c r="J1034" s="1">
        <v>31.3</v>
      </c>
      <c r="K1034">
        <v>1870580.65</v>
      </c>
      <c r="L1034">
        <v>59369</v>
      </c>
      <c r="M1034" t="s">
        <v>78</v>
      </c>
      <c r="N1034" t="s">
        <v>17</v>
      </c>
      <c r="O1034">
        <v>688</v>
      </c>
      <c r="P1034">
        <v>93.3</v>
      </c>
      <c r="Q1034">
        <v>30.5</v>
      </c>
    </row>
    <row r="1035" spans="2:17" x14ac:dyDescent="0.25">
      <c r="B1035" t="s">
        <v>78</v>
      </c>
      <c r="C1035" t="s">
        <v>79</v>
      </c>
      <c r="D1035" t="s">
        <v>1913</v>
      </c>
      <c r="E1035" t="s">
        <v>1914</v>
      </c>
      <c r="F1035">
        <v>34.25</v>
      </c>
      <c r="G1035">
        <v>34.1</v>
      </c>
      <c r="H1035">
        <v>34.1</v>
      </c>
      <c r="I1035">
        <v>32.65</v>
      </c>
      <c r="J1035" s="1">
        <v>33.549999999999997</v>
      </c>
      <c r="K1035">
        <v>185172.7</v>
      </c>
      <c r="L1035">
        <v>5570</v>
      </c>
      <c r="M1035" t="s">
        <v>78</v>
      </c>
      <c r="N1035" t="s">
        <v>17</v>
      </c>
      <c r="O1035">
        <v>132</v>
      </c>
      <c r="P1035">
        <v>42.9</v>
      </c>
      <c r="Q1035">
        <v>30.4</v>
      </c>
    </row>
    <row r="1036" spans="2:17" x14ac:dyDescent="0.25">
      <c r="B1036" t="s">
        <v>78</v>
      </c>
      <c r="C1036" t="s">
        <v>79</v>
      </c>
      <c r="D1036" t="s">
        <v>1915</v>
      </c>
      <c r="E1036" t="s">
        <v>1916</v>
      </c>
      <c r="F1036">
        <v>5.55</v>
      </c>
      <c r="G1036">
        <v>5.6</v>
      </c>
      <c r="H1036">
        <v>5.65</v>
      </c>
      <c r="I1036">
        <v>5.15</v>
      </c>
      <c r="J1036" s="1">
        <v>5.35</v>
      </c>
      <c r="K1036">
        <v>246768.55</v>
      </c>
      <c r="L1036">
        <v>46161</v>
      </c>
      <c r="M1036" t="s">
        <v>78</v>
      </c>
      <c r="N1036" t="s">
        <v>17</v>
      </c>
      <c r="O1036">
        <v>111</v>
      </c>
      <c r="P1036">
        <v>13.5</v>
      </c>
      <c r="Q1036">
        <v>5.15</v>
      </c>
    </row>
    <row r="1037" spans="2:17" x14ac:dyDescent="0.25">
      <c r="B1037" t="s">
        <v>78</v>
      </c>
      <c r="C1037" t="s">
        <v>79</v>
      </c>
      <c r="D1037" t="s">
        <v>1917</v>
      </c>
      <c r="E1037" t="s">
        <v>1918</v>
      </c>
      <c r="F1037">
        <v>14.1</v>
      </c>
      <c r="G1037">
        <v>14.1</v>
      </c>
      <c r="H1037">
        <v>14.4</v>
      </c>
      <c r="I1037">
        <v>13.75</v>
      </c>
      <c r="J1037" s="1">
        <v>13.85</v>
      </c>
      <c r="K1037">
        <v>778991</v>
      </c>
      <c r="L1037">
        <v>55792</v>
      </c>
      <c r="M1037" t="s">
        <v>78</v>
      </c>
      <c r="N1037" t="s">
        <v>17</v>
      </c>
      <c r="O1037">
        <v>282</v>
      </c>
      <c r="P1037">
        <v>30.9</v>
      </c>
      <c r="Q1037">
        <v>13.15</v>
      </c>
    </row>
    <row r="1038" spans="2:17" x14ac:dyDescent="0.25">
      <c r="B1038" t="s">
        <v>78</v>
      </c>
      <c r="C1038" t="s">
        <v>79</v>
      </c>
      <c r="D1038" t="s">
        <v>1919</v>
      </c>
      <c r="E1038" t="s">
        <v>1920</v>
      </c>
      <c r="F1038">
        <v>43.4</v>
      </c>
      <c r="G1038">
        <v>43.4</v>
      </c>
      <c r="H1038">
        <v>43.95</v>
      </c>
      <c r="I1038">
        <v>42.1</v>
      </c>
      <c r="J1038" s="1">
        <v>42.9</v>
      </c>
      <c r="K1038">
        <v>862546.45</v>
      </c>
      <c r="L1038">
        <v>20144</v>
      </c>
      <c r="M1038" t="s">
        <v>78</v>
      </c>
      <c r="N1038" t="s">
        <v>17</v>
      </c>
      <c r="O1038">
        <v>229</v>
      </c>
      <c r="P1038">
        <v>93</v>
      </c>
      <c r="Q1038">
        <v>42.1</v>
      </c>
    </row>
    <row r="1039" spans="2:17" x14ac:dyDescent="0.25">
      <c r="B1039" t="s">
        <v>78</v>
      </c>
      <c r="C1039" t="s">
        <v>79</v>
      </c>
      <c r="D1039" t="s">
        <v>1921</v>
      </c>
      <c r="E1039" t="s">
        <v>1922</v>
      </c>
      <c r="F1039">
        <v>284.45</v>
      </c>
      <c r="G1039">
        <v>285.35000000000002</v>
      </c>
      <c r="H1039">
        <v>286.7</v>
      </c>
      <c r="I1039">
        <v>270.75</v>
      </c>
      <c r="J1039" s="1">
        <v>276.05</v>
      </c>
      <c r="K1039">
        <v>12499225.199999999</v>
      </c>
      <c r="L1039">
        <v>45124</v>
      </c>
      <c r="M1039" t="s">
        <v>78</v>
      </c>
      <c r="N1039" t="s">
        <v>17</v>
      </c>
      <c r="O1039">
        <v>1656</v>
      </c>
      <c r="P1039">
        <v>373.45</v>
      </c>
      <c r="Q1039">
        <v>201.35</v>
      </c>
    </row>
    <row r="1040" spans="2:17" x14ac:dyDescent="0.25">
      <c r="B1040" t="s">
        <v>78</v>
      </c>
      <c r="C1040" t="s">
        <v>79</v>
      </c>
      <c r="D1040" t="s">
        <v>1923</v>
      </c>
      <c r="E1040" t="s">
        <v>1924</v>
      </c>
      <c r="F1040">
        <v>345.25</v>
      </c>
      <c r="G1040">
        <v>345.5</v>
      </c>
      <c r="H1040">
        <v>348</v>
      </c>
      <c r="I1040">
        <v>338</v>
      </c>
      <c r="J1040" s="1">
        <v>343.2</v>
      </c>
      <c r="K1040">
        <v>9570076.1500000004</v>
      </c>
      <c r="L1040">
        <v>27893</v>
      </c>
      <c r="M1040" t="s">
        <v>78</v>
      </c>
      <c r="N1040" t="s">
        <v>17</v>
      </c>
      <c r="O1040">
        <v>727</v>
      </c>
      <c r="P1040">
        <v>403.7</v>
      </c>
      <c r="Q1040">
        <v>261</v>
      </c>
    </row>
    <row r="1041" spans="1:17" x14ac:dyDescent="0.25">
      <c r="B1041" t="s">
        <v>78</v>
      </c>
      <c r="C1041" t="s">
        <v>79</v>
      </c>
      <c r="D1041" t="s">
        <v>1925</v>
      </c>
      <c r="E1041" t="s">
        <v>1926</v>
      </c>
      <c r="F1041">
        <v>554.79999999999995</v>
      </c>
      <c r="G1041">
        <v>554.79999999999995</v>
      </c>
      <c r="H1041">
        <v>559.4</v>
      </c>
      <c r="I1041">
        <v>548.85</v>
      </c>
      <c r="J1041" s="1">
        <v>552.4</v>
      </c>
      <c r="K1041">
        <v>6184925.7999999998</v>
      </c>
      <c r="L1041">
        <v>11156</v>
      </c>
      <c r="M1041" t="s">
        <v>78</v>
      </c>
      <c r="N1041" t="s">
        <v>17</v>
      </c>
      <c r="O1041">
        <v>886</v>
      </c>
      <c r="P1041">
        <v>585</v>
      </c>
      <c r="Q1041">
        <v>403.55</v>
      </c>
    </row>
    <row r="1042" spans="1:17" x14ac:dyDescent="0.25">
      <c r="A1042">
        <v>10</v>
      </c>
      <c r="B1042" t="s">
        <v>78</v>
      </c>
      <c r="C1042" t="s">
        <v>79</v>
      </c>
      <c r="D1042" t="s">
        <v>146</v>
      </c>
      <c r="E1042" t="s">
        <v>147</v>
      </c>
      <c r="F1042">
        <v>1159.675</v>
      </c>
      <c r="G1042">
        <v>1164.99</v>
      </c>
      <c r="H1042">
        <v>1172.5</v>
      </c>
      <c r="I1042">
        <v>1151.23</v>
      </c>
      <c r="J1042" s="1">
        <v>1154.7049999999999</v>
      </c>
      <c r="K1042">
        <v>1004523714.8</v>
      </c>
      <c r="L1042">
        <v>86677</v>
      </c>
      <c r="M1042" t="s">
        <v>78</v>
      </c>
      <c r="N1042" t="s">
        <v>17</v>
      </c>
      <c r="O1042">
        <v>15848</v>
      </c>
      <c r="P1042">
        <v>12023.25</v>
      </c>
      <c r="Q1042">
        <v>9047.0499999999993</v>
      </c>
    </row>
    <row r="1043" spans="1:17" x14ac:dyDescent="0.25">
      <c r="B1043" t="s">
        <v>78</v>
      </c>
      <c r="C1043" t="s">
        <v>79</v>
      </c>
      <c r="D1043" t="s">
        <v>1927</v>
      </c>
      <c r="E1043" t="s">
        <v>1928</v>
      </c>
      <c r="F1043">
        <v>23.25</v>
      </c>
      <c r="G1043">
        <v>23.6</v>
      </c>
      <c r="H1043">
        <v>23.75</v>
      </c>
      <c r="I1043">
        <v>22.7</v>
      </c>
      <c r="J1043" s="1">
        <v>23</v>
      </c>
      <c r="K1043">
        <v>4895885.05</v>
      </c>
      <c r="L1043">
        <v>212587</v>
      </c>
      <c r="M1043" t="s">
        <v>78</v>
      </c>
      <c r="N1043" t="s">
        <v>17</v>
      </c>
      <c r="O1043">
        <v>883</v>
      </c>
      <c r="P1043">
        <v>57.75</v>
      </c>
      <c r="Q1043">
        <v>22.7</v>
      </c>
    </row>
    <row r="1044" spans="1:17" x14ac:dyDescent="0.25">
      <c r="B1044" t="s">
        <v>78</v>
      </c>
      <c r="C1044" t="s">
        <v>79</v>
      </c>
      <c r="D1044" t="s">
        <v>3321</v>
      </c>
      <c r="E1044" t="s">
        <v>3322</v>
      </c>
      <c r="F1044">
        <v>513.4</v>
      </c>
      <c r="G1044">
        <v>513.4</v>
      </c>
      <c r="H1044">
        <v>515.1</v>
      </c>
      <c r="I1044">
        <v>497.95</v>
      </c>
      <c r="J1044" s="1">
        <v>500.2</v>
      </c>
      <c r="K1044">
        <v>4431698.7</v>
      </c>
      <c r="L1044">
        <v>8803</v>
      </c>
      <c r="M1044" t="s">
        <v>78</v>
      </c>
      <c r="N1044" t="s">
        <v>17</v>
      </c>
      <c r="O1044">
        <v>646</v>
      </c>
      <c r="P1044">
        <v>827.3</v>
      </c>
      <c r="Q1044">
        <v>425</v>
      </c>
    </row>
    <row r="1045" spans="1:17" x14ac:dyDescent="0.25">
      <c r="B1045" t="s">
        <v>78</v>
      </c>
      <c r="C1045" t="s">
        <v>79</v>
      </c>
      <c r="D1045" t="s">
        <v>3323</v>
      </c>
      <c r="E1045" t="s">
        <v>3324</v>
      </c>
      <c r="F1045">
        <v>295.8</v>
      </c>
      <c r="G1045">
        <v>299.89999999999998</v>
      </c>
      <c r="H1045">
        <v>303.8</v>
      </c>
      <c r="I1045">
        <v>285.64999999999998</v>
      </c>
      <c r="J1045" s="1">
        <v>289.5</v>
      </c>
      <c r="K1045">
        <v>3438081.4</v>
      </c>
      <c r="L1045">
        <v>11797</v>
      </c>
      <c r="M1045" t="s">
        <v>78</v>
      </c>
      <c r="N1045" t="s">
        <v>17</v>
      </c>
      <c r="O1045">
        <v>840</v>
      </c>
      <c r="P1045">
        <v>372</v>
      </c>
      <c r="Q1045">
        <v>201</v>
      </c>
    </row>
    <row r="1046" spans="1:17" x14ac:dyDescent="0.25">
      <c r="B1046" t="s">
        <v>78</v>
      </c>
      <c r="C1046" t="s">
        <v>79</v>
      </c>
      <c r="D1046" t="s">
        <v>1929</v>
      </c>
      <c r="E1046" t="s">
        <v>1930</v>
      </c>
      <c r="F1046">
        <v>12.75</v>
      </c>
      <c r="G1046">
        <v>12.75</v>
      </c>
      <c r="H1046">
        <v>13</v>
      </c>
      <c r="I1046">
        <v>12.3</v>
      </c>
      <c r="J1046" s="1">
        <v>12.9</v>
      </c>
      <c r="K1046">
        <v>64841.65</v>
      </c>
      <c r="L1046">
        <v>5153</v>
      </c>
      <c r="M1046" t="s">
        <v>78</v>
      </c>
      <c r="N1046" t="s">
        <v>17</v>
      </c>
      <c r="O1046">
        <v>51</v>
      </c>
      <c r="P1046">
        <v>26.95</v>
      </c>
      <c r="Q1046">
        <v>12.1</v>
      </c>
    </row>
    <row r="1047" spans="1:17" x14ac:dyDescent="0.25">
      <c r="B1047" t="s">
        <v>78</v>
      </c>
      <c r="C1047" t="s">
        <v>79</v>
      </c>
      <c r="D1047" t="s">
        <v>1931</v>
      </c>
      <c r="E1047" t="s">
        <v>1932</v>
      </c>
      <c r="F1047">
        <v>33.700000000000003</v>
      </c>
      <c r="G1047">
        <v>33.700000000000003</v>
      </c>
      <c r="H1047">
        <v>33.950000000000003</v>
      </c>
      <c r="I1047">
        <v>33.25</v>
      </c>
      <c r="J1047" s="1">
        <v>33.35</v>
      </c>
      <c r="K1047">
        <v>6268132.0999999996</v>
      </c>
      <c r="L1047">
        <v>186633</v>
      </c>
      <c r="M1047" t="s">
        <v>78</v>
      </c>
      <c r="N1047" t="s">
        <v>17</v>
      </c>
      <c r="O1047">
        <v>1062</v>
      </c>
      <c r="P1047">
        <v>51.8</v>
      </c>
      <c r="Q1047">
        <v>30.7</v>
      </c>
    </row>
    <row r="1048" spans="1:17" x14ac:dyDescent="0.25">
      <c r="B1048" t="s">
        <v>78</v>
      </c>
      <c r="C1048" t="s">
        <v>79</v>
      </c>
      <c r="D1048" t="s">
        <v>1933</v>
      </c>
      <c r="E1048" t="s">
        <v>1934</v>
      </c>
      <c r="F1048">
        <v>224.4</v>
      </c>
      <c r="G1048">
        <v>223</v>
      </c>
      <c r="H1048">
        <v>225.1</v>
      </c>
      <c r="I1048">
        <v>210.25</v>
      </c>
      <c r="J1048" s="1">
        <v>215.6</v>
      </c>
      <c r="K1048">
        <v>3169383.45</v>
      </c>
      <c r="L1048">
        <v>14438</v>
      </c>
      <c r="M1048" t="s">
        <v>78</v>
      </c>
      <c r="N1048" t="s">
        <v>17</v>
      </c>
      <c r="O1048">
        <v>999</v>
      </c>
      <c r="P1048">
        <v>264.89999999999998</v>
      </c>
      <c r="Q1048">
        <v>182.8</v>
      </c>
    </row>
    <row r="1049" spans="1:17" x14ac:dyDescent="0.25">
      <c r="B1049" t="s">
        <v>78</v>
      </c>
      <c r="C1049" t="s">
        <v>79</v>
      </c>
      <c r="D1049" t="s">
        <v>3325</v>
      </c>
      <c r="E1049" t="s">
        <v>3326</v>
      </c>
      <c r="F1049">
        <v>8.5</v>
      </c>
      <c r="G1049">
        <v>8.15</v>
      </c>
      <c r="H1049">
        <v>8.5500000000000007</v>
      </c>
      <c r="I1049">
        <v>7.65</v>
      </c>
      <c r="J1049" s="1">
        <v>8.35</v>
      </c>
      <c r="K1049">
        <v>385030.85</v>
      </c>
      <c r="L1049">
        <v>48530</v>
      </c>
      <c r="M1049" t="s">
        <v>78</v>
      </c>
      <c r="N1049" t="s">
        <v>17</v>
      </c>
      <c r="O1049">
        <v>217</v>
      </c>
      <c r="P1049">
        <v>33.299999999999997</v>
      </c>
      <c r="Q1049">
        <v>7.65</v>
      </c>
    </row>
    <row r="1050" spans="1:17" x14ac:dyDescent="0.25">
      <c r="B1050" t="s">
        <v>78</v>
      </c>
      <c r="C1050" t="s">
        <v>79</v>
      </c>
      <c r="D1050" t="s">
        <v>1939</v>
      </c>
      <c r="E1050" t="s">
        <v>1940</v>
      </c>
      <c r="F1050">
        <v>99.4</v>
      </c>
      <c r="G1050">
        <v>99.3</v>
      </c>
      <c r="H1050">
        <v>99.5</v>
      </c>
      <c r="I1050">
        <v>97.35</v>
      </c>
      <c r="J1050" s="1">
        <v>97.6</v>
      </c>
      <c r="K1050">
        <v>18284129.100000001</v>
      </c>
      <c r="L1050">
        <v>186328</v>
      </c>
      <c r="M1050" t="s">
        <v>78</v>
      </c>
      <c r="N1050" t="s">
        <v>17</v>
      </c>
      <c r="O1050">
        <v>3929</v>
      </c>
      <c r="P1050">
        <v>116.85</v>
      </c>
      <c r="Q1050">
        <v>60.6</v>
      </c>
    </row>
    <row r="1051" spans="1:17" x14ac:dyDescent="0.25">
      <c r="B1051" t="s">
        <v>78</v>
      </c>
      <c r="C1051" t="s">
        <v>79</v>
      </c>
      <c r="D1051" t="s">
        <v>6694</v>
      </c>
      <c r="E1051" t="s">
        <v>6693</v>
      </c>
      <c r="F1051">
        <v>1342.45</v>
      </c>
      <c r="G1051">
        <v>1341</v>
      </c>
      <c r="H1051">
        <v>1350.9</v>
      </c>
      <c r="I1051">
        <v>1341</v>
      </c>
      <c r="J1051" s="1">
        <v>1346.75</v>
      </c>
      <c r="K1051">
        <v>736005891.89999998</v>
      </c>
      <c r="L1051">
        <v>546932</v>
      </c>
      <c r="M1051" t="s">
        <v>78</v>
      </c>
      <c r="N1051" t="s">
        <v>17</v>
      </c>
      <c r="O1051">
        <v>33331</v>
      </c>
      <c r="P1051">
        <v>1425.2</v>
      </c>
      <c r="Q1051">
        <v>1022</v>
      </c>
    </row>
    <row r="1052" spans="1:17" x14ac:dyDescent="0.25">
      <c r="B1052" t="s">
        <v>78</v>
      </c>
      <c r="C1052" t="s">
        <v>79</v>
      </c>
      <c r="D1052" t="s">
        <v>1941</v>
      </c>
      <c r="E1052" t="s">
        <v>1942</v>
      </c>
      <c r="F1052">
        <v>5.8</v>
      </c>
      <c r="G1052">
        <v>5.7</v>
      </c>
      <c r="H1052">
        <v>5.9</v>
      </c>
      <c r="I1052">
        <v>5.7</v>
      </c>
      <c r="J1052" s="1">
        <v>5.8</v>
      </c>
      <c r="K1052">
        <v>932966.6</v>
      </c>
      <c r="L1052">
        <v>161901</v>
      </c>
      <c r="M1052" t="s">
        <v>78</v>
      </c>
      <c r="N1052" t="s">
        <v>17</v>
      </c>
      <c r="O1052">
        <v>238</v>
      </c>
      <c r="P1052">
        <v>14.35</v>
      </c>
      <c r="Q1052">
        <v>5.6</v>
      </c>
    </row>
    <row r="1053" spans="1:17" x14ac:dyDescent="0.25">
      <c r="B1053" t="s">
        <v>78</v>
      </c>
      <c r="C1053" t="s">
        <v>79</v>
      </c>
      <c r="D1053" t="s">
        <v>3327</v>
      </c>
      <c r="E1053" t="s">
        <v>3328</v>
      </c>
      <c r="F1053">
        <v>1.75</v>
      </c>
      <c r="G1053">
        <v>1.75</v>
      </c>
      <c r="H1053">
        <v>1.75</v>
      </c>
      <c r="I1053">
        <v>1.7</v>
      </c>
      <c r="J1053" s="1">
        <v>1.7</v>
      </c>
      <c r="K1053">
        <v>36663.300000000003</v>
      </c>
      <c r="L1053">
        <v>21515</v>
      </c>
      <c r="M1053" t="s">
        <v>78</v>
      </c>
      <c r="N1053" t="s">
        <v>17</v>
      </c>
      <c r="O1053">
        <v>47</v>
      </c>
      <c r="P1053">
        <v>5.05</v>
      </c>
      <c r="Q1053">
        <v>1.4</v>
      </c>
    </row>
    <row r="1054" spans="1:17" x14ac:dyDescent="0.25">
      <c r="B1054" t="s">
        <v>78</v>
      </c>
      <c r="C1054" t="s">
        <v>79</v>
      </c>
      <c r="D1054" t="s">
        <v>1943</v>
      </c>
      <c r="E1054" t="s">
        <v>1944</v>
      </c>
      <c r="F1054">
        <v>1115.1500000000001</v>
      </c>
      <c r="G1054">
        <v>1115.1500000000001</v>
      </c>
      <c r="H1054">
        <v>1115.95</v>
      </c>
      <c r="I1054">
        <v>1082.25</v>
      </c>
      <c r="J1054" s="1">
        <v>1093.9000000000001</v>
      </c>
      <c r="K1054">
        <v>9857589.1500000004</v>
      </c>
      <c r="L1054">
        <v>9016</v>
      </c>
      <c r="M1054" t="s">
        <v>78</v>
      </c>
      <c r="N1054" t="s">
        <v>17</v>
      </c>
      <c r="O1054">
        <v>1149</v>
      </c>
      <c r="P1054">
        <v>2134</v>
      </c>
      <c r="Q1054">
        <v>1082.25</v>
      </c>
    </row>
    <row r="1055" spans="1:17" x14ac:dyDescent="0.25">
      <c r="B1055" t="s">
        <v>78</v>
      </c>
      <c r="C1055" t="s">
        <v>79</v>
      </c>
      <c r="D1055" t="s">
        <v>1945</v>
      </c>
      <c r="E1055" t="s">
        <v>1946</v>
      </c>
      <c r="F1055">
        <v>441.3</v>
      </c>
      <c r="G1055">
        <v>440.05</v>
      </c>
      <c r="H1055">
        <v>446</v>
      </c>
      <c r="I1055">
        <v>435</v>
      </c>
      <c r="J1055" s="1">
        <v>444.95</v>
      </c>
      <c r="K1055">
        <v>298885.45</v>
      </c>
      <c r="L1055">
        <v>676</v>
      </c>
      <c r="M1055" t="s">
        <v>78</v>
      </c>
      <c r="N1055" t="s">
        <v>17</v>
      </c>
      <c r="O1055">
        <v>95</v>
      </c>
      <c r="P1055">
        <v>877.3</v>
      </c>
      <c r="Q1055">
        <v>435</v>
      </c>
    </row>
    <row r="1056" spans="1:17" x14ac:dyDescent="0.25">
      <c r="B1056" t="s">
        <v>78</v>
      </c>
      <c r="C1056" t="s">
        <v>79</v>
      </c>
      <c r="D1056" t="s">
        <v>1949</v>
      </c>
      <c r="E1056" t="s">
        <v>1950</v>
      </c>
      <c r="F1056">
        <v>29.4</v>
      </c>
      <c r="G1056">
        <v>29.05</v>
      </c>
      <c r="H1056">
        <v>29.7</v>
      </c>
      <c r="I1056">
        <v>28.25</v>
      </c>
      <c r="J1056" s="1">
        <v>28.65</v>
      </c>
      <c r="K1056">
        <v>1540965.35</v>
      </c>
      <c r="L1056">
        <v>53695</v>
      </c>
      <c r="M1056" t="s">
        <v>78</v>
      </c>
      <c r="N1056" t="s">
        <v>17</v>
      </c>
      <c r="O1056">
        <v>444</v>
      </c>
      <c r="P1056">
        <v>78.3</v>
      </c>
      <c r="Q1056">
        <v>27.8</v>
      </c>
    </row>
    <row r="1057" spans="2:17" x14ac:dyDescent="0.25">
      <c r="B1057" t="s">
        <v>78</v>
      </c>
      <c r="C1057" t="s">
        <v>79</v>
      </c>
      <c r="D1057" t="s">
        <v>6692</v>
      </c>
      <c r="E1057" t="s">
        <v>6691</v>
      </c>
      <c r="F1057">
        <v>2</v>
      </c>
      <c r="G1057">
        <v>1.9</v>
      </c>
      <c r="H1057">
        <v>2.0499999999999998</v>
      </c>
      <c r="I1057">
        <v>1.9</v>
      </c>
      <c r="J1057" s="1">
        <v>1.9</v>
      </c>
      <c r="K1057">
        <v>167548.95000000001</v>
      </c>
      <c r="L1057">
        <v>87556</v>
      </c>
      <c r="M1057" t="s">
        <v>78</v>
      </c>
      <c r="N1057" t="s">
        <v>17</v>
      </c>
      <c r="O1057">
        <v>51</v>
      </c>
      <c r="P1057">
        <v>8.85</v>
      </c>
      <c r="Q1057">
        <v>1.8</v>
      </c>
    </row>
    <row r="1058" spans="2:17" x14ac:dyDescent="0.25">
      <c r="B1058" t="s">
        <v>78</v>
      </c>
      <c r="C1058" t="s">
        <v>79</v>
      </c>
      <c r="D1058" t="s">
        <v>3638</v>
      </c>
      <c r="E1058" t="s">
        <v>3639</v>
      </c>
      <c r="F1058">
        <v>0.5</v>
      </c>
      <c r="G1058">
        <v>0.55000000000000004</v>
      </c>
      <c r="H1058">
        <v>0.55000000000000004</v>
      </c>
      <c r="I1058">
        <v>0.5</v>
      </c>
      <c r="J1058" s="1">
        <v>0.55000000000000004</v>
      </c>
      <c r="K1058">
        <v>17385.7</v>
      </c>
      <c r="L1058">
        <v>33093</v>
      </c>
      <c r="M1058" t="s">
        <v>78</v>
      </c>
      <c r="N1058" t="s">
        <v>17</v>
      </c>
      <c r="O1058">
        <v>42</v>
      </c>
      <c r="P1058">
        <v>4.2</v>
      </c>
      <c r="Q1058">
        <v>0.45</v>
      </c>
    </row>
    <row r="1059" spans="2:17" x14ac:dyDescent="0.25">
      <c r="B1059" t="s">
        <v>78</v>
      </c>
      <c r="C1059" t="s">
        <v>79</v>
      </c>
      <c r="D1059" t="s">
        <v>1951</v>
      </c>
      <c r="E1059" t="s">
        <v>1952</v>
      </c>
      <c r="F1059">
        <v>66.25</v>
      </c>
      <c r="G1059">
        <v>65.400000000000006</v>
      </c>
      <c r="H1059">
        <v>67.55</v>
      </c>
      <c r="I1059">
        <v>64.099999999999994</v>
      </c>
      <c r="J1059" s="1">
        <v>65.05</v>
      </c>
      <c r="K1059">
        <v>1328318.8</v>
      </c>
      <c r="L1059">
        <v>20385</v>
      </c>
      <c r="M1059" t="s">
        <v>78</v>
      </c>
      <c r="N1059" t="s">
        <v>17</v>
      </c>
      <c r="O1059">
        <v>361</v>
      </c>
      <c r="P1059">
        <v>99.4</v>
      </c>
      <c r="Q1059">
        <v>63.8</v>
      </c>
    </row>
    <row r="1060" spans="2:17" x14ac:dyDescent="0.25">
      <c r="B1060" t="s">
        <v>78</v>
      </c>
      <c r="C1060" t="s">
        <v>287</v>
      </c>
      <c r="D1060" t="s">
        <v>1953</v>
      </c>
      <c r="E1060" t="s">
        <v>1954</v>
      </c>
      <c r="F1060">
        <v>98</v>
      </c>
      <c r="G1060">
        <v>99</v>
      </c>
      <c r="H1060">
        <v>99</v>
      </c>
      <c r="I1060">
        <v>97.1</v>
      </c>
      <c r="J1060" s="1">
        <v>97.1</v>
      </c>
      <c r="K1060">
        <v>235320</v>
      </c>
      <c r="L1060">
        <v>2400</v>
      </c>
      <c r="M1060" t="s">
        <v>78</v>
      </c>
      <c r="N1060" t="s">
        <v>17</v>
      </c>
      <c r="O1060">
        <v>2</v>
      </c>
      <c r="P1060">
        <v>100.9</v>
      </c>
      <c r="Q1060">
        <v>35</v>
      </c>
    </row>
    <row r="1061" spans="2:17" x14ac:dyDescent="0.25">
      <c r="B1061" t="s">
        <v>78</v>
      </c>
      <c r="C1061" t="s">
        <v>79</v>
      </c>
      <c r="D1061" t="s">
        <v>1955</v>
      </c>
      <c r="E1061" t="s">
        <v>1956</v>
      </c>
      <c r="F1061">
        <v>61.25</v>
      </c>
      <c r="G1061">
        <v>61.85</v>
      </c>
      <c r="H1061">
        <v>62</v>
      </c>
      <c r="I1061">
        <v>60.3</v>
      </c>
      <c r="J1061" s="1">
        <v>61.1</v>
      </c>
      <c r="K1061">
        <v>38407285.850000001</v>
      </c>
      <c r="L1061">
        <v>628194</v>
      </c>
      <c r="M1061" t="s">
        <v>78</v>
      </c>
      <c r="N1061" t="s">
        <v>17</v>
      </c>
      <c r="O1061">
        <v>19161</v>
      </c>
      <c r="P1061">
        <v>85.4</v>
      </c>
      <c r="Q1061">
        <v>60</v>
      </c>
    </row>
    <row r="1062" spans="2:17" x14ac:dyDescent="0.25">
      <c r="B1062" t="s">
        <v>78</v>
      </c>
      <c r="C1062" t="s">
        <v>79</v>
      </c>
      <c r="D1062" t="s">
        <v>1957</v>
      </c>
      <c r="E1062" t="s">
        <v>1958</v>
      </c>
      <c r="F1062">
        <v>100.9</v>
      </c>
      <c r="G1062">
        <v>101</v>
      </c>
      <c r="H1062">
        <v>102</v>
      </c>
      <c r="I1062">
        <v>94</v>
      </c>
      <c r="J1062" s="1">
        <v>94.75</v>
      </c>
      <c r="K1062">
        <v>67297971.799999997</v>
      </c>
      <c r="L1062">
        <v>702305</v>
      </c>
      <c r="M1062" t="s">
        <v>78</v>
      </c>
      <c r="N1062" t="s">
        <v>17</v>
      </c>
      <c r="O1062">
        <v>10812</v>
      </c>
      <c r="P1062">
        <v>188</v>
      </c>
      <c r="Q1062">
        <v>94</v>
      </c>
    </row>
    <row r="1063" spans="2:17" x14ac:dyDescent="0.25">
      <c r="B1063" t="s">
        <v>78</v>
      </c>
      <c r="C1063" t="s">
        <v>79</v>
      </c>
      <c r="D1063" t="s">
        <v>1959</v>
      </c>
      <c r="E1063" t="s">
        <v>1960</v>
      </c>
      <c r="F1063">
        <v>3.55</v>
      </c>
      <c r="G1063">
        <v>3.5</v>
      </c>
      <c r="H1063">
        <v>3.55</v>
      </c>
      <c r="I1063">
        <v>2.95</v>
      </c>
      <c r="J1063" s="1">
        <v>3.2</v>
      </c>
      <c r="K1063">
        <v>390272.05</v>
      </c>
      <c r="L1063">
        <v>124181</v>
      </c>
      <c r="M1063" t="s">
        <v>78</v>
      </c>
      <c r="N1063" t="s">
        <v>17</v>
      </c>
      <c r="O1063">
        <v>211</v>
      </c>
      <c r="P1063">
        <v>11.1</v>
      </c>
      <c r="Q1063">
        <v>2.95</v>
      </c>
    </row>
    <row r="1064" spans="2:17" x14ac:dyDescent="0.25">
      <c r="B1064" t="s">
        <v>78</v>
      </c>
      <c r="C1064" t="s">
        <v>79</v>
      </c>
      <c r="D1064" t="s">
        <v>1965</v>
      </c>
      <c r="E1064" t="s">
        <v>1966</v>
      </c>
      <c r="F1064">
        <v>161.65</v>
      </c>
      <c r="G1064">
        <v>161.6</v>
      </c>
      <c r="H1064">
        <v>161.65</v>
      </c>
      <c r="I1064">
        <v>154.1</v>
      </c>
      <c r="J1064" s="1">
        <v>156.69999999999999</v>
      </c>
      <c r="K1064">
        <v>1617706.95</v>
      </c>
      <c r="L1064">
        <v>10278</v>
      </c>
      <c r="M1064" t="s">
        <v>78</v>
      </c>
      <c r="N1064" t="s">
        <v>17</v>
      </c>
      <c r="O1064">
        <v>603</v>
      </c>
      <c r="P1064">
        <v>616</v>
      </c>
      <c r="Q1064">
        <v>154.1</v>
      </c>
    </row>
    <row r="1065" spans="2:17" x14ac:dyDescent="0.25">
      <c r="B1065" t="s">
        <v>78</v>
      </c>
      <c r="C1065" t="s">
        <v>79</v>
      </c>
      <c r="D1065" t="s">
        <v>1967</v>
      </c>
      <c r="E1065" t="s">
        <v>1968</v>
      </c>
      <c r="F1065">
        <v>127.3</v>
      </c>
      <c r="G1065">
        <v>127.3</v>
      </c>
      <c r="H1065">
        <v>128</v>
      </c>
      <c r="I1065">
        <v>123</v>
      </c>
      <c r="J1065" s="1">
        <v>124.7</v>
      </c>
      <c r="K1065">
        <v>3119417.85</v>
      </c>
      <c r="L1065">
        <v>24952</v>
      </c>
      <c r="M1065" t="s">
        <v>78</v>
      </c>
      <c r="N1065" t="s">
        <v>17</v>
      </c>
      <c r="O1065">
        <v>888</v>
      </c>
      <c r="P1065">
        <v>223.85</v>
      </c>
      <c r="Q1065">
        <v>123</v>
      </c>
    </row>
    <row r="1066" spans="2:17" x14ac:dyDescent="0.25">
      <c r="B1066" t="s">
        <v>78</v>
      </c>
      <c r="C1066" t="s">
        <v>79</v>
      </c>
      <c r="D1066" t="s">
        <v>1969</v>
      </c>
      <c r="E1066" t="s">
        <v>1970</v>
      </c>
      <c r="F1066">
        <v>996.75</v>
      </c>
      <c r="G1066">
        <v>990</v>
      </c>
      <c r="H1066">
        <v>1009.05</v>
      </c>
      <c r="I1066">
        <v>990</v>
      </c>
      <c r="J1066" s="1">
        <v>998.6</v>
      </c>
      <c r="K1066">
        <v>118701.8</v>
      </c>
      <c r="L1066">
        <v>119</v>
      </c>
      <c r="M1066" t="s">
        <v>78</v>
      </c>
      <c r="N1066" t="s">
        <v>17</v>
      </c>
      <c r="O1066">
        <v>33</v>
      </c>
      <c r="P1066">
        <v>1400</v>
      </c>
      <c r="Q1066">
        <v>879.6</v>
      </c>
    </row>
    <row r="1067" spans="2:17" x14ac:dyDescent="0.25">
      <c r="B1067" t="s">
        <v>78</v>
      </c>
      <c r="C1067" t="s">
        <v>79</v>
      </c>
      <c r="D1067" t="s">
        <v>1971</v>
      </c>
      <c r="E1067" t="s">
        <v>1972</v>
      </c>
      <c r="F1067">
        <v>309.89999999999998</v>
      </c>
      <c r="G1067">
        <v>305</v>
      </c>
      <c r="H1067">
        <v>313.05</v>
      </c>
      <c r="I1067">
        <v>302.85000000000002</v>
      </c>
      <c r="J1067" s="1">
        <v>309.25</v>
      </c>
      <c r="K1067">
        <v>2996643.85</v>
      </c>
      <c r="L1067">
        <v>9725</v>
      </c>
      <c r="M1067" t="s">
        <v>78</v>
      </c>
      <c r="N1067" t="s">
        <v>17</v>
      </c>
      <c r="O1067">
        <v>471</v>
      </c>
      <c r="P1067">
        <v>465</v>
      </c>
      <c r="Q1067">
        <v>302.85000000000002</v>
      </c>
    </row>
    <row r="1068" spans="2:17" x14ac:dyDescent="0.25">
      <c r="B1068" t="s">
        <v>78</v>
      </c>
      <c r="C1068" t="s">
        <v>79</v>
      </c>
      <c r="D1068" t="s">
        <v>1977</v>
      </c>
      <c r="E1068" t="s">
        <v>1978</v>
      </c>
      <c r="F1068">
        <v>198.85</v>
      </c>
      <c r="G1068">
        <v>195</v>
      </c>
      <c r="H1068">
        <v>198.85</v>
      </c>
      <c r="I1068">
        <v>184.15</v>
      </c>
      <c r="J1068" s="1">
        <v>185.3</v>
      </c>
      <c r="K1068">
        <v>609761.9</v>
      </c>
      <c r="L1068">
        <v>3216</v>
      </c>
      <c r="M1068" t="s">
        <v>78</v>
      </c>
      <c r="N1068" t="s">
        <v>17</v>
      </c>
      <c r="O1068">
        <v>48</v>
      </c>
      <c r="P1068">
        <v>208</v>
      </c>
      <c r="Q1068">
        <v>179</v>
      </c>
    </row>
    <row r="1069" spans="2:17" x14ac:dyDescent="0.25">
      <c r="B1069" t="s">
        <v>78</v>
      </c>
      <c r="C1069" t="s">
        <v>79</v>
      </c>
      <c r="D1069" t="s">
        <v>1979</v>
      </c>
      <c r="E1069" t="s">
        <v>1980</v>
      </c>
      <c r="F1069">
        <v>569.6</v>
      </c>
      <c r="G1069">
        <v>573.15</v>
      </c>
      <c r="H1069">
        <v>577</v>
      </c>
      <c r="I1069">
        <v>549.65</v>
      </c>
      <c r="J1069" s="1">
        <v>561.85</v>
      </c>
      <c r="K1069">
        <v>140580773.65000001</v>
      </c>
      <c r="L1069">
        <v>250515</v>
      </c>
      <c r="M1069" t="s">
        <v>78</v>
      </c>
      <c r="N1069" t="s">
        <v>17</v>
      </c>
      <c r="O1069">
        <v>18345</v>
      </c>
      <c r="P1069">
        <v>641.70000000000005</v>
      </c>
      <c r="Q1069">
        <v>351.35</v>
      </c>
    </row>
    <row r="1070" spans="2:17" x14ac:dyDescent="0.25">
      <c r="B1070" t="s">
        <v>78</v>
      </c>
      <c r="C1070" t="s">
        <v>79</v>
      </c>
      <c r="D1070" t="s">
        <v>1981</v>
      </c>
      <c r="E1070" t="s">
        <v>1982</v>
      </c>
      <c r="F1070">
        <v>1129.2</v>
      </c>
      <c r="G1070">
        <v>1133.05</v>
      </c>
      <c r="H1070">
        <v>1133.8</v>
      </c>
      <c r="I1070">
        <v>1110</v>
      </c>
      <c r="J1070" s="1">
        <v>1114.8499999999999</v>
      </c>
      <c r="K1070">
        <v>3182441.65</v>
      </c>
      <c r="L1070">
        <v>2839</v>
      </c>
      <c r="M1070" t="s">
        <v>78</v>
      </c>
      <c r="N1070" t="s">
        <v>17</v>
      </c>
      <c r="O1070">
        <v>357</v>
      </c>
      <c r="P1070">
        <v>1245</v>
      </c>
      <c r="Q1070">
        <v>900</v>
      </c>
    </row>
    <row r="1071" spans="2:17" x14ac:dyDescent="0.25">
      <c r="B1071" t="s">
        <v>78</v>
      </c>
      <c r="C1071" t="s">
        <v>79</v>
      </c>
      <c r="D1071" t="s">
        <v>1983</v>
      </c>
      <c r="E1071" t="s">
        <v>1984</v>
      </c>
      <c r="F1071">
        <v>163.25</v>
      </c>
      <c r="G1071">
        <v>164.5</v>
      </c>
      <c r="H1071">
        <v>164.7</v>
      </c>
      <c r="I1071">
        <v>156.65</v>
      </c>
      <c r="J1071" s="1">
        <v>157.80000000000001</v>
      </c>
      <c r="K1071">
        <v>925970911.20000005</v>
      </c>
      <c r="L1071">
        <v>5805446</v>
      </c>
      <c r="M1071" t="s">
        <v>78</v>
      </c>
      <c r="N1071" t="s">
        <v>17</v>
      </c>
      <c r="O1071">
        <v>62958</v>
      </c>
      <c r="P1071">
        <v>227</v>
      </c>
      <c r="Q1071">
        <v>156.65</v>
      </c>
    </row>
    <row r="1072" spans="2:17" x14ac:dyDescent="0.25">
      <c r="B1072" t="s">
        <v>78</v>
      </c>
      <c r="C1072" t="s">
        <v>79</v>
      </c>
      <c r="D1072" t="s">
        <v>3333</v>
      </c>
      <c r="E1072" t="s">
        <v>6690</v>
      </c>
      <c r="F1072">
        <v>7.55</v>
      </c>
      <c r="G1072">
        <v>7.2</v>
      </c>
      <c r="H1072">
        <v>7.55</v>
      </c>
      <c r="I1072">
        <v>7.2</v>
      </c>
      <c r="J1072" s="1">
        <v>7.5</v>
      </c>
      <c r="K1072">
        <v>1544387.65</v>
      </c>
      <c r="L1072">
        <v>206039</v>
      </c>
      <c r="M1072" t="s">
        <v>78</v>
      </c>
      <c r="N1072" t="s">
        <v>17</v>
      </c>
      <c r="O1072">
        <v>65</v>
      </c>
      <c r="P1072">
        <v>23.6</v>
      </c>
      <c r="Q1072">
        <v>5.2</v>
      </c>
    </row>
    <row r="1073" spans="2:17" x14ac:dyDescent="0.25">
      <c r="B1073" t="s">
        <v>78</v>
      </c>
      <c r="C1073" t="s">
        <v>79</v>
      </c>
      <c r="D1073" t="s">
        <v>3335</v>
      </c>
      <c r="E1073" t="s">
        <v>3336</v>
      </c>
      <c r="F1073">
        <v>187.75</v>
      </c>
      <c r="G1073">
        <v>192.8</v>
      </c>
      <c r="H1073">
        <v>192.8</v>
      </c>
      <c r="I1073">
        <v>183.3</v>
      </c>
      <c r="J1073" s="1">
        <v>185.85</v>
      </c>
      <c r="K1073">
        <v>3916657.9</v>
      </c>
      <c r="L1073">
        <v>21094</v>
      </c>
      <c r="M1073" t="s">
        <v>78</v>
      </c>
      <c r="N1073" t="s">
        <v>17</v>
      </c>
      <c r="O1073">
        <v>716</v>
      </c>
      <c r="P1073">
        <v>279.8</v>
      </c>
      <c r="Q1073">
        <v>137.55000000000001</v>
      </c>
    </row>
    <row r="1074" spans="2:17" x14ac:dyDescent="0.25">
      <c r="B1074" t="s">
        <v>78</v>
      </c>
      <c r="C1074" t="s">
        <v>79</v>
      </c>
      <c r="D1074" t="s">
        <v>1985</v>
      </c>
      <c r="E1074" t="s">
        <v>1986</v>
      </c>
      <c r="F1074">
        <v>47.4</v>
      </c>
      <c r="G1074">
        <v>48</v>
      </c>
      <c r="H1074">
        <v>48.5</v>
      </c>
      <c r="I1074">
        <v>43.55</v>
      </c>
      <c r="J1074" s="1">
        <v>46.35</v>
      </c>
      <c r="K1074">
        <v>699449.6</v>
      </c>
      <c r="L1074">
        <v>14998</v>
      </c>
      <c r="M1074" t="s">
        <v>78</v>
      </c>
      <c r="N1074" t="s">
        <v>17</v>
      </c>
      <c r="O1074">
        <v>200</v>
      </c>
      <c r="P1074">
        <v>160</v>
      </c>
      <c r="Q1074">
        <v>43.35</v>
      </c>
    </row>
    <row r="1075" spans="2:17" x14ac:dyDescent="0.25">
      <c r="B1075" t="s">
        <v>78</v>
      </c>
      <c r="C1075" t="s">
        <v>79</v>
      </c>
      <c r="D1075" t="s">
        <v>1987</v>
      </c>
      <c r="E1075" t="s">
        <v>1988</v>
      </c>
      <c r="F1075">
        <v>199.45</v>
      </c>
      <c r="G1075">
        <v>200</v>
      </c>
      <c r="H1075">
        <v>201.2</v>
      </c>
      <c r="I1075">
        <v>199.15</v>
      </c>
      <c r="J1075" s="1">
        <v>199.65</v>
      </c>
      <c r="K1075">
        <v>68086378.950000003</v>
      </c>
      <c r="L1075">
        <v>341261</v>
      </c>
      <c r="M1075" t="s">
        <v>78</v>
      </c>
      <c r="N1075" t="s">
        <v>17</v>
      </c>
      <c r="O1075">
        <v>3793</v>
      </c>
      <c r="P1075">
        <v>229</v>
      </c>
      <c r="Q1075">
        <v>198.5</v>
      </c>
    </row>
    <row r="1076" spans="2:17" x14ac:dyDescent="0.25">
      <c r="B1076" t="s">
        <v>78</v>
      </c>
      <c r="C1076" t="s">
        <v>79</v>
      </c>
      <c r="D1076" t="s">
        <v>1991</v>
      </c>
      <c r="E1076" t="s">
        <v>1992</v>
      </c>
      <c r="F1076">
        <v>6.55</v>
      </c>
      <c r="G1076">
        <v>6.75</v>
      </c>
      <c r="H1076">
        <v>6.85</v>
      </c>
      <c r="I1076">
        <v>6.3</v>
      </c>
      <c r="J1076" s="1">
        <v>6.4</v>
      </c>
      <c r="K1076">
        <v>171340.15</v>
      </c>
      <c r="L1076">
        <v>26241</v>
      </c>
      <c r="M1076" t="s">
        <v>78</v>
      </c>
      <c r="N1076" t="s">
        <v>17</v>
      </c>
      <c r="O1076">
        <v>83</v>
      </c>
      <c r="P1076">
        <v>29.5</v>
      </c>
      <c r="Q1076">
        <v>6.2</v>
      </c>
    </row>
    <row r="1077" spans="2:17" x14ac:dyDescent="0.25">
      <c r="B1077" t="s">
        <v>78</v>
      </c>
      <c r="C1077" t="s">
        <v>79</v>
      </c>
      <c r="D1077" t="s">
        <v>6689</v>
      </c>
      <c r="E1077" t="s">
        <v>6688</v>
      </c>
      <c r="F1077">
        <v>17.899999999999999</v>
      </c>
      <c r="G1077">
        <v>17.8</v>
      </c>
      <c r="H1077">
        <v>17.8</v>
      </c>
      <c r="I1077">
        <v>16.75</v>
      </c>
      <c r="J1077" s="1">
        <v>17</v>
      </c>
      <c r="K1077">
        <v>660142.19999999995</v>
      </c>
      <c r="L1077">
        <v>38305</v>
      </c>
      <c r="M1077" t="s">
        <v>78</v>
      </c>
      <c r="N1077" t="s">
        <v>17</v>
      </c>
      <c r="O1077">
        <v>136</v>
      </c>
      <c r="P1077">
        <v>42.4</v>
      </c>
      <c r="Q1077">
        <v>16.600000000000001</v>
      </c>
    </row>
    <row r="1078" spans="2:17" x14ac:dyDescent="0.25">
      <c r="B1078" t="s">
        <v>78</v>
      </c>
      <c r="C1078" t="s">
        <v>79</v>
      </c>
      <c r="D1078" t="s">
        <v>3337</v>
      </c>
      <c r="E1078" t="s">
        <v>3338</v>
      </c>
      <c r="F1078">
        <v>23.4</v>
      </c>
      <c r="G1078">
        <v>23.4</v>
      </c>
      <c r="H1078">
        <v>24.15</v>
      </c>
      <c r="I1078">
        <v>20</v>
      </c>
      <c r="J1078" s="1">
        <v>22.75</v>
      </c>
      <c r="K1078">
        <v>314427.45</v>
      </c>
      <c r="L1078">
        <v>13644</v>
      </c>
      <c r="M1078" t="s">
        <v>78</v>
      </c>
      <c r="N1078" t="s">
        <v>17</v>
      </c>
      <c r="O1078">
        <v>220</v>
      </c>
      <c r="P1078">
        <v>45</v>
      </c>
      <c r="Q1078">
        <v>19.100000000000001</v>
      </c>
    </row>
    <row r="1079" spans="2:17" x14ac:dyDescent="0.25">
      <c r="B1079" t="s">
        <v>78</v>
      </c>
      <c r="C1079" t="s">
        <v>79</v>
      </c>
      <c r="D1079" t="s">
        <v>1993</v>
      </c>
      <c r="E1079" t="s">
        <v>1994</v>
      </c>
      <c r="F1079">
        <v>27.85</v>
      </c>
      <c r="G1079">
        <v>27.8</v>
      </c>
      <c r="H1079">
        <v>28.2</v>
      </c>
      <c r="I1079">
        <v>26.5</v>
      </c>
      <c r="J1079" s="1">
        <v>26.75</v>
      </c>
      <c r="K1079">
        <v>2603616.1</v>
      </c>
      <c r="L1079">
        <v>95588</v>
      </c>
      <c r="M1079" t="s">
        <v>78</v>
      </c>
      <c r="N1079" t="s">
        <v>17</v>
      </c>
      <c r="O1079">
        <v>608</v>
      </c>
      <c r="P1079">
        <v>47.15</v>
      </c>
      <c r="Q1079">
        <v>26.5</v>
      </c>
    </row>
    <row r="1080" spans="2:17" x14ac:dyDescent="0.25">
      <c r="B1080" t="s">
        <v>78</v>
      </c>
      <c r="C1080" t="s">
        <v>79</v>
      </c>
      <c r="D1080" t="s">
        <v>3339</v>
      </c>
      <c r="E1080" t="s">
        <v>5679</v>
      </c>
      <c r="F1080">
        <v>64.400000000000006</v>
      </c>
      <c r="G1080">
        <v>64.5</v>
      </c>
      <c r="H1080">
        <v>67.75</v>
      </c>
      <c r="I1080">
        <v>58.25</v>
      </c>
      <c r="J1080" s="1">
        <v>60.7</v>
      </c>
      <c r="K1080">
        <v>1382632.15</v>
      </c>
      <c r="L1080">
        <v>22135</v>
      </c>
      <c r="M1080" t="s">
        <v>78</v>
      </c>
      <c r="N1080" t="s">
        <v>17</v>
      </c>
      <c r="O1080">
        <v>608</v>
      </c>
      <c r="P1080">
        <v>81.5</v>
      </c>
      <c r="Q1080">
        <v>46.1</v>
      </c>
    </row>
    <row r="1081" spans="2:17" x14ac:dyDescent="0.25">
      <c r="B1081" t="s">
        <v>78</v>
      </c>
      <c r="C1081" t="s">
        <v>287</v>
      </c>
      <c r="D1081" t="s">
        <v>6687</v>
      </c>
      <c r="E1081" t="s">
        <v>6686</v>
      </c>
      <c r="F1081">
        <v>88.25</v>
      </c>
      <c r="G1081">
        <v>105.15</v>
      </c>
      <c r="H1081">
        <v>105.15</v>
      </c>
      <c r="I1081">
        <v>72.05</v>
      </c>
      <c r="J1081" s="1">
        <v>87.65</v>
      </c>
      <c r="K1081">
        <v>264850</v>
      </c>
      <c r="L1081">
        <v>3000</v>
      </c>
      <c r="M1081" t="s">
        <v>78</v>
      </c>
      <c r="N1081" t="s">
        <v>17</v>
      </c>
      <c r="O1081">
        <v>3</v>
      </c>
      <c r="P1081">
        <v>107.75</v>
      </c>
      <c r="Q1081">
        <v>60</v>
      </c>
    </row>
    <row r="1082" spans="2:17" x14ac:dyDescent="0.25">
      <c r="B1082" t="s">
        <v>78</v>
      </c>
      <c r="C1082" t="s">
        <v>79</v>
      </c>
      <c r="D1082" t="s">
        <v>3341</v>
      </c>
      <c r="E1082" t="s">
        <v>3342</v>
      </c>
      <c r="F1082">
        <v>63.35</v>
      </c>
      <c r="G1082">
        <v>63.9</v>
      </c>
      <c r="H1082">
        <v>64.400000000000006</v>
      </c>
      <c r="I1082">
        <v>62.1</v>
      </c>
      <c r="J1082" s="1">
        <v>62.85</v>
      </c>
      <c r="K1082">
        <v>5365405.2</v>
      </c>
      <c r="L1082">
        <v>84587</v>
      </c>
      <c r="M1082" t="s">
        <v>78</v>
      </c>
      <c r="N1082" t="s">
        <v>17</v>
      </c>
      <c r="O1082">
        <v>314</v>
      </c>
      <c r="P1082">
        <v>294</v>
      </c>
      <c r="Q1082">
        <v>46.6</v>
      </c>
    </row>
    <row r="1083" spans="2:17" x14ac:dyDescent="0.25">
      <c r="B1083" t="s">
        <v>78</v>
      </c>
      <c r="C1083" t="s">
        <v>79</v>
      </c>
      <c r="D1083" t="s">
        <v>3343</v>
      </c>
      <c r="E1083" t="s">
        <v>6685</v>
      </c>
      <c r="F1083">
        <v>4.2</v>
      </c>
      <c r="G1083">
        <v>4.2</v>
      </c>
      <c r="H1083">
        <v>4.3499999999999996</v>
      </c>
      <c r="I1083">
        <v>3.85</v>
      </c>
      <c r="J1083" s="1">
        <v>4</v>
      </c>
      <c r="K1083">
        <v>1392486.15</v>
      </c>
      <c r="L1083">
        <v>344925</v>
      </c>
      <c r="M1083" t="s">
        <v>78</v>
      </c>
      <c r="N1083" t="s">
        <v>17</v>
      </c>
      <c r="O1083">
        <v>502</v>
      </c>
      <c r="P1083">
        <v>14.4</v>
      </c>
      <c r="Q1083">
        <v>3.85</v>
      </c>
    </row>
    <row r="1084" spans="2:17" x14ac:dyDescent="0.25">
      <c r="B1084" t="s">
        <v>78</v>
      </c>
      <c r="C1084" t="s">
        <v>79</v>
      </c>
      <c r="D1084" t="s">
        <v>1995</v>
      </c>
      <c r="E1084" t="s">
        <v>1996</v>
      </c>
      <c r="F1084">
        <v>110.45</v>
      </c>
      <c r="G1084">
        <v>111</v>
      </c>
      <c r="H1084">
        <v>111.45</v>
      </c>
      <c r="I1084">
        <v>109.25</v>
      </c>
      <c r="J1084" s="1">
        <v>109.8</v>
      </c>
      <c r="K1084">
        <v>213061.1</v>
      </c>
      <c r="L1084">
        <v>1937</v>
      </c>
      <c r="M1084" t="s">
        <v>78</v>
      </c>
      <c r="N1084" t="s">
        <v>17</v>
      </c>
      <c r="O1084">
        <v>28</v>
      </c>
      <c r="P1084">
        <v>162</v>
      </c>
      <c r="Q1084">
        <v>86.2</v>
      </c>
    </row>
    <row r="1085" spans="2:17" x14ac:dyDescent="0.25">
      <c r="B1085" t="s">
        <v>78</v>
      </c>
      <c r="C1085" t="s">
        <v>79</v>
      </c>
      <c r="D1085" t="s">
        <v>1997</v>
      </c>
      <c r="E1085" t="s">
        <v>1998</v>
      </c>
      <c r="F1085">
        <v>18.600000000000001</v>
      </c>
      <c r="G1085">
        <v>19.5</v>
      </c>
      <c r="H1085">
        <v>19.5</v>
      </c>
      <c r="I1085">
        <v>18.3</v>
      </c>
      <c r="J1085" s="1">
        <v>18.649999999999999</v>
      </c>
      <c r="K1085">
        <v>704489.45</v>
      </c>
      <c r="L1085">
        <v>38122</v>
      </c>
      <c r="M1085" t="s">
        <v>78</v>
      </c>
      <c r="N1085" t="s">
        <v>17</v>
      </c>
      <c r="O1085">
        <v>190</v>
      </c>
      <c r="P1085">
        <v>41.8</v>
      </c>
      <c r="Q1085">
        <v>18.100000000000001</v>
      </c>
    </row>
    <row r="1086" spans="2:17" x14ac:dyDescent="0.25">
      <c r="B1086" t="s">
        <v>78</v>
      </c>
      <c r="C1086" t="s">
        <v>79</v>
      </c>
      <c r="D1086" t="s">
        <v>1999</v>
      </c>
      <c r="E1086" t="s">
        <v>2000</v>
      </c>
      <c r="F1086">
        <v>17.45</v>
      </c>
      <c r="G1086">
        <v>17.45</v>
      </c>
      <c r="H1086">
        <v>17.45</v>
      </c>
      <c r="I1086">
        <v>16.649999999999999</v>
      </c>
      <c r="J1086" s="1">
        <v>16.850000000000001</v>
      </c>
      <c r="K1086">
        <v>310817.7</v>
      </c>
      <c r="L1086">
        <v>18181</v>
      </c>
      <c r="M1086" t="s">
        <v>78</v>
      </c>
      <c r="N1086" t="s">
        <v>17</v>
      </c>
      <c r="O1086">
        <v>94</v>
      </c>
      <c r="P1086">
        <v>39.5</v>
      </c>
      <c r="Q1086">
        <v>16.649999999999999</v>
      </c>
    </row>
    <row r="1087" spans="2:17" x14ac:dyDescent="0.25">
      <c r="B1087" t="s">
        <v>78</v>
      </c>
      <c r="C1087" t="s">
        <v>79</v>
      </c>
      <c r="D1087" t="s">
        <v>2001</v>
      </c>
      <c r="E1087" t="s">
        <v>2002</v>
      </c>
      <c r="F1087">
        <v>13</v>
      </c>
      <c r="G1087">
        <v>13.75</v>
      </c>
      <c r="H1087">
        <v>13.75</v>
      </c>
      <c r="I1087">
        <v>12.5</v>
      </c>
      <c r="J1087" s="1">
        <v>13</v>
      </c>
      <c r="K1087">
        <v>908559</v>
      </c>
      <c r="L1087">
        <v>68879</v>
      </c>
      <c r="M1087" t="s">
        <v>78</v>
      </c>
      <c r="N1087" t="s">
        <v>17</v>
      </c>
      <c r="O1087">
        <v>147</v>
      </c>
      <c r="P1087">
        <v>16.850000000000001</v>
      </c>
      <c r="Q1087">
        <v>9</v>
      </c>
    </row>
    <row r="1088" spans="2:17" x14ac:dyDescent="0.25">
      <c r="B1088" t="s">
        <v>78</v>
      </c>
      <c r="C1088" t="s">
        <v>79</v>
      </c>
      <c r="D1088" t="s">
        <v>6684</v>
      </c>
      <c r="E1088" t="s">
        <v>6683</v>
      </c>
      <c r="F1088">
        <v>81.75</v>
      </c>
      <c r="G1088">
        <v>82.95</v>
      </c>
      <c r="H1088">
        <v>82.95</v>
      </c>
      <c r="I1088">
        <v>80.349999999999994</v>
      </c>
      <c r="J1088" s="1">
        <v>82.05</v>
      </c>
      <c r="K1088">
        <v>142284594.84999999</v>
      </c>
      <c r="L1088">
        <v>1748442</v>
      </c>
      <c r="M1088" t="s">
        <v>78</v>
      </c>
      <c r="N1088" t="s">
        <v>17</v>
      </c>
      <c r="O1088">
        <v>11685</v>
      </c>
      <c r="P1088">
        <v>118.95</v>
      </c>
      <c r="Q1088">
        <v>58</v>
      </c>
    </row>
    <row r="1089" spans="2:17" x14ac:dyDescent="0.25">
      <c r="B1089" t="s">
        <v>78</v>
      </c>
      <c r="C1089" t="s">
        <v>79</v>
      </c>
      <c r="D1089" t="s">
        <v>2003</v>
      </c>
      <c r="E1089" t="s">
        <v>2004</v>
      </c>
      <c r="F1089">
        <v>129.55000000000001</v>
      </c>
      <c r="G1089">
        <v>129.55000000000001</v>
      </c>
      <c r="H1089">
        <v>129.55000000000001</v>
      </c>
      <c r="I1089">
        <v>118</v>
      </c>
      <c r="J1089" s="1">
        <v>120.45</v>
      </c>
      <c r="K1089">
        <v>2447784.2999999998</v>
      </c>
      <c r="L1089">
        <v>19835</v>
      </c>
      <c r="M1089" t="s">
        <v>78</v>
      </c>
      <c r="N1089" t="s">
        <v>17</v>
      </c>
      <c r="O1089">
        <v>1295</v>
      </c>
      <c r="P1089">
        <v>268</v>
      </c>
      <c r="Q1089">
        <v>118</v>
      </c>
    </row>
    <row r="1090" spans="2:17" x14ac:dyDescent="0.25">
      <c r="B1090" t="s">
        <v>78</v>
      </c>
      <c r="C1090" t="s">
        <v>79</v>
      </c>
      <c r="D1090" t="s">
        <v>2005</v>
      </c>
      <c r="E1090" t="s">
        <v>2006</v>
      </c>
      <c r="F1090">
        <v>106.1</v>
      </c>
      <c r="G1090">
        <v>107.3</v>
      </c>
      <c r="H1090">
        <v>109.8</v>
      </c>
      <c r="I1090">
        <v>103.1</v>
      </c>
      <c r="J1090" s="1">
        <v>104.35</v>
      </c>
      <c r="K1090">
        <v>13404619.199999999</v>
      </c>
      <c r="L1090">
        <v>126928</v>
      </c>
      <c r="M1090" t="s">
        <v>78</v>
      </c>
      <c r="N1090" t="s">
        <v>17</v>
      </c>
      <c r="O1090">
        <v>3104</v>
      </c>
      <c r="P1090">
        <v>131.9</v>
      </c>
      <c r="Q1090">
        <v>62.15</v>
      </c>
    </row>
    <row r="1091" spans="2:17" x14ac:dyDescent="0.25">
      <c r="B1091" t="s">
        <v>78</v>
      </c>
      <c r="C1091" t="s">
        <v>79</v>
      </c>
      <c r="D1091" t="s">
        <v>2007</v>
      </c>
      <c r="E1091" t="s">
        <v>2008</v>
      </c>
      <c r="F1091">
        <v>157.15</v>
      </c>
      <c r="G1091">
        <v>156.25</v>
      </c>
      <c r="H1091">
        <v>158.30000000000001</v>
      </c>
      <c r="I1091">
        <v>151.69999999999999</v>
      </c>
      <c r="J1091" s="1">
        <v>153.1</v>
      </c>
      <c r="K1091">
        <v>42733659.5</v>
      </c>
      <c r="L1091">
        <v>275728</v>
      </c>
      <c r="M1091" t="s">
        <v>78</v>
      </c>
      <c r="N1091" t="s">
        <v>17</v>
      </c>
      <c r="O1091">
        <v>5729</v>
      </c>
      <c r="P1091">
        <v>177</v>
      </c>
      <c r="Q1091">
        <v>103.25</v>
      </c>
    </row>
    <row r="1092" spans="2:17" x14ac:dyDescent="0.25">
      <c r="B1092" t="s">
        <v>78</v>
      </c>
      <c r="C1092" t="s">
        <v>79</v>
      </c>
      <c r="D1092" t="s">
        <v>2009</v>
      </c>
      <c r="E1092" t="s">
        <v>2010</v>
      </c>
      <c r="F1092">
        <v>36.9</v>
      </c>
      <c r="G1092">
        <v>36.549999999999997</v>
      </c>
      <c r="H1092">
        <v>37.5</v>
      </c>
      <c r="I1092">
        <v>35.549999999999997</v>
      </c>
      <c r="J1092" s="1">
        <v>36.65</v>
      </c>
      <c r="K1092">
        <v>696758.3</v>
      </c>
      <c r="L1092">
        <v>19174</v>
      </c>
      <c r="M1092" t="s">
        <v>78</v>
      </c>
      <c r="N1092" t="s">
        <v>17</v>
      </c>
      <c r="O1092">
        <v>256</v>
      </c>
      <c r="P1092">
        <v>51</v>
      </c>
      <c r="Q1092">
        <v>33.5</v>
      </c>
    </row>
    <row r="1093" spans="2:17" x14ac:dyDescent="0.25">
      <c r="B1093" t="s">
        <v>78</v>
      </c>
      <c r="C1093" t="s">
        <v>79</v>
      </c>
      <c r="D1093" t="s">
        <v>2011</v>
      </c>
      <c r="E1093" t="s">
        <v>2012</v>
      </c>
      <c r="F1093">
        <v>126.8</v>
      </c>
      <c r="G1093">
        <v>126.8</v>
      </c>
      <c r="H1093">
        <v>128.75</v>
      </c>
      <c r="I1093">
        <v>121.15</v>
      </c>
      <c r="J1093" s="1">
        <v>123.9</v>
      </c>
      <c r="K1093">
        <v>41438</v>
      </c>
      <c r="L1093">
        <v>330</v>
      </c>
      <c r="M1093" t="s">
        <v>78</v>
      </c>
      <c r="N1093" t="s">
        <v>17</v>
      </c>
      <c r="O1093">
        <v>22</v>
      </c>
      <c r="P1093">
        <v>389.85</v>
      </c>
      <c r="Q1093">
        <v>116.7</v>
      </c>
    </row>
    <row r="1094" spans="2:17" x14ac:dyDescent="0.25">
      <c r="B1094" t="s">
        <v>78</v>
      </c>
      <c r="C1094" t="s">
        <v>79</v>
      </c>
      <c r="D1094" t="s">
        <v>2013</v>
      </c>
      <c r="E1094" t="s">
        <v>2014</v>
      </c>
      <c r="F1094">
        <v>27.15</v>
      </c>
      <c r="G1094">
        <v>27.2</v>
      </c>
      <c r="H1094">
        <v>27.4</v>
      </c>
      <c r="I1094">
        <v>26.2</v>
      </c>
      <c r="J1094" s="1">
        <v>26.35</v>
      </c>
      <c r="K1094">
        <v>6687015.4500000002</v>
      </c>
      <c r="L1094">
        <v>250385</v>
      </c>
      <c r="M1094" t="s">
        <v>78</v>
      </c>
      <c r="N1094" t="s">
        <v>17</v>
      </c>
      <c r="O1094">
        <v>1091</v>
      </c>
      <c r="P1094">
        <v>53</v>
      </c>
      <c r="Q1094">
        <v>25.35</v>
      </c>
    </row>
    <row r="1095" spans="2:17" x14ac:dyDescent="0.25">
      <c r="B1095" t="s">
        <v>78</v>
      </c>
      <c r="C1095" t="s">
        <v>79</v>
      </c>
      <c r="D1095" t="s">
        <v>2015</v>
      </c>
      <c r="E1095" t="s">
        <v>2016</v>
      </c>
      <c r="F1095">
        <v>194.9</v>
      </c>
      <c r="G1095">
        <v>197.85</v>
      </c>
      <c r="H1095">
        <v>197.85</v>
      </c>
      <c r="I1095">
        <v>191</v>
      </c>
      <c r="J1095" s="1">
        <v>193.6</v>
      </c>
      <c r="K1095">
        <v>3417537.6</v>
      </c>
      <c r="L1095">
        <v>17712</v>
      </c>
      <c r="M1095" t="s">
        <v>78</v>
      </c>
      <c r="N1095" t="s">
        <v>17</v>
      </c>
      <c r="O1095">
        <v>622</v>
      </c>
      <c r="P1095">
        <v>279.75</v>
      </c>
      <c r="Q1095">
        <v>170.35</v>
      </c>
    </row>
    <row r="1096" spans="2:17" x14ac:dyDescent="0.25">
      <c r="B1096" t="s">
        <v>78</v>
      </c>
      <c r="C1096" t="s">
        <v>79</v>
      </c>
      <c r="D1096" t="s">
        <v>2017</v>
      </c>
      <c r="E1096" t="s">
        <v>2018</v>
      </c>
      <c r="F1096">
        <v>684.4</v>
      </c>
      <c r="G1096">
        <v>687.1</v>
      </c>
      <c r="H1096">
        <v>693.8</v>
      </c>
      <c r="I1096">
        <v>666</v>
      </c>
      <c r="J1096" s="1">
        <v>671.75</v>
      </c>
      <c r="K1096">
        <v>2003517.6</v>
      </c>
      <c r="L1096">
        <v>2958</v>
      </c>
      <c r="M1096" t="s">
        <v>78</v>
      </c>
      <c r="N1096" t="s">
        <v>17</v>
      </c>
      <c r="O1096">
        <v>460</v>
      </c>
      <c r="P1096">
        <v>1144.3</v>
      </c>
      <c r="Q1096">
        <v>613.5</v>
      </c>
    </row>
    <row r="1097" spans="2:17" x14ac:dyDescent="0.25">
      <c r="B1097" t="s">
        <v>78</v>
      </c>
      <c r="C1097" t="s">
        <v>79</v>
      </c>
      <c r="D1097" t="s">
        <v>3642</v>
      </c>
      <c r="E1097" t="s">
        <v>3643</v>
      </c>
      <c r="F1097">
        <v>1.3</v>
      </c>
      <c r="G1097">
        <v>1.3</v>
      </c>
      <c r="H1097">
        <v>1.3</v>
      </c>
      <c r="I1097">
        <v>1.25</v>
      </c>
      <c r="J1097" s="1">
        <v>1.25</v>
      </c>
      <c r="K1097">
        <v>7921</v>
      </c>
      <c r="L1097">
        <v>6320</v>
      </c>
      <c r="M1097" t="s">
        <v>78</v>
      </c>
      <c r="N1097" t="s">
        <v>17</v>
      </c>
      <c r="O1097">
        <v>14</v>
      </c>
      <c r="P1097">
        <v>16.350000000000001</v>
      </c>
      <c r="Q1097">
        <v>1.25</v>
      </c>
    </row>
    <row r="1098" spans="2:17" x14ac:dyDescent="0.25">
      <c r="B1098" t="s">
        <v>78</v>
      </c>
      <c r="C1098" t="s">
        <v>287</v>
      </c>
      <c r="D1098" t="s">
        <v>2021</v>
      </c>
      <c r="E1098" t="s">
        <v>2022</v>
      </c>
      <c r="F1098">
        <v>269.8</v>
      </c>
      <c r="G1098">
        <v>298</v>
      </c>
      <c r="H1098">
        <v>298</v>
      </c>
      <c r="I1098">
        <v>269.8</v>
      </c>
      <c r="J1098" s="1">
        <v>269.8</v>
      </c>
      <c r="K1098">
        <v>227120</v>
      </c>
      <c r="L1098">
        <v>800</v>
      </c>
      <c r="M1098" t="s">
        <v>78</v>
      </c>
      <c r="N1098" t="s">
        <v>17</v>
      </c>
      <c r="O1098">
        <v>2</v>
      </c>
      <c r="P1098">
        <v>305</v>
      </c>
      <c r="Q1098">
        <v>260</v>
      </c>
    </row>
    <row r="1099" spans="2:17" x14ac:dyDescent="0.25">
      <c r="B1099" t="s">
        <v>78</v>
      </c>
      <c r="C1099" t="s">
        <v>79</v>
      </c>
      <c r="D1099" t="s">
        <v>2023</v>
      </c>
      <c r="E1099" t="s">
        <v>2024</v>
      </c>
      <c r="F1099">
        <v>6</v>
      </c>
      <c r="G1099">
        <v>6</v>
      </c>
      <c r="H1099">
        <v>6.25</v>
      </c>
      <c r="I1099">
        <v>5.65</v>
      </c>
      <c r="J1099" s="1">
        <v>5.85</v>
      </c>
      <c r="K1099">
        <v>102623.4</v>
      </c>
      <c r="L1099">
        <v>17699</v>
      </c>
      <c r="M1099" t="s">
        <v>78</v>
      </c>
      <c r="N1099" t="s">
        <v>17</v>
      </c>
      <c r="O1099">
        <v>140</v>
      </c>
      <c r="P1099">
        <v>11.5</v>
      </c>
      <c r="Q1099">
        <v>5.65</v>
      </c>
    </row>
    <row r="1100" spans="2:17" x14ac:dyDescent="0.25">
      <c r="B1100" t="s">
        <v>78</v>
      </c>
      <c r="C1100" t="s">
        <v>287</v>
      </c>
      <c r="D1100" t="s">
        <v>5672</v>
      </c>
      <c r="E1100" t="s">
        <v>5671</v>
      </c>
      <c r="F1100">
        <v>26.3</v>
      </c>
      <c r="G1100">
        <v>25</v>
      </c>
      <c r="H1100">
        <v>25.1</v>
      </c>
      <c r="I1100">
        <v>25</v>
      </c>
      <c r="J1100" s="1">
        <v>25.1</v>
      </c>
      <c r="K1100">
        <v>200400</v>
      </c>
      <c r="L1100">
        <v>8000</v>
      </c>
      <c r="M1100" t="s">
        <v>78</v>
      </c>
      <c r="N1100" t="s">
        <v>17</v>
      </c>
      <c r="O1100">
        <v>2</v>
      </c>
      <c r="P1100">
        <v>34</v>
      </c>
      <c r="Q1100">
        <v>19</v>
      </c>
    </row>
    <row r="1101" spans="2:17" x14ac:dyDescent="0.25">
      <c r="B1101" t="s">
        <v>78</v>
      </c>
      <c r="C1101" t="s">
        <v>79</v>
      </c>
      <c r="D1101" t="s">
        <v>2027</v>
      </c>
      <c r="E1101" t="s">
        <v>2028</v>
      </c>
      <c r="F1101">
        <v>389.75</v>
      </c>
      <c r="G1101">
        <v>388.15</v>
      </c>
      <c r="H1101">
        <v>391</v>
      </c>
      <c r="I1101">
        <v>381</v>
      </c>
      <c r="J1101" s="1">
        <v>389.7</v>
      </c>
      <c r="K1101">
        <v>12638004.15</v>
      </c>
      <c r="L1101">
        <v>32443</v>
      </c>
      <c r="M1101" t="s">
        <v>78</v>
      </c>
      <c r="N1101" t="s">
        <v>17</v>
      </c>
      <c r="O1101">
        <v>283</v>
      </c>
      <c r="P1101">
        <v>425</v>
      </c>
      <c r="Q1101">
        <v>290</v>
      </c>
    </row>
    <row r="1102" spans="2:17" x14ac:dyDescent="0.25">
      <c r="B1102" t="s">
        <v>78</v>
      </c>
      <c r="C1102" t="s">
        <v>79</v>
      </c>
      <c r="D1102" t="s">
        <v>3347</v>
      </c>
      <c r="E1102" t="s">
        <v>3348</v>
      </c>
      <c r="F1102">
        <v>35.75</v>
      </c>
      <c r="G1102">
        <v>34</v>
      </c>
      <c r="H1102">
        <v>42.9</v>
      </c>
      <c r="I1102">
        <v>34</v>
      </c>
      <c r="J1102" s="1">
        <v>41.9</v>
      </c>
      <c r="K1102">
        <v>1211846.45</v>
      </c>
      <c r="L1102">
        <v>29682</v>
      </c>
      <c r="M1102" t="s">
        <v>78</v>
      </c>
      <c r="N1102" t="s">
        <v>17</v>
      </c>
      <c r="O1102">
        <v>177</v>
      </c>
      <c r="P1102">
        <v>53</v>
      </c>
      <c r="Q1102">
        <v>30.65</v>
      </c>
    </row>
    <row r="1103" spans="2:17" x14ac:dyDescent="0.25">
      <c r="B1103" t="s">
        <v>78</v>
      </c>
      <c r="C1103" t="s">
        <v>79</v>
      </c>
      <c r="D1103" t="s">
        <v>2029</v>
      </c>
      <c r="E1103" t="s">
        <v>2030</v>
      </c>
      <c r="F1103">
        <v>24.05</v>
      </c>
      <c r="G1103">
        <v>24.15</v>
      </c>
      <c r="H1103">
        <v>24.3</v>
      </c>
      <c r="I1103">
        <v>23.15</v>
      </c>
      <c r="J1103" s="1">
        <v>24.1</v>
      </c>
      <c r="K1103">
        <v>33928.199999999997</v>
      </c>
      <c r="L1103">
        <v>1422</v>
      </c>
      <c r="M1103" t="s">
        <v>78</v>
      </c>
      <c r="N1103" t="s">
        <v>17</v>
      </c>
      <c r="O1103">
        <v>72</v>
      </c>
      <c r="P1103">
        <v>53.8</v>
      </c>
      <c r="Q1103">
        <v>23.15</v>
      </c>
    </row>
    <row r="1104" spans="2:17" x14ac:dyDescent="0.25">
      <c r="B1104" t="s">
        <v>78</v>
      </c>
      <c r="C1104" t="s">
        <v>79</v>
      </c>
      <c r="D1104" t="s">
        <v>2031</v>
      </c>
      <c r="E1104" t="s">
        <v>2032</v>
      </c>
      <c r="F1104">
        <v>144.75</v>
      </c>
      <c r="G1104">
        <v>145.30000000000001</v>
      </c>
      <c r="H1104">
        <v>145.30000000000001</v>
      </c>
      <c r="I1104">
        <v>132.65</v>
      </c>
      <c r="J1104" s="1">
        <v>134.75</v>
      </c>
      <c r="K1104">
        <v>3627602.1</v>
      </c>
      <c r="L1104">
        <v>26140</v>
      </c>
      <c r="M1104" t="s">
        <v>78</v>
      </c>
      <c r="N1104" t="s">
        <v>17</v>
      </c>
      <c r="O1104">
        <v>1003</v>
      </c>
      <c r="P1104">
        <v>269.10000000000002</v>
      </c>
      <c r="Q1104">
        <v>132.65</v>
      </c>
    </row>
    <row r="1105" spans="2:17" x14ac:dyDescent="0.25">
      <c r="B1105" t="s">
        <v>78</v>
      </c>
      <c r="C1105" t="s">
        <v>79</v>
      </c>
      <c r="D1105" t="s">
        <v>2035</v>
      </c>
      <c r="E1105" t="s">
        <v>2036</v>
      </c>
      <c r="F1105">
        <v>87.3</v>
      </c>
      <c r="G1105">
        <v>86.05</v>
      </c>
      <c r="H1105">
        <v>89</v>
      </c>
      <c r="I1105">
        <v>85.05</v>
      </c>
      <c r="J1105" s="1">
        <v>88.05</v>
      </c>
      <c r="K1105">
        <v>630004.19999999995</v>
      </c>
      <c r="L1105">
        <v>7201</v>
      </c>
      <c r="M1105" t="s">
        <v>78</v>
      </c>
      <c r="N1105" t="s">
        <v>17</v>
      </c>
      <c r="O1105">
        <v>200</v>
      </c>
      <c r="P1105">
        <v>164.95</v>
      </c>
      <c r="Q1105">
        <v>83.15</v>
      </c>
    </row>
    <row r="1106" spans="2:17" x14ac:dyDescent="0.25">
      <c r="B1106" t="s">
        <v>78</v>
      </c>
      <c r="C1106" t="s">
        <v>79</v>
      </c>
      <c r="D1106" t="s">
        <v>6682</v>
      </c>
      <c r="E1106" t="s">
        <v>6681</v>
      </c>
      <c r="F1106">
        <v>255.6</v>
      </c>
      <c r="G1106">
        <v>255.1</v>
      </c>
      <c r="H1106">
        <v>259</v>
      </c>
      <c r="I1106">
        <v>247</v>
      </c>
      <c r="J1106" s="1">
        <v>248.55</v>
      </c>
      <c r="K1106">
        <v>4035023.2</v>
      </c>
      <c r="L1106">
        <v>16139</v>
      </c>
      <c r="M1106" t="s">
        <v>78</v>
      </c>
      <c r="N1106" t="s">
        <v>17</v>
      </c>
      <c r="O1106">
        <v>535</v>
      </c>
      <c r="P1106">
        <v>298</v>
      </c>
      <c r="Q1106">
        <v>155</v>
      </c>
    </row>
    <row r="1107" spans="2:17" x14ac:dyDescent="0.25">
      <c r="B1107" t="s">
        <v>78</v>
      </c>
      <c r="C1107" t="s">
        <v>79</v>
      </c>
      <c r="D1107" t="s">
        <v>2039</v>
      </c>
      <c r="E1107" t="s">
        <v>2040</v>
      </c>
      <c r="F1107">
        <v>9.85</v>
      </c>
      <c r="G1107">
        <v>9.85</v>
      </c>
      <c r="H1107">
        <v>10.8</v>
      </c>
      <c r="I1107">
        <v>9.5500000000000007</v>
      </c>
      <c r="J1107" s="1">
        <v>9.75</v>
      </c>
      <c r="K1107">
        <v>420414.15</v>
      </c>
      <c r="L1107">
        <v>42659</v>
      </c>
      <c r="M1107" t="s">
        <v>78</v>
      </c>
      <c r="N1107" t="s">
        <v>17</v>
      </c>
      <c r="O1107">
        <v>132</v>
      </c>
      <c r="P1107">
        <v>17.3</v>
      </c>
      <c r="Q1107">
        <v>8.4499999999999993</v>
      </c>
    </row>
    <row r="1108" spans="2:17" x14ac:dyDescent="0.25">
      <c r="B1108" t="s">
        <v>78</v>
      </c>
      <c r="C1108" t="s">
        <v>79</v>
      </c>
      <c r="D1108" t="s">
        <v>2041</v>
      </c>
      <c r="E1108" t="s">
        <v>2042</v>
      </c>
      <c r="F1108">
        <v>260.05</v>
      </c>
      <c r="G1108">
        <v>260.05</v>
      </c>
      <c r="H1108">
        <v>262</v>
      </c>
      <c r="I1108">
        <v>256.05</v>
      </c>
      <c r="J1108" s="1">
        <v>258.95</v>
      </c>
      <c r="K1108">
        <v>54908745.149999999</v>
      </c>
      <c r="L1108">
        <v>211748</v>
      </c>
      <c r="M1108" t="s">
        <v>78</v>
      </c>
      <c r="N1108" t="s">
        <v>17</v>
      </c>
      <c r="O1108">
        <v>7572</v>
      </c>
      <c r="P1108">
        <v>344.7</v>
      </c>
      <c r="Q1108">
        <v>197.05</v>
      </c>
    </row>
    <row r="1109" spans="2:17" x14ac:dyDescent="0.25">
      <c r="B1109" t="s">
        <v>78</v>
      </c>
      <c r="C1109" t="s">
        <v>79</v>
      </c>
      <c r="D1109" t="s">
        <v>2045</v>
      </c>
      <c r="E1109" t="s">
        <v>2046</v>
      </c>
      <c r="F1109">
        <v>18.55</v>
      </c>
      <c r="G1109">
        <v>18.45</v>
      </c>
      <c r="H1109">
        <v>18.649999999999999</v>
      </c>
      <c r="I1109">
        <v>17.5</v>
      </c>
      <c r="J1109" s="1">
        <v>17.95</v>
      </c>
      <c r="K1109">
        <v>1860262.45</v>
      </c>
      <c r="L1109">
        <v>101992</v>
      </c>
      <c r="M1109" t="s">
        <v>78</v>
      </c>
      <c r="N1109" t="s">
        <v>17</v>
      </c>
      <c r="O1109">
        <v>409</v>
      </c>
      <c r="P1109">
        <v>56.45</v>
      </c>
      <c r="Q1109">
        <v>17.100000000000001</v>
      </c>
    </row>
    <row r="1110" spans="2:17" x14ac:dyDescent="0.25">
      <c r="B1110" t="s">
        <v>78</v>
      </c>
      <c r="C1110" t="s">
        <v>79</v>
      </c>
      <c r="D1110" t="s">
        <v>2047</v>
      </c>
      <c r="E1110" t="s">
        <v>2048</v>
      </c>
      <c r="F1110">
        <v>34.549999999999997</v>
      </c>
      <c r="G1110">
        <v>34</v>
      </c>
      <c r="H1110">
        <v>35.35</v>
      </c>
      <c r="I1110">
        <v>33.5</v>
      </c>
      <c r="J1110" s="1">
        <v>33.700000000000003</v>
      </c>
      <c r="K1110">
        <v>296200.55</v>
      </c>
      <c r="L1110">
        <v>8715</v>
      </c>
      <c r="M1110" t="s">
        <v>78</v>
      </c>
      <c r="N1110" t="s">
        <v>17</v>
      </c>
      <c r="O1110">
        <v>300</v>
      </c>
      <c r="P1110">
        <v>61</v>
      </c>
      <c r="Q1110">
        <v>33.5</v>
      </c>
    </row>
    <row r="1111" spans="2:17" x14ac:dyDescent="0.25">
      <c r="B1111" t="s">
        <v>78</v>
      </c>
      <c r="C1111" t="s">
        <v>79</v>
      </c>
      <c r="D1111" t="s">
        <v>3349</v>
      </c>
      <c r="E1111" t="s">
        <v>6680</v>
      </c>
      <c r="F1111">
        <v>7.1</v>
      </c>
      <c r="G1111">
        <v>7.7</v>
      </c>
      <c r="H1111">
        <v>7.7</v>
      </c>
      <c r="I1111">
        <v>7</v>
      </c>
      <c r="J1111" s="1">
        <v>7</v>
      </c>
      <c r="K1111">
        <v>11842.55</v>
      </c>
      <c r="L1111">
        <v>1682</v>
      </c>
      <c r="M1111" t="s">
        <v>78</v>
      </c>
      <c r="N1111" t="s">
        <v>17</v>
      </c>
      <c r="O1111">
        <v>16</v>
      </c>
      <c r="P1111">
        <v>15.3</v>
      </c>
      <c r="Q1111">
        <v>6.85</v>
      </c>
    </row>
    <row r="1112" spans="2:17" x14ac:dyDescent="0.25">
      <c r="B1112" t="s">
        <v>78</v>
      </c>
      <c r="C1112" t="s">
        <v>79</v>
      </c>
      <c r="D1112" t="s">
        <v>2053</v>
      </c>
      <c r="E1112" t="s">
        <v>2054</v>
      </c>
      <c r="F1112">
        <v>36.200000000000003</v>
      </c>
      <c r="G1112">
        <v>36.5</v>
      </c>
      <c r="H1112">
        <v>36.75</v>
      </c>
      <c r="I1112">
        <v>34.1</v>
      </c>
      <c r="J1112" s="1">
        <v>34.6</v>
      </c>
      <c r="K1112">
        <v>271389230.44999999</v>
      </c>
      <c r="L1112">
        <v>7802086</v>
      </c>
      <c r="M1112" t="s">
        <v>78</v>
      </c>
      <c r="N1112" t="s">
        <v>17</v>
      </c>
      <c r="O1112">
        <v>26759</v>
      </c>
      <c r="P1112">
        <v>163.5</v>
      </c>
      <c r="Q1112">
        <v>34.1</v>
      </c>
    </row>
    <row r="1113" spans="2:17" x14ac:dyDescent="0.25">
      <c r="B1113" t="s">
        <v>78</v>
      </c>
      <c r="C1113" t="s">
        <v>79</v>
      </c>
      <c r="D1113" t="s">
        <v>2055</v>
      </c>
      <c r="E1113" t="s">
        <v>2056</v>
      </c>
      <c r="F1113">
        <v>11.35</v>
      </c>
      <c r="G1113">
        <v>11.3</v>
      </c>
      <c r="H1113">
        <v>11.5</v>
      </c>
      <c r="I1113">
        <v>10.8</v>
      </c>
      <c r="J1113" s="1">
        <v>11.2</v>
      </c>
      <c r="K1113">
        <v>209903.45</v>
      </c>
      <c r="L1113">
        <v>19025</v>
      </c>
      <c r="M1113" t="s">
        <v>78</v>
      </c>
      <c r="N1113" t="s">
        <v>17</v>
      </c>
      <c r="O1113">
        <v>194</v>
      </c>
      <c r="P1113">
        <v>29.05</v>
      </c>
      <c r="Q1113">
        <v>10.5</v>
      </c>
    </row>
    <row r="1114" spans="2:17" x14ac:dyDescent="0.25">
      <c r="B1114" t="s">
        <v>78</v>
      </c>
      <c r="C1114" t="s">
        <v>79</v>
      </c>
      <c r="D1114" t="s">
        <v>2057</v>
      </c>
      <c r="E1114" t="s">
        <v>2058</v>
      </c>
      <c r="F1114">
        <v>388.7</v>
      </c>
      <c r="G1114">
        <v>377</v>
      </c>
      <c r="H1114">
        <v>388</v>
      </c>
      <c r="I1114">
        <v>367</v>
      </c>
      <c r="J1114" s="1">
        <v>374.65</v>
      </c>
      <c r="K1114">
        <v>689165.35</v>
      </c>
      <c r="L1114">
        <v>1822</v>
      </c>
      <c r="M1114" t="s">
        <v>78</v>
      </c>
      <c r="N1114" t="s">
        <v>17</v>
      </c>
      <c r="O1114">
        <v>172</v>
      </c>
      <c r="P1114">
        <v>399</v>
      </c>
      <c r="Q1114">
        <v>228</v>
      </c>
    </row>
    <row r="1115" spans="2:17" x14ac:dyDescent="0.25">
      <c r="B1115" t="s">
        <v>78</v>
      </c>
      <c r="C1115" t="s">
        <v>79</v>
      </c>
      <c r="D1115" t="s">
        <v>2061</v>
      </c>
      <c r="E1115" t="s">
        <v>2062</v>
      </c>
      <c r="F1115">
        <v>31.75</v>
      </c>
      <c r="G1115">
        <v>31.2</v>
      </c>
      <c r="H1115">
        <v>31.8</v>
      </c>
      <c r="I1115">
        <v>30.05</v>
      </c>
      <c r="J1115" s="1">
        <v>30.4</v>
      </c>
      <c r="K1115">
        <v>4138487.55</v>
      </c>
      <c r="L1115">
        <v>134001</v>
      </c>
      <c r="M1115" t="s">
        <v>78</v>
      </c>
      <c r="N1115" t="s">
        <v>17</v>
      </c>
      <c r="O1115">
        <v>2431</v>
      </c>
      <c r="P1115">
        <v>50.4</v>
      </c>
      <c r="Q1115">
        <v>29.9</v>
      </c>
    </row>
    <row r="1116" spans="2:17" x14ac:dyDescent="0.25">
      <c r="B1116" t="s">
        <v>78</v>
      </c>
      <c r="C1116" t="s">
        <v>79</v>
      </c>
      <c r="D1116" t="s">
        <v>3353</v>
      </c>
      <c r="E1116" t="s">
        <v>3354</v>
      </c>
      <c r="F1116">
        <v>5.5</v>
      </c>
      <c r="G1116">
        <v>5.5</v>
      </c>
      <c r="H1116">
        <v>5.65</v>
      </c>
      <c r="I1116">
        <v>5.5</v>
      </c>
      <c r="J1116" s="1">
        <v>5.5</v>
      </c>
      <c r="K1116">
        <v>451532.3</v>
      </c>
      <c r="L1116">
        <v>81470</v>
      </c>
      <c r="M1116" t="s">
        <v>78</v>
      </c>
      <c r="N1116" t="s">
        <v>17</v>
      </c>
      <c r="O1116">
        <v>110</v>
      </c>
      <c r="P1116">
        <v>17.350000000000001</v>
      </c>
      <c r="Q1116">
        <v>5.0999999999999996</v>
      </c>
    </row>
    <row r="1117" spans="2:17" x14ac:dyDescent="0.25">
      <c r="B1117" t="s">
        <v>78</v>
      </c>
      <c r="C1117" t="s">
        <v>79</v>
      </c>
      <c r="D1117" t="s">
        <v>2065</v>
      </c>
      <c r="E1117" t="s">
        <v>2066</v>
      </c>
      <c r="F1117">
        <v>608.04999999999995</v>
      </c>
      <c r="G1117">
        <v>608.04999999999995</v>
      </c>
      <c r="H1117">
        <v>611.79999999999995</v>
      </c>
      <c r="I1117">
        <v>575</v>
      </c>
      <c r="J1117" s="1">
        <v>577.20000000000005</v>
      </c>
      <c r="K1117">
        <v>104444690.75</v>
      </c>
      <c r="L1117">
        <v>179053</v>
      </c>
      <c r="M1117" t="s">
        <v>78</v>
      </c>
      <c r="N1117" t="s">
        <v>17</v>
      </c>
      <c r="O1117">
        <v>9522</v>
      </c>
      <c r="P1117">
        <v>915</v>
      </c>
      <c r="Q1117">
        <v>532.29999999999995</v>
      </c>
    </row>
    <row r="1118" spans="2:17" x14ac:dyDescent="0.25">
      <c r="B1118" t="s">
        <v>78</v>
      </c>
      <c r="C1118" t="s">
        <v>79</v>
      </c>
      <c r="D1118" t="s">
        <v>258</v>
      </c>
      <c r="E1118" t="s">
        <v>259</v>
      </c>
      <c r="F1118">
        <v>121</v>
      </c>
      <c r="G1118">
        <v>120.15</v>
      </c>
      <c r="H1118">
        <v>124</v>
      </c>
      <c r="I1118">
        <v>118.4</v>
      </c>
      <c r="J1118" s="1">
        <v>119.25</v>
      </c>
      <c r="K1118">
        <v>1512500319.95</v>
      </c>
      <c r="L1118">
        <v>12576779</v>
      </c>
      <c r="M1118" t="s">
        <v>78</v>
      </c>
      <c r="N1118" t="s">
        <v>17</v>
      </c>
      <c r="O1118">
        <v>43537</v>
      </c>
      <c r="P1118">
        <v>138.75</v>
      </c>
      <c r="Q1118">
        <v>67.5</v>
      </c>
    </row>
    <row r="1119" spans="2:17" x14ac:dyDescent="0.25">
      <c r="B1119" t="s">
        <v>78</v>
      </c>
      <c r="C1119" t="s">
        <v>79</v>
      </c>
      <c r="D1119" t="s">
        <v>2067</v>
      </c>
      <c r="E1119" t="s">
        <v>2068</v>
      </c>
      <c r="F1119">
        <v>3193.9</v>
      </c>
      <c r="G1119">
        <v>3210.05</v>
      </c>
      <c r="H1119">
        <v>3210.2</v>
      </c>
      <c r="I1119">
        <v>3150.4</v>
      </c>
      <c r="J1119" s="1">
        <v>3169.45</v>
      </c>
      <c r="K1119">
        <v>36098477.899999999</v>
      </c>
      <c r="L1119">
        <v>11398</v>
      </c>
      <c r="M1119" t="s">
        <v>78</v>
      </c>
      <c r="N1119" t="s">
        <v>17</v>
      </c>
      <c r="O1119">
        <v>1733</v>
      </c>
      <c r="P1119">
        <v>3847.7</v>
      </c>
      <c r="Q1119">
        <v>2501</v>
      </c>
    </row>
    <row r="1120" spans="2:17" x14ac:dyDescent="0.25">
      <c r="B1120" t="s">
        <v>78</v>
      </c>
      <c r="C1120" t="s">
        <v>79</v>
      </c>
      <c r="D1120" t="s">
        <v>3355</v>
      </c>
      <c r="E1120" t="s">
        <v>3356</v>
      </c>
      <c r="F1120">
        <v>44.95</v>
      </c>
      <c r="G1120">
        <v>47.6</v>
      </c>
      <c r="H1120">
        <v>49.9</v>
      </c>
      <c r="I1120">
        <v>42.5</v>
      </c>
      <c r="J1120" s="1">
        <v>43.95</v>
      </c>
      <c r="K1120">
        <v>462534.75</v>
      </c>
      <c r="L1120">
        <v>10318</v>
      </c>
      <c r="M1120" t="s">
        <v>78</v>
      </c>
      <c r="N1120" t="s">
        <v>17</v>
      </c>
      <c r="O1120">
        <v>291</v>
      </c>
      <c r="P1120">
        <v>97.5</v>
      </c>
      <c r="Q1120">
        <v>42.5</v>
      </c>
    </row>
    <row r="1121" spans="2:17" x14ac:dyDescent="0.25">
      <c r="B1121" t="s">
        <v>78</v>
      </c>
      <c r="C1121" t="s">
        <v>79</v>
      </c>
      <c r="D1121" t="s">
        <v>2069</v>
      </c>
      <c r="E1121" t="s">
        <v>2070</v>
      </c>
      <c r="F1121">
        <v>13.9</v>
      </c>
      <c r="G1121">
        <v>13.9</v>
      </c>
      <c r="H1121">
        <v>14.05</v>
      </c>
      <c r="I1121">
        <v>13.45</v>
      </c>
      <c r="J1121" s="1">
        <v>13.75</v>
      </c>
      <c r="K1121">
        <v>7377539.6500000004</v>
      </c>
      <c r="L1121">
        <v>537525</v>
      </c>
      <c r="M1121" t="s">
        <v>78</v>
      </c>
      <c r="N1121" t="s">
        <v>17</v>
      </c>
      <c r="O1121">
        <v>1317</v>
      </c>
      <c r="P1121">
        <v>20.399999999999999</v>
      </c>
      <c r="Q1121">
        <v>13</v>
      </c>
    </row>
    <row r="1122" spans="2:17" x14ac:dyDescent="0.25">
      <c r="B1122" t="s">
        <v>78</v>
      </c>
      <c r="C1122" t="s">
        <v>79</v>
      </c>
      <c r="D1122" t="s">
        <v>2071</v>
      </c>
      <c r="E1122" t="s">
        <v>2072</v>
      </c>
      <c r="F1122">
        <v>48.65</v>
      </c>
      <c r="G1122">
        <v>48.8</v>
      </c>
      <c r="H1122">
        <v>49.1</v>
      </c>
      <c r="I1122">
        <v>45.1</v>
      </c>
      <c r="J1122" s="1">
        <v>46.9</v>
      </c>
      <c r="K1122">
        <v>4807940</v>
      </c>
      <c r="L1122">
        <v>103265</v>
      </c>
      <c r="M1122" t="s">
        <v>78</v>
      </c>
      <c r="N1122" t="s">
        <v>17</v>
      </c>
      <c r="O1122">
        <v>484</v>
      </c>
      <c r="P1122">
        <v>201.7</v>
      </c>
      <c r="Q1122">
        <v>43.55</v>
      </c>
    </row>
    <row r="1123" spans="2:17" x14ac:dyDescent="0.25">
      <c r="B1123" t="s">
        <v>78</v>
      </c>
      <c r="C1123" t="s">
        <v>79</v>
      </c>
      <c r="D1123" t="s">
        <v>2073</v>
      </c>
      <c r="E1123" t="s">
        <v>2074</v>
      </c>
      <c r="F1123">
        <v>4759.2</v>
      </c>
      <c r="G1123">
        <v>4761</v>
      </c>
      <c r="H1123">
        <v>4850</v>
      </c>
      <c r="I1123">
        <v>4650</v>
      </c>
      <c r="J1123" s="1">
        <v>4698.05</v>
      </c>
      <c r="K1123">
        <v>148664779.5</v>
      </c>
      <c r="L1123">
        <v>31512</v>
      </c>
      <c r="M1123" t="s">
        <v>78</v>
      </c>
      <c r="N1123" t="s">
        <v>17</v>
      </c>
      <c r="O1123">
        <v>7135</v>
      </c>
      <c r="P1123">
        <v>5050</v>
      </c>
      <c r="Q1123">
        <v>2100</v>
      </c>
    </row>
    <row r="1124" spans="2:17" x14ac:dyDescent="0.25">
      <c r="B1124" t="s">
        <v>78</v>
      </c>
      <c r="C1124" t="s">
        <v>79</v>
      </c>
      <c r="D1124" t="s">
        <v>2075</v>
      </c>
      <c r="E1124" t="s">
        <v>2076</v>
      </c>
      <c r="F1124">
        <v>163.80000000000001</v>
      </c>
      <c r="G1124">
        <v>162</v>
      </c>
      <c r="H1124">
        <v>163.1</v>
      </c>
      <c r="I1124">
        <v>153.1</v>
      </c>
      <c r="J1124" s="1">
        <v>155</v>
      </c>
      <c r="K1124">
        <v>722141.5</v>
      </c>
      <c r="L1124">
        <v>4500</v>
      </c>
      <c r="M1124" t="s">
        <v>78</v>
      </c>
      <c r="N1124" t="s">
        <v>17</v>
      </c>
      <c r="O1124">
        <v>89</v>
      </c>
      <c r="P1124">
        <v>197.9</v>
      </c>
      <c r="Q1124">
        <v>118.45</v>
      </c>
    </row>
    <row r="1125" spans="2:17" x14ac:dyDescent="0.25">
      <c r="B1125" t="s">
        <v>78</v>
      </c>
      <c r="C1125" t="s">
        <v>79</v>
      </c>
      <c r="D1125" t="s">
        <v>2079</v>
      </c>
      <c r="E1125" t="s">
        <v>2080</v>
      </c>
      <c r="F1125">
        <v>116.35</v>
      </c>
      <c r="G1125">
        <v>117.4</v>
      </c>
      <c r="H1125">
        <v>118.9</v>
      </c>
      <c r="I1125">
        <v>111.1</v>
      </c>
      <c r="J1125" s="1">
        <v>115.05</v>
      </c>
      <c r="K1125">
        <v>129875030.75</v>
      </c>
      <c r="L1125">
        <v>1121550</v>
      </c>
      <c r="M1125" t="s">
        <v>78</v>
      </c>
      <c r="N1125" t="s">
        <v>17</v>
      </c>
      <c r="O1125">
        <v>18930</v>
      </c>
      <c r="P1125">
        <v>286.95</v>
      </c>
      <c r="Q1125">
        <v>107.5</v>
      </c>
    </row>
    <row r="1126" spans="2:17" x14ac:dyDescent="0.25">
      <c r="B1126" t="s">
        <v>78</v>
      </c>
      <c r="C1126" t="s">
        <v>79</v>
      </c>
      <c r="D1126" t="s">
        <v>2081</v>
      </c>
      <c r="E1126" t="s">
        <v>2082</v>
      </c>
      <c r="F1126">
        <v>655.04999999999995</v>
      </c>
      <c r="G1126">
        <v>655.04999999999995</v>
      </c>
      <c r="H1126">
        <v>670.7</v>
      </c>
      <c r="I1126">
        <v>635.1</v>
      </c>
      <c r="J1126" s="1">
        <v>654.5</v>
      </c>
      <c r="K1126">
        <v>32188957.25</v>
      </c>
      <c r="L1126">
        <v>49576</v>
      </c>
      <c r="M1126" t="s">
        <v>78</v>
      </c>
      <c r="N1126" t="s">
        <v>17</v>
      </c>
      <c r="O1126">
        <v>3228</v>
      </c>
      <c r="P1126">
        <v>692.05</v>
      </c>
      <c r="Q1126">
        <v>489</v>
      </c>
    </row>
    <row r="1127" spans="2:17" x14ac:dyDescent="0.25">
      <c r="B1127" t="s">
        <v>78</v>
      </c>
      <c r="C1127" t="s">
        <v>79</v>
      </c>
      <c r="D1127" t="s">
        <v>2083</v>
      </c>
      <c r="E1127" t="s">
        <v>2084</v>
      </c>
      <c r="F1127">
        <v>1124.5999999999999</v>
      </c>
      <c r="G1127">
        <v>1125</v>
      </c>
      <c r="H1127">
        <v>1130.8</v>
      </c>
      <c r="I1127">
        <v>1058</v>
      </c>
      <c r="J1127" s="1">
        <v>1081.4000000000001</v>
      </c>
      <c r="K1127">
        <v>189207297.15000001</v>
      </c>
      <c r="L1127">
        <v>175911</v>
      </c>
      <c r="M1127" t="s">
        <v>78</v>
      </c>
      <c r="N1127" t="s">
        <v>17</v>
      </c>
      <c r="O1127">
        <v>12981</v>
      </c>
      <c r="P1127">
        <v>1229.95</v>
      </c>
      <c r="Q1127">
        <v>675.6</v>
      </c>
    </row>
    <row r="1128" spans="2:17" x14ac:dyDescent="0.25">
      <c r="B1128" t="s">
        <v>78</v>
      </c>
      <c r="C1128" t="s">
        <v>79</v>
      </c>
      <c r="D1128" t="s">
        <v>2085</v>
      </c>
      <c r="E1128" t="s">
        <v>2086</v>
      </c>
      <c r="F1128">
        <v>1990.8</v>
      </c>
      <c r="G1128">
        <v>2099</v>
      </c>
      <c r="H1128">
        <v>2099</v>
      </c>
      <c r="I1128">
        <v>1978.05</v>
      </c>
      <c r="J1128" s="1">
        <v>1993.65</v>
      </c>
      <c r="K1128">
        <v>4974490.9000000004</v>
      </c>
      <c r="L1128">
        <v>2486</v>
      </c>
      <c r="M1128" t="s">
        <v>78</v>
      </c>
      <c r="N1128" t="s">
        <v>17</v>
      </c>
      <c r="O1128">
        <v>157</v>
      </c>
      <c r="P1128">
        <v>2643.15</v>
      </c>
      <c r="Q1128">
        <v>1793</v>
      </c>
    </row>
    <row r="1129" spans="2:17" x14ac:dyDescent="0.25">
      <c r="B1129" t="s">
        <v>78</v>
      </c>
      <c r="C1129" t="s">
        <v>79</v>
      </c>
      <c r="D1129" t="s">
        <v>2087</v>
      </c>
      <c r="E1129" t="s">
        <v>2088</v>
      </c>
      <c r="F1129">
        <v>9.4499999999999993</v>
      </c>
      <c r="G1129">
        <v>9.3000000000000007</v>
      </c>
      <c r="H1129">
        <v>9.8000000000000007</v>
      </c>
      <c r="I1129">
        <v>9</v>
      </c>
      <c r="J1129" s="1">
        <v>9.65</v>
      </c>
      <c r="K1129">
        <v>4863756.1500000004</v>
      </c>
      <c r="L1129">
        <v>510499</v>
      </c>
      <c r="M1129" t="s">
        <v>78</v>
      </c>
      <c r="N1129" t="s">
        <v>17</v>
      </c>
      <c r="O1129">
        <v>390</v>
      </c>
      <c r="P1129">
        <v>10.3</v>
      </c>
      <c r="Q1129">
        <v>5.3</v>
      </c>
    </row>
    <row r="1130" spans="2:17" x14ac:dyDescent="0.25">
      <c r="B1130" t="s">
        <v>78</v>
      </c>
      <c r="C1130" t="s">
        <v>79</v>
      </c>
      <c r="D1130" t="s">
        <v>2089</v>
      </c>
      <c r="E1130" t="s">
        <v>2090</v>
      </c>
      <c r="F1130">
        <v>117.6</v>
      </c>
      <c r="G1130">
        <v>114</v>
      </c>
      <c r="H1130">
        <v>119.8</v>
      </c>
      <c r="I1130">
        <v>110.4</v>
      </c>
      <c r="J1130" s="1">
        <v>117.45</v>
      </c>
      <c r="K1130">
        <v>721169.95</v>
      </c>
      <c r="L1130">
        <v>6312</v>
      </c>
      <c r="M1130" t="s">
        <v>78</v>
      </c>
      <c r="N1130" t="s">
        <v>17</v>
      </c>
      <c r="O1130">
        <v>328</v>
      </c>
      <c r="P1130">
        <v>291.85000000000002</v>
      </c>
      <c r="Q1130">
        <v>110.1</v>
      </c>
    </row>
    <row r="1131" spans="2:17" x14ac:dyDescent="0.25">
      <c r="B1131" t="s">
        <v>78</v>
      </c>
      <c r="C1131" t="s">
        <v>79</v>
      </c>
      <c r="D1131" t="s">
        <v>2091</v>
      </c>
      <c r="E1131" t="s">
        <v>2092</v>
      </c>
      <c r="F1131">
        <v>21.75</v>
      </c>
      <c r="G1131">
        <v>20.75</v>
      </c>
      <c r="H1131">
        <v>22.8</v>
      </c>
      <c r="I1131">
        <v>20.7</v>
      </c>
      <c r="J1131" s="1">
        <v>22.55</v>
      </c>
      <c r="K1131">
        <v>200052.1</v>
      </c>
      <c r="L1131">
        <v>9123</v>
      </c>
      <c r="M1131" t="s">
        <v>78</v>
      </c>
      <c r="N1131" t="s">
        <v>17</v>
      </c>
      <c r="O1131">
        <v>99</v>
      </c>
      <c r="P1131">
        <v>41</v>
      </c>
      <c r="Q1131">
        <v>17.5</v>
      </c>
    </row>
    <row r="1132" spans="2:17" x14ac:dyDescent="0.25">
      <c r="B1132" t="s">
        <v>78</v>
      </c>
      <c r="C1132" t="s">
        <v>79</v>
      </c>
      <c r="D1132" t="s">
        <v>2093</v>
      </c>
      <c r="E1132" t="s">
        <v>2094</v>
      </c>
      <c r="F1132">
        <v>45.75</v>
      </c>
      <c r="G1132">
        <v>45.5</v>
      </c>
      <c r="H1132">
        <v>47</v>
      </c>
      <c r="I1132">
        <v>45.05</v>
      </c>
      <c r="J1132" s="1">
        <v>45.5</v>
      </c>
      <c r="K1132">
        <v>1047337.2</v>
      </c>
      <c r="L1132">
        <v>22944</v>
      </c>
      <c r="M1132" t="s">
        <v>78</v>
      </c>
      <c r="N1132" t="s">
        <v>17</v>
      </c>
      <c r="O1132">
        <v>219</v>
      </c>
      <c r="P1132">
        <v>93.9</v>
      </c>
      <c r="Q1132">
        <v>40.5</v>
      </c>
    </row>
    <row r="1133" spans="2:17" x14ac:dyDescent="0.25">
      <c r="B1133" t="s">
        <v>78</v>
      </c>
      <c r="C1133" t="s">
        <v>79</v>
      </c>
      <c r="D1133" t="s">
        <v>2095</v>
      </c>
      <c r="E1133" t="s">
        <v>2096</v>
      </c>
      <c r="F1133">
        <v>170</v>
      </c>
      <c r="G1133">
        <v>170</v>
      </c>
      <c r="H1133">
        <v>171.85</v>
      </c>
      <c r="I1133">
        <v>168.5</v>
      </c>
      <c r="J1133" s="1">
        <v>168.9</v>
      </c>
      <c r="K1133">
        <v>128114.35</v>
      </c>
      <c r="L1133">
        <v>755</v>
      </c>
      <c r="M1133" t="s">
        <v>78</v>
      </c>
      <c r="N1133" t="s">
        <v>17</v>
      </c>
      <c r="O1133">
        <v>52</v>
      </c>
      <c r="P1133">
        <v>264</v>
      </c>
      <c r="Q1133">
        <v>162.05000000000001</v>
      </c>
    </row>
    <row r="1134" spans="2:17" x14ac:dyDescent="0.25">
      <c r="B1134" t="s">
        <v>78</v>
      </c>
      <c r="C1134" t="s">
        <v>79</v>
      </c>
      <c r="D1134" t="s">
        <v>264</v>
      </c>
      <c r="E1134" t="s">
        <v>265</v>
      </c>
      <c r="F1134">
        <v>73.2</v>
      </c>
      <c r="G1134">
        <v>73.55</v>
      </c>
      <c r="H1134">
        <v>73.8</v>
      </c>
      <c r="I1134">
        <v>72.3</v>
      </c>
      <c r="J1134" s="1">
        <v>72.8</v>
      </c>
      <c r="K1134">
        <v>1201702830.05</v>
      </c>
      <c r="L1134">
        <v>16487819</v>
      </c>
      <c r="M1134" t="s">
        <v>78</v>
      </c>
      <c r="N1134" t="s">
        <v>17</v>
      </c>
      <c r="O1134">
        <v>34921</v>
      </c>
      <c r="P1134">
        <v>99.9</v>
      </c>
      <c r="Q1134">
        <v>58.45</v>
      </c>
    </row>
    <row r="1135" spans="2:17" x14ac:dyDescent="0.25">
      <c r="B1135" t="s">
        <v>78</v>
      </c>
      <c r="C1135" t="s">
        <v>79</v>
      </c>
      <c r="D1135" t="s">
        <v>2097</v>
      </c>
      <c r="E1135" t="s">
        <v>2098</v>
      </c>
      <c r="F1135">
        <v>38.049999999999997</v>
      </c>
      <c r="G1135">
        <v>38.700000000000003</v>
      </c>
      <c r="H1135">
        <v>38.799999999999997</v>
      </c>
      <c r="I1135">
        <v>37.049999999999997</v>
      </c>
      <c r="J1135" s="1">
        <v>37.4</v>
      </c>
      <c r="K1135">
        <v>5967929.75</v>
      </c>
      <c r="L1135">
        <v>158787</v>
      </c>
      <c r="M1135" t="s">
        <v>78</v>
      </c>
      <c r="N1135" t="s">
        <v>17</v>
      </c>
      <c r="O1135">
        <v>678</v>
      </c>
      <c r="P1135">
        <v>39.6</v>
      </c>
      <c r="Q1135">
        <v>24.3</v>
      </c>
    </row>
    <row r="1136" spans="2:17" x14ac:dyDescent="0.25">
      <c r="B1136" t="s">
        <v>78</v>
      </c>
      <c r="C1136" t="s">
        <v>79</v>
      </c>
      <c r="D1136" t="s">
        <v>3359</v>
      </c>
      <c r="E1136" t="s">
        <v>3360</v>
      </c>
      <c r="F1136">
        <v>753.3</v>
      </c>
      <c r="G1136">
        <v>746.1</v>
      </c>
      <c r="H1136">
        <v>759.4</v>
      </c>
      <c r="I1136">
        <v>735.05</v>
      </c>
      <c r="J1136" s="1">
        <v>739.15</v>
      </c>
      <c r="K1136">
        <v>99697945.299999997</v>
      </c>
      <c r="L1136">
        <v>133825</v>
      </c>
      <c r="M1136" t="s">
        <v>78</v>
      </c>
      <c r="N1136" t="s">
        <v>183</v>
      </c>
      <c r="O1136">
        <v>10018</v>
      </c>
      <c r="P1136">
        <v>1428.4</v>
      </c>
      <c r="Q1136">
        <v>675</v>
      </c>
    </row>
    <row r="1137" spans="2:17" x14ac:dyDescent="0.25">
      <c r="B1137" t="s">
        <v>78</v>
      </c>
      <c r="C1137" t="s">
        <v>79</v>
      </c>
      <c r="D1137" t="s">
        <v>3361</v>
      </c>
      <c r="E1137" t="s">
        <v>3362</v>
      </c>
      <c r="F1137">
        <v>15.15</v>
      </c>
      <c r="G1137">
        <v>16</v>
      </c>
      <c r="H1137">
        <v>16.5</v>
      </c>
      <c r="I1137">
        <v>14.9</v>
      </c>
      <c r="J1137" s="1">
        <v>14.95</v>
      </c>
      <c r="K1137">
        <v>184026.05</v>
      </c>
      <c r="L1137">
        <v>11870</v>
      </c>
      <c r="M1137" t="s">
        <v>78</v>
      </c>
      <c r="N1137" t="s">
        <v>17</v>
      </c>
      <c r="O1137">
        <v>48</v>
      </c>
      <c r="P1137">
        <v>23</v>
      </c>
      <c r="Q1137">
        <v>11.7</v>
      </c>
    </row>
    <row r="1138" spans="2:17" x14ac:dyDescent="0.25">
      <c r="B1138" t="s">
        <v>78</v>
      </c>
      <c r="C1138" t="s">
        <v>79</v>
      </c>
      <c r="D1138" t="s">
        <v>2099</v>
      </c>
      <c r="E1138" t="s">
        <v>2100</v>
      </c>
      <c r="F1138">
        <v>192.4</v>
      </c>
      <c r="G1138">
        <v>192.4</v>
      </c>
      <c r="H1138">
        <v>192.4</v>
      </c>
      <c r="I1138">
        <v>183.2</v>
      </c>
      <c r="J1138" s="1">
        <v>188.35</v>
      </c>
      <c r="K1138">
        <v>150257549.69999999</v>
      </c>
      <c r="L1138">
        <v>802688</v>
      </c>
      <c r="M1138" t="s">
        <v>78</v>
      </c>
      <c r="N1138" t="s">
        <v>17</v>
      </c>
      <c r="O1138">
        <v>5947</v>
      </c>
      <c r="P1138">
        <v>219.4</v>
      </c>
      <c r="Q1138">
        <v>122.45</v>
      </c>
    </row>
    <row r="1139" spans="2:17" x14ac:dyDescent="0.25">
      <c r="B1139" t="s">
        <v>78</v>
      </c>
      <c r="C1139" t="s">
        <v>79</v>
      </c>
      <c r="D1139" t="s">
        <v>2103</v>
      </c>
      <c r="E1139" t="s">
        <v>2104</v>
      </c>
      <c r="F1139">
        <v>154.35</v>
      </c>
      <c r="G1139">
        <v>152</v>
      </c>
      <c r="H1139">
        <v>156</v>
      </c>
      <c r="I1139">
        <v>150.4</v>
      </c>
      <c r="J1139" s="1">
        <v>154.25</v>
      </c>
      <c r="K1139">
        <v>362821.9</v>
      </c>
      <c r="L1139">
        <v>2363</v>
      </c>
      <c r="M1139" t="s">
        <v>78</v>
      </c>
      <c r="N1139" t="s">
        <v>17</v>
      </c>
      <c r="O1139">
        <v>81</v>
      </c>
      <c r="P1139">
        <v>270</v>
      </c>
      <c r="Q1139">
        <v>144</v>
      </c>
    </row>
    <row r="1140" spans="2:17" x14ac:dyDescent="0.25">
      <c r="B1140" t="s">
        <v>78</v>
      </c>
      <c r="C1140" t="s">
        <v>79</v>
      </c>
      <c r="D1140" t="s">
        <v>2105</v>
      </c>
      <c r="E1140" t="s">
        <v>2106</v>
      </c>
      <c r="F1140">
        <v>139.1</v>
      </c>
      <c r="G1140">
        <v>140</v>
      </c>
      <c r="H1140">
        <v>140</v>
      </c>
      <c r="I1140">
        <v>132.35</v>
      </c>
      <c r="J1140" s="1">
        <v>133.05000000000001</v>
      </c>
      <c r="K1140">
        <v>977806.2</v>
      </c>
      <c r="L1140">
        <v>7170</v>
      </c>
      <c r="M1140" t="s">
        <v>78</v>
      </c>
      <c r="N1140" t="s">
        <v>17</v>
      </c>
      <c r="O1140">
        <v>152</v>
      </c>
      <c r="P1140">
        <v>201.85</v>
      </c>
      <c r="Q1140">
        <v>120.05</v>
      </c>
    </row>
    <row r="1141" spans="2:17" x14ac:dyDescent="0.25">
      <c r="B1141" t="s">
        <v>78</v>
      </c>
      <c r="C1141" t="s">
        <v>79</v>
      </c>
      <c r="D1141" t="s">
        <v>2107</v>
      </c>
      <c r="E1141" t="s">
        <v>2108</v>
      </c>
      <c r="F1141">
        <v>624.4</v>
      </c>
      <c r="G1141">
        <v>623.95000000000005</v>
      </c>
      <c r="H1141">
        <v>626.95000000000005</v>
      </c>
      <c r="I1141">
        <v>605</v>
      </c>
      <c r="J1141" s="1">
        <v>614.25</v>
      </c>
      <c r="K1141">
        <v>56495121.549999997</v>
      </c>
      <c r="L1141">
        <v>91360</v>
      </c>
      <c r="M1141" t="s">
        <v>78</v>
      </c>
      <c r="N1141" t="s">
        <v>17</v>
      </c>
      <c r="O1141">
        <v>1701</v>
      </c>
      <c r="P1141">
        <v>677.7</v>
      </c>
      <c r="Q1141">
        <v>578</v>
      </c>
    </row>
    <row r="1142" spans="2:17" x14ac:dyDescent="0.25">
      <c r="B1142" t="s">
        <v>78</v>
      </c>
      <c r="C1142" t="s">
        <v>79</v>
      </c>
      <c r="D1142" t="s">
        <v>2109</v>
      </c>
      <c r="E1142" t="s">
        <v>2110</v>
      </c>
      <c r="F1142">
        <v>179.2</v>
      </c>
      <c r="G1142">
        <v>180</v>
      </c>
      <c r="H1142">
        <v>182.95</v>
      </c>
      <c r="I1142">
        <v>178</v>
      </c>
      <c r="J1142" s="1">
        <v>179.95</v>
      </c>
      <c r="K1142">
        <v>455926.7</v>
      </c>
      <c r="L1142">
        <v>2542</v>
      </c>
      <c r="M1142" t="s">
        <v>78</v>
      </c>
      <c r="N1142" t="s">
        <v>17</v>
      </c>
      <c r="O1142">
        <v>117</v>
      </c>
      <c r="P1142">
        <v>258.39999999999998</v>
      </c>
      <c r="Q1142">
        <v>165.1</v>
      </c>
    </row>
    <row r="1143" spans="2:17" x14ac:dyDescent="0.25">
      <c r="B1143" t="s">
        <v>78</v>
      </c>
      <c r="C1143" t="s">
        <v>79</v>
      </c>
      <c r="D1143" t="s">
        <v>2111</v>
      </c>
      <c r="E1143" t="s">
        <v>2112</v>
      </c>
      <c r="F1143">
        <v>495.65</v>
      </c>
      <c r="G1143">
        <v>495.65</v>
      </c>
      <c r="H1143">
        <v>503.9</v>
      </c>
      <c r="I1143">
        <v>489.1</v>
      </c>
      <c r="J1143" s="1">
        <v>491.9</v>
      </c>
      <c r="K1143">
        <v>32151472.800000001</v>
      </c>
      <c r="L1143">
        <v>64799</v>
      </c>
      <c r="M1143" t="s">
        <v>78</v>
      </c>
      <c r="N1143" t="s">
        <v>17</v>
      </c>
      <c r="O1143">
        <v>1255</v>
      </c>
      <c r="P1143">
        <v>667.8</v>
      </c>
      <c r="Q1143">
        <v>431.8</v>
      </c>
    </row>
    <row r="1144" spans="2:17" x14ac:dyDescent="0.25">
      <c r="B1144" t="s">
        <v>78</v>
      </c>
      <c r="C1144" t="s">
        <v>79</v>
      </c>
      <c r="D1144" t="s">
        <v>2113</v>
      </c>
      <c r="E1144" t="s">
        <v>2114</v>
      </c>
      <c r="F1144">
        <v>113.6</v>
      </c>
      <c r="G1144">
        <v>112</v>
      </c>
      <c r="H1144">
        <v>114.4</v>
      </c>
      <c r="I1144">
        <v>106</v>
      </c>
      <c r="J1144" s="1">
        <v>112.35</v>
      </c>
      <c r="K1144">
        <v>13680.3</v>
      </c>
      <c r="L1144">
        <v>123</v>
      </c>
      <c r="M1144" t="s">
        <v>78</v>
      </c>
      <c r="N1144" t="s">
        <v>17</v>
      </c>
      <c r="O1144">
        <v>27</v>
      </c>
      <c r="P1144">
        <v>189.4</v>
      </c>
      <c r="Q1144">
        <v>102.3</v>
      </c>
    </row>
    <row r="1145" spans="2:17" x14ac:dyDescent="0.25">
      <c r="B1145" t="s">
        <v>78</v>
      </c>
      <c r="C1145" t="s">
        <v>287</v>
      </c>
      <c r="D1145" t="s">
        <v>3678</v>
      </c>
      <c r="E1145" t="s">
        <v>3679</v>
      </c>
      <c r="F1145">
        <v>10</v>
      </c>
      <c r="G1145">
        <v>10.4</v>
      </c>
      <c r="H1145">
        <v>10.4</v>
      </c>
      <c r="I1145">
        <v>8.6</v>
      </c>
      <c r="J1145" s="1">
        <v>8.6</v>
      </c>
      <c r="K1145">
        <v>38000</v>
      </c>
      <c r="L1145">
        <v>4000</v>
      </c>
      <c r="M1145" t="s">
        <v>78</v>
      </c>
      <c r="N1145" t="s">
        <v>17</v>
      </c>
      <c r="O1145">
        <v>2</v>
      </c>
      <c r="P1145">
        <v>48</v>
      </c>
      <c r="Q1145">
        <v>8</v>
      </c>
    </row>
    <row r="1146" spans="2:17" x14ac:dyDescent="0.25">
      <c r="B1146" t="s">
        <v>78</v>
      </c>
      <c r="C1146" t="s">
        <v>79</v>
      </c>
      <c r="D1146" t="s">
        <v>2117</v>
      </c>
      <c r="E1146" t="s">
        <v>2118</v>
      </c>
      <c r="F1146">
        <v>926.25</v>
      </c>
      <c r="G1146">
        <v>930</v>
      </c>
      <c r="H1146">
        <v>945.3</v>
      </c>
      <c r="I1146">
        <v>877.85</v>
      </c>
      <c r="J1146" s="1">
        <v>902</v>
      </c>
      <c r="K1146">
        <v>9814453.0500000007</v>
      </c>
      <c r="L1146">
        <v>10727</v>
      </c>
      <c r="M1146" t="s">
        <v>78</v>
      </c>
      <c r="N1146" t="s">
        <v>17</v>
      </c>
      <c r="O1146">
        <v>816</v>
      </c>
      <c r="P1146">
        <v>1175</v>
      </c>
      <c r="Q1146">
        <v>777.05</v>
      </c>
    </row>
    <row r="1147" spans="2:17" x14ac:dyDescent="0.25">
      <c r="B1147" t="s">
        <v>78</v>
      </c>
      <c r="C1147" t="s">
        <v>79</v>
      </c>
      <c r="D1147" t="s">
        <v>2119</v>
      </c>
      <c r="E1147" t="s">
        <v>2120</v>
      </c>
      <c r="F1147">
        <v>206.2</v>
      </c>
      <c r="G1147">
        <v>202.05</v>
      </c>
      <c r="H1147">
        <v>206.05</v>
      </c>
      <c r="I1147">
        <v>194</v>
      </c>
      <c r="J1147" s="1">
        <v>196.75</v>
      </c>
      <c r="K1147">
        <v>1812309.3</v>
      </c>
      <c r="L1147">
        <v>9026</v>
      </c>
      <c r="M1147" t="s">
        <v>78</v>
      </c>
      <c r="N1147" t="s">
        <v>17</v>
      </c>
      <c r="O1147">
        <v>468</v>
      </c>
      <c r="P1147">
        <v>559.95000000000005</v>
      </c>
      <c r="Q1147">
        <v>194</v>
      </c>
    </row>
    <row r="1148" spans="2:17" x14ac:dyDescent="0.25">
      <c r="B1148" t="s">
        <v>78</v>
      </c>
      <c r="C1148" t="s">
        <v>79</v>
      </c>
      <c r="D1148" t="s">
        <v>6679</v>
      </c>
      <c r="E1148" t="s">
        <v>6678</v>
      </c>
      <c r="F1148">
        <v>68.95</v>
      </c>
      <c r="G1148">
        <v>69.7</v>
      </c>
      <c r="H1148">
        <v>69.7</v>
      </c>
      <c r="I1148">
        <v>66.5</v>
      </c>
      <c r="J1148" s="1">
        <v>67.150000000000006</v>
      </c>
      <c r="K1148">
        <v>6199838.7000000002</v>
      </c>
      <c r="L1148">
        <v>92046</v>
      </c>
      <c r="M1148" t="s">
        <v>78</v>
      </c>
      <c r="N1148" t="s">
        <v>17</v>
      </c>
      <c r="O1148">
        <v>524</v>
      </c>
      <c r="P1148">
        <v>177.4</v>
      </c>
      <c r="Q1148">
        <v>47.1</v>
      </c>
    </row>
    <row r="1149" spans="2:17" x14ac:dyDescent="0.25">
      <c r="B1149" t="s">
        <v>78</v>
      </c>
      <c r="C1149" t="s">
        <v>79</v>
      </c>
      <c r="D1149" t="s">
        <v>2123</v>
      </c>
      <c r="E1149" t="s">
        <v>2124</v>
      </c>
      <c r="F1149">
        <v>7.3</v>
      </c>
      <c r="G1149">
        <v>7</v>
      </c>
      <c r="H1149">
        <v>7.55</v>
      </c>
      <c r="I1149">
        <v>6.9</v>
      </c>
      <c r="J1149" s="1">
        <v>7.45</v>
      </c>
      <c r="K1149">
        <v>816396.6</v>
      </c>
      <c r="L1149">
        <v>109717</v>
      </c>
      <c r="M1149" t="s">
        <v>78</v>
      </c>
      <c r="N1149" t="s">
        <v>17</v>
      </c>
      <c r="O1149">
        <v>156</v>
      </c>
      <c r="P1149">
        <v>13.05</v>
      </c>
      <c r="Q1149">
        <v>5.9</v>
      </c>
    </row>
    <row r="1150" spans="2:17" x14ac:dyDescent="0.25">
      <c r="B1150" t="s">
        <v>78</v>
      </c>
      <c r="C1150" t="s">
        <v>79</v>
      </c>
      <c r="D1150" t="s">
        <v>3365</v>
      </c>
      <c r="E1150" t="s">
        <v>5614</v>
      </c>
      <c r="F1150">
        <v>127.4</v>
      </c>
      <c r="G1150">
        <v>128.05000000000001</v>
      </c>
      <c r="H1150">
        <v>128.75</v>
      </c>
      <c r="I1150">
        <v>121.2</v>
      </c>
      <c r="J1150" s="1">
        <v>122.3</v>
      </c>
      <c r="K1150">
        <v>100530167</v>
      </c>
      <c r="L1150">
        <v>809628</v>
      </c>
      <c r="M1150" t="s">
        <v>78</v>
      </c>
      <c r="N1150" t="s">
        <v>17</v>
      </c>
      <c r="O1150">
        <v>9446</v>
      </c>
      <c r="P1150">
        <v>167.9</v>
      </c>
      <c r="Q1150">
        <v>75.099999999999994</v>
      </c>
    </row>
    <row r="1151" spans="2:17" x14ac:dyDescent="0.25">
      <c r="B1151" t="s">
        <v>78</v>
      </c>
      <c r="C1151" t="s">
        <v>79</v>
      </c>
      <c r="D1151" t="s">
        <v>2125</v>
      </c>
      <c r="E1151" t="s">
        <v>2126</v>
      </c>
      <c r="F1151">
        <v>49</v>
      </c>
      <c r="G1151">
        <v>49.5</v>
      </c>
      <c r="H1151">
        <v>49.5</v>
      </c>
      <c r="I1151">
        <v>48.6</v>
      </c>
      <c r="J1151" s="1">
        <v>49.2</v>
      </c>
      <c r="K1151">
        <v>17854267.75</v>
      </c>
      <c r="L1151">
        <v>364611</v>
      </c>
      <c r="M1151" t="s">
        <v>78</v>
      </c>
      <c r="N1151" t="s">
        <v>17</v>
      </c>
      <c r="O1151">
        <v>2153</v>
      </c>
      <c r="P1151">
        <v>165.7</v>
      </c>
      <c r="Q1151">
        <v>48.1</v>
      </c>
    </row>
    <row r="1152" spans="2:17" x14ac:dyDescent="0.25">
      <c r="B1152" t="s">
        <v>78</v>
      </c>
      <c r="C1152" t="s">
        <v>79</v>
      </c>
      <c r="D1152" t="s">
        <v>6677</v>
      </c>
      <c r="E1152" t="s">
        <v>6676</v>
      </c>
      <c r="F1152">
        <v>2.7</v>
      </c>
      <c r="G1152">
        <v>2.85</v>
      </c>
      <c r="H1152">
        <v>2.85</v>
      </c>
      <c r="I1152">
        <v>2.6</v>
      </c>
      <c r="J1152" s="1">
        <v>2.65</v>
      </c>
      <c r="K1152">
        <v>463782.25</v>
      </c>
      <c r="L1152">
        <v>174982</v>
      </c>
      <c r="M1152" t="s">
        <v>78</v>
      </c>
      <c r="N1152" t="s">
        <v>17</v>
      </c>
      <c r="O1152">
        <v>144</v>
      </c>
      <c r="P1152">
        <v>6.45</v>
      </c>
      <c r="Q1152">
        <v>2.15</v>
      </c>
    </row>
    <row r="1153" spans="2:17" x14ac:dyDescent="0.25">
      <c r="B1153" t="s">
        <v>783</v>
      </c>
      <c r="C1153" t="s">
        <v>79</v>
      </c>
      <c r="D1153" t="s">
        <v>3367</v>
      </c>
      <c r="E1153" t="s">
        <v>3368</v>
      </c>
      <c r="F1153">
        <v>0.25</v>
      </c>
      <c r="G1153">
        <v>0.25</v>
      </c>
      <c r="H1153">
        <v>0.25</v>
      </c>
      <c r="I1153">
        <v>0.25</v>
      </c>
      <c r="J1153" s="1">
        <v>0.25</v>
      </c>
      <c r="K1153">
        <v>5450</v>
      </c>
      <c r="L1153">
        <v>21800</v>
      </c>
      <c r="M1153" t="s">
        <v>78</v>
      </c>
      <c r="N1153" t="s">
        <v>17</v>
      </c>
      <c r="O1153">
        <v>10</v>
      </c>
      <c r="P1153">
        <v>1.05</v>
      </c>
      <c r="Q1153">
        <v>0.2</v>
      </c>
    </row>
    <row r="1154" spans="2:17" x14ac:dyDescent="0.25">
      <c r="B1154" t="s">
        <v>78</v>
      </c>
      <c r="C1154" t="s">
        <v>79</v>
      </c>
      <c r="D1154" t="s">
        <v>2127</v>
      </c>
      <c r="E1154" t="s">
        <v>2128</v>
      </c>
      <c r="F1154">
        <v>88.05</v>
      </c>
      <c r="G1154">
        <v>86.05</v>
      </c>
      <c r="H1154">
        <v>88.75</v>
      </c>
      <c r="I1154">
        <v>80.2</v>
      </c>
      <c r="J1154" s="1">
        <v>83</v>
      </c>
      <c r="K1154">
        <v>275430.40000000002</v>
      </c>
      <c r="L1154">
        <v>3259</v>
      </c>
      <c r="M1154" t="s">
        <v>78</v>
      </c>
      <c r="N1154" t="s">
        <v>17</v>
      </c>
      <c r="O1154">
        <v>218</v>
      </c>
      <c r="P1154">
        <v>267.8</v>
      </c>
      <c r="Q1154">
        <v>80.2</v>
      </c>
    </row>
    <row r="1155" spans="2:17" x14ac:dyDescent="0.25">
      <c r="B1155" t="s">
        <v>78</v>
      </c>
      <c r="C1155" t="s">
        <v>79</v>
      </c>
      <c r="D1155" t="s">
        <v>2129</v>
      </c>
      <c r="E1155" t="s">
        <v>2130</v>
      </c>
      <c r="F1155">
        <v>45.45</v>
      </c>
      <c r="G1155">
        <v>45</v>
      </c>
      <c r="H1155">
        <v>47.8</v>
      </c>
      <c r="I1155">
        <v>43.9</v>
      </c>
      <c r="J1155" s="1">
        <v>45.8</v>
      </c>
      <c r="K1155">
        <v>960006.65</v>
      </c>
      <c r="L1155">
        <v>21227</v>
      </c>
      <c r="M1155" t="s">
        <v>78</v>
      </c>
      <c r="N1155" t="s">
        <v>17</v>
      </c>
      <c r="O1155">
        <v>455</v>
      </c>
      <c r="P1155">
        <v>86.8</v>
      </c>
      <c r="Q1155">
        <v>43.65</v>
      </c>
    </row>
    <row r="1156" spans="2:17" x14ac:dyDescent="0.25">
      <c r="B1156" t="s">
        <v>78</v>
      </c>
      <c r="C1156" t="s">
        <v>79</v>
      </c>
      <c r="D1156" t="s">
        <v>2131</v>
      </c>
      <c r="E1156" t="s">
        <v>6675</v>
      </c>
      <c r="F1156">
        <v>30.15</v>
      </c>
      <c r="G1156">
        <v>30.1</v>
      </c>
      <c r="H1156">
        <v>30.1</v>
      </c>
      <c r="I1156">
        <v>28.05</v>
      </c>
      <c r="J1156" s="1">
        <v>29.6</v>
      </c>
      <c r="K1156">
        <v>23383.7</v>
      </c>
      <c r="L1156">
        <v>782</v>
      </c>
      <c r="M1156" t="s">
        <v>78</v>
      </c>
      <c r="N1156" t="s">
        <v>17</v>
      </c>
      <c r="O1156">
        <v>21</v>
      </c>
      <c r="P1156">
        <v>71.95</v>
      </c>
      <c r="Q1156">
        <v>28.05</v>
      </c>
    </row>
    <row r="1157" spans="2:17" x14ac:dyDescent="0.25">
      <c r="B1157" t="s">
        <v>78</v>
      </c>
      <c r="C1157" t="s">
        <v>79</v>
      </c>
      <c r="D1157" t="s">
        <v>2133</v>
      </c>
      <c r="E1157" t="s">
        <v>2134</v>
      </c>
      <c r="F1157">
        <v>178</v>
      </c>
      <c r="G1157">
        <v>177.1</v>
      </c>
      <c r="H1157">
        <v>178.25</v>
      </c>
      <c r="I1157">
        <v>171.3</v>
      </c>
      <c r="J1157" s="1">
        <v>174</v>
      </c>
      <c r="K1157">
        <v>897331.7</v>
      </c>
      <c r="L1157">
        <v>5130</v>
      </c>
      <c r="M1157" t="s">
        <v>78</v>
      </c>
      <c r="N1157" t="s">
        <v>17</v>
      </c>
      <c r="O1157">
        <v>345</v>
      </c>
      <c r="P1157">
        <v>258.7</v>
      </c>
      <c r="Q1157">
        <v>171.3</v>
      </c>
    </row>
    <row r="1158" spans="2:17" x14ac:dyDescent="0.25">
      <c r="B1158" t="s">
        <v>78</v>
      </c>
      <c r="C1158" t="s">
        <v>79</v>
      </c>
      <c r="D1158" t="s">
        <v>2135</v>
      </c>
      <c r="E1158" t="s">
        <v>2136</v>
      </c>
      <c r="F1158">
        <v>184.35</v>
      </c>
      <c r="G1158">
        <v>187.35</v>
      </c>
      <c r="H1158">
        <v>188.9</v>
      </c>
      <c r="I1158">
        <v>172.05</v>
      </c>
      <c r="J1158" s="1">
        <v>175.65</v>
      </c>
      <c r="K1158">
        <v>969834.85</v>
      </c>
      <c r="L1158">
        <v>5431</v>
      </c>
      <c r="M1158" t="s">
        <v>78</v>
      </c>
      <c r="N1158" t="s">
        <v>17</v>
      </c>
      <c r="O1158">
        <v>257</v>
      </c>
      <c r="P1158">
        <v>289</v>
      </c>
      <c r="Q1158">
        <v>159</v>
      </c>
    </row>
    <row r="1159" spans="2:17" x14ac:dyDescent="0.25">
      <c r="B1159" t="s">
        <v>78</v>
      </c>
      <c r="C1159" t="s">
        <v>79</v>
      </c>
      <c r="D1159" t="s">
        <v>2137</v>
      </c>
      <c r="E1159" t="s">
        <v>2138</v>
      </c>
      <c r="F1159">
        <v>22.9</v>
      </c>
      <c r="G1159">
        <v>23</v>
      </c>
      <c r="H1159">
        <v>23.5</v>
      </c>
      <c r="I1159">
        <v>20.6</v>
      </c>
      <c r="J1159" s="1">
        <v>22.45</v>
      </c>
      <c r="K1159">
        <v>4100.55</v>
      </c>
      <c r="L1159">
        <v>196</v>
      </c>
      <c r="M1159" t="s">
        <v>78</v>
      </c>
      <c r="N1159" t="s">
        <v>17</v>
      </c>
      <c r="O1159">
        <v>17</v>
      </c>
      <c r="P1159">
        <v>39.299999999999997</v>
      </c>
      <c r="Q1159">
        <v>20.6</v>
      </c>
    </row>
    <row r="1160" spans="2:17" x14ac:dyDescent="0.25">
      <c r="B1160" t="s">
        <v>78</v>
      </c>
      <c r="C1160" t="s">
        <v>79</v>
      </c>
      <c r="D1160" t="s">
        <v>2139</v>
      </c>
      <c r="E1160" t="s">
        <v>2140</v>
      </c>
      <c r="F1160">
        <v>24.1</v>
      </c>
      <c r="G1160">
        <v>23.95</v>
      </c>
      <c r="H1160">
        <v>26.2</v>
      </c>
      <c r="I1160">
        <v>23.6</v>
      </c>
      <c r="J1160" s="1">
        <v>25</v>
      </c>
      <c r="K1160">
        <v>171083.35</v>
      </c>
      <c r="L1160">
        <v>7048</v>
      </c>
      <c r="M1160" t="s">
        <v>78</v>
      </c>
      <c r="N1160" t="s">
        <v>17</v>
      </c>
      <c r="O1160">
        <v>115</v>
      </c>
      <c r="P1160">
        <v>51.95</v>
      </c>
      <c r="Q1160">
        <v>23.1</v>
      </c>
    </row>
    <row r="1161" spans="2:17" x14ac:dyDescent="0.25">
      <c r="B1161" t="s">
        <v>78</v>
      </c>
      <c r="C1161" t="s">
        <v>79</v>
      </c>
      <c r="D1161" t="s">
        <v>2141</v>
      </c>
      <c r="E1161" t="s">
        <v>2142</v>
      </c>
      <c r="F1161">
        <v>276.10000000000002</v>
      </c>
      <c r="G1161">
        <v>273.55</v>
      </c>
      <c r="H1161">
        <v>277.95</v>
      </c>
      <c r="I1161">
        <v>271.55</v>
      </c>
      <c r="J1161" s="1">
        <v>276.10000000000002</v>
      </c>
      <c r="K1161">
        <v>27732814.25</v>
      </c>
      <c r="L1161">
        <v>100742</v>
      </c>
      <c r="M1161" t="s">
        <v>78</v>
      </c>
      <c r="N1161" t="s">
        <v>17</v>
      </c>
      <c r="O1161">
        <v>4651</v>
      </c>
      <c r="P1161">
        <v>313</v>
      </c>
      <c r="Q1161">
        <v>163</v>
      </c>
    </row>
    <row r="1162" spans="2:17" x14ac:dyDescent="0.25">
      <c r="B1162" t="s">
        <v>78</v>
      </c>
      <c r="C1162" t="s">
        <v>79</v>
      </c>
      <c r="D1162" t="s">
        <v>2143</v>
      </c>
      <c r="E1162" t="s">
        <v>2144</v>
      </c>
      <c r="F1162">
        <v>29.05</v>
      </c>
      <c r="G1162">
        <v>29.05</v>
      </c>
      <c r="H1162">
        <v>29.4</v>
      </c>
      <c r="I1162">
        <v>26.9</v>
      </c>
      <c r="J1162" s="1">
        <v>27.3</v>
      </c>
      <c r="K1162">
        <v>4426746.1500000004</v>
      </c>
      <c r="L1162">
        <v>159009</v>
      </c>
      <c r="M1162" t="s">
        <v>78</v>
      </c>
      <c r="N1162" t="s">
        <v>17</v>
      </c>
      <c r="O1162">
        <v>1270</v>
      </c>
      <c r="P1162">
        <v>79</v>
      </c>
      <c r="Q1162">
        <v>26.9</v>
      </c>
    </row>
    <row r="1163" spans="2:17" x14ac:dyDescent="0.25">
      <c r="B1163" t="s">
        <v>78</v>
      </c>
      <c r="C1163" t="s">
        <v>79</v>
      </c>
      <c r="D1163" t="s">
        <v>2145</v>
      </c>
      <c r="E1163" t="s">
        <v>2146</v>
      </c>
      <c r="F1163">
        <v>40.6</v>
      </c>
      <c r="G1163">
        <v>40.450000000000003</v>
      </c>
      <c r="H1163">
        <v>40.450000000000003</v>
      </c>
      <c r="I1163">
        <v>37.200000000000003</v>
      </c>
      <c r="J1163" s="1">
        <v>39.65</v>
      </c>
      <c r="K1163">
        <v>5408419.7999999998</v>
      </c>
      <c r="L1163">
        <v>136838</v>
      </c>
      <c r="M1163" t="s">
        <v>78</v>
      </c>
      <c r="N1163" t="s">
        <v>17</v>
      </c>
      <c r="O1163">
        <v>988</v>
      </c>
      <c r="P1163">
        <v>48</v>
      </c>
      <c r="Q1163">
        <v>30.35</v>
      </c>
    </row>
    <row r="1164" spans="2:17" x14ac:dyDescent="0.25">
      <c r="B1164" t="s">
        <v>78</v>
      </c>
      <c r="C1164" t="s">
        <v>287</v>
      </c>
      <c r="D1164" t="s">
        <v>5605</v>
      </c>
      <c r="E1164" t="s">
        <v>5604</v>
      </c>
      <c r="F1164">
        <v>90.5</v>
      </c>
      <c r="G1164">
        <v>94</v>
      </c>
      <c r="H1164">
        <v>94</v>
      </c>
      <c r="I1164">
        <v>94</v>
      </c>
      <c r="J1164" s="1">
        <v>94</v>
      </c>
      <c r="K1164">
        <v>150400</v>
      </c>
      <c r="L1164">
        <v>1600</v>
      </c>
      <c r="M1164" t="s">
        <v>78</v>
      </c>
      <c r="N1164" t="s">
        <v>17</v>
      </c>
      <c r="O1164">
        <v>1</v>
      </c>
      <c r="P1164">
        <v>130</v>
      </c>
      <c r="Q1164">
        <v>81</v>
      </c>
    </row>
    <row r="1165" spans="2:17" x14ac:dyDescent="0.25">
      <c r="B1165" t="s">
        <v>78</v>
      </c>
      <c r="C1165" t="s">
        <v>287</v>
      </c>
      <c r="D1165" t="s">
        <v>2151</v>
      </c>
      <c r="E1165" t="s">
        <v>2152</v>
      </c>
      <c r="F1165">
        <v>23.5</v>
      </c>
      <c r="G1165">
        <v>24.65</v>
      </c>
      <c r="H1165">
        <v>24.65</v>
      </c>
      <c r="I1165">
        <v>24.65</v>
      </c>
      <c r="J1165" s="1">
        <v>24.65</v>
      </c>
      <c r="K1165">
        <v>73950</v>
      </c>
      <c r="L1165">
        <v>3000</v>
      </c>
      <c r="M1165" t="s">
        <v>78</v>
      </c>
      <c r="N1165" t="s">
        <v>17</v>
      </c>
      <c r="O1165">
        <v>1</v>
      </c>
      <c r="P1165">
        <v>30.95</v>
      </c>
      <c r="Q1165">
        <v>22.9</v>
      </c>
    </row>
    <row r="1166" spans="2:17" x14ac:dyDescent="0.25">
      <c r="B1166" t="s">
        <v>783</v>
      </c>
      <c r="C1166" t="s">
        <v>79</v>
      </c>
      <c r="D1166" t="s">
        <v>6674</v>
      </c>
      <c r="E1166" t="s">
        <v>6673</v>
      </c>
      <c r="F1166">
        <v>0.25</v>
      </c>
      <c r="G1166">
        <v>0.2</v>
      </c>
      <c r="H1166">
        <v>0.3</v>
      </c>
      <c r="I1166">
        <v>0.2</v>
      </c>
      <c r="J1166" s="1">
        <v>0.3</v>
      </c>
      <c r="K1166">
        <v>6187.1</v>
      </c>
      <c r="L1166">
        <v>24927</v>
      </c>
      <c r="M1166" t="s">
        <v>78</v>
      </c>
      <c r="N1166" t="s">
        <v>17</v>
      </c>
      <c r="O1166">
        <v>15</v>
      </c>
      <c r="P1166">
        <v>1.4</v>
      </c>
      <c r="Q1166">
        <v>0.2</v>
      </c>
    </row>
    <row r="1167" spans="2:17" x14ac:dyDescent="0.25">
      <c r="B1167" t="s">
        <v>78</v>
      </c>
      <c r="C1167" t="s">
        <v>79</v>
      </c>
      <c r="D1167" t="s">
        <v>2153</v>
      </c>
      <c r="E1167" t="s">
        <v>2154</v>
      </c>
      <c r="F1167">
        <v>91.55</v>
      </c>
      <c r="G1167">
        <v>93.2</v>
      </c>
      <c r="H1167">
        <v>94.95</v>
      </c>
      <c r="I1167">
        <v>89.45</v>
      </c>
      <c r="J1167" s="1">
        <v>91.9</v>
      </c>
      <c r="K1167">
        <v>62338900.399999999</v>
      </c>
      <c r="L1167">
        <v>679294</v>
      </c>
      <c r="M1167" t="s">
        <v>78</v>
      </c>
      <c r="N1167" t="s">
        <v>17</v>
      </c>
      <c r="O1167">
        <v>6644</v>
      </c>
      <c r="P1167">
        <v>123.85</v>
      </c>
      <c r="Q1167">
        <v>62.15</v>
      </c>
    </row>
    <row r="1168" spans="2:17" x14ac:dyDescent="0.25">
      <c r="B1168" t="s">
        <v>78</v>
      </c>
      <c r="C1168" t="s">
        <v>79</v>
      </c>
      <c r="D1168" t="s">
        <v>2155</v>
      </c>
      <c r="E1168" t="s">
        <v>2156</v>
      </c>
      <c r="F1168">
        <v>24.9</v>
      </c>
      <c r="G1168">
        <v>25.25</v>
      </c>
      <c r="H1168">
        <v>25.25</v>
      </c>
      <c r="I1168">
        <v>24.4</v>
      </c>
      <c r="J1168" s="1">
        <v>24.55</v>
      </c>
      <c r="K1168">
        <v>1323045.1499999999</v>
      </c>
      <c r="L1168">
        <v>53668</v>
      </c>
      <c r="M1168" t="s">
        <v>78</v>
      </c>
      <c r="N1168" t="s">
        <v>17</v>
      </c>
      <c r="O1168">
        <v>337</v>
      </c>
      <c r="P1168">
        <v>35.35</v>
      </c>
      <c r="Q1168">
        <v>23.25</v>
      </c>
    </row>
    <row r="1169" spans="2:17" x14ac:dyDescent="0.25">
      <c r="B1169" t="s">
        <v>78</v>
      </c>
      <c r="C1169" t="s">
        <v>79</v>
      </c>
      <c r="D1169" t="s">
        <v>6672</v>
      </c>
      <c r="E1169" t="s">
        <v>6671</v>
      </c>
      <c r="F1169">
        <v>0.75</v>
      </c>
      <c r="G1169">
        <v>0.75</v>
      </c>
      <c r="H1169">
        <v>0.8</v>
      </c>
      <c r="I1169">
        <v>0.7</v>
      </c>
      <c r="J1169" s="1">
        <v>0.75</v>
      </c>
      <c r="K1169">
        <v>14224.75</v>
      </c>
      <c r="L1169">
        <v>19378</v>
      </c>
      <c r="M1169" t="s">
        <v>78</v>
      </c>
      <c r="N1169" t="s">
        <v>17</v>
      </c>
      <c r="O1169">
        <v>37</v>
      </c>
      <c r="P1169">
        <v>2.8</v>
      </c>
      <c r="Q1169">
        <v>0.7</v>
      </c>
    </row>
    <row r="1170" spans="2:17" x14ac:dyDescent="0.25">
      <c r="B1170" t="s">
        <v>78</v>
      </c>
      <c r="C1170" t="s">
        <v>79</v>
      </c>
      <c r="D1170" t="s">
        <v>2157</v>
      </c>
      <c r="E1170" t="s">
        <v>2158</v>
      </c>
      <c r="F1170">
        <v>520.4</v>
      </c>
      <c r="G1170">
        <v>520.5</v>
      </c>
      <c r="H1170">
        <v>523</v>
      </c>
      <c r="I1170">
        <v>495</v>
      </c>
      <c r="J1170" s="1">
        <v>513.4</v>
      </c>
      <c r="K1170">
        <v>16703222.1</v>
      </c>
      <c r="L1170">
        <v>32886</v>
      </c>
      <c r="M1170" t="s">
        <v>78</v>
      </c>
      <c r="N1170" t="s">
        <v>17</v>
      </c>
      <c r="O1170">
        <v>1500</v>
      </c>
      <c r="P1170">
        <v>567</v>
      </c>
      <c r="Q1170">
        <v>358.3</v>
      </c>
    </row>
    <row r="1171" spans="2:17" x14ac:dyDescent="0.25">
      <c r="B1171" t="s">
        <v>78</v>
      </c>
      <c r="C1171" t="s">
        <v>79</v>
      </c>
      <c r="D1171" t="s">
        <v>2159</v>
      </c>
      <c r="E1171" t="s">
        <v>2160</v>
      </c>
      <c r="F1171">
        <v>63.25</v>
      </c>
      <c r="G1171">
        <v>63.45</v>
      </c>
      <c r="H1171">
        <v>63.85</v>
      </c>
      <c r="I1171">
        <v>61.4</v>
      </c>
      <c r="J1171" s="1">
        <v>61.85</v>
      </c>
      <c r="K1171">
        <v>25862469.600000001</v>
      </c>
      <c r="L1171">
        <v>415315</v>
      </c>
      <c r="M1171" t="s">
        <v>78</v>
      </c>
      <c r="N1171" t="s">
        <v>17</v>
      </c>
      <c r="O1171">
        <v>5417</v>
      </c>
      <c r="P1171">
        <v>94.1</v>
      </c>
      <c r="Q1171">
        <v>61.4</v>
      </c>
    </row>
    <row r="1172" spans="2:17" x14ac:dyDescent="0.25">
      <c r="B1172" t="s">
        <v>78</v>
      </c>
      <c r="C1172" t="s">
        <v>79</v>
      </c>
      <c r="D1172" t="s">
        <v>2161</v>
      </c>
      <c r="E1172" t="s">
        <v>2162</v>
      </c>
      <c r="F1172">
        <v>37.9</v>
      </c>
      <c r="G1172">
        <v>37</v>
      </c>
      <c r="H1172">
        <v>38.4</v>
      </c>
      <c r="I1172">
        <v>36.700000000000003</v>
      </c>
      <c r="J1172" s="1">
        <v>36.799999999999997</v>
      </c>
      <c r="K1172">
        <v>1040916.5</v>
      </c>
      <c r="L1172">
        <v>28140</v>
      </c>
      <c r="M1172" t="s">
        <v>78</v>
      </c>
      <c r="N1172" t="s">
        <v>17</v>
      </c>
      <c r="O1172">
        <v>226</v>
      </c>
      <c r="P1172">
        <v>52.8</v>
      </c>
      <c r="Q1172">
        <v>36</v>
      </c>
    </row>
    <row r="1173" spans="2:17" x14ac:dyDescent="0.25">
      <c r="B1173" t="s">
        <v>78</v>
      </c>
      <c r="C1173" t="s">
        <v>287</v>
      </c>
      <c r="D1173" t="s">
        <v>5587</v>
      </c>
      <c r="E1173" t="s">
        <v>5586</v>
      </c>
      <c r="F1173">
        <v>40</v>
      </c>
      <c r="G1173">
        <v>41.95</v>
      </c>
      <c r="H1173">
        <v>42</v>
      </c>
      <c r="I1173">
        <v>41.95</v>
      </c>
      <c r="J1173" s="1">
        <v>41.95</v>
      </c>
      <c r="K1173">
        <v>167900</v>
      </c>
      <c r="L1173">
        <v>4000</v>
      </c>
      <c r="M1173" t="s">
        <v>78</v>
      </c>
      <c r="N1173" t="s">
        <v>17</v>
      </c>
      <c r="O1173">
        <v>2</v>
      </c>
      <c r="P1173">
        <v>46</v>
      </c>
      <c r="Q1173">
        <v>25</v>
      </c>
    </row>
    <row r="1174" spans="2:17" x14ac:dyDescent="0.25">
      <c r="B1174" t="s">
        <v>78</v>
      </c>
      <c r="C1174" t="s">
        <v>79</v>
      </c>
      <c r="D1174" t="s">
        <v>2163</v>
      </c>
      <c r="E1174" t="s">
        <v>2164</v>
      </c>
      <c r="F1174">
        <v>601.75</v>
      </c>
      <c r="G1174">
        <v>600</v>
      </c>
      <c r="H1174">
        <v>602</v>
      </c>
      <c r="I1174">
        <v>570.04999999999995</v>
      </c>
      <c r="J1174" s="1">
        <v>599.75</v>
      </c>
      <c r="K1174">
        <v>2177512</v>
      </c>
      <c r="L1174">
        <v>3683</v>
      </c>
      <c r="M1174" t="s">
        <v>78</v>
      </c>
      <c r="N1174" t="s">
        <v>17</v>
      </c>
      <c r="O1174">
        <v>334</v>
      </c>
      <c r="P1174">
        <v>765</v>
      </c>
      <c r="Q1174">
        <v>526</v>
      </c>
    </row>
    <row r="1175" spans="2:17" x14ac:dyDescent="0.25">
      <c r="B1175" t="s">
        <v>78</v>
      </c>
      <c r="C1175" t="s">
        <v>79</v>
      </c>
      <c r="D1175" t="s">
        <v>3646</v>
      </c>
      <c r="E1175" t="s">
        <v>3647</v>
      </c>
      <c r="F1175">
        <v>1.35</v>
      </c>
      <c r="G1175">
        <v>1.35</v>
      </c>
      <c r="H1175">
        <v>1.4</v>
      </c>
      <c r="I1175">
        <v>1.3</v>
      </c>
      <c r="J1175" s="1">
        <v>1.3</v>
      </c>
      <c r="K1175">
        <v>341799.6</v>
      </c>
      <c r="L1175">
        <v>260155</v>
      </c>
      <c r="M1175" t="s">
        <v>78</v>
      </c>
      <c r="N1175" t="s">
        <v>17</v>
      </c>
      <c r="O1175">
        <v>243</v>
      </c>
      <c r="P1175">
        <v>16.3</v>
      </c>
      <c r="Q1175">
        <v>1.3</v>
      </c>
    </row>
    <row r="1176" spans="2:17" x14ac:dyDescent="0.25">
      <c r="B1176" t="s">
        <v>78</v>
      </c>
      <c r="C1176" t="s">
        <v>79</v>
      </c>
      <c r="D1176" t="s">
        <v>2165</v>
      </c>
      <c r="E1176" t="s">
        <v>2166</v>
      </c>
      <c r="F1176">
        <v>63.65</v>
      </c>
      <c r="G1176">
        <v>63.5</v>
      </c>
      <c r="H1176">
        <v>64.7</v>
      </c>
      <c r="I1176">
        <v>59</v>
      </c>
      <c r="J1176" s="1">
        <v>60</v>
      </c>
      <c r="K1176">
        <v>7999191.75</v>
      </c>
      <c r="L1176">
        <v>132549</v>
      </c>
      <c r="M1176" t="s">
        <v>78</v>
      </c>
      <c r="N1176" t="s">
        <v>17</v>
      </c>
      <c r="O1176">
        <v>1366</v>
      </c>
      <c r="P1176">
        <v>114.9</v>
      </c>
      <c r="Q1176">
        <v>59</v>
      </c>
    </row>
    <row r="1177" spans="2:17" x14ac:dyDescent="0.25">
      <c r="B1177" t="s">
        <v>78</v>
      </c>
      <c r="C1177" t="s">
        <v>287</v>
      </c>
      <c r="D1177" t="s">
        <v>6670</v>
      </c>
      <c r="E1177" t="s">
        <v>6669</v>
      </c>
      <c r="F1177">
        <v>6.2</v>
      </c>
      <c r="G1177">
        <v>5.9</v>
      </c>
      <c r="H1177">
        <v>5.9</v>
      </c>
      <c r="I1177">
        <v>5.9</v>
      </c>
      <c r="J1177" s="1">
        <v>5.9</v>
      </c>
      <c r="K1177">
        <v>11800</v>
      </c>
      <c r="L1177">
        <v>2000</v>
      </c>
      <c r="M1177" t="s">
        <v>78</v>
      </c>
      <c r="N1177" t="s">
        <v>17</v>
      </c>
      <c r="O1177">
        <v>1</v>
      </c>
      <c r="P1177">
        <v>49</v>
      </c>
      <c r="Q1177">
        <v>5.9</v>
      </c>
    </row>
    <row r="1178" spans="2:17" x14ac:dyDescent="0.25">
      <c r="B1178" t="s">
        <v>78</v>
      </c>
      <c r="C1178" t="s">
        <v>79</v>
      </c>
      <c r="D1178" t="s">
        <v>2167</v>
      </c>
      <c r="E1178" t="s">
        <v>2168</v>
      </c>
      <c r="F1178">
        <v>1748.1</v>
      </c>
      <c r="G1178">
        <v>1748</v>
      </c>
      <c r="H1178">
        <v>1748.15</v>
      </c>
      <c r="I1178">
        <v>1708.9</v>
      </c>
      <c r="J1178" s="1">
        <v>1735.55</v>
      </c>
      <c r="K1178">
        <v>511961239.10000002</v>
      </c>
      <c r="L1178">
        <v>296179</v>
      </c>
      <c r="M1178" t="s">
        <v>78</v>
      </c>
      <c r="N1178" t="s">
        <v>17</v>
      </c>
      <c r="O1178">
        <v>15305</v>
      </c>
      <c r="P1178">
        <v>1829.95</v>
      </c>
      <c r="Q1178">
        <v>1062.8</v>
      </c>
    </row>
    <row r="1179" spans="2:17" x14ac:dyDescent="0.25">
      <c r="B1179" t="s">
        <v>78</v>
      </c>
      <c r="C1179" t="s">
        <v>79</v>
      </c>
      <c r="D1179" t="s">
        <v>2169</v>
      </c>
      <c r="E1179" t="s">
        <v>2170</v>
      </c>
      <c r="F1179">
        <v>476.55</v>
      </c>
      <c r="G1179">
        <v>475</v>
      </c>
      <c r="H1179">
        <v>482.25</v>
      </c>
      <c r="I1179">
        <v>441</v>
      </c>
      <c r="J1179" s="1">
        <v>460.3</v>
      </c>
      <c r="K1179">
        <v>283285650.10000002</v>
      </c>
      <c r="L1179">
        <v>620481</v>
      </c>
      <c r="M1179" t="s">
        <v>78</v>
      </c>
      <c r="N1179" t="s">
        <v>17</v>
      </c>
      <c r="O1179">
        <v>17370</v>
      </c>
      <c r="P1179">
        <v>1138.5</v>
      </c>
      <c r="Q1179">
        <v>415</v>
      </c>
    </row>
    <row r="1180" spans="2:17" x14ac:dyDescent="0.25">
      <c r="B1180" t="s">
        <v>78</v>
      </c>
      <c r="C1180" t="s">
        <v>79</v>
      </c>
      <c r="D1180" t="s">
        <v>2171</v>
      </c>
      <c r="E1180" t="s">
        <v>2172</v>
      </c>
      <c r="F1180">
        <v>144.25</v>
      </c>
      <c r="G1180">
        <v>147</v>
      </c>
      <c r="H1180">
        <v>147</v>
      </c>
      <c r="I1180">
        <v>134.1</v>
      </c>
      <c r="J1180" s="1">
        <v>135.75</v>
      </c>
      <c r="K1180">
        <v>18889167</v>
      </c>
      <c r="L1180">
        <v>137198</v>
      </c>
      <c r="M1180" t="s">
        <v>78</v>
      </c>
      <c r="N1180" t="s">
        <v>17</v>
      </c>
      <c r="O1180">
        <v>3693</v>
      </c>
      <c r="P1180">
        <v>286.8</v>
      </c>
      <c r="Q1180">
        <v>134.1</v>
      </c>
    </row>
    <row r="1181" spans="2:17" x14ac:dyDescent="0.25">
      <c r="B1181" t="s">
        <v>78</v>
      </c>
      <c r="C1181" t="s">
        <v>79</v>
      </c>
      <c r="D1181" t="s">
        <v>3377</v>
      </c>
      <c r="E1181" t="s">
        <v>3378</v>
      </c>
      <c r="F1181">
        <v>1.5</v>
      </c>
      <c r="G1181">
        <v>1.4</v>
      </c>
      <c r="H1181">
        <v>1.45</v>
      </c>
      <c r="I1181">
        <v>1.35</v>
      </c>
      <c r="J1181" s="1">
        <v>1.4</v>
      </c>
      <c r="K1181">
        <v>43724.35</v>
      </c>
      <c r="L1181">
        <v>31362</v>
      </c>
      <c r="M1181" t="s">
        <v>78</v>
      </c>
      <c r="N1181" t="s">
        <v>17</v>
      </c>
      <c r="O1181">
        <v>19</v>
      </c>
      <c r="P1181">
        <v>4.5999999999999996</v>
      </c>
      <c r="Q1181">
        <v>1.35</v>
      </c>
    </row>
    <row r="1182" spans="2:17" x14ac:dyDescent="0.25">
      <c r="B1182" t="s">
        <v>78</v>
      </c>
      <c r="C1182" t="s">
        <v>79</v>
      </c>
      <c r="D1182" t="s">
        <v>2173</v>
      </c>
      <c r="E1182" t="s">
        <v>2174</v>
      </c>
      <c r="F1182">
        <v>282.64999999999998</v>
      </c>
      <c r="G1182">
        <v>284.5</v>
      </c>
      <c r="H1182">
        <v>291.95</v>
      </c>
      <c r="I1182">
        <v>280.25</v>
      </c>
      <c r="J1182" s="1">
        <v>287.39999999999998</v>
      </c>
      <c r="K1182">
        <v>82272611.900000006</v>
      </c>
      <c r="L1182">
        <v>287967</v>
      </c>
      <c r="M1182" t="s">
        <v>78</v>
      </c>
      <c r="N1182" t="s">
        <v>17</v>
      </c>
      <c r="O1182">
        <v>8810</v>
      </c>
      <c r="P1182">
        <v>499</v>
      </c>
      <c r="Q1182">
        <v>261.95</v>
      </c>
    </row>
    <row r="1183" spans="2:17" x14ac:dyDescent="0.25">
      <c r="B1183" t="s">
        <v>78</v>
      </c>
      <c r="C1183" t="s">
        <v>79</v>
      </c>
      <c r="D1183" t="s">
        <v>2175</v>
      </c>
      <c r="E1183" t="s">
        <v>2176</v>
      </c>
      <c r="F1183">
        <v>56.45</v>
      </c>
      <c r="G1183">
        <v>56.45</v>
      </c>
      <c r="H1183">
        <v>57.15</v>
      </c>
      <c r="I1183">
        <v>52</v>
      </c>
      <c r="J1183" s="1">
        <v>52.75</v>
      </c>
      <c r="K1183">
        <v>2108637.5</v>
      </c>
      <c r="L1183">
        <v>38690</v>
      </c>
      <c r="M1183" t="s">
        <v>78</v>
      </c>
      <c r="N1183" t="s">
        <v>17</v>
      </c>
      <c r="O1183">
        <v>606</v>
      </c>
      <c r="P1183">
        <v>340</v>
      </c>
      <c r="Q1183">
        <v>46.35</v>
      </c>
    </row>
    <row r="1184" spans="2:17" x14ac:dyDescent="0.25">
      <c r="B1184" t="s">
        <v>78</v>
      </c>
      <c r="C1184" t="s">
        <v>79</v>
      </c>
      <c r="D1184" t="s">
        <v>2179</v>
      </c>
      <c r="E1184" t="s">
        <v>2180</v>
      </c>
      <c r="F1184">
        <v>89</v>
      </c>
      <c r="G1184">
        <v>89.85</v>
      </c>
      <c r="H1184">
        <v>90.75</v>
      </c>
      <c r="I1184">
        <v>86</v>
      </c>
      <c r="J1184" s="1">
        <v>87.2</v>
      </c>
      <c r="K1184">
        <v>87969026.299999997</v>
      </c>
      <c r="L1184">
        <v>1007429</v>
      </c>
      <c r="M1184" t="s">
        <v>78</v>
      </c>
      <c r="N1184" t="s">
        <v>17</v>
      </c>
      <c r="O1184">
        <v>9124</v>
      </c>
      <c r="P1184">
        <v>232</v>
      </c>
      <c r="Q1184">
        <v>86</v>
      </c>
    </row>
    <row r="1185" spans="2:17" x14ac:dyDescent="0.25">
      <c r="B1185" t="s">
        <v>78</v>
      </c>
      <c r="C1185" t="s">
        <v>79</v>
      </c>
      <c r="D1185" t="s">
        <v>2181</v>
      </c>
      <c r="E1185" t="s">
        <v>2182</v>
      </c>
      <c r="F1185">
        <v>685.8</v>
      </c>
      <c r="G1185">
        <v>686.4</v>
      </c>
      <c r="H1185">
        <v>714.7</v>
      </c>
      <c r="I1185">
        <v>684.5</v>
      </c>
      <c r="J1185" s="1">
        <v>685.35</v>
      </c>
      <c r="K1185">
        <v>269605494.39999998</v>
      </c>
      <c r="L1185">
        <v>391160</v>
      </c>
      <c r="M1185" t="s">
        <v>78</v>
      </c>
      <c r="N1185" t="s">
        <v>17</v>
      </c>
      <c r="O1185">
        <v>8105</v>
      </c>
      <c r="P1185">
        <v>784.8</v>
      </c>
      <c r="Q1185">
        <v>542.04999999999995</v>
      </c>
    </row>
    <row r="1186" spans="2:17" x14ac:dyDescent="0.25">
      <c r="B1186" t="s">
        <v>78</v>
      </c>
      <c r="C1186" t="s">
        <v>79</v>
      </c>
      <c r="D1186" t="s">
        <v>2185</v>
      </c>
      <c r="E1186" t="s">
        <v>2186</v>
      </c>
      <c r="F1186">
        <v>151.30000000000001</v>
      </c>
      <c r="G1186">
        <v>162.4</v>
      </c>
      <c r="H1186">
        <v>166</v>
      </c>
      <c r="I1186">
        <v>152.19999999999999</v>
      </c>
      <c r="J1186" s="1">
        <v>154.75</v>
      </c>
      <c r="K1186">
        <v>296684124.60000002</v>
      </c>
      <c r="L1186">
        <v>1852076</v>
      </c>
      <c r="M1186" t="s">
        <v>78</v>
      </c>
      <c r="N1186" t="s">
        <v>17</v>
      </c>
      <c r="O1186">
        <v>22800</v>
      </c>
      <c r="P1186">
        <v>214.5</v>
      </c>
      <c r="Q1186">
        <v>140.05000000000001</v>
      </c>
    </row>
    <row r="1187" spans="2:17" x14ac:dyDescent="0.25">
      <c r="B1187" t="s">
        <v>78</v>
      </c>
      <c r="C1187" t="s">
        <v>79</v>
      </c>
      <c r="D1187" t="s">
        <v>2187</v>
      </c>
      <c r="E1187" t="s">
        <v>2188</v>
      </c>
      <c r="F1187">
        <v>16.7</v>
      </c>
      <c r="G1187">
        <v>16.5</v>
      </c>
      <c r="H1187">
        <v>17.399999999999999</v>
      </c>
      <c r="I1187">
        <v>16.5</v>
      </c>
      <c r="J1187" s="1">
        <v>16.8</v>
      </c>
      <c r="K1187">
        <v>160760.35</v>
      </c>
      <c r="L1187">
        <v>9550</v>
      </c>
      <c r="M1187" t="s">
        <v>78</v>
      </c>
      <c r="N1187" t="s">
        <v>17</v>
      </c>
      <c r="O1187">
        <v>87</v>
      </c>
      <c r="P1187">
        <v>35.1</v>
      </c>
      <c r="Q1187">
        <v>16.100000000000001</v>
      </c>
    </row>
    <row r="1188" spans="2:17" x14ac:dyDescent="0.25">
      <c r="B1188" t="s">
        <v>78</v>
      </c>
      <c r="C1188" t="s">
        <v>79</v>
      </c>
      <c r="D1188" t="s">
        <v>2189</v>
      </c>
      <c r="E1188" t="s">
        <v>2190</v>
      </c>
      <c r="F1188">
        <v>80.150000000000006</v>
      </c>
      <c r="G1188">
        <v>81.5</v>
      </c>
      <c r="H1188">
        <v>82.2</v>
      </c>
      <c r="I1188">
        <v>75</v>
      </c>
      <c r="J1188" s="1">
        <v>75.650000000000006</v>
      </c>
      <c r="K1188">
        <v>3910419.25</v>
      </c>
      <c r="L1188">
        <v>50542</v>
      </c>
      <c r="M1188" t="s">
        <v>78</v>
      </c>
      <c r="N1188" t="s">
        <v>17</v>
      </c>
      <c r="O1188">
        <v>619</v>
      </c>
      <c r="P1188">
        <v>141</v>
      </c>
      <c r="Q1188">
        <v>71.05</v>
      </c>
    </row>
    <row r="1189" spans="2:17" x14ac:dyDescent="0.25">
      <c r="B1189" t="s">
        <v>78</v>
      </c>
      <c r="C1189" t="s">
        <v>79</v>
      </c>
      <c r="D1189" t="s">
        <v>2191</v>
      </c>
      <c r="E1189" t="s">
        <v>2192</v>
      </c>
      <c r="F1189">
        <v>770.15</v>
      </c>
      <c r="G1189">
        <v>784.95</v>
      </c>
      <c r="H1189">
        <v>786.4</v>
      </c>
      <c r="I1189">
        <v>758.65</v>
      </c>
      <c r="J1189" s="1">
        <v>762.35</v>
      </c>
      <c r="K1189">
        <v>315101168.60000002</v>
      </c>
      <c r="L1189">
        <v>408655</v>
      </c>
      <c r="M1189" t="s">
        <v>78</v>
      </c>
      <c r="N1189" t="s">
        <v>17</v>
      </c>
      <c r="O1189">
        <v>15436</v>
      </c>
      <c r="P1189">
        <v>845</v>
      </c>
      <c r="Q1189">
        <v>546.9</v>
      </c>
    </row>
    <row r="1190" spans="2:17" x14ac:dyDescent="0.25">
      <c r="B1190" t="s">
        <v>78</v>
      </c>
      <c r="C1190" t="s">
        <v>79</v>
      </c>
      <c r="D1190" t="s">
        <v>2193</v>
      </c>
      <c r="E1190" t="s">
        <v>2194</v>
      </c>
      <c r="F1190">
        <v>181.7</v>
      </c>
      <c r="G1190">
        <v>181.7</v>
      </c>
      <c r="H1190">
        <v>182</v>
      </c>
      <c r="I1190">
        <v>175.55</v>
      </c>
      <c r="J1190" s="1">
        <v>179.05</v>
      </c>
      <c r="K1190">
        <v>4242415.4000000004</v>
      </c>
      <c r="L1190">
        <v>23645</v>
      </c>
      <c r="M1190" t="s">
        <v>78</v>
      </c>
      <c r="N1190" t="s">
        <v>17</v>
      </c>
      <c r="O1190">
        <v>737</v>
      </c>
      <c r="P1190">
        <v>260.8</v>
      </c>
      <c r="Q1190">
        <v>172.1</v>
      </c>
    </row>
    <row r="1191" spans="2:17" x14ac:dyDescent="0.25">
      <c r="B1191" t="s">
        <v>78</v>
      </c>
      <c r="C1191" t="s">
        <v>79</v>
      </c>
      <c r="D1191" t="s">
        <v>2195</v>
      </c>
      <c r="E1191" t="s">
        <v>2196</v>
      </c>
      <c r="F1191">
        <v>212.85</v>
      </c>
      <c r="G1191">
        <v>215.8</v>
      </c>
      <c r="H1191">
        <v>216</v>
      </c>
      <c r="I1191">
        <v>205.25</v>
      </c>
      <c r="J1191" s="1">
        <v>209.8</v>
      </c>
      <c r="K1191">
        <v>4137885.05</v>
      </c>
      <c r="L1191">
        <v>19778</v>
      </c>
      <c r="M1191" t="s">
        <v>78</v>
      </c>
      <c r="N1191" t="s">
        <v>17</v>
      </c>
      <c r="O1191">
        <v>630</v>
      </c>
      <c r="P1191">
        <v>411.9</v>
      </c>
      <c r="Q1191">
        <v>190.3</v>
      </c>
    </row>
    <row r="1192" spans="2:17" x14ac:dyDescent="0.25">
      <c r="B1192" t="s">
        <v>78</v>
      </c>
      <c r="C1192" t="s">
        <v>79</v>
      </c>
      <c r="D1192" t="s">
        <v>3387</v>
      </c>
      <c r="E1192" t="s">
        <v>3388</v>
      </c>
      <c r="F1192">
        <v>75.650000000000006</v>
      </c>
      <c r="G1192">
        <v>77.95</v>
      </c>
      <c r="H1192">
        <v>77.95</v>
      </c>
      <c r="I1192">
        <v>72.7</v>
      </c>
      <c r="J1192" s="1">
        <v>74.400000000000006</v>
      </c>
      <c r="K1192">
        <v>4874464.3499999996</v>
      </c>
      <c r="L1192">
        <v>65895</v>
      </c>
      <c r="M1192" t="s">
        <v>78</v>
      </c>
      <c r="N1192" t="s">
        <v>17</v>
      </c>
      <c r="O1192">
        <v>867</v>
      </c>
      <c r="P1192">
        <v>215.1</v>
      </c>
      <c r="Q1192">
        <v>72.7</v>
      </c>
    </row>
    <row r="1193" spans="2:17" x14ac:dyDescent="0.25">
      <c r="B1193" t="s">
        <v>78</v>
      </c>
      <c r="C1193" t="s">
        <v>79</v>
      </c>
      <c r="D1193" t="s">
        <v>2197</v>
      </c>
      <c r="E1193" t="s">
        <v>2198</v>
      </c>
      <c r="F1193">
        <v>2.6</v>
      </c>
      <c r="G1193">
        <v>2.5499999999999998</v>
      </c>
      <c r="H1193">
        <v>2.6</v>
      </c>
      <c r="I1193">
        <v>2.5</v>
      </c>
      <c r="J1193" s="1">
        <v>2.6</v>
      </c>
      <c r="K1193">
        <v>343516.8</v>
      </c>
      <c r="L1193">
        <v>133371</v>
      </c>
      <c r="M1193" t="s">
        <v>78</v>
      </c>
      <c r="N1193" t="s">
        <v>17</v>
      </c>
      <c r="O1193">
        <v>99</v>
      </c>
      <c r="P1193">
        <v>5.5</v>
      </c>
      <c r="Q1193">
        <v>2.5</v>
      </c>
    </row>
    <row r="1194" spans="2:17" x14ac:dyDescent="0.25">
      <c r="B1194" t="s">
        <v>78</v>
      </c>
      <c r="C1194" t="s">
        <v>79</v>
      </c>
      <c r="D1194" t="s">
        <v>2199</v>
      </c>
      <c r="E1194" t="s">
        <v>2200</v>
      </c>
      <c r="F1194">
        <v>372.45</v>
      </c>
      <c r="G1194">
        <v>372.45</v>
      </c>
      <c r="H1194">
        <v>379.5</v>
      </c>
      <c r="I1194">
        <v>340.1</v>
      </c>
      <c r="J1194" s="1">
        <v>344.95</v>
      </c>
      <c r="K1194">
        <v>1094525.55</v>
      </c>
      <c r="L1194">
        <v>3066</v>
      </c>
      <c r="M1194" t="s">
        <v>78</v>
      </c>
      <c r="N1194" t="s">
        <v>17</v>
      </c>
      <c r="O1194">
        <v>438</v>
      </c>
      <c r="P1194">
        <v>645</v>
      </c>
      <c r="Q1194">
        <v>340.1</v>
      </c>
    </row>
    <row r="1195" spans="2:17" x14ac:dyDescent="0.25">
      <c r="B1195" t="s">
        <v>78</v>
      </c>
      <c r="C1195" t="s">
        <v>79</v>
      </c>
      <c r="D1195" t="s">
        <v>2201</v>
      </c>
      <c r="E1195" t="s">
        <v>2202</v>
      </c>
      <c r="F1195">
        <v>1018.55</v>
      </c>
      <c r="G1195">
        <v>1010.05</v>
      </c>
      <c r="H1195">
        <v>1010.05</v>
      </c>
      <c r="I1195">
        <v>982.9</v>
      </c>
      <c r="J1195" s="1">
        <v>991.4</v>
      </c>
      <c r="K1195">
        <v>6847068.5999999996</v>
      </c>
      <c r="L1195">
        <v>6853</v>
      </c>
      <c r="M1195" t="s">
        <v>78</v>
      </c>
      <c r="N1195" t="s">
        <v>17</v>
      </c>
      <c r="O1195">
        <v>229</v>
      </c>
      <c r="P1195">
        <v>2080.9</v>
      </c>
      <c r="Q1195">
        <v>959</v>
      </c>
    </row>
    <row r="1196" spans="2:17" x14ac:dyDescent="0.25">
      <c r="B1196" t="s">
        <v>78</v>
      </c>
      <c r="C1196" t="s">
        <v>79</v>
      </c>
      <c r="D1196" t="s">
        <v>2203</v>
      </c>
      <c r="E1196" t="s">
        <v>2204</v>
      </c>
      <c r="F1196">
        <v>959.6</v>
      </c>
      <c r="G1196">
        <v>961.9</v>
      </c>
      <c r="H1196">
        <v>961.9</v>
      </c>
      <c r="I1196">
        <v>933.7</v>
      </c>
      <c r="J1196" s="1">
        <v>952.45</v>
      </c>
      <c r="K1196">
        <v>4636233.3499999996</v>
      </c>
      <c r="L1196">
        <v>4896</v>
      </c>
      <c r="M1196" t="s">
        <v>78</v>
      </c>
      <c r="N1196" t="s">
        <v>17</v>
      </c>
      <c r="O1196">
        <v>462</v>
      </c>
      <c r="P1196">
        <v>1035</v>
      </c>
      <c r="Q1196">
        <v>753.25</v>
      </c>
    </row>
    <row r="1197" spans="2:17" x14ac:dyDescent="0.25">
      <c r="B1197" t="s">
        <v>78</v>
      </c>
      <c r="C1197" t="s">
        <v>79</v>
      </c>
      <c r="D1197" t="s">
        <v>2205</v>
      </c>
      <c r="E1197" t="s">
        <v>2206</v>
      </c>
      <c r="F1197">
        <v>696.05</v>
      </c>
      <c r="G1197">
        <v>695.75</v>
      </c>
      <c r="H1197">
        <v>702</v>
      </c>
      <c r="I1197">
        <v>675</v>
      </c>
      <c r="J1197" s="1">
        <v>677.8</v>
      </c>
      <c r="K1197">
        <v>406467971.30000001</v>
      </c>
      <c r="L1197">
        <v>591140</v>
      </c>
      <c r="M1197" t="s">
        <v>78</v>
      </c>
      <c r="N1197" t="s">
        <v>17</v>
      </c>
      <c r="O1197">
        <v>16715</v>
      </c>
      <c r="P1197">
        <v>885</v>
      </c>
      <c r="Q1197">
        <v>593</v>
      </c>
    </row>
    <row r="1198" spans="2:17" x14ac:dyDescent="0.25">
      <c r="B1198" t="s">
        <v>78</v>
      </c>
      <c r="C1198" t="s">
        <v>79</v>
      </c>
      <c r="D1198" t="s">
        <v>2207</v>
      </c>
      <c r="E1198" t="s">
        <v>2208</v>
      </c>
      <c r="F1198">
        <v>584</v>
      </c>
      <c r="G1198">
        <v>590</v>
      </c>
      <c r="H1198">
        <v>600</v>
      </c>
      <c r="I1198">
        <v>548.04999999999995</v>
      </c>
      <c r="J1198" s="1">
        <v>557.45000000000005</v>
      </c>
      <c r="K1198">
        <v>24005936.300000001</v>
      </c>
      <c r="L1198">
        <v>41740</v>
      </c>
      <c r="M1198" t="s">
        <v>78</v>
      </c>
      <c r="N1198" t="s">
        <v>17</v>
      </c>
      <c r="O1198">
        <v>2636</v>
      </c>
      <c r="P1198">
        <v>855</v>
      </c>
      <c r="Q1198">
        <v>87.35</v>
      </c>
    </row>
    <row r="1199" spans="2:17" x14ac:dyDescent="0.25">
      <c r="B1199" t="s">
        <v>78</v>
      </c>
      <c r="C1199" t="s">
        <v>79</v>
      </c>
      <c r="D1199" t="s">
        <v>2209</v>
      </c>
      <c r="E1199" t="s">
        <v>2210</v>
      </c>
      <c r="F1199">
        <v>579.75</v>
      </c>
      <c r="G1199">
        <v>582</v>
      </c>
      <c r="H1199">
        <v>589.70000000000005</v>
      </c>
      <c r="I1199">
        <v>496.4</v>
      </c>
      <c r="J1199" s="1">
        <v>500.4</v>
      </c>
      <c r="K1199">
        <v>15175326948.950001</v>
      </c>
      <c r="L1199">
        <v>28363449</v>
      </c>
      <c r="M1199" t="s">
        <v>78</v>
      </c>
      <c r="N1199" t="s">
        <v>17</v>
      </c>
      <c r="O1199">
        <v>427930</v>
      </c>
      <c r="P1199">
        <v>716.4</v>
      </c>
      <c r="Q1199">
        <v>438.2</v>
      </c>
    </row>
    <row r="1200" spans="2:17" x14ac:dyDescent="0.25">
      <c r="B1200" t="s">
        <v>78</v>
      </c>
      <c r="C1200" t="s">
        <v>79</v>
      </c>
      <c r="D1200" t="s">
        <v>2211</v>
      </c>
      <c r="E1200" t="s">
        <v>2212</v>
      </c>
      <c r="F1200">
        <v>55.9</v>
      </c>
      <c r="G1200">
        <v>56.4</v>
      </c>
      <c r="H1200">
        <v>56.8</v>
      </c>
      <c r="I1200">
        <v>54.05</v>
      </c>
      <c r="J1200" s="1">
        <v>54.4</v>
      </c>
      <c r="K1200">
        <v>34324725.549999997</v>
      </c>
      <c r="L1200">
        <v>627984</v>
      </c>
      <c r="M1200" t="s">
        <v>78</v>
      </c>
      <c r="N1200" t="s">
        <v>17</v>
      </c>
      <c r="O1200">
        <v>3675</v>
      </c>
      <c r="P1200">
        <v>79.599999999999994</v>
      </c>
      <c r="Q1200">
        <v>51</v>
      </c>
    </row>
    <row r="1201" spans="2:17" x14ac:dyDescent="0.25">
      <c r="B1201" t="s">
        <v>78</v>
      </c>
      <c r="C1201" t="s">
        <v>79</v>
      </c>
      <c r="D1201" t="s">
        <v>2213</v>
      </c>
      <c r="E1201" t="s">
        <v>2214</v>
      </c>
      <c r="F1201">
        <v>1.7</v>
      </c>
      <c r="G1201">
        <v>1.75</v>
      </c>
      <c r="H1201">
        <v>1.75</v>
      </c>
      <c r="I1201">
        <v>1.7</v>
      </c>
      <c r="J1201" s="1">
        <v>1.75</v>
      </c>
      <c r="K1201">
        <v>10687813.35</v>
      </c>
      <c r="L1201">
        <v>6123882</v>
      </c>
      <c r="M1201" t="s">
        <v>78</v>
      </c>
      <c r="N1201" t="s">
        <v>17</v>
      </c>
      <c r="O1201">
        <v>2154</v>
      </c>
      <c r="P1201">
        <v>21.7</v>
      </c>
      <c r="Q1201">
        <v>1.2</v>
      </c>
    </row>
    <row r="1202" spans="2:17" x14ac:dyDescent="0.25">
      <c r="B1202" t="s">
        <v>78</v>
      </c>
      <c r="C1202" t="s">
        <v>79</v>
      </c>
      <c r="D1202" t="s">
        <v>2215</v>
      </c>
      <c r="E1202" t="s">
        <v>2216</v>
      </c>
      <c r="F1202">
        <v>147.6</v>
      </c>
      <c r="G1202">
        <v>149</v>
      </c>
      <c r="H1202">
        <v>150</v>
      </c>
      <c r="I1202">
        <v>145.9</v>
      </c>
      <c r="J1202" s="1">
        <v>147.65</v>
      </c>
      <c r="K1202">
        <v>1326010603.25</v>
      </c>
      <c r="L1202">
        <v>8975904</v>
      </c>
      <c r="M1202" t="s">
        <v>78</v>
      </c>
      <c r="N1202" t="s">
        <v>17</v>
      </c>
      <c r="O1202">
        <v>39021</v>
      </c>
      <c r="P1202">
        <v>169.55</v>
      </c>
      <c r="Q1202">
        <v>89</v>
      </c>
    </row>
    <row r="1203" spans="2:17" x14ac:dyDescent="0.25">
      <c r="B1203" t="s">
        <v>78</v>
      </c>
      <c r="C1203" t="s">
        <v>79</v>
      </c>
      <c r="D1203" t="s">
        <v>2217</v>
      </c>
      <c r="E1203" t="s">
        <v>2218</v>
      </c>
      <c r="F1203">
        <v>100.1</v>
      </c>
      <c r="G1203">
        <v>100.2</v>
      </c>
      <c r="H1203">
        <v>102</v>
      </c>
      <c r="I1203">
        <v>100.1</v>
      </c>
      <c r="J1203" s="1">
        <v>101.8</v>
      </c>
      <c r="K1203">
        <v>10315122.35</v>
      </c>
      <c r="L1203">
        <v>102023</v>
      </c>
      <c r="M1203" t="s">
        <v>78</v>
      </c>
      <c r="N1203" t="s">
        <v>17</v>
      </c>
      <c r="O1203">
        <v>3401</v>
      </c>
      <c r="P1203">
        <v>128.65</v>
      </c>
      <c r="Q1203">
        <v>64</v>
      </c>
    </row>
    <row r="1204" spans="2:17" x14ac:dyDescent="0.25">
      <c r="B1204" t="s">
        <v>78</v>
      </c>
      <c r="C1204" t="s">
        <v>79</v>
      </c>
      <c r="D1204" t="s">
        <v>2221</v>
      </c>
      <c r="E1204" t="s">
        <v>2222</v>
      </c>
      <c r="F1204">
        <v>419.15</v>
      </c>
      <c r="G1204">
        <v>421</v>
      </c>
      <c r="H1204">
        <v>429.6</v>
      </c>
      <c r="I1204">
        <v>408.1</v>
      </c>
      <c r="J1204" s="1">
        <v>421.8</v>
      </c>
      <c r="K1204">
        <v>69684426.400000006</v>
      </c>
      <c r="L1204">
        <v>167421</v>
      </c>
      <c r="M1204" t="s">
        <v>78</v>
      </c>
      <c r="N1204" t="s">
        <v>17</v>
      </c>
      <c r="O1204">
        <v>2432</v>
      </c>
      <c r="P1204">
        <v>924</v>
      </c>
      <c r="Q1204">
        <v>408.1</v>
      </c>
    </row>
    <row r="1205" spans="2:17" x14ac:dyDescent="0.25">
      <c r="B1205" t="s">
        <v>78</v>
      </c>
      <c r="C1205" t="s">
        <v>79</v>
      </c>
      <c r="D1205" t="s">
        <v>2223</v>
      </c>
      <c r="E1205" t="s">
        <v>2224</v>
      </c>
      <c r="F1205">
        <v>52.55</v>
      </c>
      <c r="G1205">
        <v>52.8</v>
      </c>
      <c r="H1205">
        <v>53.8</v>
      </c>
      <c r="I1205">
        <v>49.8</v>
      </c>
      <c r="J1205" s="1">
        <v>51.15</v>
      </c>
      <c r="K1205">
        <v>1048099545.15</v>
      </c>
      <c r="L1205">
        <v>20251255</v>
      </c>
      <c r="M1205" t="s">
        <v>78</v>
      </c>
      <c r="N1205" t="s">
        <v>17</v>
      </c>
      <c r="O1205">
        <v>66636</v>
      </c>
      <c r="P1205">
        <v>487.7</v>
      </c>
      <c r="Q1205">
        <v>49.2</v>
      </c>
    </row>
    <row r="1206" spans="2:17" x14ac:dyDescent="0.25">
      <c r="B1206" t="s">
        <v>78</v>
      </c>
      <c r="C1206" t="s">
        <v>287</v>
      </c>
      <c r="D1206" t="s">
        <v>2225</v>
      </c>
      <c r="E1206" t="s">
        <v>2226</v>
      </c>
      <c r="F1206">
        <v>30</v>
      </c>
      <c r="G1206">
        <v>27</v>
      </c>
      <c r="H1206">
        <v>27</v>
      </c>
      <c r="I1206">
        <v>27</v>
      </c>
      <c r="J1206" s="1">
        <v>27</v>
      </c>
      <c r="K1206">
        <v>54000</v>
      </c>
      <c r="L1206">
        <v>2000</v>
      </c>
      <c r="M1206" t="s">
        <v>78</v>
      </c>
      <c r="N1206" t="s">
        <v>17</v>
      </c>
      <c r="O1206">
        <v>1</v>
      </c>
      <c r="P1206">
        <v>66.099999999999994</v>
      </c>
      <c r="Q1206">
        <v>27</v>
      </c>
    </row>
    <row r="1207" spans="2:17" x14ac:dyDescent="0.25">
      <c r="B1207" t="s">
        <v>78</v>
      </c>
      <c r="C1207" t="s">
        <v>79</v>
      </c>
      <c r="D1207" t="s">
        <v>2229</v>
      </c>
      <c r="E1207" t="s">
        <v>2230</v>
      </c>
      <c r="F1207">
        <v>36</v>
      </c>
      <c r="G1207">
        <v>35.15</v>
      </c>
      <c r="H1207">
        <v>35.15</v>
      </c>
      <c r="I1207">
        <v>34.200000000000003</v>
      </c>
      <c r="J1207" s="1">
        <v>34.200000000000003</v>
      </c>
      <c r="K1207">
        <v>3724932.05</v>
      </c>
      <c r="L1207">
        <v>108821</v>
      </c>
      <c r="M1207" t="s">
        <v>78</v>
      </c>
      <c r="N1207" t="s">
        <v>17</v>
      </c>
      <c r="O1207">
        <v>159</v>
      </c>
      <c r="P1207">
        <v>53.75</v>
      </c>
      <c r="Q1207">
        <v>16.899999999999999</v>
      </c>
    </row>
    <row r="1208" spans="2:17" x14ac:dyDescent="0.25">
      <c r="B1208" t="s">
        <v>78</v>
      </c>
      <c r="C1208" t="s">
        <v>79</v>
      </c>
      <c r="D1208" t="s">
        <v>3391</v>
      </c>
      <c r="E1208" t="s">
        <v>3392</v>
      </c>
      <c r="F1208">
        <v>48.1</v>
      </c>
      <c r="G1208">
        <v>48.35</v>
      </c>
      <c r="H1208">
        <v>49.05</v>
      </c>
      <c r="I1208">
        <v>41.9</v>
      </c>
      <c r="J1208" s="1">
        <v>42.65</v>
      </c>
      <c r="K1208">
        <v>1155016247.7</v>
      </c>
      <c r="L1208">
        <v>25535467</v>
      </c>
      <c r="M1208" t="s">
        <v>78</v>
      </c>
      <c r="N1208" t="s">
        <v>17</v>
      </c>
      <c r="O1208">
        <v>86533</v>
      </c>
      <c r="P1208">
        <v>489.55</v>
      </c>
      <c r="Q1208">
        <v>37.25</v>
      </c>
    </row>
    <row r="1209" spans="2:17" x14ac:dyDescent="0.25">
      <c r="B1209" t="s">
        <v>78</v>
      </c>
      <c r="C1209" t="s">
        <v>79</v>
      </c>
      <c r="D1209" t="s">
        <v>2231</v>
      </c>
      <c r="E1209" t="s">
        <v>2232</v>
      </c>
      <c r="F1209">
        <v>92.85</v>
      </c>
      <c r="G1209">
        <v>90.1</v>
      </c>
      <c r="H1209">
        <v>95.65</v>
      </c>
      <c r="I1209">
        <v>90.1</v>
      </c>
      <c r="J1209" s="1">
        <v>92</v>
      </c>
      <c r="K1209">
        <v>663307.05000000005</v>
      </c>
      <c r="L1209">
        <v>7096</v>
      </c>
      <c r="M1209" t="s">
        <v>78</v>
      </c>
      <c r="N1209" t="s">
        <v>17</v>
      </c>
      <c r="O1209">
        <v>42</v>
      </c>
      <c r="P1209">
        <v>145</v>
      </c>
      <c r="Q1209">
        <v>71.7</v>
      </c>
    </row>
    <row r="1210" spans="2:17" x14ac:dyDescent="0.25">
      <c r="B1210" t="s">
        <v>78</v>
      </c>
      <c r="C1210" t="s">
        <v>79</v>
      </c>
      <c r="D1210" t="s">
        <v>3393</v>
      </c>
      <c r="E1210" t="s">
        <v>3394</v>
      </c>
      <c r="F1210">
        <v>8.8000000000000007</v>
      </c>
      <c r="G1210">
        <v>8.9</v>
      </c>
      <c r="H1210">
        <v>9.1</v>
      </c>
      <c r="I1210">
        <v>8.75</v>
      </c>
      <c r="J1210" s="1">
        <v>8.85</v>
      </c>
      <c r="K1210">
        <v>6315895.7000000002</v>
      </c>
      <c r="L1210">
        <v>711042</v>
      </c>
      <c r="M1210" t="s">
        <v>78</v>
      </c>
      <c r="N1210" t="s">
        <v>17</v>
      </c>
      <c r="O1210">
        <v>819</v>
      </c>
      <c r="P1210">
        <v>18.350000000000001</v>
      </c>
      <c r="Q1210">
        <v>8.6</v>
      </c>
    </row>
    <row r="1211" spans="2:17" x14ac:dyDescent="0.25">
      <c r="B1211" t="s">
        <v>78</v>
      </c>
      <c r="C1211" t="s">
        <v>79</v>
      </c>
      <c r="D1211" t="s">
        <v>2233</v>
      </c>
      <c r="E1211" t="s">
        <v>2234</v>
      </c>
      <c r="F1211">
        <v>358.55</v>
      </c>
      <c r="G1211">
        <v>360.5</v>
      </c>
      <c r="H1211">
        <v>360.5</v>
      </c>
      <c r="I1211">
        <v>350.2</v>
      </c>
      <c r="J1211" s="1">
        <v>353.35</v>
      </c>
      <c r="K1211">
        <v>11311949.5</v>
      </c>
      <c r="L1211">
        <v>32021</v>
      </c>
      <c r="M1211" t="s">
        <v>78</v>
      </c>
      <c r="N1211" t="s">
        <v>17</v>
      </c>
      <c r="O1211">
        <v>2188</v>
      </c>
      <c r="P1211">
        <v>648</v>
      </c>
      <c r="Q1211">
        <v>293.89999999999998</v>
      </c>
    </row>
    <row r="1212" spans="2:17" x14ac:dyDescent="0.25">
      <c r="B1212" t="s">
        <v>78</v>
      </c>
      <c r="C1212" t="s">
        <v>287</v>
      </c>
      <c r="D1212" t="s">
        <v>2235</v>
      </c>
      <c r="E1212" t="s">
        <v>2236</v>
      </c>
      <c r="F1212">
        <v>33</v>
      </c>
      <c r="G1212">
        <v>32</v>
      </c>
      <c r="H1212">
        <v>32</v>
      </c>
      <c r="I1212">
        <v>32</v>
      </c>
      <c r="J1212" s="1">
        <v>32</v>
      </c>
      <c r="K1212">
        <v>96000</v>
      </c>
      <c r="L1212">
        <v>3000</v>
      </c>
      <c r="M1212" t="s">
        <v>78</v>
      </c>
      <c r="N1212" t="s">
        <v>17</v>
      </c>
      <c r="O1212">
        <v>1</v>
      </c>
      <c r="P1212">
        <v>49.5</v>
      </c>
      <c r="Q1212">
        <v>26.65</v>
      </c>
    </row>
    <row r="1213" spans="2:17" x14ac:dyDescent="0.25">
      <c r="B1213" t="s">
        <v>78</v>
      </c>
      <c r="C1213" t="s">
        <v>79</v>
      </c>
      <c r="D1213" t="s">
        <v>2237</v>
      </c>
      <c r="E1213" t="s">
        <v>2238</v>
      </c>
      <c r="F1213">
        <v>515.45000000000005</v>
      </c>
      <c r="G1213">
        <v>515.79999999999995</v>
      </c>
      <c r="H1213">
        <v>524.9</v>
      </c>
      <c r="I1213">
        <v>504.05</v>
      </c>
      <c r="J1213" s="1">
        <v>517.79999999999995</v>
      </c>
      <c r="K1213">
        <v>972665.7</v>
      </c>
      <c r="L1213">
        <v>1882</v>
      </c>
      <c r="M1213" t="s">
        <v>78</v>
      </c>
      <c r="N1213" t="s">
        <v>17</v>
      </c>
      <c r="O1213">
        <v>334</v>
      </c>
      <c r="P1213">
        <v>749.95</v>
      </c>
      <c r="Q1213">
        <v>480.2</v>
      </c>
    </row>
    <row r="1214" spans="2:17" x14ac:dyDescent="0.25">
      <c r="B1214" t="s">
        <v>78</v>
      </c>
      <c r="C1214" t="s">
        <v>79</v>
      </c>
      <c r="D1214" t="s">
        <v>2239</v>
      </c>
      <c r="E1214" t="s">
        <v>2240</v>
      </c>
      <c r="F1214">
        <v>91.75</v>
      </c>
      <c r="G1214">
        <v>95</v>
      </c>
      <c r="H1214">
        <v>95</v>
      </c>
      <c r="I1214">
        <v>85.1</v>
      </c>
      <c r="J1214" s="1">
        <v>86.75</v>
      </c>
      <c r="K1214">
        <v>10731720.949999999</v>
      </c>
      <c r="L1214">
        <v>120482</v>
      </c>
      <c r="M1214" t="s">
        <v>78</v>
      </c>
      <c r="N1214" t="s">
        <v>17</v>
      </c>
      <c r="O1214">
        <v>819</v>
      </c>
      <c r="P1214">
        <v>105.1</v>
      </c>
      <c r="Q1214">
        <v>67.349999999999994</v>
      </c>
    </row>
    <row r="1215" spans="2:17" x14ac:dyDescent="0.25">
      <c r="B1215" t="s">
        <v>78</v>
      </c>
      <c r="C1215" t="s">
        <v>79</v>
      </c>
      <c r="D1215" t="s">
        <v>2241</v>
      </c>
      <c r="E1215" t="s">
        <v>2242</v>
      </c>
      <c r="F1215">
        <v>379.4</v>
      </c>
      <c r="G1215">
        <v>378</v>
      </c>
      <c r="H1215">
        <v>388.4</v>
      </c>
      <c r="I1215">
        <v>370</v>
      </c>
      <c r="J1215" s="1">
        <v>374.75</v>
      </c>
      <c r="K1215">
        <v>161308.6</v>
      </c>
      <c r="L1215">
        <v>430</v>
      </c>
      <c r="M1215" t="s">
        <v>78</v>
      </c>
      <c r="N1215" t="s">
        <v>17</v>
      </c>
      <c r="O1215">
        <v>43</v>
      </c>
      <c r="P1215">
        <v>546.9</v>
      </c>
      <c r="Q1215">
        <v>332</v>
      </c>
    </row>
    <row r="1216" spans="2:17" x14ac:dyDescent="0.25">
      <c r="B1216" t="s">
        <v>78</v>
      </c>
      <c r="C1216" t="s">
        <v>79</v>
      </c>
      <c r="D1216" t="s">
        <v>2243</v>
      </c>
      <c r="E1216" t="s">
        <v>2244</v>
      </c>
      <c r="F1216">
        <v>263.5</v>
      </c>
      <c r="G1216">
        <v>264</v>
      </c>
      <c r="H1216">
        <v>266.39999999999998</v>
      </c>
      <c r="I1216">
        <v>261.2</v>
      </c>
      <c r="J1216" s="1">
        <v>263.89999999999998</v>
      </c>
      <c r="K1216">
        <v>179685</v>
      </c>
      <c r="L1216">
        <v>682</v>
      </c>
      <c r="M1216" t="s">
        <v>78</v>
      </c>
      <c r="N1216" t="s">
        <v>17</v>
      </c>
      <c r="O1216">
        <v>25</v>
      </c>
      <c r="P1216">
        <v>344.2</v>
      </c>
      <c r="Q1216">
        <v>253.95</v>
      </c>
    </row>
    <row r="1217" spans="2:17" x14ac:dyDescent="0.25">
      <c r="B1217" t="s">
        <v>78</v>
      </c>
      <c r="C1217" t="s">
        <v>79</v>
      </c>
      <c r="D1217" t="s">
        <v>3395</v>
      </c>
      <c r="E1217" t="s">
        <v>3396</v>
      </c>
      <c r="F1217">
        <v>11.1</v>
      </c>
      <c r="G1217">
        <v>11.15</v>
      </c>
      <c r="H1217">
        <v>11.5</v>
      </c>
      <c r="I1217">
        <v>10.65</v>
      </c>
      <c r="J1217" s="1">
        <v>10.7</v>
      </c>
      <c r="K1217">
        <v>3639637.7</v>
      </c>
      <c r="L1217">
        <v>333861</v>
      </c>
      <c r="M1217" t="s">
        <v>78</v>
      </c>
      <c r="N1217" t="s">
        <v>17</v>
      </c>
      <c r="O1217">
        <v>976</v>
      </c>
      <c r="P1217">
        <v>76.7</v>
      </c>
      <c r="Q1217">
        <v>9.6999999999999993</v>
      </c>
    </row>
    <row r="1218" spans="2:17" x14ac:dyDescent="0.25">
      <c r="B1218" t="s">
        <v>78</v>
      </c>
      <c r="C1218" t="s">
        <v>79</v>
      </c>
      <c r="D1218" t="s">
        <v>2245</v>
      </c>
      <c r="E1218" t="s">
        <v>2246</v>
      </c>
      <c r="F1218">
        <v>52.4</v>
      </c>
      <c r="G1218">
        <v>52.2</v>
      </c>
      <c r="H1218">
        <v>53.4</v>
      </c>
      <c r="I1218">
        <v>51.2</v>
      </c>
      <c r="J1218" s="1">
        <v>51.75</v>
      </c>
      <c r="K1218">
        <v>9315511.5999999996</v>
      </c>
      <c r="L1218">
        <v>176653</v>
      </c>
      <c r="M1218" t="s">
        <v>78</v>
      </c>
      <c r="N1218" t="s">
        <v>17</v>
      </c>
      <c r="O1218">
        <v>969</v>
      </c>
      <c r="P1218">
        <v>87.35</v>
      </c>
      <c r="Q1218">
        <v>51.2</v>
      </c>
    </row>
    <row r="1219" spans="2:17" x14ac:dyDescent="0.25">
      <c r="B1219" t="s">
        <v>78</v>
      </c>
      <c r="C1219" t="s">
        <v>79</v>
      </c>
      <c r="D1219" t="s">
        <v>2247</v>
      </c>
      <c r="E1219" t="s">
        <v>2248</v>
      </c>
      <c r="F1219">
        <v>276.05</v>
      </c>
      <c r="G1219">
        <v>278.2</v>
      </c>
      <c r="H1219">
        <v>278.3</v>
      </c>
      <c r="I1219">
        <v>268.05</v>
      </c>
      <c r="J1219" s="1">
        <v>270.3</v>
      </c>
      <c r="K1219">
        <v>30636588</v>
      </c>
      <c r="L1219">
        <v>112778</v>
      </c>
      <c r="M1219" t="s">
        <v>78</v>
      </c>
      <c r="N1219" t="s">
        <v>17</v>
      </c>
      <c r="O1219">
        <v>4532</v>
      </c>
      <c r="P1219">
        <v>496.5</v>
      </c>
      <c r="Q1219">
        <v>260.8</v>
      </c>
    </row>
    <row r="1220" spans="2:17" x14ac:dyDescent="0.25">
      <c r="B1220" t="s">
        <v>78</v>
      </c>
      <c r="C1220" t="s">
        <v>79</v>
      </c>
      <c r="D1220" t="s">
        <v>2249</v>
      </c>
      <c r="E1220" t="s">
        <v>2250</v>
      </c>
      <c r="F1220">
        <v>291.55</v>
      </c>
      <c r="G1220">
        <v>293.95</v>
      </c>
      <c r="H1220">
        <v>296.14999999999998</v>
      </c>
      <c r="I1220">
        <v>289.5</v>
      </c>
      <c r="J1220" s="1">
        <v>292.14999999999998</v>
      </c>
      <c r="K1220">
        <v>216313560.15000001</v>
      </c>
      <c r="L1220">
        <v>736200</v>
      </c>
      <c r="M1220" t="s">
        <v>78</v>
      </c>
      <c r="N1220" t="s">
        <v>17</v>
      </c>
      <c r="O1220">
        <v>6708</v>
      </c>
      <c r="P1220">
        <v>326</v>
      </c>
      <c r="Q1220">
        <v>192.15</v>
      </c>
    </row>
    <row r="1221" spans="2:17" x14ac:dyDescent="0.25">
      <c r="B1221" t="s">
        <v>78</v>
      </c>
      <c r="C1221" t="s">
        <v>79</v>
      </c>
      <c r="D1221" t="s">
        <v>2251</v>
      </c>
      <c r="E1221" t="s">
        <v>2252</v>
      </c>
      <c r="F1221">
        <v>6.7</v>
      </c>
      <c r="G1221">
        <v>6.7</v>
      </c>
      <c r="H1221">
        <v>6.9</v>
      </c>
      <c r="I1221">
        <v>6.6</v>
      </c>
      <c r="J1221" s="1">
        <v>6.6</v>
      </c>
      <c r="K1221">
        <v>27072.1</v>
      </c>
      <c r="L1221">
        <v>4086</v>
      </c>
      <c r="M1221" t="s">
        <v>78</v>
      </c>
      <c r="N1221" t="s">
        <v>17</v>
      </c>
      <c r="O1221">
        <v>35</v>
      </c>
      <c r="P1221">
        <v>15.45</v>
      </c>
      <c r="Q1221">
        <v>6.6</v>
      </c>
    </row>
    <row r="1222" spans="2:17" x14ac:dyDescent="0.25">
      <c r="B1222" t="s">
        <v>78</v>
      </c>
      <c r="C1222" t="s">
        <v>287</v>
      </c>
      <c r="D1222" t="s">
        <v>2253</v>
      </c>
      <c r="E1222" t="s">
        <v>2254</v>
      </c>
      <c r="F1222">
        <v>51.35</v>
      </c>
      <c r="G1222">
        <v>52</v>
      </c>
      <c r="H1222">
        <v>52.8</v>
      </c>
      <c r="I1222">
        <v>50</v>
      </c>
      <c r="J1222" s="1">
        <v>51.3</v>
      </c>
      <c r="K1222">
        <v>1503500</v>
      </c>
      <c r="L1222">
        <v>29000</v>
      </c>
      <c r="M1222" t="s">
        <v>78</v>
      </c>
      <c r="N1222" t="s">
        <v>17</v>
      </c>
      <c r="O1222">
        <v>6</v>
      </c>
      <c r="P1222">
        <v>110</v>
      </c>
      <c r="Q1222">
        <v>46.5</v>
      </c>
    </row>
    <row r="1223" spans="2:17" x14ac:dyDescent="0.25">
      <c r="B1223" t="s">
        <v>78</v>
      </c>
      <c r="C1223" t="s">
        <v>79</v>
      </c>
      <c r="D1223" t="s">
        <v>2255</v>
      </c>
      <c r="E1223" t="s">
        <v>2256</v>
      </c>
      <c r="F1223">
        <v>486.15</v>
      </c>
      <c r="G1223">
        <v>482.8</v>
      </c>
      <c r="H1223">
        <v>484.1</v>
      </c>
      <c r="I1223">
        <v>470.05</v>
      </c>
      <c r="J1223" s="1">
        <v>480.15</v>
      </c>
      <c r="K1223">
        <v>9526234.1500000004</v>
      </c>
      <c r="L1223">
        <v>19866</v>
      </c>
      <c r="M1223" t="s">
        <v>78</v>
      </c>
      <c r="N1223" t="s">
        <v>17</v>
      </c>
      <c r="O1223">
        <v>430</v>
      </c>
      <c r="P1223">
        <v>719</v>
      </c>
      <c r="Q1223">
        <v>407</v>
      </c>
    </row>
    <row r="1224" spans="2:17" x14ac:dyDescent="0.25">
      <c r="B1224" t="s">
        <v>78</v>
      </c>
      <c r="C1224" t="s">
        <v>79</v>
      </c>
      <c r="D1224" t="s">
        <v>3652</v>
      </c>
      <c r="E1224" t="s">
        <v>3653</v>
      </c>
      <c r="F1224">
        <v>5.25</v>
      </c>
      <c r="G1224">
        <v>5.3</v>
      </c>
      <c r="H1224">
        <v>5.5</v>
      </c>
      <c r="I1224">
        <v>5.05</v>
      </c>
      <c r="J1224" s="1">
        <v>5.45</v>
      </c>
      <c r="K1224">
        <v>1029812.35</v>
      </c>
      <c r="L1224">
        <v>193663</v>
      </c>
      <c r="M1224" t="s">
        <v>78</v>
      </c>
      <c r="N1224" t="s">
        <v>17</v>
      </c>
      <c r="O1224">
        <v>435</v>
      </c>
      <c r="P1224">
        <v>41</v>
      </c>
      <c r="Q1224">
        <v>4.8499999999999996</v>
      </c>
    </row>
    <row r="1225" spans="2:17" x14ac:dyDescent="0.25">
      <c r="B1225" t="s">
        <v>78</v>
      </c>
      <c r="C1225" t="s">
        <v>287</v>
      </c>
      <c r="D1225" t="s">
        <v>2257</v>
      </c>
      <c r="E1225" t="s">
        <v>2258</v>
      </c>
      <c r="F1225">
        <v>15.85</v>
      </c>
      <c r="G1225">
        <v>15.1</v>
      </c>
      <c r="H1225">
        <v>15.1</v>
      </c>
      <c r="I1225">
        <v>15.1</v>
      </c>
      <c r="J1225" s="1">
        <v>15.1</v>
      </c>
      <c r="K1225">
        <v>30200</v>
      </c>
      <c r="L1225">
        <v>2000</v>
      </c>
      <c r="M1225" t="s">
        <v>78</v>
      </c>
      <c r="N1225" t="s">
        <v>17</v>
      </c>
      <c r="O1225">
        <v>1</v>
      </c>
      <c r="P1225">
        <v>59.65</v>
      </c>
      <c r="Q1225">
        <v>15.1</v>
      </c>
    </row>
    <row r="1226" spans="2:17" x14ac:dyDescent="0.25">
      <c r="B1226" t="s">
        <v>78</v>
      </c>
      <c r="C1226" t="s">
        <v>79</v>
      </c>
      <c r="D1226" t="s">
        <v>2259</v>
      </c>
      <c r="E1226" t="s">
        <v>2260</v>
      </c>
      <c r="F1226">
        <v>276.25</v>
      </c>
      <c r="G1226">
        <v>275.05</v>
      </c>
      <c r="H1226">
        <v>275.14999999999998</v>
      </c>
      <c r="I1226">
        <v>268.8</v>
      </c>
      <c r="J1226" s="1">
        <v>271.89999999999998</v>
      </c>
      <c r="K1226">
        <v>1154922.3</v>
      </c>
      <c r="L1226">
        <v>4256</v>
      </c>
      <c r="M1226" t="s">
        <v>78</v>
      </c>
      <c r="N1226" t="s">
        <v>17</v>
      </c>
      <c r="O1226">
        <v>196</v>
      </c>
      <c r="P1226">
        <v>732</v>
      </c>
      <c r="Q1226">
        <v>268.8</v>
      </c>
    </row>
    <row r="1227" spans="2:17" x14ac:dyDescent="0.25">
      <c r="B1227" t="s">
        <v>78</v>
      </c>
      <c r="C1227" t="s">
        <v>79</v>
      </c>
      <c r="D1227" t="s">
        <v>6668</v>
      </c>
      <c r="E1227" t="s">
        <v>6667</v>
      </c>
      <c r="F1227">
        <v>227.05</v>
      </c>
      <c r="G1227">
        <v>227.5</v>
      </c>
      <c r="H1227">
        <v>227.9</v>
      </c>
      <c r="I1227">
        <v>226.6</v>
      </c>
      <c r="J1227" s="1">
        <v>227.1</v>
      </c>
      <c r="K1227">
        <v>180952841.05000001</v>
      </c>
      <c r="L1227">
        <v>796102</v>
      </c>
      <c r="M1227" t="s">
        <v>78</v>
      </c>
      <c r="N1227" t="s">
        <v>17</v>
      </c>
      <c r="O1227">
        <v>5418</v>
      </c>
      <c r="P1227">
        <v>278.85000000000002</v>
      </c>
      <c r="Q1227">
        <v>127.2</v>
      </c>
    </row>
    <row r="1228" spans="2:17" x14ac:dyDescent="0.25">
      <c r="B1228" t="s">
        <v>78</v>
      </c>
      <c r="C1228" t="s">
        <v>79</v>
      </c>
      <c r="D1228" t="s">
        <v>3654</v>
      </c>
      <c r="E1228" t="s">
        <v>3655</v>
      </c>
      <c r="F1228">
        <v>3.65</v>
      </c>
      <c r="G1228">
        <v>3.85</v>
      </c>
      <c r="H1228">
        <v>3.85</v>
      </c>
      <c r="I1228">
        <v>3.5</v>
      </c>
      <c r="J1228" s="1">
        <v>3.55</v>
      </c>
      <c r="K1228">
        <v>1725236.65</v>
      </c>
      <c r="L1228">
        <v>472840</v>
      </c>
      <c r="M1228" t="s">
        <v>78</v>
      </c>
      <c r="N1228" t="s">
        <v>17</v>
      </c>
      <c r="O1228">
        <v>725</v>
      </c>
      <c r="P1228">
        <v>20.7</v>
      </c>
      <c r="Q1228">
        <v>3.4</v>
      </c>
    </row>
    <row r="1229" spans="2:17" x14ac:dyDescent="0.25">
      <c r="B1229" t="s">
        <v>78</v>
      </c>
      <c r="C1229" t="s">
        <v>79</v>
      </c>
      <c r="D1229" t="s">
        <v>2261</v>
      </c>
      <c r="E1229" t="s">
        <v>2262</v>
      </c>
      <c r="F1229">
        <v>82.2</v>
      </c>
      <c r="G1229">
        <v>81.5</v>
      </c>
      <c r="H1229">
        <v>82.8</v>
      </c>
      <c r="I1229">
        <v>72</v>
      </c>
      <c r="J1229" s="1">
        <v>76.349999999999994</v>
      </c>
      <c r="K1229">
        <v>5775319.0999999996</v>
      </c>
      <c r="L1229">
        <v>74093</v>
      </c>
      <c r="M1229" t="s">
        <v>78</v>
      </c>
      <c r="N1229" t="s">
        <v>17</v>
      </c>
      <c r="O1229">
        <v>1676</v>
      </c>
      <c r="P1229">
        <v>172.9</v>
      </c>
      <c r="Q1229">
        <v>72</v>
      </c>
    </row>
    <row r="1230" spans="2:17" x14ac:dyDescent="0.25">
      <c r="B1230" t="s">
        <v>78</v>
      </c>
      <c r="C1230" t="s">
        <v>79</v>
      </c>
      <c r="D1230" t="s">
        <v>2265</v>
      </c>
      <c r="E1230" t="s">
        <v>2266</v>
      </c>
      <c r="F1230">
        <v>5.15</v>
      </c>
      <c r="G1230">
        <v>5.2</v>
      </c>
      <c r="H1230">
        <v>5.2</v>
      </c>
      <c r="I1230">
        <v>5</v>
      </c>
      <c r="J1230" s="1">
        <v>5.05</v>
      </c>
      <c r="K1230">
        <v>1000945.6</v>
      </c>
      <c r="L1230">
        <v>197192</v>
      </c>
      <c r="M1230" t="s">
        <v>78</v>
      </c>
      <c r="N1230" t="s">
        <v>17</v>
      </c>
      <c r="O1230">
        <v>313</v>
      </c>
      <c r="P1230">
        <v>43.5</v>
      </c>
      <c r="Q1230">
        <v>3.8</v>
      </c>
    </row>
    <row r="1231" spans="2:17" x14ac:dyDescent="0.25">
      <c r="B1231" t="s">
        <v>78</v>
      </c>
      <c r="C1231" t="s">
        <v>79</v>
      </c>
      <c r="D1231" t="s">
        <v>2271</v>
      </c>
      <c r="E1231" t="s">
        <v>2272</v>
      </c>
      <c r="F1231">
        <v>41.95</v>
      </c>
      <c r="G1231">
        <v>41.65</v>
      </c>
      <c r="H1231">
        <v>42.15</v>
      </c>
      <c r="I1231">
        <v>40.5</v>
      </c>
      <c r="J1231" s="1">
        <v>40.700000000000003</v>
      </c>
      <c r="K1231">
        <v>106296.95</v>
      </c>
      <c r="L1231">
        <v>2584</v>
      </c>
      <c r="M1231" t="s">
        <v>78</v>
      </c>
      <c r="N1231" t="s">
        <v>17</v>
      </c>
      <c r="O1231">
        <v>71</v>
      </c>
      <c r="P1231">
        <v>103.55</v>
      </c>
      <c r="Q1231">
        <v>38.299999999999997</v>
      </c>
    </row>
    <row r="1232" spans="2:17" x14ac:dyDescent="0.25">
      <c r="B1232" t="s">
        <v>78</v>
      </c>
      <c r="C1232" t="s">
        <v>79</v>
      </c>
      <c r="D1232" t="s">
        <v>2275</v>
      </c>
      <c r="E1232" t="s">
        <v>2276</v>
      </c>
      <c r="F1232">
        <v>210.7</v>
      </c>
      <c r="G1232">
        <v>209</v>
      </c>
      <c r="H1232">
        <v>211.9</v>
      </c>
      <c r="I1232">
        <v>203</v>
      </c>
      <c r="J1232" s="1">
        <v>204.8</v>
      </c>
      <c r="K1232">
        <v>2445804.65</v>
      </c>
      <c r="L1232">
        <v>11869</v>
      </c>
      <c r="M1232" t="s">
        <v>78</v>
      </c>
      <c r="N1232" t="s">
        <v>17</v>
      </c>
      <c r="O1232">
        <v>565</v>
      </c>
      <c r="P1232">
        <v>356.5</v>
      </c>
      <c r="Q1232">
        <v>200</v>
      </c>
    </row>
    <row r="1233" spans="2:17" x14ac:dyDescent="0.25">
      <c r="B1233" t="s">
        <v>78</v>
      </c>
      <c r="C1233" t="s">
        <v>79</v>
      </c>
      <c r="D1233" t="s">
        <v>3399</v>
      </c>
      <c r="E1233" t="s">
        <v>3400</v>
      </c>
      <c r="F1233">
        <v>3.8</v>
      </c>
      <c r="G1233">
        <v>3.85</v>
      </c>
      <c r="H1233">
        <v>3.9</v>
      </c>
      <c r="I1233">
        <v>3.55</v>
      </c>
      <c r="J1233" s="1">
        <v>3.65</v>
      </c>
      <c r="K1233">
        <v>85474934.299999997</v>
      </c>
      <c r="L1233">
        <v>23185351</v>
      </c>
      <c r="M1233" t="s">
        <v>78</v>
      </c>
      <c r="N1233" t="s">
        <v>17</v>
      </c>
      <c r="O1233">
        <v>19015</v>
      </c>
      <c r="P1233">
        <v>39.299999999999997</v>
      </c>
      <c r="Q1233">
        <v>3.55</v>
      </c>
    </row>
    <row r="1234" spans="2:17" x14ac:dyDescent="0.25">
      <c r="B1234" t="s">
        <v>78</v>
      </c>
      <c r="C1234" t="s">
        <v>79</v>
      </c>
      <c r="D1234" t="s">
        <v>2277</v>
      </c>
      <c r="E1234" t="s">
        <v>2278</v>
      </c>
      <c r="F1234">
        <v>111.05</v>
      </c>
      <c r="G1234">
        <v>111.35</v>
      </c>
      <c r="H1234">
        <v>111.35</v>
      </c>
      <c r="I1234">
        <v>102.1</v>
      </c>
      <c r="J1234" s="1">
        <v>107.35</v>
      </c>
      <c r="K1234">
        <v>1352049.25</v>
      </c>
      <c r="L1234">
        <v>12516</v>
      </c>
      <c r="M1234" t="s">
        <v>78</v>
      </c>
      <c r="N1234" t="s">
        <v>17</v>
      </c>
      <c r="O1234">
        <v>245</v>
      </c>
      <c r="P1234">
        <v>246.7</v>
      </c>
      <c r="Q1234">
        <v>81.599999999999994</v>
      </c>
    </row>
    <row r="1235" spans="2:17" x14ac:dyDescent="0.25">
      <c r="B1235" t="s">
        <v>78</v>
      </c>
      <c r="C1235" t="s">
        <v>287</v>
      </c>
      <c r="D1235" t="s">
        <v>2279</v>
      </c>
      <c r="E1235" t="s">
        <v>2280</v>
      </c>
      <c r="F1235">
        <v>102</v>
      </c>
      <c r="G1235">
        <v>99</v>
      </c>
      <c r="H1235">
        <v>99</v>
      </c>
      <c r="I1235">
        <v>99</v>
      </c>
      <c r="J1235" s="1">
        <v>99</v>
      </c>
      <c r="K1235">
        <v>495000</v>
      </c>
      <c r="L1235">
        <v>5000</v>
      </c>
      <c r="M1235" t="s">
        <v>78</v>
      </c>
      <c r="N1235" t="s">
        <v>17</v>
      </c>
      <c r="O1235">
        <v>5</v>
      </c>
      <c r="P1235">
        <v>120</v>
      </c>
      <c r="Q1235">
        <v>95</v>
      </c>
    </row>
    <row r="1236" spans="2:17" x14ac:dyDescent="0.25">
      <c r="B1236" t="s">
        <v>78</v>
      </c>
      <c r="C1236" t="s">
        <v>79</v>
      </c>
      <c r="D1236" t="s">
        <v>3401</v>
      </c>
      <c r="E1236" t="s">
        <v>3402</v>
      </c>
      <c r="F1236">
        <v>20.05</v>
      </c>
      <c r="G1236">
        <v>20.149999999999999</v>
      </c>
      <c r="H1236">
        <v>20.25</v>
      </c>
      <c r="I1236">
        <v>18.55</v>
      </c>
      <c r="J1236" s="1">
        <v>18.850000000000001</v>
      </c>
      <c r="K1236">
        <v>268024.65000000002</v>
      </c>
      <c r="L1236">
        <v>13905</v>
      </c>
      <c r="M1236" t="s">
        <v>78</v>
      </c>
      <c r="N1236" t="s">
        <v>17</v>
      </c>
      <c r="O1236">
        <v>193</v>
      </c>
      <c r="P1236">
        <v>53.5</v>
      </c>
      <c r="Q1236">
        <v>18.55</v>
      </c>
    </row>
    <row r="1237" spans="2:17" x14ac:dyDescent="0.25">
      <c r="B1237" t="s">
        <v>78</v>
      </c>
      <c r="C1237" t="s">
        <v>79</v>
      </c>
      <c r="D1237" t="s">
        <v>2283</v>
      </c>
      <c r="E1237" t="s">
        <v>2284</v>
      </c>
      <c r="F1237">
        <v>139.1</v>
      </c>
      <c r="G1237">
        <v>140</v>
      </c>
      <c r="H1237">
        <v>141.5</v>
      </c>
      <c r="I1237">
        <v>133.19999999999999</v>
      </c>
      <c r="J1237" s="1">
        <v>137.25</v>
      </c>
      <c r="K1237">
        <v>1164956.1499999999</v>
      </c>
      <c r="L1237">
        <v>8529</v>
      </c>
      <c r="M1237" t="s">
        <v>78</v>
      </c>
      <c r="N1237" t="s">
        <v>17</v>
      </c>
      <c r="O1237">
        <v>395</v>
      </c>
      <c r="P1237">
        <v>282</v>
      </c>
      <c r="Q1237">
        <v>124</v>
      </c>
    </row>
    <row r="1238" spans="2:17" x14ac:dyDescent="0.25">
      <c r="B1238" t="s">
        <v>78</v>
      </c>
      <c r="C1238" t="s">
        <v>79</v>
      </c>
      <c r="D1238" t="s">
        <v>2285</v>
      </c>
      <c r="E1238" t="s">
        <v>2286</v>
      </c>
      <c r="F1238">
        <v>43.9</v>
      </c>
      <c r="G1238">
        <v>43.65</v>
      </c>
      <c r="H1238">
        <v>43.65</v>
      </c>
      <c r="I1238">
        <v>42.1</v>
      </c>
      <c r="J1238" s="1">
        <v>42.5</v>
      </c>
      <c r="K1238">
        <v>316532.8</v>
      </c>
      <c r="L1238">
        <v>7448</v>
      </c>
      <c r="M1238" t="s">
        <v>78</v>
      </c>
      <c r="N1238" t="s">
        <v>17</v>
      </c>
      <c r="O1238">
        <v>72</v>
      </c>
      <c r="P1238">
        <v>56.7</v>
      </c>
      <c r="Q1238">
        <v>27.05</v>
      </c>
    </row>
    <row r="1239" spans="2:17" x14ac:dyDescent="0.25">
      <c r="B1239" t="s">
        <v>78</v>
      </c>
      <c r="C1239" t="s">
        <v>79</v>
      </c>
      <c r="D1239" t="s">
        <v>6666</v>
      </c>
      <c r="E1239" t="s">
        <v>6665</v>
      </c>
      <c r="F1239">
        <v>1.95</v>
      </c>
      <c r="G1239">
        <v>1.95</v>
      </c>
      <c r="H1239">
        <v>2</v>
      </c>
      <c r="I1239">
        <v>1.85</v>
      </c>
      <c r="J1239" s="1">
        <v>1.85</v>
      </c>
      <c r="K1239">
        <v>271213.8</v>
      </c>
      <c r="L1239">
        <v>141435</v>
      </c>
      <c r="M1239" t="s">
        <v>78</v>
      </c>
      <c r="N1239" t="s">
        <v>17</v>
      </c>
      <c r="O1239">
        <v>124</v>
      </c>
      <c r="P1239">
        <v>6.2</v>
      </c>
      <c r="Q1239">
        <v>1.65</v>
      </c>
    </row>
    <row r="1240" spans="2:17" x14ac:dyDescent="0.25">
      <c r="B1240" t="s">
        <v>78</v>
      </c>
      <c r="C1240" t="s">
        <v>79</v>
      </c>
      <c r="D1240" t="s">
        <v>3405</v>
      </c>
      <c r="E1240" t="s">
        <v>3406</v>
      </c>
      <c r="F1240">
        <v>1.65</v>
      </c>
      <c r="G1240">
        <v>1.6</v>
      </c>
      <c r="H1240">
        <v>1.7</v>
      </c>
      <c r="I1240">
        <v>1.55</v>
      </c>
      <c r="J1240" s="1">
        <v>1.6</v>
      </c>
      <c r="K1240">
        <v>1461464.85</v>
      </c>
      <c r="L1240">
        <v>902773</v>
      </c>
      <c r="M1240" t="s">
        <v>78</v>
      </c>
      <c r="N1240" t="s">
        <v>17</v>
      </c>
      <c r="O1240">
        <v>339</v>
      </c>
      <c r="P1240">
        <v>5.3</v>
      </c>
      <c r="Q1240">
        <v>1.55</v>
      </c>
    </row>
    <row r="1241" spans="2:17" x14ac:dyDescent="0.25">
      <c r="B1241" t="s">
        <v>78</v>
      </c>
      <c r="C1241" t="s">
        <v>79</v>
      </c>
      <c r="D1241" t="s">
        <v>2287</v>
      </c>
      <c r="E1241" t="s">
        <v>2288</v>
      </c>
      <c r="F1241">
        <v>178.15</v>
      </c>
      <c r="G1241">
        <v>176.1</v>
      </c>
      <c r="H1241">
        <v>181.75</v>
      </c>
      <c r="I1241">
        <v>169.15</v>
      </c>
      <c r="J1241" s="1">
        <v>170.7</v>
      </c>
      <c r="K1241">
        <v>639770.15</v>
      </c>
      <c r="L1241">
        <v>3672</v>
      </c>
      <c r="M1241" t="s">
        <v>78</v>
      </c>
      <c r="N1241" t="s">
        <v>17</v>
      </c>
      <c r="O1241">
        <v>199</v>
      </c>
      <c r="P1241">
        <v>359.75</v>
      </c>
      <c r="Q1241">
        <v>169.15</v>
      </c>
    </row>
    <row r="1242" spans="2:17" x14ac:dyDescent="0.25">
      <c r="B1242" t="s">
        <v>78</v>
      </c>
      <c r="C1242" t="s">
        <v>79</v>
      </c>
      <c r="D1242" t="s">
        <v>2291</v>
      </c>
      <c r="E1242" t="s">
        <v>2292</v>
      </c>
      <c r="F1242">
        <v>85.85</v>
      </c>
      <c r="G1242">
        <v>85</v>
      </c>
      <c r="H1242">
        <v>86.5</v>
      </c>
      <c r="I1242">
        <v>82</v>
      </c>
      <c r="J1242" s="1">
        <v>82.45</v>
      </c>
      <c r="K1242">
        <v>1845063.7</v>
      </c>
      <c r="L1242">
        <v>22272</v>
      </c>
      <c r="M1242" t="s">
        <v>78</v>
      </c>
      <c r="N1242" t="s">
        <v>17</v>
      </c>
      <c r="O1242">
        <v>553</v>
      </c>
      <c r="P1242">
        <v>173.1</v>
      </c>
      <c r="Q1242">
        <v>82</v>
      </c>
    </row>
    <row r="1243" spans="2:17" x14ac:dyDescent="0.25">
      <c r="B1243" t="s">
        <v>78</v>
      </c>
      <c r="C1243" t="s">
        <v>79</v>
      </c>
      <c r="D1243" t="s">
        <v>6664</v>
      </c>
      <c r="E1243" t="s">
        <v>2290</v>
      </c>
      <c r="F1243">
        <v>3.95</v>
      </c>
      <c r="G1243">
        <v>3.9</v>
      </c>
      <c r="H1243">
        <v>3.95</v>
      </c>
      <c r="I1243">
        <v>3.8</v>
      </c>
      <c r="J1243" s="1">
        <v>3.8</v>
      </c>
      <c r="K1243">
        <v>8857054.1500000004</v>
      </c>
      <c r="L1243">
        <v>2309577</v>
      </c>
      <c r="M1243" t="s">
        <v>78</v>
      </c>
      <c r="N1243" t="s">
        <v>17</v>
      </c>
      <c r="O1243">
        <v>1511</v>
      </c>
      <c r="P1243">
        <v>10.8</v>
      </c>
      <c r="Q1243">
        <v>3.8</v>
      </c>
    </row>
    <row r="1244" spans="2:17" x14ac:dyDescent="0.25">
      <c r="B1244" t="s">
        <v>78</v>
      </c>
      <c r="C1244" t="s">
        <v>79</v>
      </c>
      <c r="D1244" t="s">
        <v>2293</v>
      </c>
      <c r="E1244" t="s">
        <v>2294</v>
      </c>
      <c r="F1244">
        <v>227.1</v>
      </c>
      <c r="G1244">
        <v>227.1</v>
      </c>
      <c r="H1244">
        <v>228.9</v>
      </c>
      <c r="I1244">
        <v>211.25</v>
      </c>
      <c r="J1244" s="1">
        <v>217.8</v>
      </c>
      <c r="K1244">
        <v>5327193.5999999996</v>
      </c>
      <c r="L1244">
        <v>24180</v>
      </c>
      <c r="M1244" t="s">
        <v>78</v>
      </c>
      <c r="N1244" t="s">
        <v>17</v>
      </c>
      <c r="O1244">
        <v>919</v>
      </c>
      <c r="P1244">
        <v>433</v>
      </c>
      <c r="Q1244">
        <v>211.25</v>
      </c>
    </row>
    <row r="1245" spans="2:17" x14ac:dyDescent="0.25">
      <c r="B1245" t="s">
        <v>78</v>
      </c>
      <c r="C1245" t="s">
        <v>79</v>
      </c>
      <c r="D1245" t="s">
        <v>3409</v>
      </c>
      <c r="E1245" t="s">
        <v>3410</v>
      </c>
      <c r="F1245">
        <v>197</v>
      </c>
      <c r="G1245">
        <v>187.15</v>
      </c>
      <c r="H1245">
        <v>187.15</v>
      </c>
      <c r="I1245">
        <v>187.15</v>
      </c>
      <c r="J1245" s="1">
        <v>187.15</v>
      </c>
      <c r="K1245">
        <v>57080.75</v>
      </c>
      <c r="L1245">
        <v>305</v>
      </c>
      <c r="M1245" t="s">
        <v>78</v>
      </c>
      <c r="N1245" t="s">
        <v>17</v>
      </c>
      <c r="O1245">
        <v>26</v>
      </c>
      <c r="P1245">
        <v>727.95</v>
      </c>
      <c r="Q1245">
        <v>187.15</v>
      </c>
    </row>
    <row r="1246" spans="2:17" x14ac:dyDescent="0.25">
      <c r="B1246" t="s">
        <v>78</v>
      </c>
      <c r="C1246" t="s">
        <v>79</v>
      </c>
      <c r="D1246" t="s">
        <v>2297</v>
      </c>
      <c r="E1246" t="s">
        <v>2298</v>
      </c>
      <c r="F1246">
        <v>24.7</v>
      </c>
      <c r="G1246">
        <v>24.75</v>
      </c>
      <c r="H1246">
        <v>25.25</v>
      </c>
      <c r="I1246">
        <v>24.05</v>
      </c>
      <c r="J1246" s="1">
        <v>24.1</v>
      </c>
      <c r="K1246">
        <v>85292310.049999997</v>
      </c>
      <c r="L1246">
        <v>3502811</v>
      </c>
      <c r="M1246" t="s">
        <v>78</v>
      </c>
      <c r="N1246" t="s">
        <v>17</v>
      </c>
      <c r="O1246">
        <v>6997</v>
      </c>
      <c r="P1246">
        <v>29.9</v>
      </c>
      <c r="Q1246">
        <v>18.649999999999999</v>
      </c>
    </row>
    <row r="1247" spans="2:17" x14ac:dyDescent="0.25">
      <c r="B1247" t="s">
        <v>78</v>
      </c>
      <c r="C1247" t="s">
        <v>79</v>
      </c>
      <c r="D1247" t="s">
        <v>3415</v>
      </c>
      <c r="E1247" t="s">
        <v>3416</v>
      </c>
      <c r="F1247">
        <v>2.2999999999999998</v>
      </c>
      <c r="G1247">
        <v>2.25</v>
      </c>
      <c r="H1247">
        <v>2.4</v>
      </c>
      <c r="I1247">
        <v>2.25</v>
      </c>
      <c r="J1247" s="1">
        <v>2.2999999999999998</v>
      </c>
      <c r="K1247">
        <v>7724.9</v>
      </c>
      <c r="L1247">
        <v>3295</v>
      </c>
      <c r="M1247" t="s">
        <v>78</v>
      </c>
      <c r="N1247" t="s">
        <v>17</v>
      </c>
      <c r="O1247">
        <v>19</v>
      </c>
      <c r="P1247">
        <v>8.9499999999999993</v>
      </c>
      <c r="Q1247">
        <v>2.25</v>
      </c>
    </row>
    <row r="1248" spans="2:17" x14ac:dyDescent="0.25">
      <c r="B1248" t="s">
        <v>78</v>
      </c>
      <c r="C1248" t="s">
        <v>79</v>
      </c>
      <c r="D1248" t="s">
        <v>2299</v>
      </c>
      <c r="E1248" t="s">
        <v>2300</v>
      </c>
      <c r="F1248">
        <v>186.45</v>
      </c>
      <c r="G1248">
        <v>187.3</v>
      </c>
      <c r="H1248">
        <v>189.7</v>
      </c>
      <c r="I1248">
        <v>175.2</v>
      </c>
      <c r="J1248" s="1">
        <v>179.25</v>
      </c>
      <c r="K1248">
        <v>35384116.75</v>
      </c>
      <c r="L1248">
        <v>194438</v>
      </c>
      <c r="M1248" t="s">
        <v>78</v>
      </c>
      <c r="N1248" t="s">
        <v>17</v>
      </c>
      <c r="O1248">
        <v>2753</v>
      </c>
      <c r="P1248">
        <v>308.10000000000002</v>
      </c>
      <c r="Q1248">
        <v>162.15</v>
      </c>
    </row>
    <row r="1249" spans="2:17" x14ac:dyDescent="0.25">
      <c r="B1249" t="s">
        <v>78</v>
      </c>
      <c r="C1249" t="s">
        <v>79</v>
      </c>
      <c r="D1249" t="s">
        <v>2301</v>
      </c>
      <c r="E1249" t="s">
        <v>2302</v>
      </c>
      <c r="F1249">
        <v>55.5</v>
      </c>
      <c r="G1249">
        <v>54.7</v>
      </c>
      <c r="H1249">
        <v>56.95</v>
      </c>
      <c r="I1249">
        <v>51.6</v>
      </c>
      <c r="J1249" s="1">
        <v>55.95</v>
      </c>
      <c r="K1249">
        <v>1003933.15</v>
      </c>
      <c r="L1249">
        <v>18524</v>
      </c>
      <c r="M1249" t="s">
        <v>78</v>
      </c>
      <c r="N1249" t="s">
        <v>17</v>
      </c>
      <c r="O1249">
        <v>584</v>
      </c>
      <c r="P1249">
        <v>133</v>
      </c>
      <c r="Q1249">
        <v>51.6</v>
      </c>
    </row>
    <row r="1250" spans="2:17" x14ac:dyDescent="0.25">
      <c r="B1250" t="s">
        <v>78</v>
      </c>
      <c r="C1250" t="s">
        <v>79</v>
      </c>
      <c r="D1250" t="s">
        <v>2305</v>
      </c>
      <c r="E1250" t="s">
        <v>2306</v>
      </c>
      <c r="F1250">
        <v>634.6</v>
      </c>
      <c r="G1250">
        <v>635</v>
      </c>
      <c r="H1250">
        <v>644.20000000000005</v>
      </c>
      <c r="I1250">
        <v>632.65</v>
      </c>
      <c r="J1250" s="1">
        <v>637.04999999999995</v>
      </c>
      <c r="K1250">
        <v>1815904.15</v>
      </c>
      <c r="L1250">
        <v>2841</v>
      </c>
      <c r="M1250" t="s">
        <v>78</v>
      </c>
      <c r="N1250" t="s">
        <v>17</v>
      </c>
      <c r="O1250">
        <v>166</v>
      </c>
      <c r="P1250">
        <v>826.95</v>
      </c>
      <c r="Q1250">
        <v>528.15</v>
      </c>
    </row>
    <row r="1251" spans="2:17" x14ac:dyDescent="0.25">
      <c r="B1251" t="s">
        <v>78</v>
      </c>
      <c r="C1251" t="s">
        <v>79</v>
      </c>
      <c r="D1251" t="s">
        <v>3419</v>
      </c>
      <c r="E1251" t="s">
        <v>5485</v>
      </c>
      <c r="F1251">
        <v>8.9499999999999993</v>
      </c>
      <c r="G1251">
        <v>8.85</v>
      </c>
      <c r="H1251">
        <v>8.9499999999999993</v>
      </c>
      <c r="I1251">
        <v>8.6</v>
      </c>
      <c r="J1251" s="1">
        <v>8.75</v>
      </c>
      <c r="K1251">
        <v>120063.4</v>
      </c>
      <c r="L1251">
        <v>13668</v>
      </c>
      <c r="M1251" t="s">
        <v>78</v>
      </c>
      <c r="N1251" t="s">
        <v>17</v>
      </c>
      <c r="O1251">
        <v>72</v>
      </c>
      <c r="P1251">
        <v>21.7</v>
      </c>
      <c r="Q1251">
        <v>7.8</v>
      </c>
    </row>
    <row r="1252" spans="2:17" x14ac:dyDescent="0.25">
      <c r="B1252" t="s">
        <v>78</v>
      </c>
      <c r="C1252" t="s">
        <v>79</v>
      </c>
      <c r="D1252" t="s">
        <v>2311</v>
      </c>
      <c r="E1252" t="s">
        <v>2312</v>
      </c>
      <c r="F1252">
        <v>289.14999999999998</v>
      </c>
      <c r="G1252">
        <v>289.55</v>
      </c>
      <c r="H1252">
        <v>292.5</v>
      </c>
      <c r="I1252">
        <v>284.10000000000002</v>
      </c>
      <c r="J1252" s="1">
        <v>287.39999999999998</v>
      </c>
      <c r="K1252">
        <v>5318604.55</v>
      </c>
      <c r="L1252">
        <v>18461</v>
      </c>
      <c r="M1252" t="s">
        <v>78</v>
      </c>
      <c r="N1252" t="s">
        <v>17</v>
      </c>
      <c r="O1252">
        <v>1996</v>
      </c>
      <c r="P1252">
        <v>366.8</v>
      </c>
      <c r="Q1252">
        <v>203.2</v>
      </c>
    </row>
    <row r="1253" spans="2:17" x14ac:dyDescent="0.25">
      <c r="B1253" t="s">
        <v>78</v>
      </c>
      <c r="C1253" t="s">
        <v>79</v>
      </c>
      <c r="D1253" t="s">
        <v>2313</v>
      </c>
      <c r="E1253" t="s">
        <v>2314</v>
      </c>
      <c r="F1253">
        <v>15.45</v>
      </c>
      <c r="G1253">
        <v>15.9</v>
      </c>
      <c r="H1253">
        <v>15.95</v>
      </c>
      <c r="I1253">
        <v>15</v>
      </c>
      <c r="J1253" s="1">
        <v>15.1</v>
      </c>
      <c r="K1253">
        <v>12045923.5</v>
      </c>
      <c r="L1253">
        <v>779012</v>
      </c>
      <c r="M1253" t="s">
        <v>78</v>
      </c>
      <c r="N1253" t="s">
        <v>17</v>
      </c>
      <c r="O1253">
        <v>1481</v>
      </c>
      <c r="P1253">
        <v>246.5</v>
      </c>
      <c r="Q1253">
        <v>15</v>
      </c>
    </row>
    <row r="1254" spans="2:17" x14ac:dyDescent="0.25">
      <c r="B1254" t="s">
        <v>78</v>
      </c>
      <c r="C1254" t="s">
        <v>79</v>
      </c>
      <c r="D1254" t="s">
        <v>2315</v>
      </c>
      <c r="E1254" t="s">
        <v>2316</v>
      </c>
      <c r="F1254">
        <v>147.1</v>
      </c>
      <c r="G1254">
        <v>147.1</v>
      </c>
      <c r="H1254">
        <v>148.9</v>
      </c>
      <c r="I1254">
        <v>139</v>
      </c>
      <c r="J1254" s="1">
        <v>143.75</v>
      </c>
      <c r="K1254">
        <v>3718159.55</v>
      </c>
      <c r="L1254">
        <v>25719</v>
      </c>
      <c r="M1254" t="s">
        <v>78</v>
      </c>
      <c r="N1254" t="s">
        <v>17</v>
      </c>
      <c r="O1254">
        <v>892</v>
      </c>
      <c r="P1254">
        <v>326.8</v>
      </c>
      <c r="Q1254">
        <v>135.1</v>
      </c>
    </row>
    <row r="1255" spans="2:17" x14ac:dyDescent="0.25">
      <c r="B1255" t="s">
        <v>78</v>
      </c>
      <c r="C1255" t="s">
        <v>79</v>
      </c>
      <c r="D1255" t="s">
        <v>2317</v>
      </c>
      <c r="E1255" t="s">
        <v>2318</v>
      </c>
      <c r="F1255">
        <v>78.8</v>
      </c>
      <c r="G1255">
        <v>80</v>
      </c>
      <c r="H1255">
        <v>81</v>
      </c>
      <c r="I1255">
        <v>68.3</v>
      </c>
      <c r="J1255" s="1">
        <v>74.849999999999994</v>
      </c>
      <c r="K1255">
        <v>268422.05</v>
      </c>
      <c r="L1255">
        <v>3551</v>
      </c>
      <c r="M1255" t="s">
        <v>78</v>
      </c>
      <c r="N1255" t="s">
        <v>17</v>
      </c>
      <c r="O1255">
        <v>152</v>
      </c>
      <c r="P1255">
        <v>107.45</v>
      </c>
      <c r="Q1255">
        <v>60.05</v>
      </c>
    </row>
    <row r="1256" spans="2:17" x14ac:dyDescent="0.25">
      <c r="B1256" t="s">
        <v>78</v>
      </c>
      <c r="C1256" t="s">
        <v>79</v>
      </c>
      <c r="D1256" t="s">
        <v>3421</v>
      </c>
      <c r="E1256" t="s">
        <v>3422</v>
      </c>
      <c r="F1256">
        <v>3.1</v>
      </c>
      <c r="G1256">
        <v>3.15</v>
      </c>
      <c r="H1256">
        <v>3.2</v>
      </c>
      <c r="I1256">
        <v>2.9</v>
      </c>
      <c r="J1256" s="1">
        <v>2.95</v>
      </c>
      <c r="K1256">
        <v>34037.550000000003</v>
      </c>
      <c r="L1256">
        <v>11274</v>
      </c>
      <c r="M1256" t="s">
        <v>78</v>
      </c>
      <c r="N1256" t="s">
        <v>17</v>
      </c>
      <c r="O1256">
        <v>36</v>
      </c>
      <c r="P1256">
        <v>8.35</v>
      </c>
      <c r="Q1256">
        <v>2.65</v>
      </c>
    </row>
    <row r="1257" spans="2:17" x14ac:dyDescent="0.25">
      <c r="B1257" t="s">
        <v>78</v>
      </c>
      <c r="C1257" t="s">
        <v>79</v>
      </c>
      <c r="D1257" t="s">
        <v>2319</v>
      </c>
      <c r="E1257" t="s">
        <v>2320</v>
      </c>
      <c r="F1257">
        <v>118.9</v>
      </c>
      <c r="G1257">
        <v>118</v>
      </c>
      <c r="H1257">
        <v>123.75</v>
      </c>
      <c r="I1257">
        <v>115.3</v>
      </c>
      <c r="J1257" s="1">
        <v>117.3</v>
      </c>
      <c r="K1257">
        <v>887912.5</v>
      </c>
      <c r="L1257">
        <v>7540</v>
      </c>
      <c r="M1257" t="s">
        <v>78</v>
      </c>
      <c r="N1257" t="s">
        <v>17</v>
      </c>
      <c r="O1257">
        <v>238</v>
      </c>
      <c r="P1257">
        <v>178.15</v>
      </c>
      <c r="Q1257">
        <v>102</v>
      </c>
    </row>
    <row r="1258" spans="2:17" x14ac:dyDescent="0.25">
      <c r="B1258" t="s">
        <v>78</v>
      </c>
      <c r="C1258" t="s">
        <v>79</v>
      </c>
      <c r="D1258" t="s">
        <v>3423</v>
      </c>
      <c r="E1258" t="s">
        <v>3424</v>
      </c>
      <c r="F1258">
        <v>3.5</v>
      </c>
      <c r="G1258">
        <v>3.4</v>
      </c>
      <c r="H1258">
        <v>3.5</v>
      </c>
      <c r="I1258">
        <v>3.3</v>
      </c>
      <c r="J1258" s="1">
        <v>3.35</v>
      </c>
      <c r="K1258">
        <v>26947.75</v>
      </c>
      <c r="L1258">
        <v>7949</v>
      </c>
      <c r="M1258" t="s">
        <v>78</v>
      </c>
      <c r="N1258" t="s">
        <v>17</v>
      </c>
      <c r="O1258">
        <v>38</v>
      </c>
      <c r="P1258">
        <v>8.1</v>
      </c>
      <c r="Q1258">
        <v>3.05</v>
      </c>
    </row>
    <row r="1259" spans="2:17" x14ac:dyDescent="0.25">
      <c r="B1259" t="s">
        <v>78</v>
      </c>
      <c r="C1259" t="s">
        <v>79</v>
      </c>
      <c r="D1259" t="s">
        <v>3425</v>
      </c>
      <c r="E1259" t="s">
        <v>3426</v>
      </c>
      <c r="F1259">
        <v>17.2</v>
      </c>
      <c r="G1259">
        <v>17</v>
      </c>
      <c r="H1259">
        <v>17.3</v>
      </c>
      <c r="I1259">
        <v>16.2</v>
      </c>
      <c r="J1259" s="1">
        <v>17.149999999999999</v>
      </c>
      <c r="K1259">
        <v>3497338.8</v>
      </c>
      <c r="L1259">
        <v>205166</v>
      </c>
      <c r="M1259" t="s">
        <v>78</v>
      </c>
      <c r="N1259" t="s">
        <v>17</v>
      </c>
      <c r="O1259">
        <v>631</v>
      </c>
      <c r="P1259">
        <v>33.1</v>
      </c>
      <c r="Q1259">
        <v>11.45</v>
      </c>
    </row>
    <row r="1260" spans="2:17" x14ac:dyDescent="0.25">
      <c r="B1260" t="s">
        <v>78</v>
      </c>
      <c r="C1260" t="s">
        <v>79</v>
      </c>
      <c r="D1260" t="s">
        <v>2321</v>
      </c>
      <c r="E1260" t="s">
        <v>2322</v>
      </c>
      <c r="F1260">
        <v>638.70000000000005</v>
      </c>
      <c r="G1260">
        <v>639.5</v>
      </c>
      <c r="H1260">
        <v>666.95</v>
      </c>
      <c r="I1260">
        <v>635.35</v>
      </c>
      <c r="J1260" s="1">
        <v>651.20000000000005</v>
      </c>
      <c r="K1260">
        <v>441013.25</v>
      </c>
      <c r="L1260">
        <v>681</v>
      </c>
      <c r="M1260" t="s">
        <v>78</v>
      </c>
      <c r="N1260" t="s">
        <v>17</v>
      </c>
      <c r="O1260">
        <v>270</v>
      </c>
      <c r="P1260">
        <v>1044.05</v>
      </c>
      <c r="Q1260">
        <v>635</v>
      </c>
    </row>
    <row r="1261" spans="2:17" x14ac:dyDescent="0.25">
      <c r="B1261" t="s">
        <v>78</v>
      </c>
      <c r="C1261" t="s">
        <v>79</v>
      </c>
      <c r="D1261" t="s">
        <v>2323</v>
      </c>
      <c r="E1261" t="s">
        <v>2324</v>
      </c>
      <c r="F1261">
        <v>282.2</v>
      </c>
      <c r="G1261">
        <v>277.14999999999998</v>
      </c>
      <c r="H1261">
        <v>283.39999999999998</v>
      </c>
      <c r="I1261">
        <v>251</v>
      </c>
      <c r="J1261" s="1">
        <v>275.14999999999998</v>
      </c>
      <c r="K1261">
        <v>11230048.199999999</v>
      </c>
      <c r="L1261">
        <v>41102</v>
      </c>
      <c r="M1261" t="s">
        <v>78</v>
      </c>
      <c r="N1261" t="s">
        <v>17</v>
      </c>
      <c r="O1261">
        <v>1291</v>
      </c>
      <c r="P1261">
        <v>391</v>
      </c>
      <c r="Q1261">
        <v>227.35</v>
      </c>
    </row>
    <row r="1262" spans="2:17" x14ac:dyDescent="0.25">
      <c r="B1262" t="s">
        <v>78</v>
      </c>
      <c r="C1262" t="s">
        <v>79</v>
      </c>
      <c r="D1262" t="s">
        <v>2325</v>
      </c>
      <c r="E1262" t="s">
        <v>2326</v>
      </c>
      <c r="F1262">
        <v>45.05</v>
      </c>
      <c r="G1262">
        <v>44.5</v>
      </c>
      <c r="H1262">
        <v>48</v>
      </c>
      <c r="I1262">
        <v>41.05</v>
      </c>
      <c r="J1262" s="1">
        <v>41.9</v>
      </c>
      <c r="K1262">
        <v>86657278.150000006</v>
      </c>
      <c r="L1262">
        <v>1926267</v>
      </c>
      <c r="M1262" t="s">
        <v>78</v>
      </c>
      <c r="N1262" t="s">
        <v>17</v>
      </c>
      <c r="O1262">
        <v>553</v>
      </c>
      <c r="P1262">
        <v>100</v>
      </c>
      <c r="Q1262">
        <v>41.05</v>
      </c>
    </row>
    <row r="1263" spans="2:17" x14ac:dyDescent="0.25">
      <c r="B1263" t="s">
        <v>78</v>
      </c>
      <c r="C1263" t="s">
        <v>79</v>
      </c>
      <c r="D1263" t="s">
        <v>2327</v>
      </c>
      <c r="E1263" t="s">
        <v>2328</v>
      </c>
      <c r="F1263">
        <v>62.9</v>
      </c>
      <c r="G1263">
        <v>62.1</v>
      </c>
      <c r="H1263">
        <v>64.599999999999994</v>
      </c>
      <c r="I1263">
        <v>62.1</v>
      </c>
      <c r="J1263" s="1">
        <v>63.95</v>
      </c>
      <c r="K1263">
        <v>3364942.2</v>
      </c>
      <c r="L1263">
        <v>53003</v>
      </c>
      <c r="M1263" t="s">
        <v>78</v>
      </c>
      <c r="N1263" t="s">
        <v>17</v>
      </c>
      <c r="O1263">
        <v>1012</v>
      </c>
      <c r="P1263">
        <v>96.85</v>
      </c>
      <c r="Q1263">
        <v>49.65</v>
      </c>
    </row>
    <row r="1264" spans="2:17" x14ac:dyDescent="0.25">
      <c r="B1264" t="s">
        <v>78</v>
      </c>
      <c r="C1264" t="s">
        <v>79</v>
      </c>
      <c r="D1264" t="s">
        <v>2329</v>
      </c>
      <c r="E1264" t="s">
        <v>2330</v>
      </c>
      <c r="F1264">
        <v>110.5</v>
      </c>
      <c r="G1264">
        <v>109.8</v>
      </c>
      <c r="H1264">
        <v>111.25</v>
      </c>
      <c r="I1264">
        <v>105</v>
      </c>
      <c r="J1264" s="1">
        <v>107.55</v>
      </c>
      <c r="K1264">
        <v>1293716.2</v>
      </c>
      <c r="L1264">
        <v>12009</v>
      </c>
      <c r="M1264" t="s">
        <v>78</v>
      </c>
      <c r="N1264" t="s">
        <v>17</v>
      </c>
      <c r="O1264">
        <v>514</v>
      </c>
      <c r="P1264">
        <v>194</v>
      </c>
      <c r="Q1264">
        <v>82.9</v>
      </c>
    </row>
    <row r="1265" spans="2:17" x14ac:dyDescent="0.25">
      <c r="B1265" t="s">
        <v>78</v>
      </c>
      <c r="C1265" t="s">
        <v>79</v>
      </c>
      <c r="D1265" t="s">
        <v>2331</v>
      </c>
      <c r="E1265" t="s">
        <v>2332</v>
      </c>
      <c r="F1265">
        <v>77.599999999999994</v>
      </c>
      <c r="G1265">
        <v>81.45</v>
      </c>
      <c r="H1265">
        <v>81.45</v>
      </c>
      <c r="I1265">
        <v>75.25</v>
      </c>
      <c r="J1265" s="1">
        <v>77.599999999999994</v>
      </c>
      <c r="K1265">
        <v>400217.05</v>
      </c>
      <c r="L1265">
        <v>5133</v>
      </c>
      <c r="M1265" t="s">
        <v>78</v>
      </c>
      <c r="N1265" t="s">
        <v>17</v>
      </c>
      <c r="O1265">
        <v>79</v>
      </c>
      <c r="P1265">
        <v>82.45</v>
      </c>
      <c r="Q1265">
        <v>75.25</v>
      </c>
    </row>
    <row r="1266" spans="2:17" x14ac:dyDescent="0.25">
      <c r="B1266" t="s">
        <v>78</v>
      </c>
      <c r="C1266" t="s">
        <v>79</v>
      </c>
      <c r="D1266" t="s">
        <v>2333</v>
      </c>
      <c r="E1266" t="s">
        <v>2334</v>
      </c>
      <c r="F1266">
        <v>5937.2</v>
      </c>
      <c r="G1266">
        <v>5940</v>
      </c>
      <c r="H1266">
        <v>6055</v>
      </c>
      <c r="I1266">
        <v>5908.05</v>
      </c>
      <c r="J1266" s="1">
        <v>6022.3</v>
      </c>
      <c r="K1266">
        <v>129921969.05</v>
      </c>
      <c r="L1266">
        <v>21706</v>
      </c>
      <c r="M1266" t="s">
        <v>78</v>
      </c>
      <c r="N1266" t="s">
        <v>17</v>
      </c>
      <c r="O1266">
        <v>8127</v>
      </c>
      <c r="P1266">
        <v>6774.95</v>
      </c>
      <c r="Q1266">
        <v>5280</v>
      </c>
    </row>
    <row r="1267" spans="2:17" x14ac:dyDescent="0.25">
      <c r="B1267" t="s">
        <v>78</v>
      </c>
      <c r="C1267" t="s">
        <v>79</v>
      </c>
      <c r="D1267" t="s">
        <v>3656</v>
      </c>
      <c r="E1267" t="s">
        <v>3657</v>
      </c>
      <c r="F1267">
        <v>7</v>
      </c>
      <c r="G1267">
        <v>7.3</v>
      </c>
      <c r="H1267">
        <v>7.5</v>
      </c>
      <c r="I1267">
        <v>6.3</v>
      </c>
      <c r="J1267" s="1">
        <v>6.3</v>
      </c>
      <c r="K1267">
        <v>55415539.450000003</v>
      </c>
      <c r="L1267">
        <v>8303807</v>
      </c>
      <c r="M1267" t="s">
        <v>78</v>
      </c>
      <c r="N1267" t="s">
        <v>17</v>
      </c>
      <c r="O1267">
        <v>5189</v>
      </c>
      <c r="P1267">
        <v>16.649999999999999</v>
      </c>
      <c r="Q1267">
        <v>4</v>
      </c>
    </row>
    <row r="1268" spans="2:17" x14ac:dyDescent="0.25">
      <c r="B1268" t="s">
        <v>78</v>
      </c>
      <c r="C1268" t="s">
        <v>79</v>
      </c>
      <c r="D1268" t="s">
        <v>3427</v>
      </c>
      <c r="E1268" t="s">
        <v>3428</v>
      </c>
      <c r="F1268">
        <v>192.25</v>
      </c>
      <c r="G1268">
        <v>191.05</v>
      </c>
      <c r="H1268">
        <v>193.15</v>
      </c>
      <c r="I1268">
        <v>181.4</v>
      </c>
      <c r="J1268" s="1">
        <v>184.45</v>
      </c>
      <c r="K1268">
        <v>3049097.35</v>
      </c>
      <c r="L1268">
        <v>16375</v>
      </c>
      <c r="M1268" t="s">
        <v>78</v>
      </c>
      <c r="N1268" t="s">
        <v>17</v>
      </c>
      <c r="O1268">
        <v>727</v>
      </c>
      <c r="P1268">
        <v>439</v>
      </c>
      <c r="Q1268">
        <v>181.4</v>
      </c>
    </row>
    <row r="1269" spans="2:17" x14ac:dyDescent="0.25">
      <c r="B1269" t="s">
        <v>78</v>
      </c>
      <c r="C1269" t="s">
        <v>79</v>
      </c>
      <c r="D1269" t="s">
        <v>3429</v>
      </c>
      <c r="E1269" t="s">
        <v>3430</v>
      </c>
      <c r="F1269">
        <v>534.5</v>
      </c>
      <c r="G1269">
        <v>535</v>
      </c>
      <c r="H1269">
        <v>544.29999999999995</v>
      </c>
      <c r="I1269">
        <v>525.75</v>
      </c>
      <c r="J1269" s="1">
        <v>530.79999999999995</v>
      </c>
      <c r="K1269">
        <v>4621700.75</v>
      </c>
      <c r="L1269">
        <v>8661</v>
      </c>
      <c r="M1269" t="s">
        <v>78</v>
      </c>
      <c r="N1269" t="s">
        <v>17</v>
      </c>
      <c r="O1269">
        <v>838</v>
      </c>
      <c r="P1269">
        <v>718</v>
      </c>
      <c r="Q1269">
        <v>463.25</v>
      </c>
    </row>
    <row r="1270" spans="2:17" x14ac:dyDescent="0.25">
      <c r="B1270" t="s">
        <v>78</v>
      </c>
      <c r="C1270" t="s">
        <v>79</v>
      </c>
      <c r="D1270" t="s">
        <v>2335</v>
      </c>
      <c r="E1270" t="s">
        <v>2336</v>
      </c>
      <c r="F1270">
        <v>24.9</v>
      </c>
      <c r="G1270">
        <v>24.3</v>
      </c>
      <c r="H1270">
        <v>25.5</v>
      </c>
      <c r="I1270">
        <v>24.3</v>
      </c>
      <c r="J1270" s="1">
        <v>25.2</v>
      </c>
      <c r="K1270">
        <v>329266.5</v>
      </c>
      <c r="L1270">
        <v>13194</v>
      </c>
      <c r="M1270" t="s">
        <v>78</v>
      </c>
      <c r="N1270" t="s">
        <v>17</v>
      </c>
      <c r="O1270">
        <v>88</v>
      </c>
      <c r="P1270">
        <v>47</v>
      </c>
      <c r="Q1270">
        <v>21.05</v>
      </c>
    </row>
    <row r="1271" spans="2:17" x14ac:dyDescent="0.25">
      <c r="B1271" t="s">
        <v>78</v>
      </c>
      <c r="C1271" t="s">
        <v>287</v>
      </c>
      <c r="D1271" t="s">
        <v>5470</v>
      </c>
      <c r="E1271" t="s">
        <v>5469</v>
      </c>
      <c r="F1271">
        <v>38.5</v>
      </c>
      <c r="G1271">
        <v>37.1</v>
      </c>
      <c r="H1271">
        <v>37.1</v>
      </c>
      <c r="I1271">
        <v>36</v>
      </c>
      <c r="J1271" s="1">
        <v>36.549999999999997</v>
      </c>
      <c r="K1271">
        <v>175360</v>
      </c>
      <c r="L1271">
        <v>4800</v>
      </c>
      <c r="M1271" t="s">
        <v>78</v>
      </c>
      <c r="N1271" t="s">
        <v>17</v>
      </c>
      <c r="O1271">
        <v>3</v>
      </c>
      <c r="P1271">
        <v>58.9</v>
      </c>
      <c r="Q1271">
        <v>19</v>
      </c>
    </row>
    <row r="1272" spans="2:17" x14ac:dyDescent="0.25">
      <c r="B1272" t="s">
        <v>78</v>
      </c>
      <c r="C1272" t="s">
        <v>79</v>
      </c>
      <c r="D1272" t="s">
        <v>2337</v>
      </c>
      <c r="E1272" t="s">
        <v>2338</v>
      </c>
      <c r="F1272">
        <v>624.20000000000005</v>
      </c>
      <c r="G1272">
        <v>620</v>
      </c>
      <c r="H1272">
        <v>620</v>
      </c>
      <c r="I1272">
        <v>575.6</v>
      </c>
      <c r="J1272" s="1">
        <v>578.79999999999995</v>
      </c>
      <c r="K1272">
        <v>15954289.15</v>
      </c>
      <c r="L1272">
        <v>27278</v>
      </c>
      <c r="M1272" t="s">
        <v>78</v>
      </c>
      <c r="N1272" t="s">
        <v>17</v>
      </c>
      <c r="O1272">
        <v>3726</v>
      </c>
      <c r="P1272">
        <v>1050</v>
      </c>
      <c r="Q1272">
        <v>571.1</v>
      </c>
    </row>
    <row r="1273" spans="2:17" x14ac:dyDescent="0.25">
      <c r="B1273" t="s">
        <v>78</v>
      </c>
      <c r="C1273" t="s">
        <v>79</v>
      </c>
      <c r="D1273" t="s">
        <v>3431</v>
      </c>
      <c r="E1273" t="s">
        <v>3432</v>
      </c>
      <c r="F1273">
        <v>102.6</v>
      </c>
      <c r="G1273">
        <v>102.5</v>
      </c>
      <c r="H1273">
        <v>105</v>
      </c>
      <c r="I1273">
        <v>102.3</v>
      </c>
      <c r="J1273" s="1">
        <v>102.55</v>
      </c>
      <c r="K1273">
        <v>24685.1</v>
      </c>
      <c r="L1273">
        <v>240</v>
      </c>
      <c r="M1273" t="s">
        <v>78</v>
      </c>
      <c r="N1273" t="s">
        <v>17</v>
      </c>
      <c r="O1273">
        <v>32</v>
      </c>
      <c r="P1273">
        <v>137</v>
      </c>
      <c r="Q1273">
        <v>76.3</v>
      </c>
    </row>
    <row r="1274" spans="2:17" x14ac:dyDescent="0.25">
      <c r="B1274" t="s">
        <v>78</v>
      </c>
      <c r="C1274" t="s">
        <v>79</v>
      </c>
      <c r="D1274" t="s">
        <v>2339</v>
      </c>
      <c r="E1274" t="s">
        <v>2340</v>
      </c>
      <c r="F1274">
        <v>715.35</v>
      </c>
      <c r="G1274">
        <v>715</v>
      </c>
      <c r="H1274">
        <v>729.95</v>
      </c>
      <c r="I1274">
        <v>694</v>
      </c>
      <c r="J1274" s="1">
        <v>704.95</v>
      </c>
      <c r="K1274">
        <v>1440278.35</v>
      </c>
      <c r="L1274">
        <v>2034</v>
      </c>
      <c r="M1274" t="s">
        <v>78</v>
      </c>
      <c r="N1274" t="s">
        <v>17</v>
      </c>
      <c r="O1274">
        <v>58</v>
      </c>
      <c r="P1274">
        <v>739.9</v>
      </c>
      <c r="Q1274">
        <v>694</v>
      </c>
    </row>
    <row r="1275" spans="2:17" x14ac:dyDescent="0.25">
      <c r="B1275" t="s">
        <v>78</v>
      </c>
      <c r="C1275" t="s">
        <v>79</v>
      </c>
      <c r="D1275" t="s">
        <v>2341</v>
      </c>
      <c r="E1275" t="s">
        <v>2342</v>
      </c>
      <c r="F1275">
        <v>282.3</v>
      </c>
      <c r="G1275">
        <v>280.60000000000002</v>
      </c>
      <c r="H1275">
        <v>282.35000000000002</v>
      </c>
      <c r="I1275">
        <v>274.10000000000002</v>
      </c>
      <c r="J1275" s="1">
        <v>279.85000000000002</v>
      </c>
      <c r="K1275">
        <v>3564748.75</v>
      </c>
      <c r="L1275">
        <v>12796</v>
      </c>
      <c r="M1275" t="s">
        <v>78</v>
      </c>
      <c r="N1275" t="s">
        <v>17</v>
      </c>
      <c r="O1275">
        <v>714</v>
      </c>
      <c r="P1275">
        <v>411.7</v>
      </c>
      <c r="Q1275">
        <v>190.2</v>
      </c>
    </row>
    <row r="1276" spans="2:17" x14ac:dyDescent="0.25">
      <c r="B1276" t="s">
        <v>78</v>
      </c>
      <c r="C1276" t="s">
        <v>79</v>
      </c>
      <c r="D1276" t="s">
        <v>2345</v>
      </c>
      <c r="E1276" t="s">
        <v>2346</v>
      </c>
      <c r="F1276">
        <v>0.55000000000000004</v>
      </c>
      <c r="G1276">
        <v>0.55000000000000004</v>
      </c>
      <c r="H1276">
        <v>0.6</v>
      </c>
      <c r="I1276">
        <v>0.5</v>
      </c>
      <c r="J1276" s="1">
        <v>0.6</v>
      </c>
      <c r="K1276">
        <v>5098.5</v>
      </c>
      <c r="L1276">
        <v>8857</v>
      </c>
      <c r="M1276" t="s">
        <v>78</v>
      </c>
      <c r="N1276" t="s">
        <v>17</v>
      </c>
      <c r="O1276">
        <v>13</v>
      </c>
      <c r="P1276">
        <v>2.15</v>
      </c>
      <c r="Q1276">
        <v>0.45</v>
      </c>
    </row>
    <row r="1277" spans="2:17" x14ac:dyDescent="0.25">
      <c r="B1277" t="s">
        <v>78</v>
      </c>
      <c r="C1277" t="s">
        <v>79</v>
      </c>
      <c r="D1277" t="s">
        <v>2347</v>
      </c>
      <c r="E1277" t="s">
        <v>2348</v>
      </c>
      <c r="F1277">
        <v>4343</v>
      </c>
      <c r="G1277">
        <v>4344.1499999999996</v>
      </c>
      <c r="H1277">
        <v>4344.1499999999996</v>
      </c>
      <c r="I1277">
        <v>4201</v>
      </c>
      <c r="J1277" s="1">
        <v>4271.3</v>
      </c>
      <c r="K1277">
        <v>87594570.799999997</v>
      </c>
      <c r="L1277">
        <v>20529</v>
      </c>
      <c r="M1277" t="s">
        <v>78</v>
      </c>
      <c r="N1277" t="s">
        <v>17</v>
      </c>
      <c r="O1277">
        <v>3575</v>
      </c>
      <c r="P1277">
        <v>5798</v>
      </c>
      <c r="Q1277">
        <v>4201</v>
      </c>
    </row>
    <row r="1278" spans="2:17" x14ac:dyDescent="0.25">
      <c r="B1278" t="s">
        <v>78</v>
      </c>
      <c r="C1278" t="s">
        <v>79</v>
      </c>
      <c r="D1278" t="s">
        <v>2349</v>
      </c>
      <c r="E1278" t="s">
        <v>2350</v>
      </c>
      <c r="F1278">
        <v>69.849999999999994</v>
      </c>
      <c r="G1278">
        <v>70.95</v>
      </c>
      <c r="H1278">
        <v>70.95</v>
      </c>
      <c r="I1278">
        <v>68.349999999999994</v>
      </c>
      <c r="J1278" s="1">
        <v>68.95</v>
      </c>
      <c r="K1278">
        <v>1271478</v>
      </c>
      <c r="L1278">
        <v>18438</v>
      </c>
      <c r="M1278" t="s">
        <v>78</v>
      </c>
      <c r="N1278" t="s">
        <v>17</v>
      </c>
      <c r="O1278">
        <v>263</v>
      </c>
      <c r="P1278">
        <v>385</v>
      </c>
      <c r="Q1278">
        <v>67</v>
      </c>
    </row>
    <row r="1279" spans="2:17" x14ac:dyDescent="0.25">
      <c r="B1279" t="s">
        <v>78</v>
      </c>
      <c r="C1279" t="s">
        <v>79</v>
      </c>
      <c r="D1279" t="s">
        <v>2351</v>
      </c>
      <c r="E1279" t="s">
        <v>2352</v>
      </c>
      <c r="F1279">
        <v>88.85</v>
      </c>
      <c r="G1279">
        <v>89.85</v>
      </c>
      <c r="H1279">
        <v>90</v>
      </c>
      <c r="I1279">
        <v>86.65</v>
      </c>
      <c r="J1279" s="1">
        <v>86.85</v>
      </c>
      <c r="K1279">
        <v>2356909.4500000002</v>
      </c>
      <c r="L1279">
        <v>26937</v>
      </c>
      <c r="M1279" t="s">
        <v>78</v>
      </c>
      <c r="N1279" t="s">
        <v>17</v>
      </c>
      <c r="O1279">
        <v>556</v>
      </c>
      <c r="P1279">
        <v>128</v>
      </c>
      <c r="Q1279">
        <v>81</v>
      </c>
    </row>
    <row r="1280" spans="2:17" x14ac:dyDescent="0.25">
      <c r="B1280" t="s">
        <v>78</v>
      </c>
      <c r="C1280" t="s">
        <v>79</v>
      </c>
      <c r="D1280" t="s">
        <v>2353</v>
      </c>
      <c r="E1280" t="s">
        <v>2354</v>
      </c>
      <c r="F1280">
        <v>30.3</v>
      </c>
      <c r="G1280">
        <v>30.35</v>
      </c>
      <c r="H1280">
        <v>30.65</v>
      </c>
      <c r="I1280">
        <v>29.55</v>
      </c>
      <c r="J1280" s="1">
        <v>29.75</v>
      </c>
      <c r="K1280">
        <v>10725656.5</v>
      </c>
      <c r="L1280">
        <v>357929</v>
      </c>
      <c r="M1280" t="s">
        <v>78</v>
      </c>
      <c r="N1280" t="s">
        <v>17</v>
      </c>
      <c r="O1280">
        <v>1664</v>
      </c>
      <c r="P1280">
        <v>65.150000000000006</v>
      </c>
      <c r="Q1280">
        <v>28.45</v>
      </c>
    </row>
    <row r="1281" spans="2:17" x14ac:dyDescent="0.25">
      <c r="B1281" t="s">
        <v>78</v>
      </c>
      <c r="C1281" t="s">
        <v>79</v>
      </c>
      <c r="D1281" t="s">
        <v>2355</v>
      </c>
      <c r="E1281" t="s">
        <v>2356</v>
      </c>
      <c r="F1281">
        <v>455.8</v>
      </c>
      <c r="G1281">
        <v>450.2</v>
      </c>
      <c r="H1281">
        <v>454.95</v>
      </c>
      <c r="I1281">
        <v>447</v>
      </c>
      <c r="J1281" s="1">
        <v>447.55</v>
      </c>
      <c r="K1281">
        <v>866408.7</v>
      </c>
      <c r="L1281">
        <v>1932</v>
      </c>
      <c r="M1281" t="s">
        <v>78</v>
      </c>
      <c r="N1281" t="s">
        <v>17</v>
      </c>
      <c r="O1281">
        <v>141</v>
      </c>
      <c r="P1281">
        <v>507.4</v>
      </c>
      <c r="Q1281">
        <v>187.1</v>
      </c>
    </row>
    <row r="1282" spans="2:17" x14ac:dyDescent="0.25">
      <c r="B1282" t="s">
        <v>78</v>
      </c>
      <c r="C1282" t="s">
        <v>79</v>
      </c>
      <c r="D1282" t="s">
        <v>2361</v>
      </c>
      <c r="E1282" t="s">
        <v>2362</v>
      </c>
      <c r="F1282">
        <v>159.75</v>
      </c>
      <c r="G1282">
        <v>159.85</v>
      </c>
      <c r="H1282">
        <v>161</v>
      </c>
      <c r="I1282">
        <v>155.1</v>
      </c>
      <c r="J1282" s="1">
        <v>156.4</v>
      </c>
      <c r="K1282">
        <v>2982181.75</v>
      </c>
      <c r="L1282">
        <v>18887</v>
      </c>
      <c r="M1282" t="s">
        <v>78</v>
      </c>
      <c r="N1282" t="s">
        <v>17</v>
      </c>
      <c r="O1282">
        <v>469</v>
      </c>
      <c r="P1282">
        <v>278</v>
      </c>
      <c r="Q1282">
        <v>155.1</v>
      </c>
    </row>
    <row r="1283" spans="2:17" x14ac:dyDescent="0.25">
      <c r="B1283" t="s">
        <v>78</v>
      </c>
      <c r="C1283" t="s">
        <v>79</v>
      </c>
      <c r="D1283" t="s">
        <v>6663</v>
      </c>
      <c r="E1283" t="s">
        <v>6662</v>
      </c>
      <c r="F1283">
        <v>0.8</v>
      </c>
      <c r="G1283">
        <v>0.8</v>
      </c>
      <c r="H1283">
        <v>0.8</v>
      </c>
      <c r="I1283">
        <v>0.75</v>
      </c>
      <c r="J1283" s="1">
        <v>0.75</v>
      </c>
      <c r="K1283">
        <v>8317.5499999999993</v>
      </c>
      <c r="L1283">
        <v>10814</v>
      </c>
      <c r="M1283" t="s">
        <v>78</v>
      </c>
      <c r="N1283" t="s">
        <v>17</v>
      </c>
      <c r="O1283">
        <v>19</v>
      </c>
      <c r="P1283">
        <v>2.1</v>
      </c>
      <c r="Q1283">
        <v>0.65</v>
      </c>
    </row>
    <row r="1284" spans="2:17" x14ac:dyDescent="0.25">
      <c r="B1284" t="s">
        <v>78</v>
      </c>
      <c r="C1284" t="s">
        <v>79</v>
      </c>
      <c r="D1284" t="s">
        <v>2363</v>
      </c>
      <c r="E1284" t="s">
        <v>2364</v>
      </c>
      <c r="F1284">
        <v>70.7</v>
      </c>
      <c r="G1284">
        <v>70.75</v>
      </c>
      <c r="H1284">
        <v>71.3</v>
      </c>
      <c r="I1284">
        <v>65.7</v>
      </c>
      <c r="J1284" s="1">
        <v>66.900000000000006</v>
      </c>
      <c r="K1284">
        <v>15314909.050000001</v>
      </c>
      <c r="L1284">
        <v>226623</v>
      </c>
      <c r="M1284" t="s">
        <v>78</v>
      </c>
      <c r="N1284" t="s">
        <v>17</v>
      </c>
      <c r="O1284">
        <v>1222</v>
      </c>
      <c r="P1284">
        <v>89.25</v>
      </c>
      <c r="Q1284">
        <v>42.65</v>
      </c>
    </row>
    <row r="1285" spans="2:17" x14ac:dyDescent="0.25">
      <c r="B1285" t="s">
        <v>78</v>
      </c>
      <c r="C1285" t="s">
        <v>287</v>
      </c>
      <c r="D1285" t="s">
        <v>2365</v>
      </c>
      <c r="E1285" t="s">
        <v>2366</v>
      </c>
      <c r="F1285">
        <v>16.5</v>
      </c>
      <c r="G1285">
        <v>14.75</v>
      </c>
      <c r="H1285">
        <v>17.75</v>
      </c>
      <c r="I1285">
        <v>14.6</v>
      </c>
      <c r="J1285" s="1">
        <v>15.4</v>
      </c>
      <c r="K1285">
        <v>426800</v>
      </c>
      <c r="L1285">
        <v>28000</v>
      </c>
      <c r="M1285" t="s">
        <v>78</v>
      </c>
      <c r="N1285" t="s">
        <v>17</v>
      </c>
      <c r="O1285">
        <v>7</v>
      </c>
      <c r="P1285">
        <v>33.950000000000003</v>
      </c>
      <c r="Q1285">
        <v>12</v>
      </c>
    </row>
    <row r="1286" spans="2:17" x14ac:dyDescent="0.25">
      <c r="B1286" t="s">
        <v>78</v>
      </c>
      <c r="C1286" t="s">
        <v>79</v>
      </c>
      <c r="D1286" t="s">
        <v>2367</v>
      </c>
      <c r="E1286" t="s">
        <v>2368</v>
      </c>
      <c r="F1286">
        <v>928.6</v>
      </c>
      <c r="G1286">
        <v>928.6</v>
      </c>
      <c r="H1286">
        <v>936</v>
      </c>
      <c r="I1286">
        <v>918</v>
      </c>
      <c r="J1286" s="1">
        <v>922.8</v>
      </c>
      <c r="K1286">
        <v>378416.8</v>
      </c>
      <c r="L1286">
        <v>409</v>
      </c>
      <c r="M1286" t="s">
        <v>78</v>
      </c>
      <c r="N1286" t="s">
        <v>17</v>
      </c>
      <c r="O1286">
        <v>155</v>
      </c>
      <c r="P1286">
        <v>1347.7</v>
      </c>
      <c r="Q1286">
        <v>818</v>
      </c>
    </row>
    <row r="1287" spans="2:17" x14ac:dyDescent="0.25">
      <c r="B1287" t="s">
        <v>78</v>
      </c>
      <c r="C1287" t="s">
        <v>79</v>
      </c>
      <c r="D1287" t="s">
        <v>2369</v>
      </c>
      <c r="E1287" t="s">
        <v>2370</v>
      </c>
      <c r="F1287">
        <v>14.75</v>
      </c>
      <c r="G1287">
        <v>14.95</v>
      </c>
      <c r="H1287">
        <v>14.95</v>
      </c>
      <c r="I1287">
        <v>14.1</v>
      </c>
      <c r="J1287" s="1">
        <v>14.35</v>
      </c>
      <c r="K1287">
        <v>1037433.55</v>
      </c>
      <c r="L1287">
        <v>71696</v>
      </c>
      <c r="M1287" t="s">
        <v>78</v>
      </c>
      <c r="N1287" t="s">
        <v>17</v>
      </c>
      <c r="O1287">
        <v>334</v>
      </c>
      <c r="P1287">
        <v>54.9</v>
      </c>
      <c r="Q1287">
        <v>14.1</v>
      </c>
    </row>
    <row r="1288" spans="2:17" x14ac:dyDescent="0.25">
      <c r="B1288" t="s">
        <v>78</v>
      </c>
      <c r="C1288" t="s">
        <v>79</v>
      </c>
      <c r="D1288" t="s">
        <v>2371</v>
      </c>
      <c r="E1288" t="s">
        <v>2372</v>
      </c>
      <c r="F1288">
        <v>452.2</v>
      </c>
      <c r="G1288">
        <v>455</v>
      </c>
      <c r="H1288">
        <v>456</v>
      </c>
      <c r="I1288">
        <v>432.1</v>
      </c>
      <c r="J1288" s="1">
        <v>436.45</v>
      </c>
      <c r="K1288">
        <v>6134076.2999999998</v>
      </c>
      <c r="L1288">
        <v>13584</v>
      </c>
      <c r="M1288" t="s">
        <v>78</v>
      </c>
      <c r="N1288" t="s">
        <v>17</v>
      </c>
      <c r="O1288">
        <v>170</v>
      </c>
      <c r="P1288">
        <v>499.9</v>
      </c>
      <c r="Q1288">
        <v>410</v>
      </c>
    </row>
    <row r="1289" spans="2:17" x14ac:dyDescent="0.25">
      <c r="B1289" t="s">
        <v>78</v>
      </c>
      <c r="C1289" t="s">
        <v>79</v>
      </c>
      <c r="D1289" t="s">
        <v>2373</v>
      </c>
      <c r="E1289" t="s">
        <v>2374</v>
      </c>
      <c r="F1289">
        <v>1299.3</v>
      </c>
      <c r="G1289">
        <v>1290.3499999999999</v>
      </c>
      <c r="H1289">
        <v>1293.6500000000001</v>
      </c>
      <c r="I1289">
        <v>1250.2</v>
      </c>
      <c r="J1289" s="1">
        <v>1269.2</v>
      </c>
      <c r="K1289">
        <v>2670683.5</v>
      </c>
      <c r="L1289">
        <v>2100</v>
      </c>
      <c r="M1289" t="s">
        <v>78</v>
      </c>
      <c r="N1289" t="s">
        <v>17</v>
      </c>
      <c r="O1289">
        <v>311</v>
      </c>
      <c r="P1289">
        <v>1848.8</v>
      </c>
      <c r="Q1289">
        <v>1195.95</v>
      </c>
    </row>
    <row r="1290" spans="2:17" x14ac:dyDescent="0.25">
      <c r="B1290" t="s">
        <v>78</v>
      </c>
      <c r="C1290" t="s">
        <v>79</v>
      </c>
      <c r="D1290" t="s">
        <v>3441</v>
      </c>
      <c r="E1290" t="s">
        <v>3442</v>
      </c>
      <c r="F1290">
        <v>10.15</v>
      </c>
      <c r="G1290">
        <v>10.9</v>
      </c>
      <c r="H1290">
        <v>10.95</v>
      </c>
      <c r="I1290">
        <v>10.050000000000001</v>
      </c>
      <c r="J1290" s="1">
        <v>10.75</v>
      </c>
      <c r="K1290">
        <v>53640.85</v>
      </c>
      <c r="L1290">
        <v>5094</v>
      </c>
      <c r="M1290" t="s">
        <v>78</v>
      </c>
      <c r="N1290" t="s">
        <v>17</v>
      </c>
      <c r="O1290">
        <v>42</v>
      </c>
      <c r="P1290">
        <v>27.95</v>
      </c>
      <c r="Q1290">
        <v>9.65</v>
      </c>
    </row>
    <row r="1291" spans="2:17" x14ac:dyDescent="0.25">
      <c r="B1291" t="s">
        <v>78</v>
      </c>
      <c r="C1291" t="s">
        <v>79</v>
      </c>
      <c r="D1291" t="s">
        <v>2377</v>
      </c>
      <c r="E1291" t="s">
        <v>2378</v>
      </c>
      <c r="F1291">
        <v>355.25</v>
      </c>
      <c r="G1291">
        <v>355.6</v>
      </c>
      <c r="H1291">
        <v>361</v>
      </c>
      <c r="I1291">
        <v>347.05</v>
      </c>
      <c r="J1291" s="1">
        <v>348.85</v>
      </c>
      <c r="K1291">
        <v>8519583.4499999993</v>
      </c>
      <c r="L1291">
        <v>24178</v>
      </c>
      <c r="M1291" t="s">
        <v>78</v>
      </c>
      <c r="N1291" t="s">
        <v>17</v>
      </c>
      <c r="O1291">
        <v>954</v>
      </c>
      <c r="P1291">
        <v>504.4</v>
      </c>
      <c r="Q1291">
        <v>293.3</v>
      </c>
    </row>
    <row r="1292" spans="2:17" x14ac:dyDescent="0.25">
      <c r="B1292" t="s">
        <v>78</v>
      </c>
      <c r="C1292" t="s">
        <v>79</v>
      </c>
      <c r="D1292" t="s">
        <v>2379</v>
      </c>
      <c r="E1292" t="s">
        <v>2380</v>
      </c>
      <c r="F1292">
        <v>94.9</v>
      </c>
      <c r="G1292">
        <v>94</v>
      </c>
      <c r="H1292">
        <v>95.7</v>
      </c>
      <c r="I1292">
        <v>90</v>
      </c>
      <c r="J1292" s="1">
        <v>90.35</v>
      </c>
      <c r="K1292">
        <v>708381.5</v>
      </c>
      <c r="L1292">
        <v>7730</v>
      </c>
      <c r="M1292" t="s">
        <v>78</v>
      </c>
      <c r="N1292" t="s">
        <v>17</v>
      </c>
      <c r="O1292">
        <v>415</v>
      </c>
      <c r="P1292">
        <v>177.7</v>
      </c>
      <c r="Q1292">
        <v>89</v>
      </c>
    </row>
    <row r="1293" spans="2:17" x14ac:dyDescent="0.25">
      <c r="B1293" t="s">
        <v>78</v>
      </c>
      <c r="C1293" t="s">
        <v>79</v>
      </c>
      <c r="D1293" t="s">
        <v>2381</v>
      </c>
      <c r="E1293" t="s">
        <v>2382</v>
      </c>
      <c r="F1293">
        <v>70.400000000000006</v>
      </c>
      <c r="G1293">
        <v>71.05</v>
      </c>
      <c r="H1293">
        <v>71.05</v>
      </c>
      <c r="I1293">
        <v>69.5</v>
      </c>
      <c r="J1293" s="1">
        <v>69.849999999999994</v>
      </c>
      <c r="K1293">
        <v>2667749.5</v>
      </c>
      <c r="L1293">
        <v>38047</v>
      </c>
      <c r="M1293" t="s">
        <v>78</v>
      </c>
      <c r="N1293" t="s">
        <v>17</v>
      </c>
      <c r="O1293">
        <v>342</v>
      </c>
      <c r="P1293">
        <v>136.19999999999999</v>
      </c>
      <c r="Q1293">
        <v>55.9</v>
      </c>
    </row>
    <row r="1294" spans="2:17" x14ac:dyDescent="0.25">
      <c r="B1294" t="s">
        <v>78</v>
      </c>
      <c r="C1294" t="s">
        <v>79</v>
      </c>
      <c r="D1294" t="s">
        <v>2383</v>
      </c>
      <c r="E1294" t="s">
        <v>2384</v>
      </c>
      <c r="F1294">
        <v>345.3</v>
      </c>
      <c r="G1294">
        <v>348.8</v>
      </c>
      <c r="H1294">
        <v>349.9</v>
      </c>
      <c r="I1294">
        <v>330</v>
      </c>
      <c r="J1294" s="1">
        <v>331.4</v>
      </c>
      <c r="K1294">
        <v>11588810.4</v>
      </c>
      <c r="L1294">
        <v>34635</v>
      </c>
      <c r="M1294" t="s">
        <v>78</v>
      </c>
      <c r="N1294" t="s">
        <v>17</v>
      </c>
      <c r="O1294">
        <v>3237</v>
      </c>
      <c r="P1294">
        <v>1699</v>
      </c>
      <c r="Q1294">
        <v>316.60000000000002</v>
      </c>
    </row>
    <row r="1295" spans="2:17" x14ac:dyDescent="0.25">
      <c r="B1295" t="s">
        <v>78</v>
      </c>
      <c r="C1295" t="s">
        <v>287</v>
      </c>
      <c r="D1295" t="s">
        <v>5077</v>
      </c>
      <c r="E1295" t="s">
        <v>6661</v>
      </c>
      <c r="F1295">
        <v>24.05</v>
      </c>
      <c r="G1295">
        <v>24</v>
      </c>
      <c r="H1295">
        <v>24</v>
      </c>
      <c r="I1295">
        <v>24</v>
      </c>
      <c r="J1295" s="1">
        <v>24</v>
      </c>
      <c r="K1295">
        <v>72000</v>
      </c>
      <c r="L1295">
        <v>3000</v>
      </c>
      <c r="M1295" t="s">
        <v>78</v>
      </c>
      <c r="N1295" t="s">
        <v>17</v>
      </c>
      <c r="O1295">
        <v>1</v>
      </c>
      <c r="P1295">
        <v>38</v>
      </c>
      <c r="Q1295">
        <v>18.75</v>
      </c>
    </row>
    <row r="1296" spans="2:17" x14ac:dyDescent="0.25">
      <c r="B1296" t="s">
        <v>78</v>
      </c>
      <c r="C1296" t="s">
        <v>79</v>
      </c>
      <c r="D1296" t="s">
        <v>2385</v>
      </c>
      <c r="E1296" t="s">
        <v>2386</v>
      </c>
      <c r="F1296">
        <v>106.95</v>
      </c>
      <c r="G1296">
        <v>108.8</v>
      </c>
      <c r="H1296">
        <v>108.8</v>
      </c>
      <c r="I1296">
        <v>104.75</v>
      </c>
      <c r="J1296" s="1">
        <v>105.05</v>
      </c>
      <c r="K1296">
        <v>426119.45</v>
      </c>
      <c r="L1296">
        <v>4048</v>
      </c>
      <c r="M1296" t="s">
        <v>78</v>
      </c>
      <c r="N1296" t="s">
        <v>17</v>
      </c>
      <c r="O1296">
        <v>179</v>
      </c>
      <c r="P1296">
        <v>150.5</v>
      </c>
      <c r="Q1296">
        <v>104.75</v>
      </c>
    </row>
    <row r="1297" spans="2:17" x14ac:dyDescent="0.25">
      <c r="B1297" t="s">
        <v>78</v>
      </c>
      <c r="C1297" t="s">
        <v>79</v>
      </c>
      <c r="D1297" t="s">
        <v>2387</v>
      </c>
      <c r="E1297" t="s">
        <v>2388</v>
      </c>
      <c r="F1297">
        <v>319.35000000000002</v>
      </c>
      <c r="G1297">
        <v>319.8</v>
      </c>
      <c r="H1297">
        <v>321.95</v>
      </c>
      <c r="I1297">
        <v>310.85000000000002</v>
      </c>
      <c r="J1297" s="1">
        <v>317.2</v>
      </c>
      <c r="K1297">
        <v>620687.44999999995</v>
      </c>
      <c r="L1297">
        <v>1965</v>
      </c>
      <c r="M1297" t="s">
        <v>78</v>
      </c>
      <c r="N1297" t="s">
        <v>17</v>
      </c>
      <c r="O1297">
        <v>250</v>
      </c>
      <c r="P1297">
        <v>422</v>
      </c>
      <c r="Q1297">
        <v>255</v>
      </c>
    </row>
    <row r="1298" spans="2:17" x14ac:dyDescent="0.25">
      <c r="B1298" t="s">
        <v>78</v>
      </c>
      <c r="C1298" t="s">
        <v>79</v>
      </c>
      <c r="D1298" t="s">
        <v>3443</v>
      </c>
      <c r="E1298" t="s">
        <v>3444</v>
      </c>
      <c r="F1298">
        <v>961.8</v>
      </c>
      <c r="G1298">
        <v>963</v>
      </c>
      <c r="H1298">
        <v>975</v>
      </c>
      <c r="I1298">
        <v>925.05</v>
      </c>
      <c r="J1298" s="1">
        <v>930.6</v>
      </c>
      <c r="K1298">
        <v>3494151.1</v>
      </c>
      <c r="L1298">
        <v>3675</v>
      </c>
      <c r="M1298" t="s">
        <v>78</v>
      </c>
      <c r="N1298" t="s">
        <v>17</v>
      </c>
      <c r="O1298">
        <v>554</v>
      </c>
      <c r="P1298">
        <v>2340</v>
      </c>
      <c r="Q1298">
        <v>925.05</v>
      </c>
    </row>
    <row r="1299" spans="2:17" x14ac:dyDescent="0.25">
      <c r="B1299" t="s">
        <v>78</v>
      </c>
      <c r="C1299" t="s">
        <v>79</v>
      </c>
      <c r="D1299" t="s">
        <v>3445</v>
      </c>
      <c r="E1299" t="s">
        <v>3446</v>
      </c>
      <c r="F1299">
        <v>338.05</v>
      </c>
      <c r="G1299">
        <v>337</v>
      </c>
      <c r="H1299">
        <v>339</v>
      </c>
      <c r="I1299">
        <v>322</v>
      </c>
      <c r="J1299" s="1">
        <v>331</v>
      </c>
      <c r="K1299">
        <v>14590074.25</v>
      </c>
      <c r="L1299">
        <v>44843</v>
      </c>
      <c r="M1299" t="s">
        <v>78</v>
      </c>
      <c r="N1299" t="s">
        <v>17</v>
      </c>
      <c r="O1299">
        <v>405</v>
      </c>
      <c r="P1299">
        <v>543.1</v>
      </c>
      <c r="Q1299">
        <v>289</v>
      </c>
    </row>
    <row r="1300" spans="2:17" x14ac:dyDescent="0.25">
      <c r="B1300" t="s">
        <v>78</v>
      </c>
      <c r="C1300" t="s">
        <v>79</v>
      </c>
      <c r="D1300" t="s">
        <v>2391</v>
      </c>
      <c r="E1300" t="s">
        <v>2392</v>
      </c>
      <c r="F1300">
        <v>355.05</v>
      </c>
      <c r="G1300">
        <v>353.9</v>
      </c>
      <c r="H1300">
        <v>353.9</v>
      </c>
      <c r="I1300">
        <v>344.7</v>
      </c>
      <c r="J1300" s="1">
        <v>348.55</v>
      </c>
      <c r="K1300">
        <v>2436027.25</v>
      </c>
      <c r="L1300">
        <v>6994</v>
      </c>
      <c r="M1300" t="s">
        <v>78</v>
      </c>
      <c r="N1300" t="s">
        <v>17</v>
      </c>
      <c r="O1300">
        <v>311</v>
      </c>
      <c r="P1300">
        <v>548.9</v>
      </c>
      <c r="Q1300">
        <v>322.89999999999998</v>
      </c>
    </row>
    <row r="1301" spans="2:17" x14ac:dyDescent="0.25">
      <c r="B1301" t="s">
        <v>78</v>
      </c>
      <c r="C1301" t="s">
        <v>79</v>
      </c>
      <c r="D1301" t="s">
        <v>3658</v>
      </c>
      <c r="E1301" t="s">
        <v>3659</v>
      </c>
      <c r="F1301">
        <v>15.8</v>
      </c>
      <c r="G1301">
        <v>16.350000000000001</v>
      </c>
      <c r="H1301">
        <v>16.5</v>
      </c>
      <c r="I1301">
        <v>15.5</v>
      </c>
      <c r="J1301" s="1">
        <v>16</v>
      </c>
      <c r="K1301">
        <v>639156.80000000005</v>
      </c>
      <c r="L1301">
        <v>39660</v>
      </c>
      <c r="M1301" t="s">
        <v>78</v>
      </c>
      <c r="N1301" t="s">
        <v>17</v>
      </c>
      <c r="O1301">
        <v>230</v>
      </c>
      <c r="P1301">
        <v>103.6</v>
      </c>
      <c r="Q1301">
        <v>12.1</v>
      </c>
    </row>
    <row r="1302" spans="2:17" x14ac:dyDescent="0.25">
      <c r="B1302" t="s">
        <v>78</v>
      </c>
      <c r="C1302" t="s">
        <v>79</v>
      </c>
      <c r="D1302" t="s">
        <v>3449</v>
      </c>
      <c r="E1302" t="s">
        <v>3450</v>
      </c>
      <c r="F1302">
        <v>25.65</v>
      </c>
      <c r="G1302">
        <v>26.5</v>
      </c>
      <c r="H1302">
        <v>26.5</v>
      </c>
      <c r="I1302">
        <v>23.9</v>
      </c>
      <c r="J1302" s="1">
        <v>24.45</v>
      </c>
      <c r="K1302">
        <v>1497383.35</v>
      </c>
      <c r="L1302">
        <v>60633</v>
      </c>
      <c r="M1302" t="s">
        <v>78</v>
      </c>
      <c r="N1302" t="s">
        <v>17</v>
      </c>
      <c r="O1302">
        <v>862</v>
      </c>
      <c r="P1302">
        <v>68.599999999999994</v>
      </c>
      <c r="Q1302">
        <v>23.9</v>
      </c>
    </row>
    <row r="1303" spans="2:17" x14ac:dyDescent="0.25">
      <c r="B1303" t="s">
        <v>78</v>
      </c>
      <c r="C1303" t="s">
        <v>79</v>
      </c>
      <c r="D1303" t="s">
        <v>2393</v>
      </c>
      <c r="E1303" t="s">
        <v>2394</v>
      </c>
      <c r="F1303">
        <v>43.9</v>
      </c>
      <c r="G1303">
        <v>43</v>
      </c>
      <c r="H1303">
        <v>44.3</v>
      </c>
      <c r="I1303">
        <v>41</v>
      </c>
      <c r="J1303" s="1">
        <v>43.7</v>
      </c>
      <c r="K1303">
        <v>78398.75</v>
      </c>
      <c r="L1303">
        <v>1862</v>
      </c>
      <c r="M1303" t="s">
        <v>78</v>
      </c>
      <c r="N1303" t="s">
        <v>17</v>
      </c>
      <c r="O1303">
        <v>42</v>
      </c>
      <c r="P1303">
        <v>71.400000000000006</v>
      </c>
      <c r="Q1303">
        <v>41</v>
      </c>
    </row>
    <row r="1304" spans="2:17" x14ac:dyDescent="0.25">
      <c r="B1304" t="s">
        <v>78</v>
      </c>
      <c r="C1304" t="s">
        <v>79</v>
      </c>
      <c r="D1304" t="s">
        <v>2395</v>
      </c>
      <c r="E1304" t="s">
        <v>2396</v>
      </c>
      <c r="F1304">
        <v>126.05</v>
      </c>
      <c r="G1304">
        <v>129.4</v>
      </c>
      <c r="H1304">
        <v>129.4</v>
      </c>
      <c r="I1304">
        <v>123.25</v>
      </c>
      <c r="J1304" s="1">
        <v>126.05</v>
      </c>
      <c r="K1304">
        <v>37999.949999999997</v>
      </c>
      <c r="L1304">
        <v>301</v>
      </c>
      <c r="M1304" t="s">
        <v>78</v>
      </c>
      <c r="N1304" t="s">
        <v>17</v>
      </c>
      <c r="O1304">
        <v>22</v>
      </c>
      <c r="P1304">
        <v>379</v>
      </c>
      <c r="Q1304">
        <v>103</v>
      </c>
    </row>
    <row r="1305" spans="2:17" x14ac:dyDescent="0.25">
      <c r="B1305" t="s">
        <v>78</v>
      </c>
      <c r="C1305" t="s">
        <v>79</v>
      </c>
      <c r="D1305" t="s">
        <v>2397</v>
      </c>
      <c r="E1305" t="s">
        <v>2398</v>
      </c>
      <c r="F1305">
        <v>128.19999999999999</v>
      </c>
      <c r="G1305">
        <v>129.55000000000001</v>
      </c>
      <c r="H1305">
        <v>129.55000000000001</v>
      </c>
      <c r="I1305">
        <v>126.4</v>
      </c>
      <c r="J1305" s="1">
        <v>127.05</v>
      </c>
      <c r="K1305">
        <v>941017.25</v>
      </c>
      <c r="L1305">
        <v>7380</v>
      </c>
      <c r="M1305" t="s">
        <v>78</v>
      </c>
      <c r="N1305" t="s">
        <v>17</v>
      </c>
      <c r="O1305">
        <v>379</v>
      </c>
      <c r="P1305">
        <v>238.9</v>
      </c>
      <c r="Q1305">
        <v>124.1</v>
      </c>
    </row>
    <row r="1306" spans="2:17" x14ac:dyDescent="0.25">
      <c r="B1306" t="s">
        <v>78</v>
      </c>
      <c r="C1306" t="s">
        <v>79</v>
      </c>
      <c r="D1306" t="s">
        <v>2399</v>
      </c>
      <c r="E1306" t="s">
        <v>2400</v>
      </c>
      <c r="F1306">
        <v>459.1</v>
      </c>
      <c r="G1306">
        <v>468</v>
      </c>
      <c r="H1306">
        <v>471.95</v>
      </c>
      <c r="I1306">
        <v>456.15</v>
      </c>
      <c r="J1306" s="1">
        <v>464.75</v>
      </c>
      <c r="K1306">
        <v>3578705.8</v>
      </c>
      <c r="L1306">
        <v>7711</v>
      </c>
      <c r="M1306" t="s">
        <v>78</v>
      </c>
      <c r="N1306" t="s">
        <v>17</v>
      </c>
      <c r="O1306">
        <v>799</v>
      </c>
      <c r="P1306">
        <v>689.25</v>
      </c>
      <c r="Q1306">
        <v>430.1</v>
      </c>
    </row>
    <row r="1307" spans="2:17" x14ac:dyDescent="0.25">
      <c r="B1307" t="s">
        <v>78</v>
      </c>
      <c r="C1307" t="s">
        <v>79</v>
      </c>
      <c r="D1307" t="s">
        <v>2405</v>
      </c>
      <c r="E1307" t="s">
        <v>2406</v>
      </c>
      <c r="F1307">
        <v>95.95</v>
      </c>
      <c r="G1307">
        <v>95.8</v>
      </c>
      <c r="H1307">
        <v>96.9</v>
      </c>
      <c r="I1307">
        <v>91.7</v>
      </c>
      <c r="J1307" s="1">
        <v>94.05</v>
      </c>
      <c r="K1307">
        <v>1519259.7</v>
      </c>
      <c r="L1307">
        <v>16097</v>
      </c>
      <c r="M1307" t="s">
        <v>78</v>
      </c>
      <c r="N1307" t="s">
        <v>17</v>
      </c>
      <c r="O1307">
        <v>442</v>
      </c>
      <c r="P1307">
        <v>219.3</v>
      </c>
      <c r="Q1307">
        <v>91.7</v>
      </c>
    </row>
    <row r="1308" spans="2:17" x14ac:dyDescent="0.25">
      <c r="B1308" t="s">
        <v>78</v>
      </c>
      <c r="C1308" t="s">
        <v>287</v>
      </c>
      <c r="D1308" t="s">
        <v>3451</v>
      </c>
      <c r="E1308" t="s">
        <v>3452</v>
      </c>
      <c r="F1308">
        <v>69.400000000000006</v>
      </c>
      <c r="G1308">
        <v>71.25</v>
      </c>
      <c r="H1308">
        <v>71.3</v>
      </c>
      <c r="I1308">
        <v>67.75</v>
      </c>
      <c r="J1308" s="1">
        <v>68.7</v>
      </c>
      <c r="K1308">
        <v>10816062.5</v>
      </c>
      <c r="L1308">
        <v>156250</v>
      </c>
      <c r="M1308" t="s">
        <v>78</v>
      </c>
      <c r="N1308" t="s">
        <v>17</v>
      </c>
      <c r="O1308">
        <v>103</v>
      </c>
      <c r="P1308">
        <v>222</v>
      </c>
      <c r="Q1308">
        <v>64.8</v>
      </c>
    </row>
    <row r="1309" spans="2:17" x14ac:dyDescent="0.25">
      <c r="B1309" t="s">
        <v>78</v>
      </c>
      <c r="C1309" t="s">
        <v>79</v>
      </c>
      <c r="D1309" t="s">
        <v>2409</v>
      </c>
      <c r="E1309" t="s">
        <v>2410</v>
      </c>
      <c r="F1309">
        <v>129.75</v>
      </c>
      <c r="G1309">
        <v>132</v>
      </c>
      <c r="H1309">
        <v>132</v>
      </c>
      <c r="I1309">
        <v>124</v>
      </c>
      <c r="J1309" s="1">
        <v>124.85</v>
      </c>
      <c r="K1309">
        <v>1975849.85</v>
      </c>
      <c r="L1309">
        <v>15573</v>
      </c>
      <c r="M1309" t="s">
        <v>78</v>
      </c>
      <c r="N1309" t="s">
        <v>17</v>
      </c>
      <c r="O1309">
        <v>488</v>
      </c>
      <c r="P1309">
        <v>202.7</v>
      </c>
      <c r="Q1309">
        <v>114.4</v>
      </c>
    </row>
    <row r="1310" spans="2:17" x14ac:dyDescent="0.25">
      <c r="B1310" t="s">
        <v>78</v>
      </c>
      <c r="C1310" t="s">
        <v>79</v>
      </c>
      <c r="D1310" t="s">
        <v>2411</v>
      </c>
      <c r="E1310" t="s">
        <v>2412</v>
      </c>
      <c r="F1310">
        <v>133</v>
      </c>
      <c r="G1310">
        <v>131.4</v>
      </c>
      <c r="H1310">
        <v>134.4</v>
      </c>
      <c r="I1310">
        <v>131.4</v>
      </c>
      <c r="J1310" s="1">
        <v>133.05000000000001</v>
      </c>
      <c r="K1310">
        <v>603359.1</v>
      </c>
      <c r="L1310">
        <v>4537</v>
      </c>
      <c r="M1310" t="s">
        <v>78</v>
      </c>
      <c r="N1310" t="s">
        <v>17</v>
      </c>
      <c r="O1310">
        <v>257</v>
      </c>
      <c r="P1310">
        <v>499.95</v>
      </c>
      <c r="Q1310">
        <v>127.1</v>
      </c>
    </row>
    <row r="1311" spans="2:17" x14ac:dyDescent="0.25">
      <c r="B1311" t="s">
        <v>78</v>
      </c>
      <c r="C1311" t="s">
        <v>79</v>
      </c>
      <c r="D1311" t="s">
        <v>2413</v>
      </c>
      <c r="E1311" t="s">
        <v>2414</v>
      </c>
      <c r="F1311">
        <v>1505.7</v>
      </c>
      <c r="G1311">
        <v>1506</v>
      </c>
      <c r="H1311">
        <v>1535.75</v>
      </c>
      <c r="I1311">
        <v>1437.05</v>
      </c>
      <c r="J1311" s="1">
        <v>1445.55</v>
      </c>
      <c r="K1311">
        <v>127507458.15000001</v>
      </c>
      <c r="L1311">
        <v>85023</v>
      </c>
      <c r="M1311" t="s">
        <v>78</v>
      </c>
      <c r="N1311" t="s">
        <v>183</v>
      </c>
      <c r="O1311">
        <v>1020</v>
      </c>
      <c r="P1311">
        <v>2065</v>
      </c>
      <c r="Q1311">
        <v>1308</v>
      </c>
    </row>
    <row r="1312" spans="2:17" x14ac:dyDescent="0.25">
      <c r="B1312" t="s">
        <v>78</v>
      </c>
      <c r="C1312" t="s">
        <v>79</v>
      </c>
      <c r="D1312" t="s">
        <v>2415</v>
      </c>
      <c r="E1312" t="s">
        <v>2416</v>
      </c>
      <c r="F1312">
        <v>9.8000000000000007</v>
      </c>
      <c r="G1312">
        <v>9.8000000000000007</v>
      </c>
      <c r="H1312">
        <v>9.8000000000000007</v>
      </c>
      <c r="I1312">
        <v>9</v>
      </c>
      <c r="J1312" s="1">
        <v>9.15</v>
      </c>
      <c r="K1312">
        <v>954727.1</v>
      </c>
      <c r="L1312">
        <v>101088</v>
      </c>
      <c r="M1312" t="s">
        <v>78</v>
      </c>
      <c r="N1312" t="s">
        <v>17</v>
      </c>
      <c r="O1312">
        <v>242</v>
      </c>
      <c r="P1312">
        <v>19.100000000000001</v>
      </c>
      <c r="Q1312">
        <v>6.65</v>
      </c>
    </row>
    <row r="1313" spans="2:17" x14ac:dyDescent="0.25">
      <c r="B1313" t="s">
        <v>78</v>
      </c>
      <c r="C1313" t="s">
        <v>287</v>
      </c>
      <c r="D1313" t="s">
        <v>2417</v>
      </c>
      <c r="E1313" t="s">
        <v>2418</v>
      </c>
      <c r="F1313">
        <v>188.15</v>
      </c>
      <c r="G1313">
        <v>192.5</v>
      </c>
      <c r="H1313">
        <v>192.5</v>
      </c>
      <c r="I1313">
        <v>183.2</v>
      </c>
      <c r="J1313" s="1">
        <v>189.95</v>
      </c>
      <c r="K1313">
        <v>2082700</v>
      </c>
      <c r="L1313">
        <v>11000</v>
      </c>
      <c r="M1313" t="s">
        <v>78</v>
      </c>
      <c r="N1313" t="s">
        <v>17</v>
      </c>
      <c r="O1313">
        <v>8</v>
      </c>
      <c r="P1313">
        <v>209.5</v>
      </c>
      <c r="Q1313">
        <v>27.1</v>
      </c>
    </row>
    <row r="1314" spans="2:17" x14ac:dyDescent="0.25">
      <c r="B1314" t="s">
        <v>78</v>
      </c>
      <c r="C1314" t="s">
        <v>79</v>
      </c>
      <c r="D1314" t="s">
        <v>2419</v>
      </c>
      <c r="E1314" t="s">
        <v>2420</v>
      </c>
      <c r="F1314">
        <v>4</v>
      </c>
      <c r="G1314">
        <v>3.75</v>
      </c>
      <c r="H1314">
        <v>4.3</v>
      </c>
      <c r="I1314">
        <v>3.6</v>
      </c>
      <c r="J1314" s="1">
        <v>3.8</v>
      </c>
      <c r="K1314">
        <v>409437</v>
      </c>
      <c r="L1314">
        <v>104187</v>
      </c>
      <c r="M1314" t="s">
        <v>78</v>
      </c>
      <c r="N1314" t="s">
        <v>17</v>
      </c>
      <c r="O1314">
        <v>291</v>
      </c>
      <c r="P1314">
        <v>10.5</v>
      </c>
      <c r="Q1314">
        <v>3.5</v>
      </c>
    </row>
    <row r="1315" spans="2:17" x14ac:dyDescent="0.25">
      <c r="B1315" t="s">
        <v>78</v>
      </c>
      <c r="C1315" t="s">
        <v>79</v>
      </c>
      <c r="D1315" t="s">
        <v>3457</v>
      </c>
      <c r="E1315" t="s">
        <v>3458</v>
      </c>
      <c r="F1315">
        <v>25.9</v>
      </c>
      <c r="G1315">
        <v>27</v>
      </c>
      <c r="H1315">
        <v>27</v>
      </c>
      <c r="I1315">
        <v>25.05</v>
      </c>
      <c r="J1315" s="1">
        <v>25.5</v>
      </c>
      <c r="K1315">
        <v>1082501.1499999999</v>
      </c>
      <c r="L1315">
        <v>42314</v>
      </c>
      <c r="M1315" t="s">
        <v>78</v>
      </c>
      <c r="N1315" t="s">
        <v>17</v>
      </c>
      <c r="O1315">
        <v>280</v>
      </c>
      <c r="P1315">
        <v>34.5</v>
      </c>
      <c r="Q1315">
        <v>17.3</v>
      </c>
    </row>
    <row r="1316" spans="2:17" x14ac:dyDescent="0.25">
      <c r="B1316" t="s">
        <v>78</v>
      </c>
      <c r="C1316" t="s">
        <v>79</v>
      </c>
      <c r="D1316" t="s">
        <v>2423</v>
      </c>
      <c r="E1316" t="s">
        <v>2424</v>
      </c>
      <c r="F1316">
        <v>96.9</v>
      </c>
      <c r="G1316">
        <v>97.85</v>
      </c>
      <c r="H1316">
        <v>101</v>
      </c>
      <c r="I1316">
        <v>93</v>
      </c>
      <c r="J1316" s="1">
        <v>96.45</v>
      </c>
      <c r="K1316">
        <v>1614139.1</v>
      </c>
      <c r="L1316">
        <v>16886</v>
      </c>
      <c r="M1316" t="s">
        <v>78</v>
      </c>
      <c r="N1316" t="s">
        <v>17</v>
      </c>
      <c r="O1316">
        <v>385</v>
      </c>
      <c r="P1316">
        <v>203.7</v>
      </c>
      <c r="Q1316">
        <v>87.95</v>
      </c>
    </row>
    <row r="1317" spans="2:17" x14ac:dyDescent="0.25">
      <c r="B1317" t="s">
        <v>78</v>
      </c>
      <c r="C1317" t="s">
        <v>79</v>
      </c>
      <c r="D1317" t="s">
        <v>2427</v>
      </c>
      <c r="E1317" t="s">
        <v>2428</v>
      </c>
      <c r="F1317">
        <v>26.75</v>
      </c>
      <c r="G1317">
        <v>26.15</v>
      </c>
      <c r="H1317">
        <v>26.5</v>
      </c>
      <c r="I1317">
        <v>23.5</v>
      </c>
      <c r="J1317" s="1">
        <v>24</v>
      </c>
      <c r="K1317">
        <v>679840.35</v>
      </c>
      <c r="L1317">
        <v>27815</v>
      </c>
      <c r="M1317" t="s">
        <v>78</v>
      </c>
      <c r="N1317" t="s">
        <v>17</v>
      </c>
      <c r="O1317">
        <v>311</v>
      </c>
      <c r="P1317">
        <v>75.900000000000006</v>
      </c>
      <c r="Q1317">
        <v>23.5</v>
      </c>
    </row>
    <row r="1318" spans="2:17" x14ac:dyDescent="0.25">
      <c r="B1318" t="s">
        <v>78</v>
      </c>
      <c r="C1318" t="s">
        <v>79</v>
      </c>
      <c r="D1318" t="s">
        <v>2433</v>
      </c>
      <c r="E1318" t="s">
        <v>2434</v>
      </c>
      <c r="F1318">
        <v>165.25</v>
      </c>
      <c r="G1318">
        <v>165.25</v>
      </c>
      <c r="H1318">
        <v>166.75</v>
      </c>
      <c r="I1318">
        <v>161.9</v>
      </c>
      <c r="J1318" s="1">
        <v>163.4</v>
      </c>
      <c r="K1318">
        <v>140735.25</v>
      </c>
      <c r="L1318">
        <v>853</v>
      </c>
      <c r="M1318" t="s">
        <v>78</v>
      </c>
      <c r="N1318" t="s">
        <v>17</v>
      </c>
      <c r="O1318">
        <v>74</v>
      </c>
      <c r="P1318">
        <v>260</v>
      </c>
      <c r="Q1318">
        <v>151.94999999999999</v>
      </c>
    </row>
    <row r="1319" spans="2:17" x14ac:dyDescent="0.25">
      <c r="B1319" t="s">
        <v>78</v>
      </c>
      <c r="C1319" t="s">
        <v>287</v>
      </c>
      <c r="D1319" t="s">
        <v>3461</v>
      </c>
      <c r="E1319" t="s">
        <v>3462</v>
      </c>
      <c r="F1319">
        <v>60</v>
      </c>
      <c r="G1319">
        <v>57.1</v>
      </c>
      <c r="H1319">
        <v>59</v>
      </c>
      <c r="I1319">
        <v>54.55</v>
      </c>
      <c r="J1319" s="1">
        <v>57.1</v>
      </c>
      <c r="K1319">
        <v>343860</v>
      </c>
      <c r="L1319">
        <v>6000</v>
      </c>
      <c r="M1319" t="s">
        <v>78</v>
      </c>
      <c r="N1319" t="s">
        <v>17</v>
      </c>
      <c r="O1319">
        <v>5</v>
      </c>
      <c r="P1319">
        <v>117.9</v>
      </c>
      <c r="Q1319">
        <v>54.55</v>
      </c>
    </row>
    <row r="1320" spans="2:17" x14ac:dyDescent="0.25">
      <c r="B1320" t="s">
        <v>78</v>
      </c>
      <c r="C1320" t="s">
        <v>287</v>
      </c>
      <c r="D1320" t="s">
        <v>2435</v>
      </c>
      <c r="E1320" t="s">
        <v>2436</v>
      </c>
      <c r="F1320">
        <v>121.75</v>
      </c>
      <c r="G1320">
        <v>121</v>
      </c>
      <c r="H1320">
        <v>121.75</v>
      </c>
      <c r="I1320">
        <v>121</v>
      </c>
      <c r="J1320" s="1">
        <v>121.6</v>
      </c>
      <c r="K1320">
        <v>971000</v>
      </c>
      <c r="L1320">
        <v>8000</v>
      </c>
      <c r="M1320" t="s">
        <v>78</v>
      </c>
      <c r="N1320" t="s">
        <v>17</v>
      </c>
      <c r="O1320">
        <v>6</v>
      </c>
      <c r="P1320">
        <v>148</v>
      </c>
      <c r="Q1320">
        <v>121</v>
      </c>
    </row>
    <row r="1321" spans="2:17" x14ac:dyDescent="0.25">
      <c r="B1321" t="s">
        <v>78</v>
      </c>
      <c r="C1321" t="s">
        <v>79</v>
      </c>
      <c r="D1321" t="s">
        <v>3463</v>
      </c>
      <c r="E1321" t="s">
        <v>3464</v>
      </c>
      <c r="F1321">
        <v>5.9</v>
      </c>
      <c r="G1321">
        <v>5.8</v>
      </c>
      <c r="H1321">
        <v>6.15</v>
      </c>
      <c r="I1321">
        <v>5.75</v>
      </c>
      <c r="J1321" s="1">
        <v>5.85</v>
      </c>
      <c r="K1321">
        <v>107465.95</v>
      </c>
      <c r="L1321">
        <v>18294</v>
      </c>
      <c r="M1321" t="s">
        <v>78</v>
      </c>
      <c r="N1321" t="s">
        <v>17</v>
      </c>
      <c r="O1321">
        <v>53</v>
      </c>
      <c r="P1321">
        <v>18.05</v>
      </c>
      <c r="Q1321">
        <v>5.55</v>
      </c>
    </row>
    <row r="1322" spans="2:17" x14ac:dyDescent="0.25">
      <c r="B1322" t="s">
        <v>78</v>
      </c>
      <c r="C1322" t="s">
        <v>79</v>
      </c>
      <c r="D1322" t="s">
        <v>2437</v>
      </c>
      <c r="E1322" t="s">
        <v>2438</v>
      </c>
      <c r="F1322">
        <v>92.25</v>
      </c>
      <c r="G1322">
        <v>91</v>
      </c>
      <c r="H1322">
        <v>94</v>
      </c>
      <c r="I1322">
        <v>86.5</v>
      </c>
      <c r="J1322" s="1">
        <v>89.1</v>
      </c>
      <c r="K1322">
        <v>4245680.25</v>
      </c>
      <c r="L1322">
        <v>46639</v>
      </c>
      <c r="M1322" t="s">
        <v>78</v>
      </c>
      <c r="N1322" t="s">
        <v>17</v>
      </c>
      <c r="O1322">
        <v>798</v>
      </c>
      <c r="P1322">
        <v>475</v>
      </c>
      <c r="Q1322">
        <v>86.5</v>
      </c>
    </row>
    <row r="1323" spans="2:17" x14ac:dyDescent="0.25">
      <c r="B1323" t="s">
        <v>78</v>
      </c>
      <c r="C1323" t="s">
        <v>287</v>
      </c>
      <c r="D1323" t="s">
        <v>2439</v>
      </c>
      <c r="E1323" t="s">
        <v>2440</v>
      </c>
      <c r="F1323">
        <v>63.1</v>
      </c>
      <c r="G1323">
        <v>63.25</v>
      </c>
      <c r="H1323">
        <v>63.25</v>
      </c>
      <c r="I1323">
        <v>63.25</v>
      </c>
      <c r="J1323" s="1">
        <v>63.25</v>
      </c>
      <c r="K1323">
        <v>506000</v>
      </c>
      <c r="L1323">
        <v>8000</v>
      </c>
      <c r="M1323" t="s">
        <v>78</v>
      </c>
      <c r="N1323" t="s">
        <v>17</v>
      </c>
      <c r="O1323">
        <v>4</v>
      </c>
      <c r="P1323">
        <v>80</v>
      </c>
      <c r="Q1323">
        <v>49.05</v>
      </c>
    </row>
    <row r="1324" spans="2:17" x14ac:dyDescent="0.25">
      <c r="B1324" t="s">
        <v>78</v>
      </c>
      <c r="C1324" t="s">
        <v>79</v>
      </c>
      <c r="D1324" t="s">
        <v>3465</v>
      </c>
      <c r="E1324" t="s">
        <v>3466</v>
      </c>
      <c r="F1324">
        <v>2.95</v>
      </c>
      <c r="G1324">
        <v>2.95</v>
      </c>
      <c r="H1324">
        <v>3</v>
      </c>
      <c r="I1324">
        <v>2.85</v>
      </c>
      <c r="J1324" s="1">
        <v>2.85</v>
      </c>
      <c r="K1324">
        <v>3900567.8</v>
      </c>
      <c r="L1324">
        <v>1357964</v>
      </c>
      <c r="M1324" t="s">
        <v>78</v>
      </c>
      <c r="N1324" t="s">
        <v>17</v>
      </c>
      <c r="O1324">
        <v>953</v>
      </c>
      <c r="P1324">
        <v>16.3</v>
      </c>
      <c r="Q1324">
        <v>2.5</v>
      </c>
    </row>
    <row r="1325" spans="2:17" x14ac:dyDescent="0.25">
      <c r="B1325" t="s">
        <v>78</v>
      </c>
      <c r="C1325" t="s">
        <v>287</v>
      </c>
      <c r="D1325" t="s">
        <v>2441</v>
      </c>
      <c r="E1325" t="s">
        <v>2442</v>
      </c>
      <c r="F1325">
        <v>202</v>
      </c>
      <c r="G1325">
        <v>205</v>
      </c>
      <c r="H1325">
        <v>205</v>
      </c>
      <c r="I1325">
        <v>205</v>
      </c>
      <c r="J1325" s="1">
        <v>205</v>
      </c>
      <c r="K1325">
        <v>246000</v>
      </c>
      <c r="L1325">
        <v>1200</v>
      </c>
      <c r="M1325" t="s">
        <v>78</v>
      </c>
      <c r="N1325" t="s">
        <v>17</v>
      </c>
      <c r="O1325">
        <v>1</v>
      </c>
      <c r="P1325">
        <v>309.89999999999998</v>
      </c>
      <c r="Q1325">
        <v>154.30000000000001</v>
      </c>
    </row>
    <row r="1326" spans="2:17" x14ac:dyDescent="0.25">
      <c r="B1326" t="s">
        <v>78</v>
      </c>
      <c r="C1326" t="s">
        <v>79</v>
      </c>
      <c r="D1326" t="s">
        <v>2443</v>
      </c>
      <c r="E1326" t="s">
        <v>6660</v>
      </c>
      <c r="F1326">
        <v>859.4</v>
      </c>
      <c r="G1326">
        <v>865</v>
      </c>
      <c r="H1326">
        <v>872.05</v>
      </c>
      <c r="I1326">
        <v>825.75</v>
      </c>
      <c r="J1326" s="1">
        <v>837.7</v>
      </c>
      <c r="K1326">
        <v>9724110.0999999996</v>
      </c>
      <c r="L1326">
        <v>11581</v>
      </c>
      <c r="M1326" t="s">
        <v>78</v>
      </c>
      <c r="N1326" t="s">
        <v>17</v>
      </c>
      <c r="O1326">
        <v>729</v>
      </c>
      <c r="P1326">
        <v>1220</v>
      </c>
      <c r="Q1326">
        <v>706.9</v>
      </c>
    </row>
    <row r="1327" spans="2:17" x14ac:dyDescent="0.25">
      <c r="B1327" t="s">
        <v>78</v>
      </c>
      <c r="C1327" t="s">
        <v>79</v>
      </c>
      <c r="D1327" t="s">
        <v>3467</v>
      </c>
      <c r="E1327" t="s">
        <v>3468</v>
      </c>
      <c r="F1327">
        <v>2.4500000000000002</v>
      </c>
      <c r="G1327">
        <v>2.4</v>
      </c>
      <c r="H1327">
        <v>2.4500000000000002</v>
      </c>
      <c r="I1327">
        <v>2.35</v>
      </c>
      <c r="J1327" s="1">
        <v>2.35</v>
      </c>
      <c r="K1327">
        <v>405948.75</v>
      </c>
      <c r="L1327">
        <v>170979</v>
      </c>
      <c r="M1327" t="s">
        <v>78</v>
      </c>
      <c r="N1327" t="s">
        <v>17</v>
      </c>
      <c r="O1327">
        <v>120</v>
      </c>
      <c r="P1327">
        <v>13.65</v>
      </c>
      <c r="Q1327">
        <v>2.2999999999999998</v>
      </c>
    </row>
    <row r="1328" spans="2:17" x14ac:dyDescent="0.25">
      <c r="B1328" t="s">
        <v>78</v>
      </c>
      <c r="C1328" t="s">
        <v>79</v>
      </c>
      <c r="D1328" t="s">
        <v>2445</v>
      </c>
      <c r="E1328" t="s">
        <v>2446</v>
      </c>
      <c r="F1328">
        <v>279.05</v>
      </c>
      <c r="G1328">
        <v>273.05</v>
      </c>
      <c r="H1328">
        <v>281.8</v>
      </c>
      <c r="I1328">
        <v>266.60000000000002</v>
      </c>
      <c r="J1328" s="1">
        <v>272.14999999999998</v>
      </c>
      <c r="K1328">
        <v>4091645.95</v>
      </c>
      <c r="L1328">
        <v>15092</v>
      </c>
      <c r="M1328" t="s">
        <v>78</v>
      </c>
      <c r="N1328" t="s">
        <v>17</v>
      </c>
      <c r="O1328">
        <v>1202</v>
      </c>
      <c r="P1328">
        <v>569</v>
      </c>
      <c r="Q1328">
        <v>266.60000000000002</v>
      </c>
    </row>
    <row r="1329" spans="2:17" x14ac:dyDescent="0.25">
      <c r="B1329" t="s">
        <v>78</v>
      </c>
      <c r="C1329" t="s">
        <v>79</v>
      </c>
      <c r="D1329" t="s">
        <v>2447</v>
      </c>
      <c r="E1329" t="s">
        <v>2448</v>
      </c>
      <c r="F1329">
        <v>25.4</v>
      </c>
      <c r="G1329">
        <v>25.35</v>
      </c>
      <c r="H1329">
        <v>25.55</v>
      </c>
      <c r="I1329">
        <v>24.6</v>
      </c>
      <c r="J1329" s="1">
        <v>24.65</v>
      </c>
      <c r="K1329">
        <v>31810206.949999999</v>
      </c>
      <c r="L1329">
        <v>1277232</v>
      </c>
      <c r="M1329" t="s">
        <v>78</v>
      </c>
      <c r="N1329" t="s">
        <v>17</v>
      </c>
      <c r="O1329">
        <v>9400</v>
      </c>
      <c r="P1329">
        <v>31.05</v>
      </c>
      <c r="Q1329">
        <v>21.85</v>
      </c>
    </row>
    <row r="1330" spans="2:17" x14ac:dyDescent="0.25">
      <c r="B1330" t="s">
        <v>78</v>
      </c>
      <c r="C1330" t="s">
        <v>79</v>
      </c>
      <c r="D1330" t="s">
        <v>2449</v>
      </c>
      <c r="E1330" t="s">
        <v>2450</v>
      </c>
      <c r="F1330">
        <v>1934.55</v>
      </c>
      <c r="G1330">
        <v>1944.9</v>
      </c>
      <c r="H1330">
        <v>1945</v>
      </c>
      <c r="I1330">
        <v>1915</v>
      </c>
      <c r="J1330" s="1">
        <v>1915.6</v>
      </c>
      <c r="K1330">
        <v>49705941.100000001</v>
      </c>
      <c r="L1330">
        <v>25820</v>
      </c>
      <c r="M1330" t="s">
        <v>78</v>
      </c>
      <c r="N1330" t="s">
        <v>17</v>
      </c>
      <c r="O1330">
        <v>676</v>
      </c>
      <c r="P1330">
        <v>2165</v>
      </c>
      <c r="Q1330">
        <v>1600.5</v>
      </c>
    </row>
    <row r="1331" spans="2:17" x14ac:dyDescent="0.25">
      <c r="B1331" t="s">
        <v>78</v>
      </c>
      <c r="C1331" t="s">
        <v>79</v>
      </c>
      <c r="D1331" t="s">
        <v>3469</v>
      </c>
      <c r="E1331" t="s">
        <v>3470</v>
      </c>
      <c r="F1331">
        <v>6.8</v>
      </c>
      <c r="G1331">
        <v>7.1</v>
      </c>
      <c r="H1331">
        <v>7.1</v>
      </c>
      <c r="I1331">
        <v>6.5</v>
      </c>
      <c r="J1331" s="1">
        <v>7.05</v>
      </c>
      <c r="K1331">
        <v>155162.65</v>
      </c>
      <c r="L1331">
        <v>22999</v>
      </c>
      <c r="M1331" t="s">
        <v>78</v>
      </c>
      <c r="N1331" t="s">
        <v>17</v>
      </c>
      <c r="O1331">
        <v>42</v>
      </c>
      <c r="P1331">
        <v>30.4</v>
      </c>
      <c r="Q1331">
        <v>6.5</v>
      </c>
    </row>
    <row r="1332" spans="2:17" x14ac:dyDescent="0.25">
      <c r="B1332" t="s">
        <v>78</v>
      </c>
      <c r="C1332" t="s">
        <v>79</v>
      </c>
      <c r="D1332" t="s">
        <v>2451</v>
      </c>
      <c r="E1332" t="s">
        <v>2452</v>
      </c>
      <c r="F1332">
        <v>53.15</v>
      </c>
      <c r="G1332">
        <v>55.35</v>
      </c>
      <c r="H1332">
        <v>55.35</v>
      </c>
      <c r="I1332">
        <v>50.55</v>
      </c>
      <c r="J1332" s="1">
        <v>51.4</v>
      </c>
      <c r="K1332">
        <v>1867927.85</v>
      </c>
      <c r="L1332">
        <v>36032</v>
      </c>
      <c r="M1332" t="s">
        <v>78</v>
      </c>
      <c r="N1332" t="s">
        <v>17</v>
      </c>
      <c r="O1332">
        <v>297</v>
      </c>
      <c r="P1332">
        <v>169.5</v>
      </c>
      <c r="Q1332">
        <v>48.7</v>
      </c>
    </row>
    <row r="1333" spans="2:17" x14ac:dyDescent="0.25">
      <c r="B1333" t="s">
        <v>78</v>
      </c>
      <c r="C1333" t="s">
        <v>79</v>
      </c>
      <c r="D1333" t="s">
        <v>2453</v>
      </c>
      <c r="E1333" t="s">
        <v>2454</v>
      </c>
      <c r="F1333">
        <v>34.1</v>
      </c>
      <c r="G1333">
        <v>34.049999999999997</v>
      </c>
      <c r="H1333">
        <v>34.049999999999997</v>
      </c>
      <c r="I1333">
        <v>30.3</v>
      </c>
      <c r="J1333" s="1">
        <v>31.2</v>
      </c>
      <c r="K1333">
        <v>1171284.8</v>
      </c>
      <c r="L1333">
        <v>37122</v>
      </c>
      <c r="M1333" t="s">
        <v>78</v>
      </c>
      <c r="N1333" t="s">
        <v>17</v>
      </c>
      <c r="O1333">
        <v>627</v>
      </c>
      <c r="P1333">
        <v>86.9</v>
      </c>
      <c r="Q1333">
        <v>30.3</v>
      </c>
    </row>
    <row r="1334" spans="2:17" x14ac:dyDescent="0.25">
      <c r="B1334" t="s">
        <v>78</v>
      </c>
      <c r="C1334" t="s">
        <v>79</v>
      </c>
      <c r="D1334" t="s">
        <v>2459</v>
      </c>
      <c r="E1334" t="s">
        <v>2460</v>
      </c>
      <c r="F1334">
        <v>654.35</v>
      </c>
      <c r="G1334">
        <v>652</v>
      </c>
      <c r="H1334">
        <v>660.95</v>
      </c>
      <c r="I1334">
        <v>641.6</v>
      </c>
      <c r="J1334" s="1">
        <v>643.20000000000005</v>
      </c>
      <c r="K1334">
        <v>1386825.4</v>
      </c>
      <c r="L1334">
        <v>2143</v>
      </c>
      <c r="M1334" t="s">
        <v>78</v>
      </c>
      <c r="N1334" t="s">
        <v>17</v>
      </c>
      <c r="O1334">
        <v>276</v>
      </c>
      <c r="P1334">
        <v>909.95</v>
      </c>
      <c r="Q1334">
        <v>518</v>
      </c>
    </row>
    <row r="1335" spans="2:17" x14ac:dyDescent="0.25">
      <c r="B1335" t="s">
        <v>78</v>
      </c>
      <c r="C1335" t="s">
        <v>79</v>
      </c>
      <c r="D1335" t="s">
        <v>2461</v>
      </c>
      <c r="E1335" t="s">
        <v>2462</v>
      </c>
      <c r="F1335">
        <v>374.65</v>
      </c>
      <c r="G1335">
        <v>374.65</v>
      </c>
      <c r="H1335">
        <v>382.75</v>
      </c>
      <c r="I1335">
        <v>368.15</v>
      </c>
      <c r="J1335" s="1">
        <v>374</v>
      </c>
      <c r="K1335">
        <v>294923.25</v>
      </c>
      <c r="L1335">
        <v>787</v>
      </c>
      <c r="M1335" t="s">
        <v>78</v>
      </c>
      <c r="N1335" t="s">
        <v>17</v>
      </c>
      <c r="O1335">
        <v>65</v>
      </c>
      <c r="P1335">
        <v>840</v>
      </c>
      <c r="Q1335">
        <v>286.05</v>
      </c>
    </row>
    <row r="1336" spans="2:17" x14ac:dyDescent="0.25">
      <c r="B1336" t="s">
        <v>78</v>
      </c>
      <c r="C1336" t="s">
        <v>79</v>
      </c>
      <c r="D1336" t="s">
        <v>2463</v>
      </c>
      <c r="E1336" t="s">
        <v>2464</v>
      </c>
      <c r="F1336">
        <v>46.5</v>
      </c>
      <c r="G1336">
        <v>47.8</v>
      </c>
      <c r="H1336">
        <v>49.7</v>
      </c>
      <c r="I1336">
        <v>47.2</v>
      </c>
      <c r="J1336" s="1">
        <v>49.2</v>
      </c>
      <c r="K1336">
        <v>2747134.05</v>
      </c>
      <c r="L1336">
        <v>56333</v>
      </c>
      <c r="M1336" t="s">
        <v>78</v>
      </c>
      <c r="N1336" t="s">
        <v>17</v>
      </c>
      <c r="O1336">
        <v>526</v>
      </c>
      <c r="P1336">
        <v>91.5</v>
      </c>
      <c r="Q1336">
        <v>45.3</v>
      </c>
    </row>
    <row r="1337" spans="2:17" x14ac:dyDescent="0.25">
      <c r="B1337" t="s">
        <v>78</v>
      </c>
      <c r="C1337" t="s">
        <v>79</v>
      </c>
      <c r="D1337" t="s">
        <v>2465</v>
      </c>
      <c r="E1337" t="s">
        <v>2466</v>
      </c>
      <c r="F1337">
        <v>32.299999999999997</v>
      </c>
      <c r="G1337">
        <v>32.4</v>
      </c>
      <c r="H1337">
        <v>32.549999999999997</v>
      </c>
      <c r="I1337">
        <v>31.05</v>
      </c>
      <c r="J1337" s="1">
        <v>31.2</v>
      </c>
      <c r="K1337">
        <v>3975071</v>
      </c>
      <c r="L1337">
        <v>125729</v>
      </c>
      <c r="M1337" t="s">
        <v>78</v>
      </c>
      <c r="N1337" t="s">
        <v>17</v>
      </c>
      <c r="O1337">
        <v>1554</v>
      </c>
      <c r="P1337">
        <v>49.4</v>
      </c>
      <c r="Q1337">
        <v>28.95</v>
      </c>
    </row>
    <row r="1338" spans="2:17" x14ac:dyDescent="0.25">
      <c r="B1338" t="s">
        <v>78</v>
      </c>
      <c r="C1338" t="s">
        <v>79</v>
      </c>
      <c r="D1338" t="s">
        <v>2467</v>
      </c>
      <c r="E1338" t="s">
        <v>2468</v>
      </c>
      <c r="F1338">
        <v>560.35</v>
      </c>
      <c r="G1338">
        <v>562</v>
      </c>
      <c r="H1338">
        <v>571.85</v>
      </c>
      <c r="I1338">
        <v>550</v>
      </c>
      <c r="J1338" s="1">
        <v>554.04999999999995</v>
      </c>
      <c r="K1338">
        <v>99233609.75</v>
      </c>
      <c r="L1338">
        <v>178751</v>
      </c>
      <c r="M1338" t="s">
        <v>78</v>
      </c>
      <c r="N1338" t="s">
        <v>17</v>
      </c>
      <c r="O1338">
        <v>10476</v>
      </c>
      <c r="P1338">
        <v>588</v>
      </c>
      <c r="Q1338">
        <v>380.3</v>
      </c>
    </row>
    <row r="1339" spans="2:17" x14ac:dyDescent="0.25">
      <c r="B1339" t="s">
        <v>78</v>
      </c>
      <c r="C1339" t="s">
        <v>287</v>
      </c>
      <c r="D1339" t="s">
        <v>5398</v>
      </c>
      <c r="E1339" t="s">
        <v>6659</v>
      </c>
      <c r="F1339">
        <v>57</v>
      </c>
      <c r="G1339">
        <v>54.15</v>
      </c>
      <c r="H1339">
        <v>54.15</v>
      </c>
      <c r="I1339">
        <v>54.15</v>
      </c>
      <c r="J1339" s="1">
        <v>54.15</v>
      </c>
      <c r="K1339">
        <v>86640</v>
      </c>
      <c r="L1339">
        <v>1600</v>
      </c>
      <c r="M1339" t="s">
        <v>78</v>
      </c>
      <c r="N1339" t="s">
        <v>17</v>
      </c>
      <c r="O1339">
        <v>1</v>
      </c>
      <c r="P1339">
        <v>67.900000000000006</v>
      </c>
      <c r="Q1339">
        <v>32.1</v>
      </c>
    </row>
    <row r="1340" spans="2:17" x14ac:dyDescent="0.25">
      <c r="B1340" t="s">
        <v>78</v>
      </c>
      <c r="C1340" t="s">
        <v>79</v>
      </c>
      <c r="D1340" t="s">
        <v>2469</v>
      </c>
      <c r="E1340" t="s">
        <v>2470</v>
      </c>
      <c r="F1340">
        <v>405.7</v>
      </c>
      <c r="G1340">
        <v>414.9</v>
      </c>
      <c r="H1340">
        <v>414.9</v>
      </c>
      <c r="I1340">
        <v>388.7</v>
      </c>
      <c r="J1340" s="1">
        <v>402.7</v>
      </c>
      <c r="K1340">
        <v>10786000.050000001</v>
      </c>
      <c r="L1340">
        <v>27240</v>
      </c>
      <c r="M1340" t="s">
        <v>78</v>
      </c>
      <c r="N1340" t="s">
        <v>17</v>
      </c>
      <c r="O1340">
        <v>1642</v>
      </c>
      <c r="P1340">
        <v>489.95</v>
      </c>
      <c r="Q1340">
        <v>149.55000000000001</v>
      </c>
    </row>
    <row r="1341" spans="2:17" x14ac:dyDescent="0.25">
      <c r="B1341" t="s">
        <v>78</v>
      </c>
      <c r="C1341" t="s">
        <v>79</v>
      </c>
      <c r="D1341" t="s">
        <v>2471</v>
      </c>
      <c r="E1341" t="s">
        <v>2472</v>
      </c>
      <c r="F1341">
        <v>1170.05</v>
      </c>
      <c r="G1341">
        <v>1170</v>
      </c>
      <c r="H1341">
        <v>1175</v>
      </c>
      <c r="I1341">
        <v>1151.9000000000001</v>
      </c>
      <c r="J1341" s="1">
        <v>1166.45</v>
      </c>
      <c r="K1341">
        <v>2348913.5499999998</v>
      </c>
      <c r="L1341">
        <v>2016</v>
      </c>
      <c r="M1341" t="s">
        <v>78</v>
      </c>
      <c r="N1341" t="s">
        <v>17</v>
      </c>
      <c r="O1341">
        <v>597</v>
      </c>
      <c r="P1341">
        <v>1311</v>
      </c>
      <c r="Q1341">
        <v>924.3</v>
      </c>
    </row>
    <row r="1342" spans="2:17" x14ac:dyDescent="0.25">
      <c r="B1342" t="s">
        <v>78</v>
      </c>
      <c r="C1342" t="s">
        <v>287</v>
      </c>
      <c r="D1342" t="s">
        <v>2473</v>
      </c>
      <c r="E1342" t="s">
        <v>2474</v>
      </c>
      <c r="F1342">
        <v>23.1</v>
      </c>
      <c r="G1342">
        <v>25.3</v>
      </c>
      <c r="H1342">
        <v>25.3</v>
      </c>
      <c r="I1342">
        <v>25.3</v>
      </c>
      <c r="J1342" s="1">
        <v>25.3</v>
      </c>
      <c r="K1342">
        <v>50600</v>
      </c>
      <c r="L1342">
        <v>2000</v>
      </c>
      <c r="M1342" t="s">
        <v>78</v>
      </c>
      <c r="N1342" t="s">
        <v>17</v>
      </c>
      <c r="O1342">
        <v>1</v>
      </c>
      <c r="P1342">
        <v>42</v>
      </c>
      <c r="Q1342">
        <v>23.1</v>
      </c>
    </row>
    <row r="1343" spans="2:17" x14ac:dyDescent="0.25">
      <c r="B1343" t="s">
        <v>78</v>
      </c>
      <c r="C1343" t="s">
        <v>79</v>
      </c>
      <c r="D1343" t="s">
        <v>3471</v>
      </c>
      <c r="E1343" t="s">
        <v>3472</v>
      </c>
      <c r="F1343">
        <v>425.15</v>
      </c>
      <c r="G1343">
        <v>416.6</v>
      </c>
      <c r="H1343">
        <v>427.05</v>
      </c>
      <c r="I1343">
        <v>416.6</v>
      </c>
      <c r="J1343" s="1">
        <v>421.75</v>
      </c>
      <c r="K1343">
        <v>3346438.55</v>
      </c>
      <c r="L1343">
        <v>7931</v>
      </c>
      <c r="M1343" t="s">
        <v>78</v>
      </c>
      <c r="N1343" t="s">
        <v>17</v>
      </c>
      <c r="O1343">
        <v>701</v>
      </c>
      <c r="P1343">
        <v>559.95000000000005</v>
      </c>
      <c r="Q1343">
        <v>270.10000000000002</v>
      </c>
    </row>
    <row r="1344" spans="2:17" x14ac:dyDescent="0.25">
      <c r="B1344" t="s">
        <v>78</v>
      </c>
      <c r="C1344" t="s">
        <v>79</v>
      </c>
      <c r="D1344" t="s">
        <v>2475</v>
      </c>
      <c r="E1344" t="s">
        <v>2476</v>
      </c>
      <c r="F1344">
        <v>14.7</v>
      </c>
      <c r="G1344">
        <v>14.7</v>
      </c>
      <c r="H1344">
        <v>14.7</v>
      </c>
      <c r="I1344">
        <v>13.4</v>
      </c>
      <c r="J1344" s="1">
        <v>13.85</v>
      </c>
      <c r="K1344">
        <v>43476.2</v>
      </c>
      <c r="L1344">
        <v>3149</v>
      </c>
      <c r="M1344" t="s">
        <v>78</v>
      </c>
      <c r="N1344" t="s">
        <v>17</v>
      </c>
      <c r="O1344">
        <v>40</v>
      </c>
      <c r="P1344">
        <v>48.75</v>
      </c>
      <c r="Q1344">
        <v>13.4</v>
      </c>
    </row>
    <row r="1345" spans="2:17" x14ac:dyDescent="0.25">
      <c r="B1345" t="s">
        <v>78</v>
      </c>
      <c r="C1345" t="s">
        <v>287</v>
      </c>
      <c r="D1345" t="s">
        <v>2479</v>
      </c>
      <c r="E1345" t="s">
        <v>2480</v>
      </c>
      <c r="F1345">
        <v>41.4</v>
      </c>
      <c r="G1345">
        <v>40.5</v>
      </c>
      <c r="H1345">
        <v>40.5</v>
      </c>
      <c r="I1345">
        <v>38</v>
      </c>
      <c r="J1345" s="1">
        <v>38</v>
      </c>
      <c r="K1345">
        <v>235500</v>
      </c>
      <c r="L1345">
        <v>6000</v>
      </c>
      <c r="M1345" t="s">
        <v>78</v>
      </c>
      <c r="N1345" t="s">
        <v>17</v>
      </c>
      <c r="O1345">
        <v>2</v>
      </c>
      <c r="P1345">
        <v>41.95</v>
      </c>
      <c r="Q1345">
        <v>36.1</v>
      </c>
    </row>
    <row r="1346" spans="2:17" x14ac:dyDescent="0.25">
      <c r="B1346" t="s">
        <v>78</v>
      </c>
      <c r="C1346" t="s">
        <v>79</v>
      </c>
      <c r="D1346" t="s">
        <v>2481</v>
      </c>
      <c r="E1346" t="s">
        <v>2482</v>
      </c>
      <c r="F1346">
        <v>351.1</v>
      </c>
      <c r="G1346">
        <v>351.05</v>
      </c>
      <c r="H1346">
        <v>351.2</v>
      </c>
      <c r="I1346">
        <v>340.1</v>
      </c>
      <c r="J1346" s="1">
        <v>342.15</v>
      </c>
      <c r="K1346">
        <v>17418494.600000001</v>
      </c>
      <c r="L1346">
        <v>50441</v>
      </c>
      <c r="M1346" t="s">
        <v>78</v>
      </c>
      <c r="N1346" t="s">
        <v>17</v>
      </c>
      <c r="O1346">
        <v>4552</v>
      </c>
      <c r="P1346">
        <v>428.6</v>
      </c>
      <c r="Q1346">
        <v>265</v>
      </c>
    </row>
    <row r="1347" spans="2:17" x14ac:dyDescent="0.25">
      <c r="B1347" t="s">
        <v>78</v>
      </c>
      <c r="C1347" t="s">
        <v>287</v>
      </c>
      <c r="D1347" t="s">
        <v>6658</v>
      </c>
      <c r="E1347" t="s">
        <v>6657</v>
      </c>
      <c r="F1347">
        <v>24.9</v>
      </c>
      <c r="G1347">
        <v>22.6</v>
      </c>
      <c r="H1347">
        <v>22.6</v>
      </c>
      <c r="I1347">
        <v>22.6</v>
      </c>
      <c r="J1347" s="1">
        <v>22.6</v>
      </c>
      <c r="K1347">
        <v>135600</v>
      </c>
      <c r="L1347">
        <v>6000</v>
      </c>
      <c r="M1347" t="s">
        <v>78</v>
      </c>
      <c r="N1347" t="s">
        <v>17</v>
      </c>
      <c r="O1347">
        <v>1</v>
      </c>
      <c r="P1347">
        <v>25.4</v>
      </c>
      <c r="Q1347">
        <v>15.95</v>
      </c>
    </row>
    <row r="1348" spans="2:17" x14ac:dyDescent="0.25">
      <c r="B1348" t="s">
        <v>78</v>
      </c>
      <c r="C1348" t="s">
        <v>79</v>
      </c>
      <c r="D1348" t="s">
        <v>2483</v>
      </c>
      <c r="E1348" t="s">
        <v>2484</v>
      </c>
      <c r="F1348">
        <v>149</v>
      </c>
      <c r="G1348">
        <v>147.30000000000001</v>
      </c>
      <c r="H1348">
        <v>153.69999999999999</v>
      </c>
      <c r="I1348">
        <v>145.15</v>
      </c>
      <c r="J1348" s="1">
        <v>146.4</v>
      </c>
      <c r="K1348">
        <v>5658442.0999999996</v>
      </c>
      <c r="L1348">
        <v>38296</v>
      </c>
      <c r="M1348" t="s">
        <v>78</v>
      </c>
      <c r="N1348" t="s">
        <v>17</v>
      </c>
      <c r="O1348">
        <v>962</v>
      </c>
      <c r="P1348">
        <v>890.15</v>
      </c>
      <c r="Q1348">
        <v>145.15</v>
      </c>
    </row>
    <row r="1349" spans="2:17" x14ac:dyDescent="0.25">
      <c r="B1349" t="s">
        <v>78</v>
      </c>
      <c r="C1349" t="s">
        <v>79</v>
      </c>
      <c r="D1349" t="s">
        <v>2485</v>
      </c>
      <c r="E1349" t="s">
        <v>2486</v>
      </c>
      <c r="F1349">
        <v>1009.55</v>
      </c>
      <c r="G1349">
        <v>1023</v>
      </c>
      <c r="H1349">
        <v>1023.95</v>
      </c>
      <c r="I1349">
        <v>975</v>
      </c>
      <c r="J1349" s="1">
        <v>994.7</v>
      </c>
      <c r="K1349">
        <v>2366419.9500000002</v>
      </c>
      <c r="L1349">
        <v>2367</v>
      </c>
      <c r="M1349" t="s">
        <v>78</v>
      </c>
      <c r="N1349" t="s">
        <v>17</v>
      </c>
      <c r="O1349">
        <v>325</v>
      </c>
      <c r="P1349">
        <v>1389</v>
      </c>
      <c r="Q1349">
        <v>890</v>
      </c>
    </row>
    <row r="1350" spans="2:17" x14ac:dyDescent="0.25">
      <c r="B1350" t="s">
        <v>78</v>
      </c>
      <c r="C1350" t="s">
        <v>79</v>
      </c>
      <c r="D1350" t="s">
        <v>2487</v>
      </c>
      <c r="E1350" t="s">
        <v>2488</v>
      </c>
      <c r="F1350">
        <v>13</v>
      </c>
      <c r="G1350">
        <v>13.05</v>
      </c>
      <c r="H1350">
        <v>13.1</v>
      </c>
      <c r="I1350">
        <v>12.6</v>
      </c>
      <c r="J1350" s="1">
        <v>12.7</v>
      </c>
      <c r="K1350">
        <v>84573916.299999997</v>
      </c>
      <c r="L1350">
        <v>6622396</v>
      </c>
      <c r="M1350" t="s">
        <v>78</v>
      </c>
      <c r="N1350" t="s">
        <v>17</v>
      </c>
      <c r="O1350">
        <v>6352</v>
      </c>
      <c r="P1350">
        <v>22.9</v>
      </c>
      <c r="Q1350">
        <v>12.4</v>
      </c>
    </row>
    <row r="1351" spans="2:17" x14ac:dyDescent="0.25">
      <c r="B1351" t="s">
        <v>78</v>
      </c>
      <c r="C1351" t="s">
        <v>79</v>
      </c>
      <c r="D1351" t="s">
        <v>2491</v>
      </c>
      <c r="E1351" t="s">
        <v>2492</v>
      </c>
      <c r="F1351">
        <v>266.5</v>
      </c>
      <c r="G1351">
        <v>262.2</v>
      </c>
      <c r="H1351">
        <v>267</v>
      </c>
      <c r="I1351">
        <v>247.25</v>
      </c>
      <c r="J1351" s="1">
        <v>250.3</v>
      </c>
      <c r="K1351">
        <v>28471191.550000001</v>
      </c>
      <c r="L1351">
        <v>113750</v>
      </c>
      <c r="M1351" t="s">
        <v>78</v>
      </c>
      <c r="N1351" t="s">
        <v>17</v>
      </c>
      <c r="O1351">
        <v>475</v>
      </c>
      <c r="P1351">
        <v>354.8</v>
      </c>
      <c r="Q1351">
        <v>201</v>
      </c>
    </row>
    <row r="1352" spans="2:17" x14ac:dyDescent="0.25">
      <c r="B1352" t="s">
        <v>78</v>
      </c>
      <c r="C1352" t="s">
        <v>79</v>
      </c>
      <c r="D1352" t="s">
        <v>2495</v>
      </c>
      <c r="E1352" t="s">
        <v>2496</v>
      </c>
      <c r="F1352">
        <v>154.85</v>
      </c>
      <c r="G1352">
        <v>154.5</v>
      </c>
      <c r="H1352">
        <v>157.5</v>
      </c>
      <c r="I1352">
        <v>149.55000000000001</v>
      </c>
      <c r="J1352" s="1">
        <v>151.19999999999999</v>
      </c>
      <c r="K1352">
        <v>416287876.55000001</v>
      </c>
      <c r="L1352">
        <v>2710105</v>
      </c>
      <c r="M1352" t="s">
        <v>78</v>
      </c>
      <c r="N1352" t="s">
        <v>17</v>
      </c>
      <c r="O1352">
        <v>28154</v>
      </c>
      <c r="P1352">
        <v>414</v>
      </c>
      <c r="Q1352">
        <v>112.3</v>
      </c>
    </row>
    <row r="1353" spans="2:17" x14ac:dyDescent="0.25">
      <c r="B1353" t="s">
        <v>78</v>
      </c>
      <c r="C1353" t="s">
        <v>79</v>
      </c>
      <c r="D1353" t="s">
        <v>2497</v>
      </c>
      <c r="E1353" t="s">
        <v>2498</v>
      </c>
      <c r="F1353">
        <v>80.400000000000006</v>
      </c>
      <c r="G1353">
        <v>80.45</v>
      </c>
      <c r="H1353">
        <v>81.400000000000006</v>
      </c>
      <c r="I1353">
        <v>75.099999999999994</v>
      </c>
      <c r="J1353" s="1">
        <v>75.95</v>
      </c>
      <c r="K1353">
        <v>1835252.45</v>
      </c>
      <c r="L1353">
        <v>23419</v>
      </c>
      <c r="M1353" t="s">
        <v>78</v>
      </c>
      <c r="N1353" t="s">
        <v>17</v>
      </c>
      <c r="O1353">
        <v>421</v>
      </c>
      <c r="P1353">
        <v>124</v>
      </c>
      <c r="Q1353">
        <v>63.75</v>
      </c>
    </row>
    <row r="1354" spans="2:17" x14ac:dyDescent="0.25">
      <c r="B1354" t="s">
        <v>78</v>
      </c>
      <c r="C1354" t="s">
        <v>79</v>
      </c>
      <c r="D1354" t="s">
        <v>2499</v>
      </c>
      <c r="E1354" t="s">
        <v>2500</v>
      </c>
      <c r="F1354">
        <v>86.15</v>
      </c>
      <c r="G1354">
        <v>87.35</v>
      </c>
      <c r="H1354">
        <v>87.9</v>
      </c>
      <c r="I1354">
        <v>81.05</v>
      </c>
      <c r="J1354" s="1">
        <v>82.4</v>
      </c>
      <c r="K1354">
        <v>9915125.75</v>
      </c>
      <c r="L1354">
        <v>118946</v>
      </c>
      <c r="M1354" t="s">
        <v>78</v>
      </c>
      <c r="N1354" t="s">
        <v>17</v>
      </c>
      <c r="O1354">
        <v>1226</v>
      </c>
      <c r="P1354">
        <v>225</v>
      </c>
      <c r="Q1354">
        <v>81.05</v>
      </c>
    </row>
    <row r="1355" spans="2:17" x14ac:dyDescent="0.25">
      <c r="B1355" t="s">
        <v>78</v>
      </c>
      <c r="C1355" t="s">
        <v>79</v>
      </c>
      <c r="D1355" t="s">
        <v>2501</v>
      </c>
      <c r="E1355" t="s">
        <v>2502</v>
      </c>
      <c r="F1355">
        <v>20.6</v>
      </c>
      <c r="G1355">
        <v>20.6</v>
      </c>
      <c r="H1355">
        <v>20.85</v>
      </c>
      <c r="I1355">
        <v>20.100000000000001</v>
      </c>
      <c r="J1355" s="1">
        <v>20.350000000000001</v>
      </c>
      <c r="K1355">
        <v>738718.5</v>
      </c>
      <c r="L1355">
        <v>36296</v>
      </c>
      <c r="M1355" t="s">
        <v>78</v>
      </c>
      <c r="N1355" t="s">
        <v>17</v>
      </c>
      <c r="O1355">
        <v>173</v>
      </c>
      <c r="P1355">
        <v>35.4</v>
      </c>
      <c r="Q1355">
        <v>20.100000000000001</v>
      </c>
    </row>
    <row r="1356" spans="2:17" x14ac:dyDescent="0.25">
      <c r="B1356" t="s">
        <v>78</v>
      </c>
      <c r="C1356" t="s">
        <v>79</v>
      </c>
      <c r="D1356" t="s">
        <v>2505</v>
      </c>
      <c r="E1356" t="s">
        <v>2506</v>
      </c>
      <c r="F1356">
        <v>38.15</v>
      </c>
      <c r="G1356">
        <v>38.700000000000003</v>
      </c>
      <c r="H1356">
        <v>38.700000000000003</v>
      </c>
      <c r="I1356">
        <v>37.1</v>
      </c>
      <c r="J1356" s="1">
        <v>37.200000000000003</v>
      </c>
      <c r="K1356">
        <v>789956.05</v>
      </c>
      <c r="L1356">
        <v>20936</v>
      </c>
      <c r="M1356" t="s">
        <v>78</v>
      </c>
      <c r="N1356" t="s">
        <v>17</v>
      </c>
      <c r="O1356">
        <v>266</v>
      </c>
      <c r="P1356">
        <v>74</v>
      </c>
      <c r="Q1356">
        <v>23.05</v>
      </c>
    </row>
    <row r="1357" spans="2:17" x14ac:dyDescent="0.25">
      <c r="B1357" t="s">
        <v>78</v>
      </c>
      <c r="C1357" t="s">
        <v>79</v>
      </c>
      <c r="D1357" t="s">
        <v>3477</v>
      </c>
      <c r="E1357" t="s">
        <v>3478</v>
      </c>
      <c r="F1357">
        <v>16.2</v>
      </c>
      <c r="G1357">
        <v>15.8</v>
      </c>
      <c r="H1357">
        <v>16.75</v>
      </c>
      <c r="I1357">
        <v>15.65</v>
      </c>
      <c r="J1357" s="1">
        <v>15.75</v>
      </c>
      <c r="K1357">
        <v>295381.75</v>
      </c>
      <c r="L1357">
        <v>18363</v>
      </c>
      <c r="M1357" t="s">
        <v>78</v>
      </c>
      <c r="N1357" t="s">
        <v>17</v>
      </c>
      <c r="O1357">
        <v>263</v>
      </c>
      <c r="P1357">
        <v>104.8</v>
      </c>
      <c r="Q1357">
        <v>14.4</v>
      </c>
    </row>
    <row r="1358" spans="2:17" x14ac:dyDescent="0.25">
      <c r="B1358" t="s">
        <v>78</v>
      </c>
      <c r="C1358" t="s">
        <v>79</v>
      </c>
      <c r="D1358" t="s">
        <v>3479</v>
      </c>
      <c r="E1358" t="s">
        <v>3480</v>
      </c>
      <c r="F1358">
        <v>6</v>
      </c>
      <c r="G1358">
        <v>5.95</v>
      </c>
      <c r="H1358">
        <v>6.05</v>
      </c>
      <c r="I1358">
        <v>5.7</v>
      </c>
      <c r="J1358" s="1">
        <v>5.7</v>
      </c>
      <c r="K1358">
        <v>5554576.9500000002</v>
      </c>
      <c r="L1358">
        <v>963480</v>
      </c>
      <c r="M1358" t="s">
        <v>78</v>
      </c>
      <c r="N1358" t="s">
        <v>17</v>
      </c>
      <c r="O1358">
        <v>1581</v>
      </c>
      <c r="P1358">
        <v>44.35</v>
      </c>
      <c r="Q1358">
        <v>5.7</v>
      </c>
    </row>
    <row r="1359" spans="2:17" x14ac:dyDescent="0.25">
      <c r="B1359" t="s">
        <v>78</v>
      </c>
      <c r="C1359" t="s">
        <v>79</v>
      </c>
      <c r="D1359" t="s">
        <v>2507</v>
      </c>
      <c r="E1359" t="s">
        <v>2508</v>
      </c>
      <c r="F1359">
        <v>167.6</v>
      </c>
      <c r="G1359">
        <v>167.8</v>
      </c>
      <c r="H1359">
        <v>169.4</v>
      </c>
      <c r="I1359">
        <v>165</v>
      </c>
      <c r="J1359" s="1">
        <v>166.65</v>
      </c>
      <c r="K1359">
        <v>762587.85</v>
      </c>
      <c r="L1359">
        <v>4581</v>
      </c>
      <c r="M1359" t="s">
        <v>78</v>
      </c>
      <c r="N1359" t="s">
        <v>17</v>
      </c>
      <c r="O1359">
        <v>170</v>
      </c>
      <c r="P1359">
        <v>294</v>
      </c>
      <c r="Q1359">
        <v>156.35</v>
      </c>
    </row>
    <row r="1360" spans="2:17" x14ac:dyDescent="0.25">
      <c r="B1360" t="s">
        <v>78</v>
      </c>
      <c r="C1360" t="s">
        <v>79</v>
      </c>
      <c r="D1360" t="s">
        <v>2509</v>
      </c>
      <c r="E1360" t="s">
        <v>2510</v>
      </c>
      <c r="F1360">
        <v>16.2</v>
      </c>
      <c r="G1360">
        <v>16.5</v>
      </c>
      <c r="H1360">
        <v>16.600000000000001</v>
      </c>
      <c r="I1360">
        <v>15.7</v>
      </c>
      <c r="J1360" s="1">
        <v>15.75</v>
      </c>
      <c r="K1360">
        <v>4003615.25</v>
      </c>
      <c r="L1360">
        <v>250384</v>
      </c>
      <c r="M1360" t="s">
        <v>78</v>
      </c>
      <c r="N1360" t="s">
        <v>17</v>
      </c>
      <c r="O1360">
        <v>905</v>
      </c>
      <c r="P1360">
        <v>63.35</v>
      </c>
      <c r="Q1360">
        <v>14.35</v>
      </c>
    </row>
    <row r="1361" spans="2:17" x14ac:dyDescent="0.25">
      <c r="B1361" t="s">
        <v>78</v>
      </c>
      <c r="C1361" t="s">
        <v>79</v>
      </c>
      <c r="D1361" t="s">
        <v>2511</v>
      </c>
      <c r="E1361" t="s">
        <v>2512</v>
      </c>
      <c r="F1361">
        <v>2643.9</v>
      </c>
      <c r="G1361">
        <v>2670</v>
      </c>
      <c r="H1361">
        <v>2701</v>
      </c>
      <c r="I1361">
        <v>2640.25</v>
      </c>
      <c r="J1361" s="1">
        <v>2673.4</v>
      </c>
      <c r="K1361">
        <v>1041755194.35</v>
      </c>
      <c r="L1361">
        <v>389319</v>
      </c>
      <c r="M1361" t="s">
        <v>78</v>
      </c>
      <c r="N1361" t="s">
        <v>17</v>
      </c>
      <c r="O1361">
        <v>23170</v>
      </c>
      <c r="P1361">
        <v>3086.1</v>
      </c>
      <c r="Q1361">
        <v>1530.05</v>
      </c>
    </row>
    <row r="1362" spans="2:17" x14ac:dyDescent="0.25">
      <c r="B1362" t="s">
        <v>78</v>
      </c>
      <c r="C1362" t="s">
        <v>79</v>
      </c>
      <c r="D1362" t="s">
        <v>2513</v>
      </c>
      <c r="E1362" t="s">
        <v>2514</v>
      </c>
      <c r="F1362">
        <v>100.8</v>
      </c>
      <c r="G1362">
        <v>101</v>
      </c>
      <c r="H1362">
        <v>104.4</v>
      </c>
      <c r="I1362">
        <v>96</v>
      </c>
      <c r="J1362" s="1">
        <v>97.3</v>
      </c>
      <c r="K1362">
        <v>666780.5</v>
      </c>
      <c r="L1362">
        <v>6652</v>
      </c>
      <c r="M1362" t="s">
        <v>78</v>
      </c>
      <c r="N1362" t="s">
        <v>17</v>
      </c>
      <c r="O1362">
        <v>177</v>
      </c>
      <c r="P1362">
        <v>214</v>
      </c>
      <c r="Q1362">
        <v>96</v>
      </c>
    </row>
    <row r="1363" spans="2:17" x14ac:dyDescent="0.25">
      <c r="B1363" t="s">
        <v>78</v>
      </c>
      <c r="C1363" t="s">
        <v>79</v>
      </c>
      <c r="D1363" t="s">
        <v>2515</v>
      </c>
      <c r="E1363" t="s">
        <v>2516</v>
      </c>
      <c r="F1363">
        <v>176</v>
      </c>
      <c r="G1363">
        <v>176</v>
      </c>
      <c r="H1363">
        <v>179</v>
      </c>
      <c r="I1363">
        <v>168.6</v>
      </c>
      <c r="J1363" s="1">
        <v>170.15</v>
      </c>
      <c r="K1363">
        <v>9911964.8000000007</v>
      </c>
      <c r="L1363">
        <v>57352</v>
      </c>
      <c r="M1363" t="s">
        <v>78</v>
      </c>
      <c r="N1363" t="s">
        <v>17</v>
      </c>
      <c r="O1363">
        <v>1627</v>
      </c>
      <c r="P1363">
        <v>261.8</v>
      </c>
      <c r="Q1363">
        <v>157</v>
      </c>
    </row>
    <row r="1364" spans="2:17" x14ac:dyDescent="0.25">
      <c r="B1364" t="s">
        <v>78</v>
      </c>
      <c r="C1364" t="s">
        <v>287</v>
      </c>
      <c r="D1364" t="s">
        <v>2519</v>
      </c>
      <c r="E1364" t="s">
        <v>2520</v>
      </c>
      <c r="F1364">
        <v>10</v>
      </c>
      <c r="G1364">
        <v>9.5</v>
      </c>
      <c r="H1364">
        <v>10.5</v>
      </c>
      <c r="I1364">
        <v>9.5</v>
      </c>
      <c r="J1364" s="1">
        <v>9.9</v>
      </c>
      <c r="K1364">
        <v>469050</v>
      </c>
      <c r="L1364">
        <v>48000</v>
      </c>
      <c r="M1364" t="s">
        <v>78</v>
      </c>
      <c r="N1364" t="s">
        <v>17</v>
      </c>
      <c r="O1364">
        <v>14</v>
      </c>
      <c r="P1364">
        <v>27</v>
      </c>
      <c r="Q1364">
        <v>9.5</v>
      </c>
    </row>
    <row r="1365" spans="2:17" x14ac:dyDescent="0.25">
      <c r="B1365" t="s">
        <v>78</v>
      </c>
      <c r="C1365" t="s">
        <v>79</v>
      </c>
      <c r="D1365" t="s">
        <v>2521</v>
      </c>
      <c r="E1365" t="s">
        <v>2522</v>
      </c>
      <c r="F1365">
        <v>782.3</v>
      </c>
      <c r="G1365">
        <v>779.4</v>
      </c>
      <c r="H1365">
        <v>789.6</v>
      </c>
      <c r="I1365">
        <v>767</v>
      </c>
      <c r="J1365" s="1">
        <v>783.35</v>
      </c>
      <c r="K1365">
        <v>12480092.449999999</v>
      </c>
      <c r="L1365">
        <v>15985</v>
      </c>
      <c r="M1365" t="s">
        <v>78</v>
      </c>
      <c r="N1365" t="s">
        <v>17</v>
      </c>
      <c r="O1365">
        <v>647</v>
      </c>
      <c r="P1365">
        <v>1304.5</v>
      </c>
      <c r="Q1365">
        <v>722</v>
      </c>
    </row>
    <row r="1366" spans="2:17" x14ac:dyDescent="0.25">
      <c r="B1366" t="s">
        <v>78</v>
      </c>
      <c r="C1366" t="s">
        <v>79</v>
      </c>
      <c r="D1366" t="s">
        <v>3485</v>
      </c>
      <c r="E1366" t="s">
        <v>3486</v>
      </c>
      <c r="F1366">
        <v>0.8</v>
      </c>
      <c r="G1366">
        <v>0.8</v>
      </c>
      <c r="H1366">
        <v>0.8</v>
      </c>
      <c r="I1366">
        <v>0.75</v>
      </c>
      <c r="J1366" s="1">
        <v>0.75</v>
      </c>
      <c r="K1366">
        <v>131699.54999999999</v>
      </c>
      <c r="L1366">
        <v>175366</v>
      </c>
      <c r="M1366" t="s">
        <v>78</v>
      </c>
      <c r="N1366" t="s">
        <v>17</v>
      </c>
      <c r="O1366">
        <v>57</v>
      </c>
      <c r="P1366">
        <v>3.95</v>
      </c>
      <c r="Q1366">
        <v>0.7</v>
      </c>
    </row>
    <row r="1367" spans="2:17" x14ac:dyDescent="0.25">
      <c r="B1367" t="s">
        <v>78</v>
      </c>
      <c r="C1367" t="s">
        <v>79</v>
      </c>
      <c r="D1367" t="s">
        <v>2523</v>
      </c>
      <c r="E1367" t="s">
        <v>2524</v>
      </c>
      <c r="F1367">
        <v>362.5</v>
      </c>
      <c r="G1367">
        <v>362.3</v>
      </c>
      <c r="H1367">
        <v>366.55</v>
      </c>
      <c r="I1367">
        <v>346.7</v>
      </c>
      <c r="J1367" s="1">
        <v>347.95</v>
      </c>
      <c r="K1367">
        <v>393433610.30000001</v>
      </c>
      <c r="L1367">
        <v>1107710</v>
      </c>
      <c r="M1367" t="s">
        <v>78</v>
      </c>
      <c r="N1367" t="s">
        <v>183</v>
      </c>
      <c r="O1367">
        <v>17568</v>
      </c>
      <c r="P1367">
        <v>551.4</v>
      </c>
      <c r="Q1367">
        <v>340.1</v>
      </c>
    </row>
    <row r="1368" spans="2:17" x14ac:dyDescent="0.25">
      <c r="B1368" t="s">
        <v>78</v>
      </c>
      <c r="C1368" t="s">
        <v>79</v>
      </c>
      <c r="D1368" t="s">
        <v>2525</v>
      </c>
      <c r="E1368" t="s">
        <v>2526</v>
      </c>
      <c r="F1368">
        <v>112.1</v>
      </c>
      <c r="G1368">
        <v>114.9</v>
      </c>
      <c r="H1368">
        <v>115</v>
      </c>
      <c r="I1368">
        <v>109.5</v>
      </c>
      <c r="J1368" s="1">
        <v>110.15</v>
      </c>
      <c r="K1368">
        <v>1848022.7</v>
      </c>
      <c r="L1368">
        <v>16503</v>
      </c>
      <c r="M1368" t="s">
        <v>78</v>
      </c>
      <c r="N1368" t="s">
        <v>17</v>
      </c>
      <c r="O1368">
        <v>489</v>
      </c>
      <c r="P1368">
        <v>140</v>
      </c>
      <c r="Q1368">
        <v>80.099999999999994</v>
      </c>
    </row>
    <row r="1369" spans="2:17" x14ac:dyDescent="0.25">
      <c r="B1369" t="s">
        <v>78</v>
      </c>
      <c r="C1369" t="s">
        <v>79</v>
      </c>
      <c r="D1369" t="s">
        <v>2527</v>
      </c>
      <c r="E1369" t="s">
        <v>2528</v>
      </c>
      <c r="F1369">
        <v>93.85</v>
      </c>
      <c r="G1369">
        <v>94.05</v>
      </c>
      <c r="H1369">
        <v>95.2</v>
      </c>
      <c r="I1369">
        <v>91.7</v>
      </c>
      <c r="J1369" s="1">
        <v>92.8</v>
      </c>
      <c r="K1369">
        <v>2611732.7999999998</v>
      </c>
      <c r="L1369">
        <v>28209</v>
      </c>
      <c r="M1369" t="s">
        <v>78</v>
      </c>
      <c r="N1369" t="s">
        <v>17</v>
      </c>
      <c r="O1369">
        <v>557</v>
      </c>
      <c r="P1369">
        <v>234.2</v>
      </c>
      <c r="Q1369">
        <v>91.7</v>
      </c>
    </row>
    <row r="1370" spans="2:17" x14ac:dyDescent="0.25">
      <c r="B1370" t="s">
        <v>78</v>
      </c>
      <c r="C1370" t="s">
        <v>79</v>
      </c>
      <c r="D1370" t="s">
        <v>2529</v>
      </c>
      <c r="E1370" t="s">
        <v>2530</v>
      </c>
      <c r="F1370">
        <v>105.9</v>
      </c>
      <c r="G1370">
        <v>106.5</v>
      </c>
      <c r="H1370">
        <v>106.9</v>
      </c>
      <c r="I1370">
        <v>102.6</v>
      </c>
      <c r="J1370" s="1">
        <v>103.2</v>
      </c>
      <c r="K1370">
        <v>5367921.5999999996</v>
      </c>
      <c r="L1370">
        <v>51638</v>
      </c>
      <c r="M1370" t="s">
        <v>78</v>
      </c>
      <c r="N1370" t="s">
        <v>17</v>
      </c>
      <c r="O1370">
        <v>949</v>
      </c>
      <c r="P1370">
        <v>149.94999999999999</v>
      </c>
      <c r="Q1370">
        <v>90.6</v>
      </c>
    </row>
    <row r="1371" spans="2:17" x14ac:dyDescent="0.25">
      <c r="B1371" t="s">
        <v>78</v>
      </c>
      <c r="C1371" t="s">
        <v>79</v>
      </c>
      <c r="D1371" t="s">
        <v>2531</v>
      </c>
      <c r="E1371" t="s">
        <v>2532</v>
      </c>
      <c r="F1371">
        <v>36.15</v>
      </c>
      <c r="G1371">
        <v>36.799999999999997</v>
      </c>
      <c r="H1371">
        <v>38</v>
      </c>
      <c r="I1371">
        <v>32.549999999999997</v>
      </c>
      <c r="J1371" s="1">
        <v>33</v>
      </c>
      <c r="K1371">
        <v>3796535.8</v>
      </c>
      <c r="L1371">
        <v>114104</v>
      </c>
      <c r="M1371" t="s">
        <v>78</v>
      </c>
      <c r="N1371" t="s">
        <v>17</v>
      </c>
      <c r="O1371">
        <v>405</v>
      </c>
      <c r="P1371">
        <v>68.75</v>
      </c>
      <c r="Q1371">
        <v>32.549999999999997</v>
      </c>
    </row>
    <row r="1372" spans="2:17" x14ac:dyDescent="0.25">
      <c r="B1372" t="s">
        <v>78</v>
      </c>
      <c r="C1372" t="s">
        <v>79</v>
      </c>
      <c r="D1372" t="s">
        <v>2533</v>
      </c>
      <c r="E1372" t="s">
        <v>2534</v>
      </c>
      <c r="F1372">
        <v>11.4</v>
      </c>
      <c r="G1372">
        <v>11.3</v>
      </c>
      <c r="H1372">
        <v>11.3</v>
      </c>
      <c r="I1372">
        <v>9.1999999999999993</v>
      </c>
      <c r="J1372" s="1">
        <v>9.9499999999999993</v>
      </c>
      <c r="K1372">
        <v>665121.25</v>
      </c>
      <c r="L1372">
        <v>66921</v>
      </c>
      <c r="M1372" t="s">
        <v>78</v>
      </c>
      <c r="N1372" t="s">
        <v>17</v>
      </c>
      <c r="O1372">
        <v>250</v>
      </c>
      <c r="P1372">
        <v>29.25</v>
      </c>
      <c r="Q1372">
        <v>9.1999999999999993</v>
      </c>
    </row>
    <row r="1373" spans="2:17" x14ac:dyDescent="0.25">
      <c r="B1373" t="s">
        <v>78</v>
      </c>
      <c r="C1373" t="s">
        <v>79</v>
      </c>
      <c r="D1373" t="s">
        <v>2535</v>
      </c>
      <c r="E1373" t="s">
        <v>2536</v>
      </c>
      <c r="F1373">
        <v>72.75</v>
      </c>
      <c r="G1373">
        <v>73</v>
      </c>
      <c r="H1373">
        <v>75</v>
      </c>
      <c r="I1373">
        <v>70.7</v>
      </c>
      <c r="J1373" s="1">
        <v>71.45</v>
      </c>
      <c r="K1373">
        <v>394767.05</v>
      </c>
      <c r="L1373">
        <v>5474</v>
      </c>
      <c r="M1373" t="s">
        <v>78</v>
      </c>
      <c r="N1373" t="s">
        <v>17</v>
      </c>
      <c r="O1373">
        <v>174</v>
      </c>
      <c r="P1373">
        <v>138</v>
      </c>
      <c r="Q1373">
        <v>70.7</v>
      </c>
    </row>
    <row r="1374" spans="2:17" x14ac:dyDescent="0.25">
      <c r="B1374" t="s">
        <v>78</v>
      </c>
      <c r="C1374" t="s">
        <v>79</v>
      </c>
      <c r="D1374" t="s">
        <v>2537</v>
      </c>
      <c r="E1374" t="s">
        <v>2538</v>
      </c>
      <c r="F1374">
        <v>203.5</v>
      </c>
      <c r="G1374">
        <v>202.95</v>
      </c>
      <c r="H1374">
        <v>215.6</v>
      </c>
      <c r="I1374">
        <v>198</v>
      </c>
      <c r="J1374" s="1">
        <v>199.5</v>
      </c>
      <c r="K1374">
        <v>1216123.8500000001</v>
      </c>
      <c r="L1374">
        <v>6031</v>
      </c>
      <c r="M1374" t="s">
        <v>78</v>
      </c>
      <c r="N1374" t="s">
        <v>17</v>
      </c>
      <c r="O1374">
        <v>888</v>
      </c>
      <c r="P1374">
        <v>399.05</v>
      </c>
      <c r="Q1374">
        <v>175.3</v>
      </c>
    </row>
    <row r="1375" spans="2:17" x14ac:dyDescent="0.25">
      <c r="B1375" t="s">
        <v>78</v>
      </c>
      <c r="C1375" t="s">
        <v>79</v>
      </c>
      <c r="D1375" t="s">
        <v>6656</v>
      </c>
      <c r="E1375" t="s">
        <v>2540</v>
      </c>
      <c r="F1375">
        <v>163.6</v>
      </c>
      <c r="G1375">
        <v>165.9</v>
      </c>
      <c r="H1375">
        <v>172.3</v>
      </c>
      <c r="I1375">
        <v>160</v>
      </c>
      <c r="J1375" s="1">
        <v>165.6</v>
      </c>
      <c r="K1375">
        <v>595340179.20000005</v>
      </c>
      <c r="L1375">
        <v>3567525</v>
      </c>
      <c r="M1375" t="s">
        <v>78</v>
      </c>
      <c r="N1375" t="s">
        <v>17</v>
      </c>
      <c r="O1375">
        <v>35618</v>
      </c>
      <c r="P1375">
        <v>399.9</v>
      </c>
      <c r="Q1375">
        <v>143.80000000000001</v>
      </c>
    </row>
    <row r="1376" spans="2:17" x14ac:dyDescent="0.25">
      <c r="B1376" t="s">
        <v>78</v>
      </c>
      <c r="C1376" t="s">
        <v>79</v>
      </c>
      <c r="D1376" t="s">
        <v>6655</v>
      </c>
      <c r="E1376" t="s">
        <v>6654</v>
      </c>
      <c r="F1376">
        <v>5.95</v>
      </c>
      <c r="G1376">
        <v>5.9</v>
      </c>
      <c r="H1376">
        <v>6.05</v>
      </c>
      <c r="I1376">
        <v>5.85</v>
      </c>
      <c r="J1376" s="1">
        <v>6</v>
      </c>
      <c r="K1376">
        <v>3218788.35</v>
      </c>
      <c r="L1376">
        <v>542004</v>
      </c>
      <c r="M1376" t="s">
        <v>78</v>
      </c>
      <c r="N1376" t="s">
        <v>17</v>
      </c>
      <c r="O1376">
        <v>304</v>
      </c>
      <c r="P1376">
        <v>8</v>
      </c>
      <c r="Q1376">
        <v>4.3499999999999996</v>
      </c>
    </row>
    <row r="1377" spans="2:17" x14ac:dyDescent="0.25">
      <c r="B1377" t="s">
        <v>78</v>
      </c>
      <c r="C1377" t="s">
        <v>79</v>
      </c>
      <c r="D1377" t="s">
        <v>2545</v>
      </c>
      <c r="E1377" t="s">
        <v>2546</v>
      </c>
      <c r="F1377">
        <v>225.75</v>
      </c>
      <c r="G1377">
        <v>224.7</v>
      </c>
      <c r="H1377">
        <v>225.05</v>
      </c>
      <c r="I1377">
        <v>213.95</v>
      </c>
      <c r="J1377" s="1">
        <v>220.2</v>
      </c>
      <c r="K1377">
        <v>4393918.05</v>
      </c>
      <c r="L1377">
        <v>19901</v>
      </c>
      <c r="M1377" t="s">
        <v>78</v>
      </c>
      <c r="N1377" t="s">
        <v>17</v>
      </c>
      <c r="O1377">
        <v>600</v>
      </c>
      <c r="P1377">
        <v>378.6</v>
      </c>
      <c r="Q1377">
        <v>205.25</v>
      </c>
    </row>
    <row r="1378" spans="2:17" x14ac:dyDescent="0.25">
      <c r="B1378" t="s">
        <v>78</v>
      </c>
      <c r="C1378" t="s">
        <v>79</v>
      </c>
      <c r="D1378" t="s">
        <v>2547</v>
      </c>
      <c r="E1378" t="s">
        <v>2548</v>
      </c>
      <c r="F1378">
        <v>330.5</v>
      </c>
      <c r="G1378">
        <v>331</v>
      </c>
      <c r="H1378">
        <v>339</v>
      </c>
      <c r="I1378">
        <v>322.55</v>
      </c>
      <c r="J1378" s="1">
        <v>325.45</v>
      </c>
      <c r="K1378">
        <v>41243360.200000003</v>
      </c>
      <c r="L1378">
        <v>125676</v>
      </c>
      <c r="M1378" t="s">
        <v>78</v>
      </c>
      <c r="N1378" t="s">
        <v>17</v>
      </c>
      <c r="O1378">
        <v>5415</v>
      </c>
      <c r="P1378">
        <v>510.1</v>
      </c>
      <c r="Q1378">
        <v>290.2</v>
      </c>
    </row>
    <row r="1379" spans="2:17" x14ac:dyDescent="0.25">
      <c r="B1379" t="s">
        <v>78</v>
      </c>
      <c r="C1379" t="s">
        <v>79</v>
      </c>
      <c r="D1379" t="s">
        <v>3489</v>
      </c>
      <c r="E1379" t="s">
        <v>3490</v>
      </c>
      <c r="F1379">
        <v>2.6</v>
      </c>
      <c r="G1379">
        <v>2.75</v>
      </c>
      <c r="H1379">
        <v>2.75</v>
      </c>
      <c r="I1379">
        <v>2.6</v>
      </c>
      <c r="J1379" s="1">
        <v>2.6</v>
      </c>
      <c r="K1379">
        <v>205122.9</v>
      </c>
      <c r="L1379">
        <v>78170</v>
      </c>
      <c r="M1379" t="s">
        <v>78</v>
      </c>
      <c r="N1379" t="s">
        <v>17</v>
      </c>
      <c r="O1379">
        <v>106</v>
      </c>
      <c r="P1379">
        <v>15.8</v>
      </c>
      <c r="Q1379">
        <v>2.5</v>
      </c>
    </row>
    <row r="1380" spans="2:17" x14ac:dyDescent="0.25">
      <c r="B1380" t="s">
        <v>78</v>
      </c>
      <c r="C1380" t="s">
        <v>79</v>
      </c>
      <c r="D1380" t="s">
        <v>2553</v>
      </c>
      <c r="E1380" t="s">
        <v>2554</v>
      </c>
      <c r="F1380">
        <v>468.55</v>
      </c>
      <c r="G1380">
        <v>459.15</v>
      </c>
      <c r="H1380">
        <v>475.05</v>
      </c>
      <c r="I1380">
        <v>456.95</v>
      </c>
      <c r="J1380" s="1">
        <v>458.15</v>
      </c>
      <c r="K1380">
        <v>1481299.25</v>
      </c>
      <c r="L1380">
        <v>3230</v>
      </c>
      <c r="M1380" t="s">
        <v>78</v>
      </c>
      <c r="N1380" t="s">
        <v>17</v>
      </c>
      <c r="O1380">
        <v>264</v>
      </c>
      <c r="P1380">
        <v>849.9</v>
      </c>
      <c r="Q1380">
        <v>456.2</v>
      </c>
    </row>
    <row r="1381" spans="2:17" x14ac:dyDescent="0.25">
      <c r="B1381" t="s">
        <v>78</v>
      </c>
      <c r="C1381" t="s">
        <v>79</v>
      </c>
      <c r="D1381" t="s">
        <v>2555</v>
      </c>
      <c r="E1381" t="s">
        <v>2556</v>
      </c>
      <c r="F1381">
        <v>2252.35</v>
      </c>
      <c r="G1381">
        <v>2275</v>
      </c>
      <c r="H1381">
        <v>2320</v>
      </c>
      <c r="I1381">
        <v>2215.0500000000002</v>
      </c>
      <c r="J1381" s="1">
        <v>2261.6</v>
      </c>
      <c r="K1381">
        <v>1290160.5</v>
      </c>
      <c r="L1381">
        <v>575</v>
      </c>
      <c r="M1381" t="s">
        <v>78</v>
      </c>
      <c r="N1381" t="s">
        <v>17</v>
      </c>
      <c r="O1381">
        <v>209</v>
      </c>
      <c r="P1381">
        <v>4450</v>
      </c>
      <c r="Q1381">
        <v>2215.0500000000002</v>
      </c>
    </row>
    <row r="1382" spans="2:17" x14ac:dyDescent="0.25">
      <c r="B1382" t="s">
        <v>78</v>
      </c>
      <c r="C1382" t="s">
        <v>79</v>
      </c>
      <c r="D1382" t="s">
        <v>3491</v>
      </c>
      <c r="E1382" t="s">
        <v>3492</v>
      </c>
      <c r="F1382">
        <v>1.7</v>
      </c>
      <c r="G1382">
        <v>1.65</v>
      </c>
      <c r="H1382">
        <v>1.7</v>
      </c>
      <c r="I1382">
        <v>1.65</v>
      </c>
      <c r="J1382" s="1">
        <v>1.65</v>
      </c>
      <c r="K1382">
        <v>206511.05</v>
      </c>
      <c r="L1382">
        <v>123258</v>
      </c>
      <c r="M1382" t="s">
        <v>78</v>
      </c>
      <c r="N1382" t="s">
        <v>17</v>
      </c>
      <c r="O1382">
        <v>70</v>
      </c>
      <c r="P1382">
        <v>3.05</v>
      </c>
      <c r="Q1382">
        <v>1.5</v>
      </c>
    </row>
    <row r="1383" spans="2:17" x14ac:dyDescent="0.25">
      <c r="B1383" t="s">
        <v>78</v>
      </c>
      <c r="C1383" t="s">
        <v>79</v>
      </c>
      <c r="D1383" t="s">
        <v>2557</v>
      </c>
      <c r="E1383" t="s">
        <v>2558</v>
      </c>
      <c r="F1383">
        <v>1562.45</v>
      </c>
      <c r="G1383">
        <v>1588.45</v>
      </c>
      <c r="H1383">
        <v>1588.45</v>
      </c>
      <c r="I1383">
        <v>1532</v>
      </c>
      <c r="J1383" s="1">
        <v>1564.55</v>
      </c>
      <c r="K1383">
        <v>63401146.950000003</v>
      </c>
      <c r="L1383">
        <v>40515</v>
      </c>
      <c r="M1383" t="s">
        <v>78</v>
      </c>
      <c r="N1383" t="s">
        <v>17</v>
      </c>
      <c r="O1383">
        <v>1549</v>
      </c>
      <c r="P1383">
        <v>1732.9</v>
      </c>
      <c r="Q1383">
        <v>1329.6</v>
      </c>
    </row>
    <row r="1384" spans="2:17" x14ac:dyDescent="0.25">
      <c r="B1384" t="s">
        <v>78</v>
      </c>
      <c r="C1384" t="s">
        <v>79</v>
      </c>
      <c r="D1384" t="s">
        <v>2559</v>
      </c>
      <c r="E1384" t="s">
        <v>2560</v>
      </c>
      <c r="F1384">
        <v>84.35</v>
      </c>
      <c r="G1384">
        <v>83.5</v>
      </c>
      <c r="H1384">
        <v>84.95</v>
      </c>
      <c r="I1384">
        <v>83</v>
      </c>
      <c r="J1384" s="1">
        <v>83.55</v>
      </c>
      <c r="K1384">
        <v>802725.4</v>
      </c>
      <c r="L1384">
        <v>9551</v>
      </c>
      <c r="M1384" t="s">
        <v>78</v>
      </c>
      <c r="N1384" t="s">
        <v>17</v>
      </c>
      <c r="O1384">
        <v>144</v>
      </c>
      <c r="P1384">
        <v>139</v>
      </c>
      <c r="Q1384">
        <v>72.95</v>
      </c>
    </row>
    <row r="1385" spans="2:17" x14ac:dyDescent="0.25">
      <c r="B1385" t="s">
        <v>78</v>
      </c>
      <c r="C1385" t="s">
        <v>79</v>
      </c>
      <c r="D1385" t="s">
        <v>2561</v>
      </c>
      <c r="E1385" t="s">
        <v>2562</v>
      </c>
      <c r="F1385">
        <v>295.10000000000002</v>
      </c>
      <c r="G1385">
        <v>290.14999999999998</v>
      </c>
      <c r="H1385">
        <v>295</v>
      </c>
      <c r="I1385">
        <v>283</v>
      </c>
      <c r="J1385" s="1">
        <v>287.05</v>
      </c>
      <c r="K1385">
        <v>299383.8</v>
      </c>
      <c r="L1385">
        <v>1041</v>
      </c>
      <c r="M1385" t="s">
        <v>78</v>
      </c>
      <c r="N1385" t="s">
        <v>17</v>
      </c>
      <c r="O1385">
        <v>147</v>
      </c>
      <c r="P1385">
        <v>538.4</v>
      </c>
      <c r="Q1385">
        <v>272.10000000000002</v>
      </c>
    </row>
    <row r="1386" spans="2:17" x14ac:dyDescent="0.25">
      <c r="B1386" t="s">
        <v>78</v>
      </c>
      <c r="C1386" t="s">
        <v>79</v>
      </c>
      <c r="D1386" t="s">
        <v>2563</v>
      </c>
      <c r="E1386" t="s">
        <v>2564</v>
      </c>
      <c r="F1386">
        <v>450.45</v>
      </c>
      <c r="G1386">
        <v>451</v>
      </c>
      <c r="H1386">
        <v>453</v>
      </c>
      <c r="I1386">
        <v>440.35</v>
      </c>
      <c r="J1386" s="1">
        <v>449.95</v>
      </c>
      <c r="K1386">
        <v>43314292.850000001</v>
      </c>
      <c r="L1386">
        <v>96547</v>
      </c>
      <c r="M1386" t="s">
        <v>78</v>
      </c>
      <c r="N1386" t="s">
        <v>17</v>
      </c>
      <c r="O1386">
        <v>5092</v>
      </c>
      <c r="P1386">
        <v>689</v>
      </c>
      <c r="Q1386">
        <v>440.35</v>
      </c>
    </row>
    <row r="1387" spans="2:17" x14ac:dyDescent="0.25">
      <c r="B1387" t="s">
        <v>78</v>
      </c>
      <c r="C1387" t="s">
        <v>79</v>
      </c>
      <c r="D1387" t="s">
        <v>2565</v>
      </c>
      <c r="E1387" t="s">
        <v>2566</v>
      </c>
      <c r="F1387">
        <v>33.950000000000003</v>
      </c>
      <c r="G1387">
        <v>33.6</v>
      </c>
      <c r="H1387">
        <v>34</v>
      </c>
      <c r="I1387">
        <v>32.5</v>
      </c>
      <c r="J1387" s="1">
        <v>32.6</v>
      </c>
      <c r="K1387">
        <v>1844371.3</v>
      </c>
      <c r="L1387">
        <v>55489</v>
      </c>
      <c r="M1387" t="s">
        <v>78</v>
      </c>
      <c r="N1387" t="s">
        <v>17</v>
      </c>
      <c r="O1387">
        <v>622</v>
      </c>
      <c r="P1387">
        <v>76.3</v>
      </c>
      <c r="Q1387">
        <v>32.5</v>
      </c>
    </row>
    <row r="1388" spans="2:17" x14ac:dyDescent="0.25">
      <c r="B1388" t="s">
        <v>78</v>
      </c>
      <c r="C1388" t="s">
        <v>79</v>
      </c>
      <c r="D1388" t="s">
        <v>2567</v>
      </c>
      <c r="E1388" t="s">
        <v>2568</v>
      </c>
      <c r="F1388">
        <v>449.3</v>
      </c>
      <c r="G1388">
        <v>452</v>
      </c>
      <c r="H1388">
        <v>454.8</v>
      </c>
      <c r="I1388">
        <v>439.55</v>
      </c>
      <c r="J1388" s="1">
        <v>440.65</v>
      </c>
      <c r="K1388">
        <v>86116317.099999994</v>
      </c>
      <c r="L1388">
        <v>195214</v>
      </c>
      <c r="M1388" t="s">
        <v>78</v>
      </c>
      <c r="N1388" t="s">
        <v>17</v>
      </c>
      <c r="O1388">
        <v>3158</v>
      </c>
      <c r="P1388">
        <v>533.35</v>
      </c>
      <c r="Q1388">
        <v>295.8</v>
      </c>
    </row>
    <row r="1389" spans="2:17" x14ac:dyDescent="0.25">
      <c r="B1389" t="s">
        <v>78</v>
      </c>
      <c r="C1389" t="s">
        <v>79</v>
      </c>
      <c r="D1389" t="s">
        <v>2569</v>
      </c>
      <c r="E1389" t="s">
        <v>2570</v>
      </c>
      <c r="F1389">
        <v>465.7</v>
      </c>
      <c r="G1389">
        <v>468</v>
      </c>
      <c r="H1389">
        <v>472.95</v>
      </c>
      <c r="I1389">
        <v>458.4</v>
      </c>
      <c r="J1389" s="1">
        <v>460.35</v>
      </c>
      <c r="K1389">
        <v>630306563.95000005</v>
      </c>
      <c r="L1389">
        <v>1356555</v>
      </c>
      <c r="M1389" t="s">
        <v>78</v>
      </c>
      <c r="N1389" t="s">
        <v>17</v>
      </c>
      <c r="O1389">
        <v>19047</v>
      </c>
      <c r="P1389">
        <v>836</v>
      </c>
      <c r="Q1389">
        <v>443.15</v>
      </c>
    </row>
    <row r="1390" spans="2:17" x14ac:dyDescent="0.25">
      <c r="B1390" t="s">
        <v>78</v>
      </c>
      <c r="C1390" t="s">
        <v>79</v>
      </c>
      <c r="D1390" t="s">
        <v>2571</v>
      </c>
      <c r="E1390" t="s">
        <v>2572</v>
      </c>
      <c r="F1390">
        <v>80.45</v>
      </c>
      <c r="G1390">
        <v>81</v>
      </c>
      <c r="H1390">
        <v>82</v>
      </c>
      <c r="I1390">
        <v>74.150000000000006</v>
      </c>
      <c r="J1390" s="1">
        <v>75.849999999999994</v>
      </c>
      <c r="K1390">
        <v>949006.8</v>
      </c>
      <c r="L1390">
        <v>12299</v>
      </c>
      <c r="M1390" t="s">
        <v>78</v>
      </c>
      <c r="N1390" t="s">
        <v>17</v>
      </c>
      <c r="O1390">
        <v>256</v>
      </c>
      <c r="P1390">
        <v>156.55000000000001</v>
      </c>
      <c r="Q1390">
        <v>74.150000000000006</v>
      </c>
    </row>
    <row r="1391" spans="2:17" x14ac:dyDescent="0.25">
      <c r="B1391" t="s">
        <v>78</v>
      </c>
      <c r="C1391" t="s">
        <v>79</v>
      </c>
      <c r="D1391" t="s">
        <v>3493</v>
      </c>
      <c r="E1391" t="s">
        <v>3494</v>
      </c>
      <c r="F1391">
        <v>4.8499999999999996</v>
      </c>
      <c r="G1391">
        <v>5.05</v>
      </c>
      <c r="H1391">
        <v>5.05</v>
      </c>
      <c r="I1391">
        <v>4.6500000000000004</v>
      </c>
      <c r="J1391" s="1">
        <v>4.75</v>
      </c>
      <c r="K1391">
        <v>37166.15</v>
      </c>
      <c r="L1391">
        <v>7889</v>
      </c>
      <c r="M1391" t="s">
        <v>78</v>
      </c>
      <c r="N1391" t="s">
        <v>17</v>
      </c>
      <c r="O1391">
        <v>39</v>
      </c>
      <c r="P1391">
        <v>10.25</v>
      </c>
      <c r="Q1391">
        <v>4.25</v>
      </c>
    </row>
    <row r="1392" spans="2:17" x14ac:dyDescent="0.25">
      <c r="B1392" t="s">
        <v>78</v>
      </c>
      <c r="C1392" t="s">
        <v>79</v>
      </c>
      <c r="D1392" t="s">
        <v>3495</v>
      </c>
      <c r="E1392" t="s">
        <v>3496</v>
      </c>
      <c r="F1392">
        <v>204</v>
      </c>
      <c r="G1392">
        <v>201.8</v>
      </c>
      <c r="H1392">
        <v>202.15</v>
      </c>
      <c r="I1392">
        <v>199</v>
      </c>
      <c r="J1392" s="1">
        <v>200.9</v>
      </c>
      <c r="K1392">
        <v>768083.75</v>
      </c>
      <c r="L1392">
        <v>3832</v>
      </c>
      <c r="M1392" t="s">
        <v>78</v>
      </c>
      <c r="N1392" t="s">
        <v>17</v>
      </c>
      <c r="O1392">
        <v>85</v>
      </c>
      <c r="P1392">
        <v>290</v>
      </c>
      <c r="Q1392">
        <v>175</v>
      </c>
    </row>
    <row r="1393" spans="2:17" x14ac:dyDescent="0.25">
      <c r="B1393" t="s">
        <v>78</v>
      </c>
      <c r="C1393" t="s">
        <v>79</v>
      </c>
      <c r="D1393" t="s">
        <v>2573</v>
      </c>
      <c r="E1393" t="s">
        <v>2574</v>
      </c>
      <c r="F1393">
        <v>199.95</v>
      </c>
      <c r="G1393">
        <v>203.7</v>
      </c>
      <c r="H1393">
        <v>203.7</v>
      </c>
      <c r="I1393">
        <v>198</v>
      </c>
      <c r="J1393" s="1">
        <v>198.75</v>
      </c>
      <c r="K1393">
        <v>2535305.0499999998</v>
      </c>
      <c r="L1393">
        <v>12731</v>
      </c>
      <c r="M1393" t="s">
        <v>78</v>
      </c>
      <c r="N1393" t="s">
        <v>17</v>
      </c>
      <c r="O1393">
        <v>506</v>
      </c>
      <c r="P1393">
        <v>263.35000000000002</v>
      </c>
      <c r="Q1393">
        <v>178.15</v>
      </c>
    </row>
    <row r="1394" spans="2:17" x14ac:dyDescent="0.25">
      <c r="B1394" t="s">
        <v>78</v>
      </c>
      <c r="C1394" t="s">
        <v>287</v>
      </c>
      <c r="D1394" t="s">
        <v>3497</v>
      </c>
      <c r="E1394" t="s">
        <v>3498</v>
      </c>
      <c r="F1394">
        <v>38.299999999999997</v>
      </c>
      <c r="G1394">
        <v>37.5</v>
      </c>
      <c r="H1394">
        <v>37.5</v>
      </c>
      <c r="I1394">
        <v>37</v>
      </c>
      <c r="J1394" s="1">
        <v>37</v>
      </c>
      <c r="K1394">
        <v>446000</v>
      </c>
      <c r="L1394">
        <v>12000</v>
      </c>
      <c r="M1394" t="s">
        <v>78</v>
      </c>
      <c r="N1394" t="s">
        <v>17</v>
      </c>
      <c r="O1394">
        <v>3</v>
      </c>
      <c r="P1394">
        <v>42</v>
      </c>
      <c r="Q1394">
        <v>21.5</v>
      </c>
    </row>
    <row r="1395" spans="2:17" x14ac:dyDescent="0.25">
      <c r="B1395" t="s">
        <v>78</v>
      </c>
      <c r="C1395" t="s">
        <v>79</v>
      </c>
      <c r="D1395" t="s">
        <v>2575</v>
      </c>
      <c r="E1395" t="s">
        <v>2576</v>
      </c>
      <c r="F1395">
        <v>1099.2</v>
      </c>
      <c r="G1395">
        <v>1093.55</v>
      </c>
      <c r="H1395">
        <v>1098.3499999999999</v>
      </c>
      <c r="I1395">
        <v>1077</v>
      </c>
      <c r="J1395" s="1">
        <v>1079.9000000000001</v>
      </c>
      <c r="K1395">
        <v>66302734</v>
      </c>
      <c r="L1395">
        <v>61277</v>
      </c>
      <c r="M1395" t="s">
        <v>78</v>
      </c>
      <c r="N1395" t="s">
        <v>17</v>
      </c>
      <c r="O1395">
        <v>3967</v>
      </c>
      <c r="P1395">
        <v>1275</v>
      </c>
      <c r="Q1395">
        <v>937.6</v>
      </c>
    </row>
    <row r="1396" spans="2:17" x14ac:dyDescent="0.25">
      <c r="B1396" t="s">
        <v>78</v>
      </c>
      <c r="C1396" t="s">
        <v>79</v>
      </c>
      <c r="D1396" t="s">
        <v>3662</v>
      </c>
      <c r="E1396" t="s">
        <v>6653</v>
      </c>
      <c r="F1396">
        <v>26.05</v>
      </c>
      <c r="G1396">
        <v>27.35</v>
      </c>
      <c r="H1396">
        <v>27.35</v>
      </c>
      <c r="I1396">
        <v>27.35</v>
      </c>
      <c r="J1396" s="1">
        <v>27.35</v>
      </c>
      <c r="K1396">
        <v>443808.45</v>
      </c>
      <c r="L1396">
        <v>16227</v>
      </c>
      <c r="M1396" t="s">
        <v>78</v>
      </c>
      <c r="N1396" t="s">
        <v>17</v>
      </c>
      <c r="O1396">
        <v>45</v>
      </c>
      <c r="P1396">
        <v>45.85</v>
      </c>
      <c r="Q1396">
        <v>15.4</v>
      </c>
    </row>
    <row r="1397" spans="2:17" x14ac:dyDescent="0.25">
      <c r="B1397" t="s">
        <v>78</v>
      </c>
      <c r="C1397" t="s">
        <v>79</v>
      </c>
      <c r="D1397" t="s">
        <v>2577</v>
      </c>
      <c r="E1397" t="s">
        <v>2578</v>
      </c>
      <c r="F1397">
        <v>6.65</v>
      </c>
      <c r="G1397">
        <v>6.65</v>
      </c>
      <c r="H1397">
        <v>6.75</v>
      </c>
      <c r="I1397">
        <v>6.4</v>
      </c>
      <c r="J1397" s="1">
        <v>6.55</v>
      </c>
      <c r="K1397">
        <v>89554.85</v>
      </c>
      <c r="L1397">
        <v>13541</v>
      </c>
      <c r="M1397" t="s">
        <v>78</v>
      </c>
      <c r="N1397" t="s">
        <v>17</v>
      </c>
      <c r="O1397">
        <v>76</v>
      </c>
      <c r="P1397">
        <v>15.4</v>
      </c>
      <c r="Q1397">
        <v>5.8</v>
      </c>
    </row>
    <row r="1398" spans="2:17" x14ac:dyDescent="0.25">
      <c r="B1398" t="s">
        <v>78</v>
      </c>
      <c r="C1398" t="s">
        <v>79</v>
      </c>
      <c r="D1398" t="s">
        <v>2579</v>
      </c>
      <c r="E1398" t="s">
        <v>2580</v>
      </c>
      <c r="F1398">
        <v>4.05</v>
      </c>
      <c r="G1398">
        <v>4</v>
      </c>
      <c r="H1398">
        <v>4.5</v>
      </c>
      <c r="I1398">
        <v>4</v>
      </c>
      <c r="J1398" s="1">
        <v>4.4000000000000004</v>
      </c>
      <c r="K1398">
        <v>271547.15000000002</v>
      </c>
      <c r="L1398">
        <v>65377</v>
      </c>
      <c r="M1398" t="s">
        <v>78</v>
      </c>
      <c r="N1398" t="s">
        <v>17</v>
      </c>
      <c r="O1398">
        <v>82</v>
      </c>
      <c r="P1398">
        <v>5.8</v>
      </c>
      <c r="Q1398">
        <v>3.15</v>
      </c>
    </row>
    <row r="1399" spans="2:17" x14ac:dyDescent="0.25">
      <c r="B1399" t="s">
        <v>78</v>
      </c>
      <c r="C1399" t="s">
        <v>287</v>
      </c>
      <c r="D1399" t="s">
        <v>5354</v>
      </c>
      <c r="E1399" t="s">
        <v>5353</v>
      </c>
      <c r="F1399">
        <v>45.75</v>
      </c>
      <c r="G1399">
        <v>41.5</v>
      </c>
      <c r="H1399">
        <v>41.5</v>
      </c>
      <c r="I1399">
        <v>41.5</v>
      </c>
      <c r="J1399" s="1">
        <v>41.5</v>
      </c>
      <c r="K1399">
        <v>83000</v>
      </c>
      <c r="L1399">
        <v>2000</v>
      </c>
      <c r="M1399" t="s">
        <v>78</v>
      </c>
      <c r="N1399" t="s">
        <v>17</v>
      </c>
      <c r="O1399">
        <v>1</v>
      </c>
      <c r="P1399">
        <v>60</v>
      </c>
      <c r="Q1399">
        <v>35.200000000000003</v>
      </c>
    </row>
    <row r="1400" spans="2:17" x14ac:dyDescent="0.25">
      <c r="B1400" t="s">
        <v>78</v>
      </c>
      <c r="C1400" t="s">
        <v>79</v>
      </c>
      <c r="D1400" t="s">
        <v>3499</v>
      </c>
      <c r="E1400" t="s">
        <v>3500</v>
      </c>
      <c r="F1400">
        <v>22.7</v>
      </c>
      <c r="G1400">
        <v>22</v>
      </c>
      <c r="H1400">
        <v>23.35</v>
      </c>
      <c r="I1400">
        <v>20.55</v>
      </c>
      <c r="J1400" s="1">
        <v>21.65</v>
      </c>
      <c r="K1400">
        <v>84673.45</v>
      </c>
      <c r="L1400">
        <v>3908</v>
      </c>
      <c r="M1400" t="s">
        <v>78</v>
      </c>
      <c r="N1400" t="s">
        <v>17</v>
      </c>
      <c r="O1400">
        <v>114</v>
      </c>
      <c r="P1400">
        <v>65.900000000000006</v>
      </c>
      <c r="Q1400">
        <v>20.55</v>
      </c>
    </row>
    <row r="1401" spans="2:17" x14ac:dyDescent="0.25">
      <c r="B1401" t="s">
        <v>78</v>
      </c>
      <c r="C1401" t="s">
        <v>79</v>
      </c>
      <c r="D1401" t="s">
        <v>2581</v>
      </c>
      <c r="E1401" t="s">
        <v>2582</v>
      </c>
      <c r="F1401">
        <v>211.1</v>
      </c>
      <c r="G1401">
        <v>212.1</v>
      </c>
      <c r="H1401">
        <v>212.8</v>
      </c>
      <c r="I1401">
        <v>206</v>
      </c>
      <c r="J1401" s="1">
        <v>206.55</v>
      </c>
      <c r="K1401">
        <v>5499581.1500000004</v>
      </c>
      <c r="L1401">
        <v>26459</v>
      </c>
      <c r="M1401" t="s">
        <v>78</v>
      </c>
      <c r="N1401" t="s">
        <v>17</v>
      </c>
      <c r="O1401">
        <v>1165</v>
      </c>
      <c r="P1401">
        <v>363.4</v>
      </c>
      <c r="Q1401">
        <v>185</v>
      </c>
    </row>
    <row r="1402" spans="2:17" x14ac:dyDescent="0.25">
      <c r="B1402" t="s">
        <v>78</v>
      </c>
      <c r="C1402" t="s">
        <v>79</v>
      </c>
      <c r="D1402" t="s">
        <v>2585</v>
      </c>
      <c r="E1402" t="s">
        <v>2586</v>
      </c>
      <c r="F1402">
        <v>28.1</v>
      </c>
      <c r="G1402">
        <v>27.9</v>
      </c>
      <c r="H1402">
        <v>28.5</v>
      </c>
      <c r="I1402">
        <v>27.8</v>
      </c>
      <c r="J1402" s="1">
        <v>28.25</v>
      </c>
      <c r="K1402">
        <v>1322548.6000000001</v>
      </c>
      <c r="L1402">
        <v>46831</v>
      </c>
      <c r="M1402" t="s">
        <v>78</v>
      </c>
      <c r="N1402" t="s">
        <v>17</v>
      </c>
      <c r="O1402">
        <v>56</v>
      </c>
      <c r="P1402">
        <v>57.4</v>
      </c>
      <c r="Q1402">
        <v>27.5</v>
      </c>
    </row>
    <row r="1403" spans="2:17" x14ac:dyDescent="0.25">
      <c r="B1403" t="s">
        <v>78</v>
      </c>
      <c r="C1403" t="s">
        <v>79</v>
      </c>
      <c r="D1403" t="s">
        <v>2589</v>
      </c>
      <c r="E1403" t="s">
        <v>2590</v>
      </c>
      <c r="F1403">
        <v>246.55</v>
      </c>
      <c r="G1403">
        <v>246.55</v>
      </c>
      <c r="H1403">
        <v>246.55</v>
      </c>
      <c r="I1403">
        <v>240.3</v>
      </c>
      <c r="J1403" s="1">
        <v>243.2</v>
      </c>
      <c r="K1403">
        <v>21580496</v>
      </c>
      <c r="L1403">
        <v>88528</v>
      </c>
      <c r="M1403" t="s">
        <v>78</v>
      </c>
      <c r="N1403" t="s">
        <v>17</v>
      </c>
      <c r="O1403">
        <v>1947</v>
      </c>
      <c r="P1403">
        <v>337.8</v>
      </c>
      <c r="Q1403">
        <v>182.7</v>
      </c>
    </row>
    <row r="1404" spans="2:17" x14ac:dyDescent="0.25">
      <c r="B1404" t="s">
        <v>78</v>
      </c>
      <c r="C1404" t="s">
        <v>79</v>
      </c>
      <c r="D1404" t="s">
        <v>2595</v>
      </c>
      <c r="E1404" t="s">
        <v>2596</v>
      </c>
      <c r="F1404">
        <v>4.3</v>
      </c>
      <c r="G1404">
        <v>4.3</v>
      </c>
      <c r="H1404">
        <v>4.5</v>
      </c>
      <c r="I1404">
        <v>4.25</v>
      </c>
      <c r="J1404" s="1">
        <v>4.4000000000000004</v>
      </c>
      <c r="K1404">
        <v>41713880.549999997</v>
      </c>
      <c r="L1404">
        <v>9558756</v>
      </c>
      <c r="M1404" t="s">
        <v>78</v>
      </c>
      <c r="N1404" t="s">
        <v>17</v>
      </c>
      <c r="O1404">
        <v>7019</v>
      </c>
      <c r="P1404">
        <v>8.65</v>
      </c>
      <c r="Q1404">
        <v>2.75</v>
      </c>
    </row>
    <row r="1405" spans="2:17" x14ac:dyDescent="0.25">
      <c r="B1405" t="s">
        <v>78</v>
      </c>
      <c r="C1405" t="s">
        <v>79</v>
      </c>
      <c r="D1405" t="s">
        <v>2599</v>
      </c>
      <c r="E1405" t="s">
        <v>2600</v>
      </c>
      <c r="F1405">
        <v>104</v>
      </c>
      <c r="G1405">
        <v>103.05</v>
      </c>
      <c r="H1405">
        <v>105</v>
      </c>
      <c r="I1405">
        <v>103.05</v>
      </c>
      <c r="J1405" s="1">
        <v>104.45</v>
      </c>
      <c r="K1405">
        <v>7409004.5499999998</v>
      </c>
      <c r="L1405">
        <v>71200</v>
      </c>
      <c r="M1405" t="s">
        <v>78</v>
      </c>
      <c r="N1405" t="s">
        <v>17</v>
      </c>
      <c r="O1405">
        <v>896</v>
      </c>
      <c r="P1405">
        <v>169</v>
      </c>
      <c r="Q1405">
        <v>91.25</v>
      </c>
    </row>
    <row r="1406" spans="2:17" x14ac:dyDescent="0.25">
      <c r="B1406" t="s">
        <v>78</v>
      </c>
      <c r="C1406" t="s">
        <v>79</v>
      </c>
      <c r="D1406" t="s">
        <v>2601</v>
      </c>
      <c r="E1406" t="s">
        <v>2602</v>
      </c>
      <c r="F1406">
        <v>1231.5999999999999</v>
      </c>
      <c r="G1406">
        <v>1249.9000000000001</v>
      </c>
      <c r="H1406">
        <v>1251.1500000000001</v>
      </c>
      <c r="I1406">
        <v>1160.05</v>
      </c>
      <c r="J1406" s="1">
        <v>1170.8</v>
      </c>
      <c r="K1406">
        <v>7275601.0999999996</v>
      </c>
      <c r="L1406">
        <v>6119</v>
      </c>
      <c r="M1406" t="s">
        <v>78</v>
      </c>
      <c r="N1406" t="s">
        <v>17</v>
      </c>
      <c r="O1406">
        <v>938</v>
      </c>
      <c r="P1406">
        <v>1886.95</v>
      </c>
      <c r="Q1406">
        <v>1160.05</v>
      </c>
    </row>
    <row r="1407" spans="2:17" x14ac:dyDescent="0.25">
      <c r="B1407" t="s">
        <v>78</v>
      </c>
      <c r="C1407" t="s">
        <v>79</v>
      </c>
      <c r="D1407" t="s">
        <v>2603</v>
      </c>
      <c r="E1407" t="s">
        <v>2604</v>
      </c>
      <c r="F1407">
        <v>221.4</v>
      </c>
      <c r="G1407">
        <v>229.95</v>
      </c>
      <c r="H1407">
        <v>229.95</v>
      </c>
      <c r="I1407">
        <v>211.4</v>
      </c>
      <c r="J1407" s="1">
        <v>213.4</v>
      </c>
      <c r="K1407">
        <v>2121622.9</v>
      </c>
      <c r="L1407">
        <v>9765</v>
      </c>
      <c r="M1407" t="s">
        <v>78</v>
      </c>
      <c r="N1407" t="s">
        <v>17</v>
      </c>
      <c r="O1407">
        <v>400</v>
      </c>
      <c r="P1407">
        <v>369.9</v>
      </c>
      <c r="Q1407">
        <v>201.05</v>
      </c>
    </row>
    <row r="1408" spans="2:17" x14ac:dyDescent="0.25">
      <c r="B1408" t="s">
        <v>78</v>
      </c>
      <c r="C1408" t="s">
        <v>79</v>
      </c>
      <c r="D1408" t="s">
        <v>2607</v>
      </c>
      <c r="E1408" t="s">
        <v>2608</v>
      </c>
      <c r="F1408">
        <v>1230.0999999999999</v>
      </c>
      <c r="G1408">
        <v>1227</v>
      </c>
      <c r="H1408">
        <v>1238.5</v>
      </c>
      <c r="I1408">
        <v>1220</v>
      </c>
      <c r="J1408" s="1">
        <v>1225.0999999999999</v>
      </c>
      <c r="K1408">
        <v>16307528.550000001</v>
      </c>
      <c r="L1408">
        <v>13299</v>
      </c>
      <c r="M1408" t="s">
        <v>78</v>
      </c>
      <c r="N1408" t="s">
        <v>17</v>
      </c>
      <c r="O1408">
        <v>2145</v>
      </c>
      <c r="P1408">
        <v>1589.1</v>
      </c>
      <c r="Q1408">
        <v>815.25</v>
      </c>
    </row>
    <row r="1409" spans="2:17" x14ac:dyDescent="0.25">
      <c r="B1409" t="s">
        <v>78</v>
      </c>
      <c r="C1409" t="s">
        <v>79</v>
      </c>
      <c r="D1409" t="s">
        <v>6652</v>
      </c>
      <c r="E1409" t="s">
        <v>6651</v>
      </c>
      <c r="F1409">
        <v>38.700000000000003</v>
      </c>
      <c r="G1409">
        <v>38.75</v>
      </c>
      <c r="H1409">
        <v>38.950000000000003</v>
      </c>
      <c r="I1409">
        <v>37.4</v>
      </c>
      <c r="J1409" s="1">
        <v>37.6</v>
      </c>
      <c r="K1409">
        <v>31065884.699999999</v>
      </c>
      <c r="L1409">
        <v>817920</v>
      </c>
      <c r="M1409" t="s">
        <v>78</v>
      </c>
      <c r="N1409" t="s">
        <v>17</v>
      </c>
      <c r="O1409">
        <v>2610</v>
      </c>
      <c r="P1409">
        <v>46.6</v>
      </c>
      <c r="Q1409">
        <v>29.5</v>
      </c>
    </row>
    <row r="1410" spans="2:17" x14ac:dyDescent="0.25">
      <c r="B1410" t="s">
        <v>78</v>
      </c>
      <c r="C1410" t="s">
        <v>79</v>
      </c>
      <c r="D1410" t="s">
        <v>2609</v>
      </c>
      <c r="E1410" t="s">
        <v>2610</v>
      </c>
      <c r="F1410">
        <v>322.10000000000002</v>
      </c>
      <c r="G1410">
        <v>323</v>
      </c>
      <c r="H1410">
        <v>324.64999999999998</v>
      </c>
      <c r="I1410">
        <v>314</v>
      </c>
      <c r="J1410" s="1">
        <v>319.25</v>
      </c>
      <c r="K1410">
        <v>33876564.549999997</v>
      </c>
      <c r="L1410">
        <v>106212</v>
      </c>
      <c r="M1410" t="s">
        <v>78</v>
      </c>
      <c r="N1410" t="s">
        <v>17</v>
      </c>
      <c r="O1410">
        <v>4876</v>
      </c>
      <c r="P1410">
        <v>708</v>
      </c>
      <c r="Q1410">
        <v>305.64999999999998</v>
      </c>
    </row>
    <row r="1411" spans="2:17" x14ac:dyDescent="0.25">
      <c r="B1411" t="s">
        <v>78</v>
      </c>
      <c r="C1411" t="s">
        <v>79</v>
      </c>
      <c r="D1411" t="s">
        <v>2611</v>
      </c>
      <c r="E1411" t="s">
        <v>2612</v>
      </c>
      <c r="F1411">
        <v>51.6</v>
      </c>
      <c r="G1411">
        <v>52</v>
      </c>
      <c r="H1411">
        <v>53.95</v>
      </c>
      <c r="I1411">
        <v>51</v>
      </c>
      <c r="J1411" s="1">
        <v>51</v>
      </c>
      <c r="K1411">
        <v>35078.300000000003</v>
      </c>
      <c r="L1411">
        <v>682</v>
      </c>
      <c r="M1411" t="s">
        <v>78</v>
      </c>
      <c r="N1411" t="s">
        <v>17</v>
      </c>
      <c r="O1411">
        <v>21</v>
      </c>
      <c r="P1411">
        <v>103.65</v>
      </c>
      <c r="Q1411">
        <v>51</v>
      </c>
    </row>
    <row r="1412" spans="2:17" x14ac:dyDescent="0.25">
      <c r="B1412" t="s">
        <v>78</v>
      </c>
      <c r="C1412" t="s">
        <v>79</v>
      </c>
      <c r="D1412" t="s">
        <v>2613</v>
      </c>
      <c r="E1412" t="s">
        <v>2614</v>
      </c>
      <c r="F1412">
        <v>189.05</v>
      </c>
      <c r="G1412">
        <v>190.2</v>
      </c>
      <c r="H1412">
        <v>193</v>
      </c>
      <c r="I1412">
        <v>184</v>
      </c>
      <c r="J1412" s="1">
        <v>187.5</v>
      </c>
      <c r="K1412">
        <v>3998120.6</v>
      </c>
      <c r="L1412">
        <v>21432</v>
      </c>
      <c r="M1412" t="s">
        <v>78</v>
      </c>
      <c r="N1412" t="s">
        <v>17</v>
      </c>
      <c r="O1412">
        <v>741</v>
      </c>
      <c r="P1412">
        <v>252.2</v>
      </c>
      <c r="Q1412">
        <v>149</v>
      </c>
    </row>
    <row r="1413" spans="2:17" x14ac:dyDescent="0.25">
      <c r="B1413" t="s">
        <v>78</v>
      </c>
      <c r="C1413" t="s">
        <v>79</v>
      </c>
      <c r="D1413" t="s">
        <v>2615</v>
      </c>
      <c r="E1413" t="s">
        <v>2616</v>
      </c>
      <c r="F1413">
        <v>118.3</v>
      </c>
      <c r="G1413">
        <v>118.6</v>
      </c>
      <c r="H1413">
        <v>121.7</v>
      </c>
      <c r="I1413">
        <v>112.75</v>
      </c>
      <c r="J1413" s="1">
        <v>113.8</v>
      </c>
      <c r="K1413">
        <v>9323952.5500000007</v>
      </c>
      <c r="L1413">
        <v>80735</v>
      </c>
      <c r="M1413" t="s">
        <v>78</v>
      </c>
      <c r="N1413" t="s">
        <v>17</v>
      </c>
      <c r="O1413">
        <v>1329</v>
      </c>
      <c r="P1413">
        <v>245</v>
      </c>
      <c r="Q1413">
        <v>97</v>
      </c>
    </row>
    <row r="1414" spans="2:17" x14ac:dyDescent="0.25">
      <c r="B1414" t="s">
        <v>78</v>
      </c>
      <c r="C1414" t="s">
        <v>79</v>
      </c>
      <c r="D1414" t="s">
        <v>2617</v>
      </c>
      <c r="E1414" t="s">
        <v>2618</v>
      </c>
      <c r="F1414">
        <v>137.30000000000001</v>
      </c>
      <c r="G1414">
        <v>139.94999999999999</v>
      </c>
      <c r="H1414">
        <v>140</v>
      </c>
      <c r="I1414">
        <v>130.30000000000001</v>
      </c>
      <c r="J1414" s="1">
        <v>132</v>
      </c>
      <c r="K1414">
        <v>990196.35</v>
      </c>
      <c r="L1414">
        <v>7411</v>
      </c>
      <c r="M1414" t="s">
        <v>78</v>
      </c>
      <c r="N1414" t="s">
        <v>17</v>
      </c>
      <c r="O1414">
        <v>293</v>
      </c>
      <c r="P1414">
        <v>309.8</v>
      </c>
      <c r="Q1414">
        <v>130.30000000000001</v>
      </c>
    </row>
    <row r="1415" spans="2:17" x14ac:dyDescent="0.25">
      <c r="B1415" t="s">
        <v>78</v>
      </c>
      <c r="C1415" t="s">
        <v>79</v>
      </c>
      <c r="D1415" t="s">
        <v>6650</v>
      </c>
      <c r="E1415" t="s">
        <v>6649</v>
      </c>
      <c r="F1415">
        <v>39.200000000000003</v>
      </c>
      <c r="G1415">
        <v>35.9</v>
      </c>
      <c r="H1415">
        <v>37.700000000000003</v>
      </c>
      <c r="I1415">
        <v>31.4</v>
      </c>
      <c r="J1415" s="1">
        <v>31.4</v>
      </c>
      <c r="K1415">
        <v>24619305.399999999</v>
      </c>
      <c r="L1415">
        <v>743793</v>
      </c>
      <c r="M1415" t="s">
        <v>78</v>
      </c>
      <c r="N1415" t="s">
        <v>17</v>
      </c>
      <c r="O1415">
        <v>3213</v>
      </c>
      <c r="P1415">
        <v>66</v>
      </c>
      <c r="Q1415">
        <v>27.7</v>
      </c>
    </row>
    <row r="1416" spans="2:17" x14ac:dyDescent="0.25">
      <c r="B1416" t="s">
        <v>78</v>
      </c>
      <c r="C1416" t="s">
        <v>79</v>
      </c>
      <c r="D1416" t="s">
        <v>6648</v>
      </c>
      <c r="E1416" t="s">
        <v>6647</v>
      </c>
      <c r="F1416">
        <v>72.8</v>
      </c>
      <c r="G1416">
        <v>58.25</v>
      </c>
      <c r="H1416">
        <v>64</v>
      </c>
      <c r="I1416">
        <v>58.25</v>
      </c>
      <c r="J1416" s="1">
        <v>58.25</v>
      </c>
      <c r="K1416">
        <v>49763941.950000003</v>
      </c>
      <c r="L1416">
        <v>848645</v>
      </c>
      <c r="M1416" t="s">
        <v>78</v>
      </c>
      <c r="N1416" t="s">
        <v>17</v>
      </c>
      <c r="O1416">
        <v>1081</v>
      </c>
      <c r="P1416">
        <v>173</v>
      </c>
      <c r="Q1416">
        <v>58.25</v>
      </c>
    </row>
    <row r="1417" spans="2:17" x14ac:dyDescent="0.25">
      <c r="B1417" t="s">
        <v>78</v>
      </c>
      <c r="C1417" t="s">
        <v>79</v>
      </c>
      <c r="D1417" t="s">
        <v>3501</v>
      </c>
      <c r="E1417" t="s">
        <v>6646</v>
      </c>
      <c r="F1417">
        <v>67.650000000000006</v>
      </c>
      <c r="G1417">
        <v>67.5</v>
      </c>
      <c r="H1417">
        <v>68.3</v>
      </c>
      <c r="I1417">
        <v>64.3</v>
      </c>
      <c r="J1417" s="1">
        <v>64.3</v>
      </c>
      <c r="K1417">
        <v>17386459.350000001</v>
      </c>
      <c r="L1417">
        <v>266096</v>
      </c>
      <c r="M1417" t="s">
        <v>78</v>
      </c>
      <c r="N1417" t="s">
        <v>17</v>
      </c>
      <c r="O1417">
        <v>1376</v>
      </c>
      <c r="P1417">
        <v>76.400000000000006</v>
      </c>
      <c r="Q1417">
        <v>28</v>
      </c>
    </row>
    <row r="1418" spans="2:17" x14ac:dyDescent="0.25">
      <c r="B1418" t="s">
        <v>78</v>
      </c>
      <c r="C1418" t="s">
        <v>287</v>
      </c>
      <c r="D1418" t="s">
        <v>5332</v>
      </c>
      <c r="E1418" t="s">
        <v>6645</v>
      </c>
      <c r="F1418">
        <v>36.450000000000003</v>
      </c>
      <c r="G1418">
        <v>33.5</v>
      </c>
      <c r="H1418">
        <v>39.950000000000003</v>
      </c>
      <c r="I1418">
        <v>33.5</v>
      </c>
      <c r="J1418" s="1">
        <v>37</v>
      </c>
      <c r="K1418">
        <v>363900</v>
      </c>
      <c r="L1418">
        <v>10000</v>
      </c>
      <c r="M1418" t="s">
        <v>78</v>
      </c>
      <c r="N1418" t="s">
        <v>17</v>
      </c>
      <c r="O1418">
        <v>5</v>
      </c>
      <c r="P1418">
        <v>43.75</v>
      </c>
      <c r="Q1418">
        <v>22.05</v>
      </c>
    </row>
    <row r="1419" spans="2:17" x14ac:dyDescent="0.25">
      <c r="B1419" t="s">
        <v>78</v>
      </c>
      <c r="C1419" t="s">
        <v>79</v>
      </c>
      <c r="D1419" t="s">
        <v>3503</v>
      </c>
      <c r="E1419" t="s">
        <v>3504</v>
      </c>
      <c r="F1419">
        <v>6.4</v>
      </c>
      <c r="G1419">
        <v>6.1</v>
      </c>
      <c r="H1419">
        <v>6.1</v>
      </c>
      <c r="I1419">
        <v>6.1</v>
      </c>
      <c r="J1419" s="1">
        <v>6.1</v>
      </c>
      <c r="K1419">
        <v>30.5</v>
      </c>
      <c r="L1419">
        <v>5</v>
      </c>
      <c r="M1419" t="s">
        <v>78</v>
      </c>
      <c r="N1419" t="s">
        <v>17</v>
      </c>
      <c r="O1419">
        <v>1</v>
      </c>
      <c r="P1419">
        <v>6.8</v>
      </c>
      <c r="Q1419">
        <v>2.8</v>
      </c>
    </row>
    <row r="1420" spans="2:17" x14ac:dyDescent="0.25">
      <c r="B1420" t="s">
        <v>78</v>
      </c>
      <c r="C1420" t="s">
        <v>79</v>
      </c>
      <c r="D1420" t="s">
        <v>2621</v>
      </c>
      <c r="E1420" t="s">
        <v>2622</v>
      </c>
      <c r="F1420">
        <v>27.35</v>
      </c>
      <c r="G1420">
        <v>27.95</v>
      </c>
      <c r="H1420">
        <v>28.45</v>
      </c>
      <c r="I1420">
        <v>27.3</v>
      </c>
      <c r="J1420" s="1">
        <v>27.3</v>
      </c>
      <c r="K1420">
        <v>77817.850000000006</v>
      </c>
      <c r="L1420">
        <v>2824</v>
      </c>
      <c r="M1420" t="s">
        <v>78</v>
      </c>
      <c r="N1420" t="s">
        <v>17</v>
      </c>
      <c r="O1420">
        <v>47</v>
      </c>
      <c r="P1420">
        <v>54</v>
      </c>
      <c r="Q1420">
        <v>25.8</v>
      </c>
    </row>
    <row r="1421" spans="2:17" x14ac:dyDescent="0.25">
      <c r="B1421" t="s">
        <v>78</v>
      </c>
      <c r="C1421" t="s">
        <v>79</v>
      </c>
      <c r="D1421" t="s">
        <v>2623</v>
      </c>
      <c r="E1421" t="s">
        <v>2624</v>
      </c>
      <c r="F1421">
        <v>8585.0499999999993</v>
      </c>
      <c r="G1421">
        <v>8690</v>
      </c>
      <c r="H1421">
        <v>8740.0499999999993</v>
      </c>
      <c r="I1421">
        <v>8474.9</v>
      </c>
      <c r="J1421" s="1">
        <v>8502.9</v>
      </c>
      <c r="K1421">
        <v>2233516.5499999998</v>
      </c>
      <c r="L1421">
        <v>261</v>
      </c>
      <c r="M1421" t="s">
        <v>78</v>
      </c>
      <c r="N1421" t="s">
        <v>17</v>
      </c>
      <c r="O1421">
        <v>131</v>
      </c>
      <c r="P1421">
        <v>11382</v>
      </c>
      <c r="Q1421">
        <v>7000.1</v>
      </c>
    </row>
    <row r="1422" spans="2:17" x14ac:dyDescent="0.25">
      <c r="B1422" t="s">
        <v>78</v>
      </c>
      <c r="C1422" t="s">
        <v>79</v>
      </c>
      <c r="D1422" t="s">
        <v>2625</v>
      </c>
      <c r="E1422" t="s">
        <v>2626</v>
      </c>
      <c r="F1422">
        <v>602.70000000000005</v>
      </c>
      <c r="G1422">
        <v>607.54999999999995</v>
      </c>
      <c r="H1422">
        <v>609</v>
      </c>
      <c r="I1422">
        <v>590</v>
      </c>
      <c r="J1422" s="1">
        <v>592.65</v>
      </c>
      <c r="K1422">
        <v>232240719.19999999</v>
      </c>
      <c r="L1422">
        <v>388501</v>
      </c>
      <c r="M1422" t="s">
        <v>78</v>
      </c>
      <c r="N1422" t="s">
        <v>17</v>
      </c>
      <c r="O1422">
        <v>15408</v>
      </c>
      <c r="P1422">
        <v>782</v>
      </c>
      <c r="Q1422">
        <v>550.1</v>
      </c>
    </row>
    <row r="1423" spans="2:17" x14ac:dyDescent="0.25">
      <c r="B1423" t="s">
        <v>78</v>
      </c>
      <c r="C1423" t="s">
        <v>79</v>
      </c>
      <c r="D1423" t="s">
        <v>2627</v>
      </c>
      <c r="E1423" t="s">
        <v>2628</v>
      </c>
      <c r="F1423">
        <v>77.150000000000006</v>
      </c>
      <c r="G1423">
        <v>77.2</v>
      </c>
      <c r="H1423">
        <v>77.45</v>
      </c>
      <c r="I1423">
        <v>75.5</v>
      </c>
      <c r="J1423" s="1">
        <v>76.400000000000006</v>
      </c>
      <c r="K1423">
        <v>11714165.65</v>
      </c>
      <c r="L1423">
        <v>153503</v>
      </c>
      <c r="M1423" t="s">
        <v>78</v>
      </c>
      <c r="N1423" t="s">
        <v>17</v>
      </c>
      <c r="O1423">
        <v>1798</v>
      </c>
      <c r="P1423">
        <v>119.7</v>
      </c>
      <c r="Q1423">
        <v>72</v>
      </c>
    </row>
    <row r="1424" spans="2:17" x14ac:dyDescent="0.25">
      <c r="B1424" t="s">
        <v>78</v>
      </c>
      <c r="C1424" t="s">
        <v>79</v>
      </c>
      <c r="D1424" t="s">
        <v>2629</v>
      </c>
      <c r="E1424" t="s">
        <v>2630</v>
      </c>
      <c r="F1424">
        <v>476.8</v>
      </c>
      <c r="G1424">
        <v>475.1</v>
      </c>
      <c r="H1424">
        <v>484.85</v>
      </c>
      <c r="I1424">
        <v>464.05</v>
      </c>
      <c r="J1424" s="1">
        <v>472.15</v>
      </c>
      <c r="K1424">
        <v>47505366.75</v>
      </c>
      <c r="L1424">
        <v>99813</v>
      </c>
      <c r="M1424" t="s">
        <v>78</v>
      </c>
      <c r="N1424" t="s">
        <v>17</v>
      </c>
      <c r="O1424">
        <v>6458</v>
      </c>
      <c r="P1424">
        <v>627.70000000000005</v>
      </c>
      <c r="Q1424">
        <v>435.7</v>
      </c>
    </row>
    <row r="1425" spans="2:17" x14ac:dyDescent="0.25">
      <c r="B1425" t="s">
        <v>78</v>
      </c>
      <c r="C1425" t="s">
        <v>79</v>
      </c>
      <c r="D1425" t="s">
        <v>2631</v>
      </c>
      <c r="E1425" t="s">
        <v>2632</v>
      </c>
      <c r="F1425">
        <v>732.05</v>
      </c>
      <c r="G1425">
        <v>733</v>
      </c>
      <c r="H1425">
        <v>750</v>
      </c>
      <c r="I1425">
        <v>696.2</v>
      </c>
      <c r="J1425" s="1">
        <v>701.45</v>
      </c>
      <c r="K1425">
        <v>1800537465</v>
      </c>
      <c r="L1425">
        <v>2501071</v>
      </c>
      <c r="M1425" t="s">
        <v>78</v>
      </c>
      <c r="N1425" t="s">
        <v>17</v>
      </c>
      <c r="O1425">
        <v>82115</v>
      </c>
      <c r="P1425">
        <v>1490.9</v>
      </c>
      <c r="Q1425">
        <v>696.2</v>
      </c>
    </row>
    <row r="1426" spans="2:17" x14ac:dyDescent="0.25">
      <c r="B1426" t="s">
        <v>78</v>
      </c>
      <c r="C1426" t="s">
        <v>79</v>
      </c>
      <c r="D1426" t="s">
        <v>6644</v>
      </c>
      <c r="E1426" t="s">
        <v>6643</v>
      </c>
      <c r="F1426">
        <v>255.1</v>
      </c>
      <c r="G1426">
        <v>256</v>
      </c>
      <c r="H1426">
        <v>256.35000000000002</v>
      </c>
      <c r="I1426">
        <v>245.6</v>
      </c>
      <c r="J1426" s="1">
        <v>248.85</v>
      </c>
      <c r="K1426">
        <v>683964129.25</v>
      </c>
      <c r="L1426">
        <v>2750857</v>
      </c>
      <c r="M1426" t="s">
        <v>78</v>
      </c>
      <c r="N1426" t="s">
        <v>17</v>
      </c>
      <c r="O1426">
        <v>33298</v>
      </c>
      <c r="P1426">
        <v>277.39999999999998</v>
      </c>
      <c r="Q1426">
        <v>177.05</v>
      </c>
    </row>
    <row r="1427" spans="2:17" x14ac:dyDescent="0.25">
      <c r="B1427" t="s">
        <v>78</v>
      </c>
      <c r="C1427" t="s">
        <v>79</v>
      </c>
      <c r="D1427" t="s">
        <v>2633</v>
      </c>
      <c r="E1427" t="s">
        <v>2634</v>
      </c>
      <c r="F1427">
        <v>861.95</v>
      </c>
      <c r="G1427">
        <v>856.7</v>
      </c>
      <c r="H1427">
        <v>865</v>
      </c>
      <c r="I1427">
        <v>830</v>
      </c>
      <c r="J1427" s="1">
        <v>838.2</v>
      </c>
      <c r="K1427">
        <v>10765127.15</v>
      </c>
      <c r="L1427">
        <v>12811</v>
      </c>
      <c r="M1427" t="s">
        <v>78</v>
      </c>
      <c r="N1427" t="s">
        <v>17</v>
      </c>
      <c r="O1427">
        <v>937</v>
      </c>
      <c r="P1427">
        <v>933</v>
      </c>
      <c r="Q1427">
        <v>656</v>
      </c>
    </row>
    <row r="1428" spans="2:17" x14ac:dyDescent="0.25">
      <c r="B1428" t="s">
        <v>78</v>
      </c>
      <c r="C1428" t="s">
        <v>79</v>
      </c>
      <c r="D1428" t="s">
        <v>2635</v>
      </c>
      <c r="E1428" t="s">
        <v>2636</v>
      </c>
      <c r="F1428">
        <v>556.45000000000005</v>
      </c>
      <c r="G1428">
        <v>550.9</v>
      </c>
      <c r="H1428">
        <v>556.4</v>
      </c>
      <c r="I1428">
        <v>547</v>
      </c>
      <c r="J1428" s="1">
        <v>555.29999999999995</v>
      </c>
      <c r="K1428">
        <v>12579166.199999999</v>
      </c>
      <c r="L1428">
        <v>22669</v>
      </c>
      <c r="M1428" t="s">
        <v>78</v>
      </c>
      <c r="N1428" t="s">
        <v>17</v>
      </c>
      <c r="O1428">
        <v>1983</v>
      </c>
      <c r="P1428">
        <v>754</v>
      </c>
      <c r="Q1428">
        <v>541.79999999999995</v>
      </c>
    </row>
    <row r="1429" spans="2:17" x14ac:dyDescent="0.25">
      <c r="B1429" t="s">
        <v>78</v>
      </c>
      <c r="C1429" t="s">
        <v>79</v>
      </c>
      <c r="D1429" t="s">
        <v>2637</v>
      </c>
      <c r="E1429" t="s">
        <v>2638</v>
      </c>
      <c r="F1429">
        <v>76.900000000000006</v>
      </c>
      <c r="G1429">
        <v>77.2</v>
      </c>
      <c r="H1429">
        <v>77.599999999999994</v>
      </c>
      <c r="I1429">
        <v>73.349999999999994</v>
      </c>
      <c r="J1429" s="1">
        <v>73.7</v>
      </c>
      <c r="K1429">
        <v>228311705.09999999</v>
      </c>
      <c r="L1429">
        <v>3057508</v>
      </c>
      <c r="M1429" t="s">
        <v>78</v>
      </c>
      <c r="N1429" t="s">
        <v>17</v>
      </c>
      <c r="O1429">
        <v>16717</v>
      </c>
      <c r="P1429">
        <v>151.30000000000001</v>
      </c>
      <c r="Q1429">
        <v>71</v>
      </c>
    </row>
    <row r="1430" spans="2:17" x14ac:dyDescent="0.25">
      <c r="B1430" t="s">
        <v>78</v>
      </c>
      <c r="C1430" t="s">
        <v>79</v>
      </c>
      <c r="D1430" t="s">
        <v>2639</v>
      </c>
      <c r="E1430" t="s">
        <v>2640</v>
      </c>
      <c r="F1430">
        <v>66.349999999999994</v>
      </c>
      <c r="G1430">
        <v>66.349999999999994</v>
      </c>
      <c r="H1430">
        <v>67.3</v>
      </c>
      <c r="I1430">
        <v>65.2</v>
      </c>
      <c r="J1430" s="1">
        <v>66.55</v>
      </c>
      <c r="K1430">
        <v>413310288.44999999</v>
      </c>
      <c r="L1430">
        <v>6236877</v>
      </c>
      <c r="M1430" t="s">
        <v>78</v>
      </c>
      <c r="N1430" t="s">
        <v>17</v>
      </c>
      <c r="O1430">
        <v>17308</v>
      </c>
      <c r="P1430">
        <v>86.1</v>
      </c>
      <c r="Q1430">
        <v>59.8</v>
      </c>
    </row>
    <row r="1431" spans="2:17" x14ac:dyDescent="0.25">
      <c r="B1431" t="s">
        <v>78</v>
      </c>
      <c r="C1431" t="s">
        <v>79</v>
      </c>
      <c r="D1431" t="s">
        <v>6642</v>
      </c>
      <c r="E1431" t="s">
        <v>6641</v>
      </c>
      <c r="F1431">
        <v>501.15</v>
      </c>
      <c r="G1431">
        <v>503.05</v>
      </c>
      <c r="H1431">
        <v>508.5</v>
      </c>
      <c r="I1431">
        <v>495.25</v>
      </c>
      <c r="J1431" s="1">
        <v>497.55</v>
      </c>
      <c r="K1431">
        <v>24644130.399999999</v>
      </c>
      <c r="L1431">
        <v>49254</v>
      </c>
      <c r="M1431" t="s">
        <v>78</v>
      </c>
      <c r="N1431" t="s">
        <v>17</v>
      </c>
      <c r="O1431">
        <v>2019</v>
      </c>
      <c r="P1431">
        <v>1006.45</v>
      </c>
      <c r="Q1431">
        <v>495.25</v>
      </c>
    </row>
    <row r="1432" spans="2:17" x14ac:dyDescent="0.25">
      <c r="B1432" t="s">
        <v>78</v>
      </c>
      <c r="C1432" t="s">
        <v>862</v>
      </c>
      <c r="D1432" t="s">
        <v>166</v>
      </c>
      <c r="E1432" t="s">
        <v>6640</v>
      </c>
      <c r="F1432">
        <v>56.4</v>
      </c>
      <c r="G1432">
        <v>57.15</v>
      </c>
      <c r="H1432">
        <v>57.75</v>
      </c>
      <c r="I1432">
        <v>53.25</v>
      </c>
      <c r="J1432" s="1">
        <v>53.8</v>
      </c>
      <c r="K1432">
        <v>10302860.5</v>
      </c>
      <c r="L1432">
        <v>188362</v>
      </c>
      <c r="M1432" t="s">
        <v>78</v>
      </c>
      <c r="N1432" t="s">
        <v>17</v>
      </c>
      <c r="O1432">
        <v>1318</v>
      </c>
      <c r="P1432">
        <v>183.1</v>
      </c>
      <c r="Q1432">
        <v>30</v>
      </c>
    </row>
    <row r="1433" spans="2:17" x14ac:dyDescent="0.25">
      <c r="B1433" t="s">
        <v>78</v>
      </c>
      <c r="C1433" t="s">
        <v>79</v>
      </c>
      <c r="D1433" t="s">
        <v>2641</v>
      </c>
      <c r="E1433" t="s">
        <v>2642</v>
      </c>
      <c r="F1433">
        <v>28.45</v>
      </c>
      <c r="G1433">
        <v>28.75</v>
      </c>
      <c r="H1433">
        <v>28.75</v>
      </c>
      <c r="I1433">
        <v>27.7</v>
      </c>
      <c r="J1433" s="1">
        <v>28.3</v>
      </c>
      <c r="K1433">
        <v>24122995.100000001</v>
      </c>
      <c r="L1433">
        <v>858203</v>
      </c>
      <c r="M1433" t="s">
        <v>78</v>
      </c>
      <c r="N1433" t="s">
        <v>17</v>
      </c>
      <c r="O1433">
        <v>1386</v>
      </c>
      <c r="P1433">
        <v>45.75</v>
      </c>
      <c r="Q1433">
        <v>21.6</v>
      </c>
    </row>
    <row r="1434" spans="2:17" x14ac:dyDescent="0.25">
      <c r="B1434" t="s">
        <v>78</v>
      </c>
      <c r="C1434" t="s">
        <v>79</v>
      </c>
      <c r="D1434" t="s">
        <v>2643</v>
      </c>
      <c r="E1434" t="s">
        <v>2644</v>
      </c>
      <c r="F1434">
        <v>41.3</v>
      </c>
      <c r="G1434">
        <v>41.6</v>
      </c>
      <c r="H1434">
        <v>42</v>
      </c>
      <c r="I1434">
        <v>39.299999999999997</v>
      </c>
      <c r="J1434" s="1">
        <v>39.75</v>
      </c>
      <c r="K1434">
        <v>1644609.2</v>
      </c>
      <c r="L1434">
        <v>40833</v>
      </c>
      <c r="M1434" t="s">
        <v>78</v>
      </c>
      <c r="N1434" t="s">
        <v>17</v>
      </c>
      <c r="O1434">
        <v>484</v>
      </c>
      <c r="P1434">
        <v>84</v>
      </c>
      <c r="Q1434">
        <v>35.049999999999997</v>
      </c>
    </row>
    <row r="1435" spans="2:17" x14ac:dyDescent="0.25">
      <c r="B1435" t="s">
        <v>78</v>
      </c>
      <c r="C1435" t="s">
        <v>79</v>
      </c>
      <c r="D1435" t="s">
        <v>2645</v>
      </c>
      <c r="E1435" t="s">
        <v>2646</v>
      </c>
      <c r="F1435">
        <v>290.05</v>
      </c>
      <c r="G1435">
        <v>295</v>
      </c>
      <c r="H1435">
        <v>295</v>
      </c>
      <c r="I1435">
        <v>285.14999999999998</v>
      </c>
      <c r="J1435" s="1">
        <v>289.60000000000002</v>
      </c>
      <c r="K1435">
        <v>2492091.7000000002</v>
      </c>
      <c r="L1435">
        <v>8614</v>
      </c>
      <c r="M1435" t="s">
        <v>78</v>
      </c>
      <c r="N1435" t="s">
        <v>17</v>
      </c>
      <c r="O1435">
        <v>429</v>
      </c>
      <c r="P1435">
        <v>375.9</v>
      </c>
      <c r="Q1435">
        <v>230.5</v>
      </c>
    </row>
    <row r="1436" spans="2:17" x14ac:dyDescent="0.25">
      <c r="B1436" t="s">
        <v>78</v>
      </c>
      <c r="C1436" t="s">
        <v>79</v>
      </c>
      <c r="D1436" t="s">
        <v>2647</v>
      </c>
      <c r="E1436" t="s">
        <v>2648</v>
      </c>
      <c r="F1436">
        <v>349.8</v>
      </c>
      <c r="G1436">
        <v>342</v>
      </c>
      <c r="H1436">
        <v>371.5</v>
      </c>
      <c r="I1436">
        <v>342</v>
      </c>
      <c r="J1436" s="1">
        <v>350</v>
      </c>
      <c r="K1436">
        <v>70681.149999999994</v>
      </c>
      <c r="L1436">
        <v>197</v>
      </c>
      <c r="M1436" t="s">
        <v>78</v>
      </c>
      <c r="N1436" t="s">
        <v>17</v>
      </c>
      <c r="O1436">
        <v>11</v>
      </c>
      <c r="P1436">
        <v>529.85</v>
      </c>
      <c r="Q1436">
        <v>318</v>
      </c>
    </row>
    <row r="1437" spans="2:17" x14ac:dyDescent="0.25">
      <c r="B1437" t="s">
        <v>78</v>
      </c>
      <c r="C1437" t="s">
        <v>79</v>
      </c>
      <c r="D1437" t="s">
        <v>2649</v>
      </c>
      <c r="E1437" t="s">
        <v>2650</v>
      </c>
      <c r="F1437">
        <v>611.45000000000005</v>
      </c>
      <c r="G1437">
        <v>619</v>
      </c>
      <c r="H1437">
        <v>625</v>
      </c>
      <c r="I1437">
        <v>605</v>
      </c>
      <c r="J1437" s="1">
        <v>611.1</v>
      </c>
      <c r="K1437">
        <v>8396014.25</v>
      </c>
      <c r="L1437">
        <v>13705</v>
      </c>
      <c r="M1437" t="s">
        <v>78</v>
      </c>
      <c r="N1437" t="s">
        <v>17</v>
      </c>
      <c r="O1437">
        <v>944</v>
      </c>
      <c r="P1437">
        <v>767.7</v>
      </c>
      <c r="Q1437">
        <v>507.35</v>
      </c>
    </row>
    <row r="1438" spans="2:17" x14ac:dyDescent="0.25">
      <c r="B1438" t="s">
        <v>78</v>
      </c>
      <c r="C1438" t="s">
        <v>79</v>
      </c>
      <c r="D1438" t="s">
        <v>2651</v>
      </c>
      <c r="E1438" t="s">
        <v>2652</v>
      </c>
      <c r="F1438">
        <v>11.75</v>
      </c>
      <c r="G1438">
        <v>11.55</v>
      </c>
      <c r="H1438">
        <v>11.7</v>
      </c>
      <c r="I1438">
        <v>11.2</v>
      </c>
      <c r="J1438" s="1">
        <v>11.25</v>
      </c>
      <c r="K1438">
        <v>40519.65</v>
      </c>
      <c r="L1438">
        <v>3598</v>
      </c>
      <c r="M1438" t="s">
        <v>78</v>
      </c>
      <c r="N1438" t="s">
        <v>17</v>
      </c>
      <c r="O1438">
        <v>60</v>
      </c>
      <c r="P1438">
        <v>27.4</v>
      </c>
      <c r="Q1438">
        <v>10.5</v>
      </c>
    </row>
    <row r="1439" spans="2:17" x14ac:dyDescent="0.25">
      <c r="B1439" t="s">
        <v>78</v>
      </c>
      <c r="C1439" t="s">
        <v>79</v>
      </c>
      <c r="D1439" t="s">
        <v>2653</v>
      </c>
      <c r="E1439" t="s">
        <v>2654</v>
      </c>
      <c r="F1439">
        <v>787.95</v>
      </c>
      <c r="G1439">
        <v>773</v>
      </c>
      <c r="H1439">
        <v>785</v>
      </c>
      <c r="I1439">
        <v>771.1</v>
      </c>
      <c r="J1439" s="1">
        <v>774.75</v>
      </c>
      <c r="K1439">
        <v>698487.8</v>
      </c>
      <c r="L1439">
        <v>901</v>
      </c>
      <c r="M1439" t="s">
        <v>78</v>
      </c>
      <c r="N1439" t="s">
        <v>17</v>
      </c>
      <c r="O1439">
        <v>189</v>
      </c>
      <c r="P1439">
        <v>870</v>
      </c>
      <c r="Q1439">
        <v>544</v>
      </c>
    </row>
    <row r="1440" spans="2:17" x14ac:dyDescent="0.25">
      <c r="B1440" t="s">
        <v>78</v>
      </c>
      <c r="C1440" t="s">
        <v>79</v>
      </c>
      <c r="D1440" t="s">
        <v>2655</v>
      </c>
      <c r="E1440" t="s">
        <v>2656</v>
      </c>
      <c r="F1440">
        <v>321</v>
      </c>
      <c r="G1440">
        <v>322</v>
      </c>
      <c r="H1440">
        <v>322</v>
      </c>
      <c r="I1440">
        <v>304</v>
      </c>
      <c r="J1440" s="1">
        <v>312.75</v>
      </c>
      <c r="K1440">
        <v>359350.75</v>
      </c>
      <c r="L1440">
        <v>1139</v>
      </c>
      <c r="M1440" t="s">
        <v>78</v>
      </c>
      <c r="N1440" t="s">
        <v>17</v>
      </c>
      <c r="O1440">
        <v>203</v>
      </c>
      <c r="P1440">
        <v>518.79999999999995</v>
      </c>
      <c r="Q1440">
        <v>304</v>
      </c>
    </row>
    <row r="1441" spans="2:17" x14ac:dyDescent="0.25">
      <c r="B1441" t="s">
        <v>78</v>
      </c>
      <c r="C1441" t="s">
        <v>79</v>
      </c>
      <c r="D1441" t="s">
        <v>2657</v>
      </c>
      <c r="E1441" t="s">
        <v>2658</v>
      </c>
      <c r="F1441">
        <v>158.6</v>
      </c>
      <c r="G1441">
        <v>162</v>
      </c>
      <c r="H1441">
        <v>162</v>
      </c>
      <c r="I1441">
        <v>152.5</v>
      </c>
      <c r="J1441" s="1">
        <v>152.65</v>
      </c>
      <c r="K1441">
        <v>1601199.2</v>
      </c>
      <c r="L1441">
        <v>10398</v>
      </c>
      <c r="M1441" t="s">
        <v>78</v>
      </c>
      <c r="N1441" t="s">
        <v>17</v>
      </c>
      <c r="O1441">
        <v>251</v>
      </c>
      <c r="P1441">
        <v>169</v>
      </c>
      <c r="Q1441">
        <v>95</v>
      </c>
    </row>
    <row r="1442" spans="2:17" x14ac:dyDescent="0.25">
      <c r="B1442" t="s">
        <v>78</v>
      </c>
      <c r="C1442" t="s">
        <v>79</v>
      </c>
      <c r="D1442" t="s">
        <v>2659</v>
      </c>
      <c r="E1442" t="s">
        <v>2660</v>
      </c>
      <c r="F1442">
        <v>2997.75</v>
      </c>
      <c r="G1442">
        <v>2997</v>
      </c>
      <c r="H1442">
        <v>2999.8</v>
      </c>
      <c r="I1442">
        <v>2931</v>
      </c>
      <c r="J1442" s="1">
        <v>2945.9</v>
      </c>
      <c r="K1442">
        <v>12556143.6</v>
      </c>
      <c r="L1442">
        <v>4231</v>
      </c>
      <c r="M1442" t="s">
        <v>78</v>
      </c>
      <c r="N1442" t="s">
        <v>17</v>
      </c>
      <c r="O1442">
        <v>939</v>
      </c>
      <c r="P1442">
        <v>3210</v>
      </c>
      <c r="Q1442">
        <v>1989.65</v>
      </c>
    </row>
    <row r="1443" spans="2:17" x14ac:dyDescent="0.25">
      <c r="B1443" t="s">
        <v>783</v>
      </c>
      <c r="C1443" t="s">
        <v>79</v>
      </c>
      <c r="D1443" t="s">
        <v>3507</v>
      </c>
      <c r="E1443" t="s">
        <v>3508</v>
      </c>
      <c r="F1443">
        <v>3.2</v>
      </c>
      <c r="G1443">
        <v>3.05</v>
      </c>
      <c r="H1443">
        <v>3.2</v>
      </c>
      <c r="I1443">
        <v>3.05</v>
      </c>
      <c r="J1443" s="1">
        <v>3.1</v>
      </c>
      <c r="K1443">
        <v>4439.3999999999996</v>
      </c>
      <c r="L1443">
        <v>1399</v>
      </c>
      <c r="M1443" t="s">
        <v>78</v>
      </c>
      <c r="N1443" t="s">
        <v>17</v>
      </c>
      <c r="O1443">
        <v>8</v>
      </c>
      <c r="P1443">
        <v>7.7</v>
      </c>
      <c r="Q1443">
        <v>2.8</v>
      </c>
    </row>
    <row r="1444" spans="2:17" x14ac:dyDescent="0.25">
      <c r="B1444" t="s">
        <v>78</v>
      </c>
      <c r="C1444" t="s">
        <v>79</v>
      </c>
      <c r="D1444" t="s">
        <v>2661</v>
      </c>
      <c r="E1444" t="s">
        <v>2662</v>
      </c>
      <c r="F1444">
        <v>268.75</v>
      </c>
      <c r="G1444">
        <v>263.39999999999998</v>
      </c>
      <c r="H1444">
        <v>268.35000000000002</v>
      </c>
      <c r="I1444">
        <v>259.55</v>
      </c>
      <c r="J1444" s="1">
        <v>259.8</v>
      </c>
      <c r="K1444">
        <v>2613956.85</v>
      </c>
      <c r="L1444">
        <v>10044</v>
      </c>
      <c r="M1444" t="s">
        <v>78</v>
      </c>
      <c r="N1444" t="s">
        <v>17</v>
      </c>
      <c r="O1444">
        <v>1407</v>
      </c>
      <c r="P1444">
        <v>304</v>
      </c>
      <c r="Q1444">
        <v>215.6</v>
      </c>
    </row>
    <row r="1445" spans="2:17" x14ac:dyDescent="0.25">
      <c r="B1445" t="s">
        <v>78</v>
      </c>
      <c r="C1445" t="s">
        <v>79</v>
      </c>
      <c r="D1445" t="s">
        <v>3666</v>
      </c>
      <c r="E1445" t="s">
        <v>3667</v>
      </c>
      <c r="F1445">
        <v>17.899999999999999</v>
      </c>
      <c r="G1445">
        <v>17.100000000000001</v>
      </c>
      <c r="H1445">
        <v>17.100000000000001</v>
      </c>
      <c r="I1445">
        <v>17.05</v>
      </c>
      <c r="J1445" s="1">
        <v>17.05</v>
      </c>
      <c r="K1445">
        <v>43021.35</v>
      </c>
      <c r="L1445">
        <v>2521</v>
      </c>
      <c r="M1445" t="s">
        <v>78</v>
      </c>
      <c r="N1445" t="s">
        <v>17</v>
      </c>
      <c r="O1445">
        <v>31</v>
      </c>
      <c r="P1445">
        <v>189</v>
      </c>
      <c r="Q1445">
        <v>17.05</v>
      </c>
    </row>
    <row r="1446" spans="2:17" x14ac:dyDescent="0.25">
      <c r="B1446" t="s">
        <v>78</v>
      </c>
      <c r="C1446" t="s">
        <v>79</v>
      </c>
      <c r="D1446" t="s">
        <v>3509</v>
      </c>
      <c r="E1446" t="s">
        <v>3510</v>
      </c>
      <c r="F1446">
        <v>133.35</v>
      </c>
      <c r="G1446">
        <v>132</v>
      </c>
      <c r="H1446">
        <v>137.75</v>
      </c>
      <c r="I1446">
        <v>132</v>
      </c>
      <c r="J1446" s="1">
        <v>134.80000000000001</v>
      </c>
      <c r="K1446">
        <v>7728830.1500000004</v>
      </c>
      <c r="L1446">
        <v>57285</v>
      </c>
      <c r="M1446" t="s">
        <v>78</v>
      </c>
      <c r="N1446" t="s">
        <v>17</v>
      </c>
      <c r="O1446">
        <v>3880</v>
      </c>
      <c r="P1446">
        <v>322</v>
      </c>
      <c r="Q1446">
        <v>115</v>
      </c>
    </row>
    <row r="1447" spans="2:17" x14ac:dyDescent="0.25">
      <c r="B1447" t="s">
        <v>78</v>
      </c>
      <c r="C1447" t="s">
        <v>79</v>
      </c>
      <c r="D1447" t="s">
        <v>2663</v>
      </c>
      <c r="E1447" t="s">
        <v>2664</v>
      </c>
      <c r="F1447">
        <v>31.55</v>
      </c>
      <c r="G1447">
        <v>33</v>
      </c>
      <c r="H1447">
        <v>33</v>
      </c>
      <c r="I1447">
        <v>29.3</v>
      </c>
      <c r="J1447" s="1">
        <v>29.65</v>
      </c>
      <c r="K1447">
        <v>281705.40000000002</v>
      </c>
      <c r="L1447">
        <v>9404</v>
      </c>
      <c r="M1447" t="s">
        <v>78</v>
      </c>
      <c r="N1447" t="s">
        <v>17</v>
      </c>
      <c r="O1447">
        <v>152</v>
      </c>
      <c r="P1447">
        <v>59.45</v>
      </c>
      <c r="Q1447">
        <v>20.3</v>
      </c>
    </row>
    <row r="1448" spans="2:17" x14ac:dyDescent="0.25">
      <c r="B1448" t="s">
        <v>78</v>
      </c>
      <c r="C1448" t="s">
        <v>79</v>
      </c>
      <c r="D1448" t="s">
        <v>2665</v>
      </c>
      <c r="E1448" t="s">
        <v>2666</v>
      </c>
      <c r="F1448">
        <v>39</v>
      </c>
      <c r="G1448">
        <v>39.049999999999997</v>
      </c>
      <c r="H1448">
        <v>41.8</v>
      </c>
      <c r="I1448">
        <v>39</v>
      </c>
      <c r="J1448" s="1">
        <v>40</v>
      </c>
      <c r="K1448">
        <v>3589441.1</v>
      </c>
      <c r="L1448">
        <v>88803</v>
      </c>
      <c r="M1448" t="s">
        <v>78</v>
      </c>
      <c r="N1448" t="s">
        <v>17</v>
      </c>
      <c r="O1448">
        <v>216</v>
      </c>
      <c r="P1448">
        <v>72.5</v>
      </c>
      <c r="Q1448">
        <v>38.65</v>
      </c>
    </row>
    <row r="1449" spans="2:17" x14ac:dyDescent="0.25">
      <c r="B1449" t="s">
        <v>78</v>
      </c>
      <c r="C1449" t="s">
        <v>79</v>
      </c>
      <c r="D1449" t="s">
        <v>2667</v>
      </c>
      <c r="E1449" t="s">
        <v>2668</v>
      </c>
      <c r="F1449">
        <v>16.95</v>
      </c>
      <c r="G1449">
        <v>17</v>
      </c>
      <c r="H1449">
        <v>17</v>
      </c>
      <c r="I1449">
        <v>15.2</v>
      </c>
      <c r="J1449" s="1">
        <v>15.8</v>
      </c>
      <c r="K1449">
        <v>645903.55000000005</v>
      </c>
      <c r="L1449">
        <v>39793</v>
      </c>
      <c r="M1449" t="s">
        <v>78</v>
      </c>
      <c r="N1449" t="s">
        <v>17</v>
      </c>
      <c r="O1449">
        <v>286</v>
      </c>
      <c r="P1449">
        <v>39</v>
      </c>
      <c r="Q1449">
        <v>13.6</v>
      </c>
    </row>
    <row r="1450" spans="2:17" x14ac:dyDescent="0.25">
      <c r="B1450" t="s">
        <v>78</v>
      </c>
      <c r="C1450" t="s">
        <v>79</v>
      </c>
      <c r="D1450" t="s">
        <v>2669</v>
      </c>
      <c r="E1450" t="s">
        <v>2670</v>
      </c>
      <c r="F1450">
        <v>55.75</v>
      </c>
      <c r="G1450">
        <v>55.75</v>
      </c>
      <c r="H1450">
        <v>56</v>
      </c>
      <c r="I1450">
        <v>53</v>
      </c>
      <c r="J1450" s="1">
        <v>53.95</v>
      </c>
      <c r="K1450">
        <v>9233066.5500000007</v>
      </c>
      <c r="L1450">
        <v>170996</v>
      </c>
      <c r="M1450" t="s">
        <v>78</v>
      </c>
      <c r="N1450" t="s">
        <v>17</v>
      </c>
      <c r="O1450">
        <v>3887</v>
      </c>
      <c r="P1450">
        <v>81.95</v>
      </c>
      <c r="Q1450">
        <v>50.15</v>
      </c>
    </row>
    <row r="1451" spans="2:17" x14ac:dyDescent="0.25">
      <c r="B1451" t="s">
        <v>78</v>
      </c>
      <c r="C1451" t="s">
        <v>79</v>
      </c>
      <c r="D1451" t="s">
        <v>2671</v>
      </c>
      <c r="E1451" t="s">
        <v>2672</v>
      </c>
      <c r="F1451">
        <v>66</v>
      </c>
      <c r="G1451">
        <v>66.8</v>
      </c>
      <c r="H1451">
        <v>66.8</v>
      </c>
      <c r="I1451">
        <v>63.9</v>
      </c>
      <c r="J1451" s="1">
        <v>64.900000000000006</v>
      </c>
      <c r="K1451">
        <v>13669316.199999999</v>
      </c>
      <c r="L1451">
        <v>210383</v>
      </c>
      <c r="M1451" t="s">
        <v>78</v>
      </c>
      <c r="N1451" t="s">
        <v>17</v>
      </c>
      <c r="O1451">
        <v>854</v>
      </c>
      <c r="P1451">
        <v>154.69999999999999</v>
      </c>
      <c r="Q1451">
        <v>63.7</v>
      </c>
    </row>
    <row r="1452" spans="2:17" x14ac:dyDescent="0.25">
      <c r="B1452" t="s">
        <v>78</v>
      </c>
      <c r="C1452" t="s">
        <v>79</v>
      </c>
      <c r="D1452" t="s">
        <v>3513</v>
      </c>
      <c r="E1452" t="s">
        <v>3514</v>
      </c>
      <c r="F1452">
        <v>5.3</v>
      </c>
      <c r="G1452">
        <v>5.0999999999999996</v>
      </c>
      <c r="H1452">
        <v>5.35</v>
      </c>
      <c r="I1452">
        <v>5.05</v>
      </c>
      <c r="J1452" s="1">
        <v>5.05</v>
      </c>
      <c r="K1452">
        <v>19650.25</v>
      </c>
      <c r="L1452">
        <v>3877</v>
      </c>
      <c r="M1452" t="s">
        <v>78</v>
      </c>
      <c r="N1452" t="s">
        <v>17</v>
      </c>
      <c r="O1452">
        <v>16</v>
      </c>
      <c r="P1452">
        <v>9.6999999999999993</v>
      </c>
      <c r="Q1452">
        <v>3.65</v>
      </c>
    </row>
    <row r="1453" spans="2:17" x14ac:dyDescent="0.25">
      <c r="B1453" t="s">
        <v>78</v>
      </c>
      <c r="C1453" t="s">
        <v>79</v>
      </c>
      <c r="D1453" t="s">
        <v>3515</v>
      </c>
      <c r="E1453" t="s">
        <v>3516</v>
      </c>
      <c r="F1453">
        <v>4.8499999999999996</v>
      </c>
      <c r="G1453">
        <v>5</v>
      </c>
      <c r="H1453">
        <v>5.05</v>
      </c>
      <c r="I1453">
        <v>4.6500000000000004</v>
      </c>
      <c r="J1453" s="1">
        <v>4.6500000000000004</v>
      </c>
      <c r="K1453">
        <v>36615.050000000003</v>
      </c>
      <c r="L1453">
        <v>7401</v>
      </c>
      <c r="M1453" t="s">
        <v>78</v>
      </c>
      <c r="N1453" t="s">
        <v>17</v>
      </c>
      <c r="O1453">
        <v>19</v>
      </c>
      <c r="P1453">
        <v>29</v>
      </c>
      <c r="Q1453">
        <v>4.3499999999999996</v>
      </c>
    </row>
    <row r="1454" spans="2:17" x14ac:dyDescent="0.25">
      <c r="B1454" t="s">
        <v>78</v>
      </c>
      <c r="C1454" t="s">
        <v>79</v>
      </c>
      <c r="D1454" t="s">
        <v>2673</v>
      </c>
      <c r="E1454" t="s">
        <v>2674</v>
      </c>
      <c r="F1454">
        <v>324.3</v>
      </c>
      <c r="G1454">
        <v>329.95</v>
      </c>
      <c r="H1454">
        <v>330</v>
      </c>
      <c r="I1454">
        <v>310</v>
      </c>
      <c r="J1454" s="1">
        <v>312.95</v>
      </c>
      <c r="K1454">
        <v>187601.25</v>
      </c>
      <c r="L1454">
        <v>594</v>
      </c>
      <c r="M1454" t="s">
        <v>78</v>
      </c>
      <c r="N1454" t="s">
        <v>17</v>
      </c>
      <c r="O1454">
        <v>134</v>
      </c>
      <c r="P1454">
        <v>484.95</v>
      </c>
      <c r="Q1454">
        <v>271.10000000000002</v>
      </c>
    </row>
    <row r="1455" spans="2:17" x14ac:dyDescent="0.25">
      <c r="B1455" t="s">
        <v>78</v>
      </c>
      <c r="C1455" t="s">
        <v>79</v>
      </c>
      <c r="D1455" t="s">
        <v>2675</v>
      </c>
      <c r="E1455" t="s">
        <v>2676</v>
      </c>
      <c r="F1455">
        <v>135</v>
      </c>
      <c r="G1455">
        <v>134</v>
      </c>
      <c r="H1455">
        <v>138</v>
      </c>
      <c r="I1455">
        <v>121</v>
      </c>
      <c r="J1455" s="1">
        <v>134.69999999999999</v>
      </c>
      <c r="K1455">
        <v>1884858.45</v>
      </c>
      <c r="L1455">
        <v>14153</v>
      </c>
      <c r="M1455" t="s">
        <v>78</v>
      </c>
      <c r="N1455" t="s">
        <v>17</v>
      </c>
      <c r="O1455">
        <v>192</v>
      </c>
      <c r="P1455">
        <v>280</v>
      </c>
      <c r="Q1455">
        <v>111</v>
      </c>
    </row>
    <row r="1456" spans="2:17" x14ac:dyDescent="0.25">
      <c r="B1456" t="s">
        <v>78</v>
      </c>
      <c r="C1456" t="s">
        <v>79</v>
      </c>
      <c r="D1456" t="s">
        <v>2679</v>
      </c>
      <c r="E1456" t="s">
        <v>2680</v>
      </c>
      <c r="F1456">
        <v>264.25</v>
      </c>
      <c r="G1456">
        <v>260</v>
      </c>
      <c r="H1456">
        <v>263.89999999999998</v>
      </c>
      <c r="I1456">
        <v>240.1</v>
      </c>
      <c r="J1456" s="1">
        <v>242.15</v>
      </c>
      <c r="K1456">
        <v>7913901.9000000004</v>
      </c>
      <c r="L1456">
        <v>32089</v>
      </c>
      <c r="M1456" t="s">
        <v>78</v>
      </c>
      <c r="N1456" t="s">
        <v>17</v>
      </c>
      <c r="O1456">
        <v>1666</v>
      </c>
      <c r="P1456">
        <v>439</v>
      </c>
      <c r="Q1456">
        <v>161.15</v>
      </c>
    </row>
    <row r="1457" spans="2:17" x14ac:dyDescent="0.25">
      <c r="B1457" t="s">
        <v>78</v>
      </c>
      <c r="C1457" t="s">
        <v>79</v>
      </c>
      <c r="D1457" t="s">
        <v>2681</v>
      </c>
      <c r="E1457" t="s">
        <v>2682</v>
      </c>
      <c r="F1457">
        <v>1090.4000000000001</v>
      </c>
      <c r="G1457">
        <v>1105.3</v>
      </c>
      <c r="H1457">
        <v>1122.8499999999999</v>
      </c>
      <c r="I1457">
        <v>1080</v>
      </c>
      <c r="J1457" s="1">
        <v>1100.1500000000001</v>
      </c>
      <c r="K1457">
        <v>187024690.65000001</v>
      </c>
      <c r="L1457">
        <v>170022</v>
      </c>
      <c r="M1457" t="s">
        <v>78</v>
      </c>
      <c r="N1457" t="s">
        <v>17</v>
      </c>
      <c r="O1457">
        <v>6539</v>
      </c>
      <c r="P1457">
        <v>1206</v>
      </c>
      <c r="Q1457">
        <v>873.05</v>
      </c>
    </row>
    <row r="1458" spans="2:17" x14ac:dyDescent="0.25">
      <c r="B1458" t="s">
        <v>78</v>
      </c>
      <c r="C1458" t="s">
        <v>79</v>
      </c>
      <c r="D1458" t="s">
        <v>2683</v>
      </c>
      <c r="E1458" t="s">
        <v>2684</v>
      </c>
      <c r="F1458">
        <v>189.25</v>
      </c>
      <c r="G1458">
        <v>188.45</v>
      </c>
      <c r="H1458">
        <v>188.45</v>
      </c>
      <c r="I1458">
        <v>181.3</v>
      </c>
      <c r="J1458" s="1">
        <v>185.6</v>
      </c>
      <c r="K1458">
        <v>26310951.350000001</v>
      </c>
      <c r="L1458">
        <v>142514</v>
      </c>
      <c r="M1458" t="s">
        <v>78</v>
      </c>
      <c r="N1458" t="s">
        <v>17</v>
      </c>
      <c r="O1458">
        <v>4393</v>
      </c>
      <c r="P1458">
        <v>276.35000000000002</v>
      </c>
      <c r="Q1458">
        <v>168.4</v>
      </c>
    </row>
    <row r="1459" spans="2:17" x14ac:dyDescent="0.25">
      <c r="B1459" t="s">
        <v>78</v>
      </c>
      <c r="C1459" t="s">
        <v>79</v>
      </c>
      <c r="D1459" t="s">
        <v>2685</v>
      </c>
      <c r="E1459" t="s">
        <v>2686</v>
      </c>
      <c r="F1459">
        <v>460.15</v>
      </c>
      <c r="G1459">
        <v>460.05</v>
      </c>
      <c r="H1459">
        <v>463.95</v>
      </c>
      <c r="I1459">
        <v>440</v>
      </c>
      <c r="J1459" s="1">
        <v>442.4</v>
      </c>
      <c r="K1459">
        <v>4564215.2</v>
      </c>
      <c r="L1459">
        <v>10185</v>
      </c>
      <c r="M1459" t="s">
        <v>78</v>
      </c>
      <c r="N1459" t="s">
        <v>17</v>
      </c>
      <c r="O1459">
        <v>748</v>
      </c>
      <c r="P1459">
        <v>694.8</v>
      </c>
      <c r="Q1459">
        <v>425.05</v>
      </c>
    </row>
    <row r="1460" spans="2:17" x14ac:dyDescent="0.25">
      <c r="B1460" t="s">
        <v>78</v>
      </c>
      <c r="C1460" t="s">
        <v>79</v>
      </c>
      <c r="D1460" t="s">
        <v>2687</v>
      </c>
      <c r="E1460" t="s">
        <v>2688</v>
      </c>
      <c r="F1460">
        <v>13.15</v>
      </c>
      <c r="G1460">
        <v>13.15</v>
      </c>
      <c r="H1460">
        <v>13.75</v>
      </c>
      <c r="I1460">
        <v>12.7</v>
      </c>
      <c r="J1460" s="1">
        <v>13.5</v>
      </c>
      <c r="K1460">
        <v>955570.45</v>
      </c>
      <c r="L1460">
        <v>71281</v>
      </c>
      <c r="M1460" t="s">
        <v>78</v>
      </c>
      <c r="N1460" t="s">
        <v>17</v>
      </c>
      <c r="O1460">
        <v>172</v>
      </c>
      <c r="P1460">
        <v>18.899999999999999</v>
      </c>
      <c r="Q1460">
        <v>11.5</v>
      </c>
    </row>
    <row r="1461" spans="2:17" x14ac:dyDescent="0.25">
      <c r="B1461" t="s">
        <v>78</v>
      </c>
      <c r="C1461" t="s">
        <v>79</v>
      </c>
      <c r="D1461" t="s">
        <v>3519</v>
      </c>
      <c r="E1461" t="s">
        <v>3520</v>
      </c>
      <c r="F1461">
        <v>4843.3</v>
      </c>
      <c r="G1461">
        <v>4835.05</v>
      </c>
      <c r="H1461">
        <v>4869.5</v>
      </c>
      <c r="I1461">
        <v>4835.05</v>
      </c>
      <c r="J1461" s="1">
        <v>4836.6000000000004</v>
      </c>
      <c r="K1461">
        <v>2181287.0499999998</v>
      </c>
      <c r="L1461">
        <v>451</v>
      </c>
      <c r="M1461" t="s">
        <v>78</v>
      </c>
      <c r="N1461" t="s">
        <v>17</v>
      </c>
      <c r="O1461">
        <v>86</v>
      </c>
      <c r="P1461">
        <v>6143.75</v>
      </c>
      <c r="Q1461">
        <v>4769.1000000000004</v>
      </c>
    </row>
    <row r="1462" spans="2:17" x14ac:dyDescent="0.25">
      <c r="B1462" t="s">
        <v>78</v>
      </c>
      <c r="C1462" t="s">
        <v>79</v>
      </c>
      <c r="D1462" t="s">
        <v>2689</v>
      </c>
      <c r="E1462" t="s">
        <v>2690</v>
      </c>
      <c r="F1462">
        <v>386.55</v>
      </c>
      <c r="G1462">
        <v>383</v>
      </c>
      <c r="H1462">
        <v>383.45</v>
      </c>
      <c r="I1462">
        <v>311</v>
      </c>
      <c r="J1462" s="1">
        <v>351.5</v>
      </c>
      <c r="K1462">
        <v>13336801.800000001</v>
      </c>
      <c r="L1462">
        <v>38648</v>
      </c>
      <c r="M1462" t="s">
        <v>78</v>
      </c>
      <c r="N1462" t="s">
        <v>17</v>
      </c>
      <c r="O1462">
        <v>3176</v>
      </c>
      <c r="P1462">
        <v>649.79999999999995</v>
      </c>
      <c r="Q1462">
        <v>311</v>
      </c>
    </row>
    <row r="1463" spans="2:17" x14ac:dyDescent="0.25">
      <c r="B1463" t="s">
        <v>78</v>
      </c>
      <c r="C1463" t="s">
        <v>79</v>
      </c>
      <c r="D1463" t="s">
        <v>2691</v>
      </c>
      <c r="E1463" t="s">
        <v>2692</v>
      </c>
      <c r="F1463">
        <v>415.6</v>
      </c>
      <c r="G1463">
        <v>415.6</v>
      </c>
      <c r="H1463">
        <v>421.9</v>
      </c>
      <c r="I1463">
        <v>389.2</v>
      </c>
      <c r="J1463" s="1">
        <v>392.3</v>
      </c>
      <c r="K1463">
        <v>25966454.199999999</v>
      </c>
      <c r="L1463">
        <v>64920</v>
      </c>
      <c r="M1463" t="s">
        <v>78</v>
      </c>
      <c r="N1463" t="s">
        <v>17</v>
      </c>
      <c r="O1463">
        <v>2013</v>
      </c>
      <c r="P1463">
        <v>434</v>
      </c>
      <c r="Q1463">
        <v>222.3</v>
      </c>
    </row>
    <row r="1464" spans="2:17" x14ac:dyDescent="0.25">
      <c r="B1464" t="s">
        <v>78</v>
      </c>
      <c r="C1464" t="s">
        <v>79</v>
      </c>
      <c r="D1464" t="s">
        <v>2693</v>
      </c>
      <c r="E1464" t="s">
        <v>2694</v>
      </c>
      <c r="F1464">
        <v>11.5</v>
      </c>
      <c r="G1464">
        <v>11.1</v>
      </c>
      <c r="H1464">
        <v>11.6</v>
      </c>
      <c r="I1464">
        <v>10.7</v>
      </c>
      <c r="J1464" s="1">
        <v>11.55</v>
      </c>
      <c r="K1464">
        <v>95709.6</v>
      </c>
      <c r="L1464">
        <v>8515</v>
      </c>
      <c r="M1464" t="s">
        <v>78</v>
      </c>
      <c r="N1464" t="s">
        <v>17</v>
      </c>
      <c r="O1464">
        <v>82</v>
      </c>
      <c r="P1464">
        <v>26.45</v>
      </c>
      <c r="Q1464">
        <v>7.9</v>
      </c>
    </row>
    <row r="1465" spans="2:17" x14ac:dyDescent="0.25">
      <c r="B1465" t="s">
        <v>78</v>
      </c>
      <c r="C1465" t="s">
        <v>79</v>
      </c>
      <c r="D1465" t="s">
        <v>3521</v>
      </c>
      <c r="E1465" t="s">
        <v>3522</v>
      </c>
      <c r="F1465">
        <v>219.45</v>
      </c>
      <c r="G1465">
        <v>229.85</v>
      </c>
      <c r="H1465">
        <v>230.5</v>
      </c>
      <c r="I1465">
        <v>214</v>
      </c>
      <c r="J1465" s="1">
        <v>224.65</v>
      </c>
      <c r="K1465">
        <v>921568</v>
      </c>
      <c r="L1465">
        <v>4185</v>
      </c>
      <c r="M1465" t="s">
        <v>78</v>
      </c>
      <c r="N1465" t="s">
        <v>17</v>
      </c>
      <c r="O1465">
        <v>191</v>
      </c>
      <c r="P1465">
        <v>387.5</v>
      </c>
      <c r="Q1465">
        <v>207.35</v>
      </c>
    </row>
    <row r="1466" spans="2:17" x14ac:dyDescent="0.25">
      <c r="B1466" t="s">
        <v>78</v>
      </c>
      <c r="C1466" t="s">
        <v>79</v>
      </c>
      <c r="D1466" t="s">
        <v>2695</v>
      </c>
      <c r="E1466" t="s">
        <v>2696</v>
      </c>
      <c r="F1466">
        <v>33.85</v>
      </c>
      <c r="G1466">
        <v>33.799999999999997</v>
      </c>
      <c r="H1466">
        <v>34.4</v>
      </c>
      <c r="I1466">
        <v>32.450000000000003</v>
      </c>
      <c r="J1466" s="1">
        <v>34.4</v>
      </c>
      <c r="K1466">
        <v>6796.5</v>
      </c>
      <c r="L1466">
        <v>203</v>
      </c>
      <c r="M1466" t="s">
        <v>78</v>
      </c>
      <c r="N1466" t="s">
        <v>17</v>
      </c>
      <c r="O1466">
        <v>8</v>
      </c>
      <c r="P1466">
        <v>43.2</v>
      </c>
      <c r="Q1466">
        <v>24</v>
      </c>
    </row>
    <row r="1467" spans="2:17" x14ac:dyDescent="0.25">
      <c r="B1467" t="s">
        <v>78</v>
      </c>
      <c r="C1467" t="s">
        <v>79</v>
      </c>
      <c r="D1467" t="s">
        <v>2697</v>
      </c>
      <c r="E1467" t="s">
        <v>2698</v>
      </c>
      <c r="F1467">
        <v>81.55</v>
      </c>
      <c r="G1467">
        <v>81.55</v>
      </c>
      <c r="H1467">
        <v>82.65</v>
      </c>
      <c r="I1467">
        <v>77</v>
      </c>
      <c r="J1467" s="1">
        <v>79</v>
      </c>
      <c r="K1467">
        <v>10475613.15</v>
      </c>
      <c r="L1467">
        <v>132901</v>
      </c>
      <c r="M1467" t="s">
        <v>78</v>
      </c>
      <c r="N1467" t="s">
        <v>17</v>
      </c>
      <c r="O1467">
        <v>2577</v>
      </c>
      <c r="P1467">
        <v>164.6</v>
      </c>
      <c r="Q1467">
        <v>73.75</v>
      </c>
    </row>
    <row r="1468" spans="2:17" x14ac:dyDescent="0.25">
      <c r="B1468" t="s">
        <v>78</v>
      </c>
      <c r="C1468" t="s">
        <v>79</v>
      </c>
      <c r="D1468" t="s">
        <v>2699</v>
      </c>
      <c r="E1468" t="s">
        <v>2700</v>
      </c>
      <c r="F1468">
        <v>717.8</v>
      </c>
      <c r="G1468">
        <v>715.2</v>
      </c>
      <c r="H1468">
        <v>721.7</v>
      </c>
      <c r="I1468">
        <v>691</v>
      </c>
      <c r="J1468" s="1">
        <v>698.7</v>
      </c>
      <c r="K1468">
        <v>16208475.050000001</v>
      </c>
      <c r="L1468">
        <v>23103</v>
      </c>
      <c r="M1468" t="s">
        <v>78</v>
      </c>
      <c r="N1468" t="s">
        <v>17</v>
      </c>
      <c r="O1468">
        <v>1333</v>
      </c>
      <c r="P1468">
        <v>760</v>
      </c>
      <c r="Q1468">
        <v>500</v>
      </c>
    </row>
    <row r="1469" spans="2:17" x14ac:dyDescent="0.25">
      <c r="B1469" t="s">
        <v>78</v>
      </c>
      <c r="C1469" t="s">
        <v>79</v>
      </c>
      <c r="D1469" t="s">
        <v>2701</v>
      </c>
      <c r="E1469" t="s">
        <v>2702</v>
      </c>
      <c r="F1469">
        <v>125.3</v>
      </c>
      <c r="G1469">
        <v>125.95</v>
      </c>
      <c r="H1469">
        <v>126.4</v>
      </c>
      <c r="I1469">
        <v>122.05</v>
      </c>
      <c r="J1469" s="1">
        <v>122.25</v>
      </c>
      <c r="K1469">
        <v>15984719.300000001</v>
      </c>
      <c r="L1469">
        <v>129622</v>
      </c>
      <c r="M1469" t="s">
        <v>78</v>
      </c>
      <c r="N1469" t="s">
        <v>17</v>
      </c>
      <c r="O1469">
        <v>2182</v>
      </c>
      <c r="P1469">
        <v>213.6</v>
      </c>
      <c r="Q1469">
        <v>118.75</v>
      </c>
    </row>
    <row r="1470" spans="2:17" x14ac:dyDescent="0.25">
      <c r="B1470" t="s">
        <v>78</v>
      </c>
      <c r="C1470" t="s">
        <v>79</v>
      </c>
      <c r="D1470" t="s">
        <v>3523</v>
      </c>
      <c r="E1470" t="s">
        <v>5313</v>
      </c>
      <c r="F1470">
        <v>56.85</v>
      </c>
      <c r="G1470">
        <v>58.4</v>
      </c>
      <c r="H1470">
        <v>58.4</v>
      </c>
      <c r="I1470">
        <v>56.05</v>
      </c>
      <c r="J1470" s="1">
        <v>56.65</v>
      </c>
      <c r="K1470">
        <v>242882.75</v>
      </c>
      <c r="L1470">
        <v>4277</v>
      </c>
      <c r="M1470" t="s">
        <v>78</v>
      </c>
      <c r="N1470" t="s">
        <v>17</v>
      </c>
      <c r="O1470">
        <v>35</v>
      </c>
      <c r="P1470">
        <v>95.7</v>
      </c>
      <c r="Q1470">
        <v>55.4</v>
      </c>
    </row>
    <row r="1471" spans="2:17" x14ac:dyDescent="0.25">
      <c r="B1471" t="s">
        <v>78</v>
      </c>
      <c r="C1471" t="s">
        <v>79</v>
      </c>
      <c r="D1471" t="s">
        <v>2703</v>
      </c>
      <c r="E1471" t="s">
        <v>2704</v>
      </c>
      <c r="F1471">
        <v>71.75</v>
      </c>
      <c r="G1471">
        <v>72.099999999999994</v>
      </c>
      <c r="H1471">
        <v>72.25</v>
      </c>
      <c r="I1471">
        <v>69.3</v>
      </c>
      <c r="J1471" s="1">
        <v>69.75</v>
      </c>
      <c r="K1471">
        <v>11282882.6</v>
      </c>
      <c r="L1471">
        <v>161493</v>
      </c>
      <c r="M1471" t="s">
        <v>78</v>
      </c>
      <c r="N1471" t="s">
        <v>17</v>
      </c>
      <c r="O1471">
        <v>1753</v>
      </c>
      <c r="P1471">
        <v>1594.9</v>
      </c>
      <c r="Q1471">
        <v>67.25</v>
      </c>
    </row>
    <row r="1472" spans="2:17" x14ac:dyDescent="0.25">
      <c r="B1472" t="s">
        <v>78</v>
      </c>
      <c r="C1472" t="s">
        <v>287</v>
      </c>
      <c r="D1472" t="s">
        <v>3525</v>
      </c>
      <c r="E1472" t="s">
        <v>3526</v>
      </c>
      <c r="F1472">
        <v>48.75</v>
      </c>
      <c r="G1472">
        <v>48.2</v>
      </c>
      <c r="H1472">
        <v>48.2</v>
      </c>
      <c r="I1472">
        <v>48.2</v>
      </c>
      <c r="J1472" s="1">
        <v>48.2</v>
      </c>
      <c r="K1472">
        <v>96400</v>
      </c>
      <c r="L1472">
        <v>2000</v>
      </c>
      <c r="M1472" t="s">
        <v>78</v>
      </c>
      <c r="N1472" t="s">
        <v>17</v>
      </c>
      <c r="O1472">
        <v>1</v>
      </c>
      <c r="P1472">
        <v>53</v>
      </c>
      <c r="Q1472">
        <v>39.85</v>
      </c>
    </row>
    <row r="1473" spans="2:17" x14ac:dyDescent="0.25">
      <c r="B1473" t="s">
        <v>78</v>
      </c>
      <c r="C1473" t="s">
        <v>79</v>
      </c>
      <c r="D1473" t="s">
        <v>3527</v>
      </c>
      <c r="E1473" t="s">
        <v>3528</v>
      </c>
      <c r="F1473">
        <v>10.9</v>
      </c>
      <c r="G1473">
        <v>10.6</v>
      </c>
      <c r="H1473">
        <v>10.6</v>
      </c>
      <c r="I1473">
        <v>10</v>
      </c>
      <c r="J1473" s="1">
        <v>10.3</v>
      </c>
      <c r="K1473">
        <v>498410.6</v>
      </c>
      <c r="L1473">
        <v>48269</v>
      </c>
      <c r="M1473" t="s">
        <v>78</v>
      </c>
      <c r="N1473" t="s">
        <v>17</v>
      </c>
      <c r="O1473">
        <v>224</v>
      </c>
      <c r="P1473">
        <v>73.900000000000006</v>
      </c>
      <c r="Q1473">
        <v>10</v>
      </c>
    </row>
    <row r="1474" spans="2:17" x14ac:dyDescent="0.25">
      <c r="B1474" t="s">
        <v>78</v>
      </c>
      <c r="C1474" t="s">
        <v>79</v>
      </c>
      <c r="D1474" t="s">
        <v>2705</v>
      </c>
      <c r="E1474" t="s">
        <v>2706</v>
      </c>
      <c r="F1474">
        <v>33.450000000000003</v>
      </c>
      <c r="G1474">
        <v>33.950000000000003</v>
      </c>
      <c r="H1474">
        <v>33.950000000000003</v>
      </c>
      <c r="I1474">
        <v>32.200000000000003</v>
      </c>
      <c r="J1474" s="1">
        <v>32.549999999999997</v>
      </c>
      <c r="K1474">
        <v>1926523.85</v>
      </c>
      <c r="L1474">
        <v>58986</v>
      </c>
      <c r="M1474" t="s">
        <v>78</v>
      </c>
      <c r="N1474" t="s">
        <v>17</v>
      </c>
      <c r="O1474">
        <v>2602</v>
      </c>
      <c r="P1474">
        <v>47</v>
      </c>
      <c r="Q1474">
        <v>29.9</v>
      </c>
    </row>
    <row r="1475" spans="2:17" x14ac:dyDescent="0.25">
      <c r="B1475" t="s">
        <v>78</v>
      </c>
      <c r="C1475" t="s">
        <v>79</v>
      </c>
      <c r="D1475" t="s">
        <v>2707</v>
      </c>
      <c r="E1475" t="s">
        <v>2708</v>
      </c>
      <c r="F1475">
        <v>174.35</v>
      </c>
      <c r="G1475">
        <v>174.35</v>
      </c>
      <c r="H1475">
        <v>175.9</v>
      </c>
      <c r="I1475">
        <v>170.25</v>
      </c>
      <c r="J1475" s="1">
        <v>172.05</v>
      </c>
      <c r="K1475">
        <v>11165002.449999999</v>
      </c>
      <c r="L1475">
        <v>63891</v>
      </c>
      <c r="M1475" t="s">
        <v>78</v>
      </c>
      <c r="N1475" t="s">
        <v>17</v>
      </c>
      <c r="O1475">
        <v>7714</v>
      </c>
      <c r="P1475">
        <v>349</v>
      </c>
      <c r="Q1475">
        <v>166.3</v>
      </c>
    </row>
    <row r="1476" spans="2:17" x14ac:dyDescent="0.25">
      <c r="B1476" t="s">
        <v>78</v>
      </c>
      <c r="C1476" t="s">
        <v>79</v>
      </c>
      <c r="D1476" t="s">
        <v>2709</v>
      </c>
      <c r="E1476" t="s">
        <v>2710</v>
      </c>
      <c r="F1476">
        <v>51.75</v>
      </c>
      <c r="G1476">
        <v>50.6</v>
      </c>
      <c r="H1476">
        <v>52.55</v>
      </c>
      <c r="I1476">
        <v>49.1</v>
      </c>
      <c r="J1476" s="1">
        <v>49.75</v>
      </c>
      <c r="K1476">
        <v>569894.5</v>
      </c>
      <c r="L1476">
        <v>11426</v>
      </c>
      <c r="M1476" t="s">
        <v>78</v>
      </c>
      <c r="N1476" t="s">
        <v>17</v>
      </c>
      <c r="O1476">
        <v>67</v>
      </c>
      <c r="P1476">
        <v>73</v>
      </c>
      <c r="Q1476">
        <v>33.6</v>
      </c>
    </row>
    <row r="1477" spans="2:17" x14ac:dyDescent="0.25">
      <c r="B1477" t="s">
        <v>78</v>
      </c>
      <c r="C1477" t="s">
        <v>79</v>
      </c>
      <c r="D1477" t="s">
        <v>272</v>
      </c>
      <c r="E1477" t="s">
        <v>273</v>
      </c>
      <c r="F1477">
        <v>1545.2</v>
      </c>
      <c r="G1477">
        <v>1559</v>
      </c>
      <c r="H1477">
        <v>1567.15</v>
      </c>
      <c r="I1477">
        <v>1485.1</v>
      </c>
      <c r="J1477" s="1">
        <v>1515.45</v>
      </c>
      <c r="K1477">
        <v>597405652.85000002</v>
      </c>
      <c r="L1477">
        <v>390415</v>
      </c>
      <c r="M1477" t="s">
        <v>78</v>
      </c>
      <c r="N1477" t="s">
        <v>17</v>
      </c>
      <c r="O1477">
        <v>15543</v>
      </c>
      <c r="P1477">
        <v>1962</v>
      </c>
      <c r="Q1477">
        <v>1404.55</v>
      </c>
    </row>
    <row r="1478" spans="2:17" x14ac:dyDescent="0.25">
      <c r="B1478" t="s">
        <v>78</v>
      </c>
      <c r="C1478" t="s">
        <v>79</v>
      </c>
      <c r="D1478" t="s">
        <v>2711</v>
      </c>
      <c r="E1478" t="s">
        <v>2712</v>
      </c>
      <c r="F1478">
        <v>304.3</v>
      </c>
      <c r="G1478">
        <v>303.8</v>
      </c>
      <c r="H1478">
        <v>306.95</v>
      </c>
      <c r="I1478">
        <v>301.2</v>
      </c>
      <c r="J1478" s="1">
        <v>305.3</v>
      </c>
      <c r="K1478">
        <v>340163344.64999998</v>
      </c>
      <c r="L1478">
        <v>1116882</v>
      </c>
      <c r="M1478" t="s">
        <v>78</v>
      </c>
      <c r="N1478" t="s">
        <v>17</v>
      </c>
      <c r="O1478">
        <v>14566</v>
      </c>
      <c r="P1478">
        <v>313.7</v>
      </c>
      <c r="Q1478">
        <v>211.5</v>
      </c>
    </row>
    <row r="1479" spans="2:17" x14ac:dyDescent="0.25">
      <c r="B1479" t="s">
        <v>78</v>
      </c>
      <c r="C1479" t="s">
        <v>287</v>
      </c>
      <c r="D1479" t="s">
        <v>2713</v>
      </c>
      <c r="E1479" t="s">
        <v>2714</v>
      </c>
      <c r="F1479">
        <v>33.25</v>
      </c>
      <c r="G1479">
        <v>31.6</v>
      </c>
      <c r="H1479">
        <v>31.6</v>
      </c>
      <c r="I1479">
        <v>31.6</v>
      </c>
      <c r="J1479" s="1">
        <v>31.6</v>
      </c>
      <c r="K1479">
        <v>94800</v>
      </c>
      <c r="L1479">
        <v>3000</v>
      </c>
      <c r="M1479" t="s">
        <v>78</v>
      </c>
      <c r="N1479" t="s">
        <v>17</v>
      </c>
      <c r="O1479">
        <v>1</v>
      </c>
      <c r="P1479">
        <v>45.6</v>
      </c>
      <c r="Q1479">
        <v>24</v>
      </c>
    </row>
    <row r="1480" spans="2:17" x14ac:dyDescent="0.25">
      <c r="B1480" t="s">
        <v>78</v>
      </c>
      <c r="C1480" t="s">
        <v>79</v>
      </c>
      <c r="D1480" t="s">
        <v>2717</v>
      </c>
      <c r="E1480" t="s">
        <v>2718</v>
      </c>
      <c r="F1480">
        <v>119.1</v>
      </c>
      <c r="G1480">
        <v>117</v>
      </c>
      <c r="H1480">
        <v>120.35</v>
      </c>
      <c r="I1480">
        <v>110.1</v>
      </c>
      <c r="J1480" s="1">
        <v>110.7</v>
      </c>
      <c r="K1480">
        <v>1723980.6</v>
      </c>
      <c r="L1480">
        <v>15131</v>
      </c>
      <c r="M1480" t="s">
        <v>78</v>
      </c>
      <c r="N1480" t="s">
        <v>17</v>
      </c>
      <c r="O1480">
        <v>580</v>
      </c>
      <c r="P1480">
        <v>365.95</v>
      </c>
      <c r="Q1480">
        <v>106.15</v>
      </c>
    </row>
    <row r="1481" spans="2:17" x14ac:dyDescent="0.25">
      <c r="B1481" t="s">
        <v>78</v>
      </c>
      <c r="C1481" t="s">
        <v>287</v>
      </c>
      <c r="D1481" t="s">
        <v>2719</v>
      </c>
      <c r="E1481" t="s">
        <v>2720</v>
      </c>
      <c r="F1481">
        <v>4.45</v>
      </c>
      <c r="G1481">
        <v>4.25</v>
      </c>
      <c r="H1481">
        <v>4.6500000000000004</v>
      </c>
      <c r="I1481">
        <v>4.25</v>
      </c>
      <c r="J1481" s="1">
        <v>4.45</v>
      </c>
      <c r="K1481">
        <v>35600</v>
      </c>
      <c r="L1481">
        <v>8000</v>
      </c>
      <c r="M1481" t="s">
        <v>78</v>
      </c>
      <c r="N1481" t="s">
        <v>17</v>
      </c>
      <c r="O1481">
        <v>2</v>
      </c>
      <c r="P1481">
        <v>34.299999999999997</v>
      </c>
      <c r="Q1481">
        <v>4.05</v>
      </c>
    </row>
    <row r="1482" spans="2:17" x14ac:dyDescent="0.25">
      <c r="B1482" t="s">
        <v>78</v>
      </c>
      <c r="C1482" t="s">
        <v>79</v>
      </c>
      <c r="D1482" t="s">
        <v>3531</v>
      </c>
      <c r="E1482" t="s">
        <v>3532</v>
      </c>
      <c r="F1482">
        <v>5.2</v>
      </c>
      <c r="G1482">
        <v>5.05</v>
      </c>
      <c r="H1482">
        <v>5.25</v>
      </c>
      <c r="I1482">
        <v>4.95</v>
      </c>
      <c r="J1482" s="1">
        <v>5.15</v>
      </c>
      <c r="K1482">
        <v>306633.09999999998</v>
      </c>
      <c r="L1482">
        <v>60357</v>
      </c>
      <c r="M1482" t="s">
        <v>78</v>
      </c>
      <c r="N1482" t="s">
        <v>17</v>
      </c>
      <c r="O1482">
        <v>87</v>
      </c>
      <c r="P1482">
        <v>9.4</v>
      </c>
      <c r="Q1482">
        <v>3.45</v>
      </c>
    </row>
    <row r="1483" spans="2:17" x14ac:dyDescent="0.25">
      <c r="B1483" t="s">
        <v>78</v>
      </c>
      <c r="C1483" t="s">
        <v>79</v>
      </c>
      <c r="D1483" t="s">
        <v>2721</v>
      </c>
      <c r="E1483" t="s">
        <v>2722</v>
      </c>
      <c r="F1483">
        <v>15</v>
      </c>
      <c r="G1483">
        <v>16.45</v>
      </c>
      <c r="H1483">
        <v>16.45</v>
      </c>
      <c r="I1483">
        <v>14.05</v>
      </c>
      <c r="J1483" s="1">
        <v>15.25</v>
      </c>
      <c r="K1483">
        <v>196669.25</v>
      </c>
      <c r="L1483">
        <v>13012</v>
      </c>
      <c r="M1483" t="s">
        <v>78</v>
      </c>
      <c r="N1483" t="s">
        <v>17</v>
      </c>
      <c r="O1483">
        <v>118</v>
      </c>
      <c r="P1483">
        <v>69.900000000000006</v>
      </c>
      <c r="Q1483">
        <v>14</v>
      </c>
    </row>
    <row r="1484" spans="2:17" x14ac:dyDescent="0.25">
      <c r="B1484" t="s">
        <v>78</v>
      </c>
      <c r="C1484" t="s">
        <v>79</v>
      </c>
      <c r="D1484" t="s">
        <v>2723</v>
      </c>
      <c r="E1484" t="s">
        <v>2724</v>
      </c>
      <c r="F1484">
        <v>450.05</v>
      </c>
      <c r="G1484">
        <v>452</v>
      </c>
      <c r="H1484">
        <v>452</v>
      </c>
      <c r="I1484">
        <v>434.55</v>
      </c>
      <c r="J1484" s="1">
        <v>440.15</v>
      </c>
      <c r="K1484">
        <v>47165028.899999999</v>
      </c>
      <c r="L1484">
        <v>106626</v>
      </c>
      <c r="M1484" t="s">
        <v>78</v>
      </c>
      <c r="N1484" t="s">
        <v>183</v>
      </c>
      <c r="O1484">
        <v>7514</v>
      </c>
      <c r="P1484">
        <v>464.7</v>
      </c>
      <c r="Q1484">
        <v>315.05</v>
      </c>
    </row>
    <row r="1485" spans="2:17" x14ac:dyDescent="0.25">
      <c r="B1485" t="s">
        <v>78</v>
      </c>
      <c r="C1485" t="s">
        <v>79</v>
      </c>
      <c r="D1485" t="s">
        <v>3533</v>
      </c>
      <c r="E1485" t="s">
        <v>3534</v>
      </c>
      <c r="F1485">
        <v>105.9</v>
      </c>
      <c r="G1485">
        <v>107</v>
      </c>
      <c r="H1485">
        <v>107.7</v>
      </c>
      <c r="I1485">
        <v>100.7</v>
      </c>
      <c r="J1485" s="1">
        <v>101.7</v>
      </c>
      <c r="K1485">
        <v>3361937.55</v>
      </c>
      <c r="L1485">
        <v>32722</v>
      </c>
      <c r="M1485" t="s">
        <v>78</v>
      </c>
      <c r="N1485" t="s">
        <v>17</v>
      </c>
      <c r="O1485">
        <v>773</v>
      </c>
      <c r="P1485">
        <v>216.9</v>
      </c>
      <c r="Q1485">
        <v>94.65</v>
      </c>
    </row>
    <row r="1486" spans="2:17" x14ac:dyDescent="0.25">
      <c r="B1486" t="s">
        <v>78</v>
      </c>
      <c r="C1486" t="s">
        <v>79</v>
      </c>
      <c r="D1486" t="s">
        <v>2725</v>
      </c>
      <c r="E1486" t="s">
        <v>2726</v>
      </c>
      <c r="F1486">
        <v>60.1</v>
      </c>
      <c r="G1486">
        <v>60</v>
      </c>
      <c r="H1486">
        <v>60</v>
      </c>
      <c r="I1486">
        <v>52.55</v>
      </c>
      <c r="J1486" s="1">
        <v>54.5</v>
      </c>
      <c r="K1486">
        <v>86486468.75</v>
      </c>
      <c r="L1486">
        <v>1569094</v>
      </c>
      <c r="M1486" t="s">
        <v>78</v>
      </c>
      <c r="N1486" t="s">
        <v>17</v>
      </c>
      <c r="O1486">
        <v>10899</v>
      </c>
      <c r="P1486">
        <v>75.7</v>
      </c>
      <c r="Q1486">
        <v>52.15</v>
      </c>
    </row>
    <row r="1487" spans="2:17" x14ac:dyDescent="0.25">
      <c r="B1487" t="s">
        <v>78</v>
      </c>
      <c r="C1487" t="s">
        <v>79</v>
      </c>
      <c r="D1487" t="s">
        <v>2727</v>
      </c>
      <c r="E1487" t="s">
        <v>2728</v>
      </c>
      <c r="F1487">
        <v>54.1</v>
      </c>
      <c r="G1487">
        <v>55</v>
      </c>
      <c r="H1487">
        <v>55.05</v>
      </c>
      <c r="I1487">
        <v>52</v>
      </c>
      <c r="J1487" s="1">
        <v>52.35</v>
      </c>
      <c r="K1487">
        <v>2208069.75</v>
      </c>
      <c r="L1487">
        <v>41990</v>
      </c>
      <c r="M1487" t="s">
        <v>78</v>
      </c>
      <c r="N1487" t="s">
        <v>17</v>
      </c>
      <c r="O1487">
        <v>522</v>
      </c>
      <c r="P1487">
        <v>136.4</v>
      </c>
      <c r="Q1487">
        <v>51.05</v>
      </c>
    </row>
    <row r="1488" spans="2:17" x14ac:dyDescent="0.25">
      <c r="B1488" t="s">
        <v>78</v>
      </c>
      <c r="C1488" t="s">
        <v>79</v>
      </c>
      <c r="D1488" t="s">
        <v>2729</v>
      </c>
      <c r="E1488" t="s">
        <v>2730</v>
      </c>
      <c r="F1488">
        <v>10.45</v>
      </c>
      <c r="G1488">
        <v>10.75</v>
      </c>
      <c r="H1488">
        <v>10.75</v>
      </c>
      <c r="I1488">
        <v>9.9</v>
      </c>
      <c r="J1488" s="1">
        <v>9.9499999999999993</v>
      </c>
      <c r="K1488">
        <v>1012492.4</v>
      </c>
      <c r="L1488">
        <v>99456</v>
      </c>
      <c r="M1488" t="s">
        <v>78</v>
      </c>
      <c r="N1488" t="s">
        <v>17</v>
      </c>
      <c r="O1488">
        <v>180</v>
      </c>
      <c r="P1488">
        <v>26.3</v>
      </c>
      <c r="Q1488">
        <v>9.1999999999999993</v>
      </c>
    </row>
    <row r="1489" spans="2:17" x14ac:dyDescent="0.25">
      <c r="B1489" t="s">
        <v>78</v>
      </c>
      <c r="C1489" t="s">
        <v>79</v>
      </c>
      <c r="D1489" t="s">
        <v>2731</v>
      </c>
      <c r="E1489" t="s">
        <v>2732</v>
      </c>
      <c r="F1489">
        <v>97.6</v>
      </c>
      <c r="G1489">
        <v>97.6</v>
      </c>
      <c r="H1489">
        <v>104</v>
      </c>
      <c r="I1489">
        <v>96.55</v>
      </c>
      <c r="J1489" s="1">
        <v>102.75</v>
      </c>
      <c r="K1489">
        <v>4614415.3</v>
      </c>
      <c r="L1489">
        <v>45685</v>
      </c>
      <c r="M1489" t="s">
        <v>78</v>
      </c>
      <c r="N1489" t="s">
        <v>17</v>
      </c>
      <c r="O1489">
        <v>1123</v>
      </c>
      <c r="P1489">
        <v>128.80000000000001</v>
      </c>
      <c r="Q1489">
        <v>93.75</v>
      </c>
    </row>
    <row r="1490" spans="2:17" x14ac:dyDescent="0.25">
      <c r="B1490" t="s">
        <v>78</v>
      </c>
      <c r="C1490" t="s">
        <v>79</v>
      </c>
      <c r="D1490" t="s">
        <v>2733</v>
      </c>
      <c r="E1490" t="s">
        <v>2734</v>
      </c>
      <c r="F1490">
        <v>64.45</v>
      </c>
      <c r="G1490">
        <v>64</v>
      </c>
      <c r="H1490">
        <v>64.8</v>
      </c>
      <c r="I1490">
        <v>63</v>
      </c>
      <c r="J1490" s="1">
        <v>63.35</v>
      </c>
      <c r="K1490">
        <v>14739794.4</v>
      </c>
      <c r="L1490">
        <v>230824</v>
      </c>
      <c r="M1490" t="s">
        <v>78</v>
      </c>
      <c r="N1490" t="s">
        <v>17</v>
      </c>
      <c r="O1490">
        <v>2257</v>
      </c>
      <c r="P1490">
        <v>78.5</v>
      </c>
      <c r="Q1490">
        <v>34.049999999999997</v>
      </c>
    </row>
    <row r="1491" spans="2:17" x14ac:dyDescent="0.25">
      <c r="B1491" t="s">
        <v>78</v>
      </c>
      <c r="C1491" t="s">
        <v>79</v>
      </c>
      <c r="D1491" t="s">
        <v>2735</v>
      </c>
      <c r="E1491" t="s">
        <v>2736</v>
      </c>
      <c r="F1491">
        <v>549.65</v>
      </c>
      <c r="G1491">
        <v>549.04999999999995</v>
      </c>
      <c r="H1491">
        <v>549.04999999999995</v>
      </c>
      <c r="I1491">
        <v>525</v>
      </c>
      <c r="J1491" s="1">
        <v>529.1</v>
      </c>
      <c r="K1491">
        <v>602839.65</v>
      </c>
      <c r="L1491">
        <v>1129</v>
      </c>
      <c r="M1491" t="s">
        <v>78</v>
      </c>
      <c r="N1491" t="s">
        <v>17</v>
      </c>
      <c r="O1491">
        <v>269</v>
      </c>
      <c r="P1491">
        <v>1147</v>
      </c>
      <c r="Q1491">
        <v>525</v>
      </c>
    </row>
    <row r="1492" spans="2:17" x14ac:dyDescent="0.25">
      <c r="B1492" t="s">
        <v>78</v>
      </c>
      <c r="C1492" t="s">
        <v>79</v>
      </c>
      <c r="D1492" t="s">
        <v>2737</v>
      </c>
      <c r="E1492" t="s">
        <v>2738</v>
      </c>
      <c r="F1492">
        <v>6106.2</v>
      </c>
      <c r="G1492">
        <v>6102.3</v>
      </c>
      <c r="H1492">
        <v>6148</v>
      </c>
      <c r="I1492">
        <v>5965.95</v>
      </c>
      <c r="J1492" s="1">
        <v>6082.55</v>
      </c>
      <c r="K1492">
        <v>10487995.800000001</v>
      </c>
      <c r="L1492">
        <v>1731</v>
      </c>
      <c r="M1492" t="s">
        <v>78</v>
      </c>
      <c r="N1492" t="s">
        <v>17</v>
      </c>
      <c r="O1492">
        <v>971</v>
      </c>
      <c r="P1492">
        <v>9280</v>
      </c>
      <c r="Q1492">
        <v>5055</v>
      </c>
    </row>
    <row r="1493" spans="2:17" x14ac:dyDescent="0.25">
      <c r="B1493" t="s">
        <v>78</v>
      </c>
      <c r="C1493" t="s">
        <v>79</v>
      </c>
      <c r="D1493" t="s">
        <v>3535</v>
      </c>
      <c r="E1493" t="s">
        <v>3536</v>
      </c>
      <c r="F1493">
        <v>41.4</v>
      </c>
      <c r="G1493">
        <v>40.6</v>
      </c>
      <c r="H1493">
        <v>41.25</v>
      </c>
      <c r="I1493">
        <v>39.25</v>
      </c>
      <c r="J1493" s="1">
        <v>40.799999999999997</v>
      </c>
      <c r="K1493">
        <v>193470.25</v>
      </c>
      <c r="L1493">
        <v>4785</v>
      </c>
      <c r="M1493" t="s">
        <v>78</v>
      </c>
      <c r="N1493" t="s">
        <v>17</v>
      </c>
      <c r="O1493">
        <v>132</v>
      </c>
      <c r="P1493">
        <v>92</v>
      </c>
      <c r="Q1493">
        <v>39.25</v>
      </c>
    </row>
    <row r="1494" spans="2:17" x14ac:dyDescent="0.25">
      <c r="B1494" t="s">
        <v>78</v>
      </c>
      <c r="C1494" t="s">
        <v>79</v>
      </c>
      <c r="D1494" t="s">
        <v>2739</v>
      </c>
      <c r="E1494" t="s">
        <v>2740</v>
      </c>
      <c r="F1494">
        <v>22.75</v>
      </c>
      <c r="G1494">
        <v>22.85</v>
      </c>
      <c r="H1494">
        <v>22.95</v>
      </c>
      <c r="I1494">
        <v>21.55</v>
      </c>
      <c r="J1494" s="1">
        <v>21.8</v>
      </c>
      <c r="K1494">
        <v>38877484.399999999</v>
      </c>
      <c r="L1494">
        <v>1754191</v>
      </c>
      <c r="M1494" t="s">
        <v>78</v>
      </c>
      <c r="N1494" t="s">
        <v>17</v>
      </c>
      <c r="O1494">
        <v>4442</v>
      </c>
      <c r="P1494">
        <v>51.6</v>
      </c>
      <c r="Q1494">
        <v>21.55</v>
      </c>
    </row>
    <row r="1495" spans="2:17" x14ac:dyDescent="0.25">
      <c r="B1495" t="s">
        <v>78</v>
      </c>
      <c r="C1495" t="s">
        <v>79</v>
      </c>
      <c r="D1495" t="s">
        <v>2741</v>
      </c>
      <c r="E1495" t="s">
        <v>2742</v>
      </c>
      <c r="F1495">
        <v>151</v>
      </c>
      <c r="G1495">
        <v>150.5</v>
      </c>
      <c r="H1495">
        <v>153</v>
      </c>
      <c r="I1495">
        <v>145.05000000000001</v>
      </c>
      <c r="J1495" s="1">
        <v>146.35</v>
      </c>
      <c r="K1495">
        <v>5601604.8499999996</v>
      </c>
      <c r="L1495">
        <v>37993</v>
      </c>
      <c r="M1495" t="s">
        <v>78</v>
      </c>
      <c r="N1495" t="s">
        <v>17</v>
      </c>
      <c r="O1495">
        <v>1456</v>
      </c>
      <c r="P1495">
        <v>402</v>
      </c>
      <c r="Q1495">
        <v>143.30000000000001</v>
      </c>
    </row>
    <row r="1496" spans="2:17" x14ac:dyDescent="0.25">
      <c r="B1496" t="s">
        <v>78</v>
      </c>
      <c r="C1496" t="s">
        <v>79</v>
      </c>
      <c r="D1496" t="s">
        <v>2743</v>
      </c>
      <c r="E1496" t="s">
        <v>2744</v>
      </c>
      <c r="F1496">
        <v>414.25</v>
      </c>
      <c r="G1496">
        <v>415.45</v>
      </c>
      <c r="H1496">
        <v>416.75</v>
      </c>
      <c r="I1496">
        <v>392</v>
      </c>
      <c r="J1496" s="1">
        <v>396.2</v>
      </c>
      <c r="K1496">
        <v>676759190.89999998</v>
      </c>
      <c r="L1496">
        <v>1683306</v>
      </c>
      <c r="M1496" t="s">
        <v>78</v>
      </c>
      <c r="N1496" t="s">
        <v>17</v>
      </c>
      <c r="O1496">
        <v>28237</v>
      </c>
      <c r="P1496">
        <v>604.70000000000005</v>
      </c>
      <c r="Q1496">
        <v>392</v>
      </c>
    </row>
    <row r="1497" spans="2:17" x14ac:dyDescent="0.25">
      <c r="B1497" t="s">
        <v>78</v>
      </c>
      <c r="C1497" t="s">
        <v>79</v>
      </c>
      <c r="D1497" t="s">
        <v>2745</v>
      </c>
      <c r="E1497" t="s">
        <v>2746</v>
      </c>
      <c r="F1497">
        <v>1849.15</v>
      </c>
      <c r="G1497">
        <v>1849.15</v>
      </c>
      <c r="H1497">
        <v>1878.5</v>
      </c>
      <c r="I1497">
        <v>1821.65</v>
      </c>
      <c r="J1497" s="1">
        <v>1832.4</v>
      </c>
      <c r="K1497">
        <v>2885352.25</v>
      </c>
      <c r="L1497">
        <v>1570</v>
      </c>
      <c r="M1497" t="s">
        <v>78</v>
      </c>
      <c r="N1497" t="s">
        <v>17</v>
      </c>
      <c r="O1497">
        <v>391</v>
      </c>
      <c r="P1497">
        <v>3307</v>
      </c>
      <c r="Q1497">
        <v>1775</v>
      </c>
    </row>
    <row r="1498" spans="2:17" x14ac:dyDescent="0.25">
      <c r="B1498" t="s">
        <v>78</v>
      </c>
      <c r="C1498" t="s">
        <v>79</v>
      </c>
      <c r="D1498" t="s">
        <v>2747</v>
      </c>
      <c r="E1498" t="s">
        <v>2748</v>
      </c>
      <c r="F1498">
        <v>281.25</v>
      </c>
      <c r="G1498">
        <v>279.2</v>
      </c>
      <c r="H1498">
        <v>284</v>
      </c>
      <c r="I1498">
        <v>277.89999999999998</v>
      </c>
      <c r="J1498" s="1">
        <v>283.25</v>
      </c>
      <c r="K1498">
        <v>5879205.5499999998</v>
      </c>
      <c r="L1498">
        <v>20858</v>
      </c>
      <c r="M1498" t="s">
        <v>78</v>
      </c>
      <c r="N1498" t="s">
        <v>17</v>
      </c>
      <c r="O1498">
        <v>1180</v>
      </c>
      <c r="P1498">
        <v>461.15</v>
      </c>
      <c r="Q1498">
        <v>238.15</v>
      </c>
    </row>
    <row r="1499" spans="2:17" x14ac:dyDescent="0.25">
      <c r="B1499" t="s">
        <v>783</v>
      </c>
      <c r="C1499" t="s">
        <v>79</v>
      </c>
      <c r="D1499" t="s">
        <v>3539</v>
      </c>
      <c r="E1499" t="s">
        <v>3540</v>
      </c>
      <c r="F1499">
        <v>2.15</v>
      </c>
      <c r="G1499">
        <v>2.0499999999999998</v>
      </c>
      <c r="H1499">
        <v>2.25</v>
      </c>
      <c r="I1499">
        <v>2.0499999999999998</v>
      </c>
      <c r="J1499" s="1">
        <v>2.25</v>
      </c>
      <c r="K1499">
        <v>455</v>
      </c>
      <c r="L1499">
        <v>220</v>
      </c>
      <c r="M1499" t="s">
        <v>78</v>
      </c>
      <c r="N1499" t="s">
        <v>17</v>
      </c>
      <c r="O1499">
        <v>2</v>
      </c>
      <c r="P1499">
        <v>7</v>
      </c>
      <c r="Q1499">
        <v>2.0499999999999998</v>
      </c>
    </row>
    <row r="1500" spans="2:17" x14ac:dyDescent="0.25">
      <c r="B1500" t="s">
        <v>78</v>
      </c>
      <c r="C1500" t="s">
        <v>79</v>
      </c>
      <c r="D1500" t="s">
        <v>2749</v>
      </c>
      <c r="E1500" t="s">
        <v>2750</v>
      </c>
      <c r="F1500">
        <v>43.35</v>
      </c>
      <c r="G1500">
        <v>43.35</v>
      </c>
      <c r="H1500">
        <v>44</v>
      </c>
      <c r="I1500">
        <v>41.5</v>
      </c>
      <c r="J1500" s="1">
        <v>41.9</v>
      </c>
      <c r="K1500">
        <v>12433879.800000001</v>
      </c>
      <c r="L1500">
        <v>293132</v>
      </c>
      <c r="M1500" t="s">
        <v>78</v>
      </c>
      <c r="N1500" t="s">
        <v>17</v>
      </c>
      <c r="O1500">
        <v>2365</v>
      </c>
      <c r="P1500">
        <v>97.2</v>
      </c>
      <c r="Q1500">
        <v>41.5</v>
      </c>
    </row>
    <row r="1501" spans="2:17" x14ac:dyDescent="0.25">
      <c r="B1501" t="s">
        <v>78</v>
      </c>
      <c r="C1501" t="s">
        <v>79</v>
      </c>
      <c r="D1501" t="s">
        <v>2751</v>
      </c>
      <c r="E1501" t="s">
        <v>2752</v>
      </c>
      <c r="F1501">
        <v>130.9</v>
      </c>
      <c r="G1501">
        <v>131.75</v>
      </c>
      <c r="H1501">
        <v>131.80000000000001</v>
      </c>
      <c r="I1501">
        <v>124</v>
      </c>
      <c r="J1501" s="1">
        <v>125.4</v>
      </c>
      <c r="K1501">
        <v>2846611.95</v>
      </c>
      <c r="L1501">
        <v>22568</v>
      </c>
      <c r="M1501" t="s">
        <v>78</v>
      </c>
      <c r="N1501" t="s">
        <v>17</v>
      </c>
      <c r="O1501">
        <v>909</v>
      </c>
      <c r="P1501">
        <v>255.5</v>
      </c>
      <c r="Q1501">
        <v>124</v>
      </c>
    </row>
    <row r="1502" spans="2:17" x14ac:dyDescent="0.25">
      <c r="B1502" t="s">
        <v>78</v>
      </c>
      <c r="C1502" t="s">
        <v>79</v>
      </c>
      <c r="D1502" t="s">
        <v>2755</v>
      </c>
      <c r="E1502" t="s">
        <v>2756</v>
      </c>
      <c r="F1502">
        <v>18.05</v>
      </c>
      <c r="G1502">
        <v>18.149999999999999</v>
      </c>
      <c r="H1502">
        <v>18.149999999999999</v>
      </c>
      <c r="I1502">
        <v>17.8</v>
      </c>
      <c r="J1502" s="1">
        <v>17.850000000000001</v>
      </c>
      <c r="K1502">
        <v>4996636.05</v>
      </c>
      <c r="L1502">
        <v>278042</v>
      </c>
      <c r="M1502" t="s">
        <v>78</v>
      </c>
      <c r="N1502" t="s">
        <v>17</v>
      </c>
      <c r="O1502">
        <v>1091</v>
      </c>
      <c r="P1502">
        <v>23.5</v>
      </c>
      <c r="Q1502">
        <v>15.25</v>
      </c>
    </row>
    <row r="1503" spans="2:17" x14ac:dyDescent="0.25">
      <c r="B1503" t="s">
        <v>78</v>
      </c>
      <c r="C1503" t="s">
        <v>79</v>
      </c>
      <c r="D1503" t="s">
        <v>2757</v>
      </c>
      <c r="E1503" t="s">
        <v>2758</v>
      </c>
      <c r="F1503">
        <v>221.45</v>
      </c>
      <c r="G1503">
        <v>220.1</v>
      </c>
      <c r="H1503">
        <v>224.45</v>
      </c>
      <c r="I1503">
        <v>218</v>
      </c>
      <c r="J1503" s="1">
        <v>218.5</v>
      </c>
      <c r="K1503">
        <v>10726675.550000001</v>
      </c>
      <c r="L1503">
        <v>48778</v>
      </c>
      <c r="M1503" t="s">
        <v>78</v>
      </c>
      <c r="N1503" t="s">
        <v>17</v>
      </c>
      <c r="O1503">
        <v>1758</v>
      </c>
      <c r="P1503">
        <v>355</v>
      </c>
      <c r="Q1503">
        <v>183.7</v>
      </c>
    </row>
    <row r="1504" spans="2:17" x14ac:dyDescent="0.25">
      <c r="B1504" t="s">
        <v>78</v>
      </c>
      <c r="C1504" t="s">
        <v>79</v>
      </c>
      <c r="D1504" t="s">
        <v>2759</v>
      </c>
      <c r="E1504" t="s">
        <v>2760</v>
      </c>
      <c r="F1504">
        <v>176.2</v>
      </c>
      <c r="G1504">
        <v>175.05</v>
      </c>
      <c r="H1504">
        <v>176.5</v>
      </c>
      <c r="I1504">
        <v>171</v>
      </c>
      <c r="J1504" s="1">
        <v>172.65</v>
      </c>
      <c r="K1504">
        <v>2820369.35</v>
      </c>
      <c r="L1504">
        <v>16301</v>
      </c>
      <c r="M1504" t="s">
        <v>78</v>
      </c>
      <c r="N1504" t="s">
        <v>17</v>
      </c>
      <c r="O1504">
        <v>917</v>
      </c>
      <c r="P1504">
        <v>403.8</v>
      </c>
      <c r="Q1504">
        <v>164.1</v>
      </c>
    </row>
    <row r="1505" spans="2:17" x14ac:dyDescent="0.25">
      <c r="B1505" t="s">
        <v>78</v>
      </c>
      <c r="C1505" t="s">
        <v>79</v>
      </c>
      <c r="D1505" t="s">
        <v>2761</v>
      </c>
      <c r="E1505" t="s">
        <v>2762</v>
      </c>
      <c r="F1505">
        <v>13.85</v>
      </c>
      <c r="G1505">
        <v>13.95</v>
      </c>
      <c r="H1505">
        <v>14</v>
      </c>
      <c r="I1505">
        <v>13.6</v>
      </c>
      <c r="J1505" s="1">
        <v>13.7</v>
      </c>
      <c r="K1505">
        <v>727196.3</v>
      </c>
      <c r="L1505">
        <v>53074</v>
      </c>
      <c r="M1505" t="s">
        <v>78</v>
      </c>
      <c r="N1505" t="s">
        <v>17</v>
      </c>
      <c r="O1505">
        <v>285</v>
      </c>
      <c r="P1505">
        <v>21</v>
      </c>
      <c r="Q1505">
        <v>11.5</v>
      </c>
    </row>
    <row r="1506" spans="2:17" x14ac:dyDescent="0.25">
      <c r="B1506" t="s">
        <v>78</v>
      </c>
      <c r="C1506" t="s">
        <v>79</v>
      </c>
      <c r="D1506" t="s">
        <v>3541</v>
      </c>
      <c r="E1506" t="s">
        <v>3542</v>
      </c>
      <c r="F1506">
        <v>5.2</v>
      </c>
      <c r="G1506">
        <v>5.25</v>
      </c>
      <c r="H1506">
        <v>5.25</v>
      </c>
      <c r="I1506">
        <v>4.95</v>
      </c>
      <c r="J1506" s="1">
        <v>5.05</v>
      </c>
      <c r="K1506">
        <v>766660.55</v>
      </c>
      <c r="L1506">
        <v>151518</v>
      </c>
      <c r="M1506" t="s">
        <v>78</v>
      </c>
      <c r="N1506" t="s">
        <v>17</v>
      </c>
      <c r="O1506">
        <v>282</v>
      </c>
      <c r="P1506">
        <v>12.35</v>
      </c>
      <c r="Q1506">
        <v>4.8</v>
      </c>
    </row>
    <row r="1507" spans="2:17" x14ac:dyDescent="0.25">
      <c r="B1507" t="s">
        <v>78</v>
      </c>
      <c r="C1507" t="s">
        <v>79</v>
      </c>
      <c r="D1507" t="s">
        <v>2763</v>
      </c>
      <c r="E1507" t="s">
        <v>2764</v>
      </c>
      <c r="F1507">
        <v>285.64999999999998</v>
      </c>
      <c r="G1507">
        <v>288</v>
      </c>
      <c r="H1507">
        <v>288.60000000000002</v>
      </c>
      <c r="I1507">
        <v>268.14999999999998</v>
      </c>
      <c r="J1507" s="1">
        <v>272.2</v>
      </c>
      <c r="K1507">
        <v>548086638.10000002</v>
      </c>
      <c r="L1507">
        <v>1987453</v>
      </c>
      <c r="M1507" t="s">
        <v>78</v>
      </c>
      <c r="N1507" t="s">
        <v>17</v>
      </c>
      <c r="O1507">
        <v>21047</v>
      </c>
      <c r="P1507">
        <v>406.8</v>
      </c>
      <c r="Q1507">
        <v>166.5</v>
      </c>
    </row>
    <row r="1508" spans="2:17" x14ac:dyDescent="0.25">
      <c r="B1508" t="s">
        <v>78</v>
      </c>
      <c r="C1508" t="s">
        <v>79</v>
      </c>
      <c r="D1508" t="s">
        <v>2767</v>
      </c>
      <c r="E1508" t="s">
        <v>2768</v>
      </c>
      <c r="F1508">
        <v>49</v>
      </c>
      <c r="G1508">
        <v>48.05</v>
      </c>
      <c r="H1508">
        <v>49.5</v>
      </c>
      <c r="I1508">
        <v>47.05</v>
      </c>
      <c r="J1508" s="1">
        <v>47.3</v>
      </c>
      <c r="K1508">
        <v>335126.55</v>
      </c>
      <c r="L1508">
        <v>6991</v>
      </c>
      <c r="M1508" t="s">
        <v>78</v>
      </c>
      <c r="N1508" t="s">
        <v>17</v>
      </c>
      <c r="O1508">
        <v>92</v>
      </c>
      <c r="P1508">
        <v>92.95</v>
      </c>
      <c r="Q1508">
        <v>44.5</v>
      </c>
    </row>
    <row r="1509" spans="2:17" x14ac:dyDescent="0.25">
      <c r="B1509" t="s">
        <v>783</v>
      </c>
      <c r="C1509" t="s">
        <v>79</v>
      </c>
      <c r="D1509" t="s">
        <v>3543</v>
      </c>
      <c r="E1509" t="s">
        <v>3544</v>
      </c>
      <c r="F1509">
        <v>1.3</v>
      </c>
      <c r="G1509">
        <v>1.25</v>
      </c>
      <c r="H1509">
        <v>1.25</v>
      </c>
      <c r="I1509">
        <v>1.25</v>
      </c>
      <c r="J1509" s="1">
        <v>1.25</v>
      </c>
      <c r="K1509">
        <v>3750</v>
      </c>
      <c r="L1509">
        <v>3000</v>
      </c>
      <c r="M1509" t="s">
        <v>78</v>
      </c>
      <c r="N1509" t="s">
        <v>17</v>
      </c>
      <c r="O1509">
        <v>3</v>
      </c>
      <c r="P1509">
        <v>2.1</v>
      </c>
      <c r="Q1509">
        <v>0.8</v>
      </c>
    </row>
    <row r="1510" spans="2:17" x14ac:dyDescent="0.25">
      <c r="B1510" t="s">
        <v>78</v>
      </c>
      <c r="C1510" t="s">
        <v>79</v>
      </c>
      <c r="D1510" t="s">
        <v>2769</v>
      </c>
      <c r="E1510" t="s">
        <v>2770</v>
      </c>
      <c r="F1510">
        <v>178.85</v>
      </c>
      <c r="G1510">
        <v>178.65</v>
      </c>
      <c r="H1510">
        <v>183.45</v>
      </c>
      <c r="I1510">
        <v>177.5</v>
      </c>
      <c r="J1510" s="1">
        <v>181.35</v>
      </c>
      <c r="K1510">
        <v>2875352.8</v>
      </c>
      <c r="L1510">
        <v>15962</v>
      </c>
      <c r="M1510" t="s">
        <v>78</v>
      </c>
      <c r="N1510" t="s">
        <v>17</v>
      </c>
      <c r="O1510">
        <v>367</v>
      </c>
      <c r="P1510">
        <v>259</v>
      </c>
      <c r="Q1510">
        <v>169</v>
      </c>
    </row>
    <row r="1511" spans="2:17" x14ac:dyDescent="0.25">
      <c r="B1511" t="s">
        <v>78</v>
      </c>
      <c r="C1511" t="s">
        <v>79</v>
      </c>
      <c r="D1511" t="s">
        <v>2773</v>
      </c>
      <c r="E1511" t="s">
        <v>2774</v>
      </c>
      <c r="F1511">
        <v>82.6</v>
      </c>
      <c r="G1511">
        <v>83.6</v>
      </c>
      <c r="H1511">
        <v>85</v>
      </c>
      <c r="I1511">
        <v>78.099999999999994</v>
      </c>
      <c r="J1511" s="1">
        <v>79.45</v>
      </c>
      <c r="K1511">
        <v>453677.15</v>
      </c>
      <c r="L1511">
        <v>5599</v>
      </c>
      <c r="M1511" t="s">
        <v>78</v>
      </c>
      <c r="N1511" t="s">
        <v>17</v>
      </c>
      <c r="O1511">
        <v>216</v>
      </c>
      <c r="P1511">
        <v>132.25</v>
      </c>
      <c r="Q1511">
        <v>73.900000000000006</v>
      </c>
    </row>
    <row r="1512" spans="2:17" x14ac:dyDescent="0.25">
      <c r="B1512" t="s">
        <v>78</v>
      </c>
      <c r="C1512" t="s">
        <v>287</v>
      </c>
      <c r="D1512" t="s">
        <v>5278</v>
      </c>
      <c r="E1512" t="s">
        <v>6639</v>
      </c>
      <c r="F1512">
        <v>29.2</v>
      </c>
      <c r="G1512">
        <v>29</v>
      </c>
      <c r="H1512">
        <v>29.65</v>
      </c>
      <c r="I1512">
        <v>27.95</v>
      </c>
      <c r="J1512" s="1">
        <v>27.95</v>
      </c>
      <c r="K1512">
        <v>688600</v>
      </c>
      <c r="L1512">
        <v>24000</v>
      </c>
      <c r="M1512" t="s">
        <v>78</v>
      </c>
      <c r="N1512" t="s">
        <v>17</v>
      </c>
      <c r="O1512">
        <v>12</v>
      </c>
      <c r="P1512">
        <v>44.8</v>
      </c>
      <c r="Q1512">
        <v>18.100000000000001</v>
      </c>
    </row>
    <row r="1513" spans="2:17" x14ac:dyDescent="0.25">
      <c r="B1513" t="s">
        <v>78</v>
      </c>
      <c r="C1513" t="s">
        <v>79</v>
      </c>
      <c r="D1513" t="s">
        <v>2775</v>
      </c>
      <c r="E1513" t="s">
        <v>2776</v>
      </c>
      <c r="F1513">
        <v>74.95</v>
      </c>
      <c r="G1513">
        <v>75.3</v>
      </c>
      <c r="H1513">
        <v>75.900000000000006</v>
      </c>
      <c r="I1513">
        <v>73.2</v>
      </c>
      <c r="J1513" s="1">
        <v>73.900000000000006</v>
      </c>
      <c r="K1513">
        <v>454520967.89999998</v>
      </c>
      <c r="L1513">
        <v>6134692</v>
      </c>
      <c r="M1513" t="s">
        <v>78</v>
      </c>
      <c r="N1513" t="s">
        <v>17</v>
      </c>
      <c r="O1513">
        <v>17218</v>
      </c>
      <c r="P1513">
        <v>100.4</v>
      </c>
      <c r="Q1513">
        <v>61.25</v>
      </c>
    </row>
    <row r="1514" spans="2:17" x14ac:dyDescent="0.25">
      <c r="B1514" t="s">
        <v>78</v>
      </c>
      <c r="C1514" t="s">
        <v>79</v>
      </c>
      <c r="D1514" t="s">
        <v>3668</v>
      </c>
      <c r="E1514" t="s">
        <v>6638</v>
      </c>
      <c r="F1514">
        <v>1.05</v>
      </c>
      <c r="G1514">
        <v>1.05</v>
      </c>
      <c r="H1514">
        <v>1.1000000000000001</v>
      </c>
      <c r="I1514">
        <v>1</v>
      </c>
      <c r="J1514" s="1">
        <v>1.05</v>
      </c>
      <c r="K1514">
        <v>4327356.45</v>
      </c>
      <c r="L1514">
        <v>4144965</v>
      </c>
      <c r="M1514" t="s">
        <v>78</v>
      </c>
      <c r="N1514" t="s">
        <v>17</v>
      </c>
      <c r="O1514">
        <v>812</v>
      </c>
      <c r="P1514">
        <v>4.45</v>
      </c>
      <c r="Q1514">
        <v>0.95</v>
      </c>
    </row>
    <row r="1515" spans="2:17" x14ac:dyDescent="0.25">
      <c r="B1515" t="s">
        <v>78</v>
      </c>
      <c r="C1515" t="s">
        <v>79</v>
      </c>
      <c r="D1515" t="s">
        <v>6637</v>
      </c>
      <c r="E1515" t="s">
        <v>6636</v>
      </c>
      <c r="F1515">
        <v>9.85</v>
      </c>
      <c r="G1515">
        <v>9.75</v>
      </c>
      <c r="H1515">
        <v>9.9499999999999993</v>
      </c>
      <c r="I1515">
        <v>9.75</v>
      </c>
      <c r="J1515" s="1">
        <v>9.75</v>
      </c>
      <c r="K1515">
        <v>1686616.6</v>
      </c>
      <c r="L1515">
        <v>171467</v>
      </c>
      <c r="M1515" t="s">
        <v>78</v>
      </c>
      <c r="N1515" t="s">
        <v>17</v>
      </c>
      <c r="O1515">
        <v>432</v>
      </c>
      <c r="P1515">
        <v>13.3</v>
      </c>
      <c r="Q1515">
        <v>8.9</v>
      </c>
    </row>
    <row r="1516" spans="2:17" x14ac:dyDescent="0.25">
      <c r="B1516" t="s">
        <v>78</v>
      </c>
      <c r="C1516" t="s">
        <v>287</v>
      </c>
      <c r="D1516" t="s">
        <v>5273</v>
      </c>
      <c r="E1516" t="s">
        <v>5272</v>
      </c>
      <c r="F1516">
        <v>16.05</v>
      </c>
      <c r="G1516">
        <v>15.75</v>
      </c>
      <c r="H1516">
        <v>15.75</v>
      </c>
      <c r="I1516">
        <v>15.3</v>
      </c>
      <c r="J1516" s="1">
        <v>15.3</v>
      </c>
      <c r="K1516">
        <v>93150</v>
      </c>
      <c r="L1516">
        <v>6000</v>
      </c>
      <c r="M1516" t="s">
        <v>78</v>
      </c>
      <c r="N1516" t="s">
        <v>17</v>
      </c>
      <c r="O1516">
        <v>2</v>
      </c>
      <c r="P1516">
        <v>45</v>
      </c>
      <c r="Q1516">
        <v>14</v>
      </c>
    </row>
    <row r="1517" spans="2:17" x14ac:dyDescent="0.25">
      <c r="B1517" t="s">
        <v>78</v>
      </c>
      <c r="C1517" t="s">
        <v>79</v>
      </c>
      <c r="D1517" t="s">
        <v>2777</v>
      </c>
      <c r="E1517" t="s">
        <v>2778</v>
      </c>
      <c r="F1517">
        <v>277.45</v>
      </c>
      <c r="G1517">
        <v>284</v>
      </c>
      <c r="H1517">
        <v>284</v>
      </c>
      <c r="I1517">
        <v>281.14999999999998</v>
      </c>
      <c r="J1517" s="1">
        <v>284</v>
      </c>
      <c r="K1517">
        <v>14909.5</v>
      </c>
      <c r="L1517">
        <v>53</v>
      </c>
      <c r="M1517" t="s">
        <v>78</v>
      </c>
      <c r="N1517" t="s">
        <v>17</v>
      </c>
      <c r="O1517">
        <v>4</v>
      </c>
      <c r="P1517">
        <v>538.4</v>
      </c>
      <c r="Q1517">
        <v>271.95</v>
      </c>
    </row>
    <row r="1518" spans="2:17" x14ac:dyDescent="0.25">
      <c r="B1518" t="s">
        <v>78</v>
      </c>
      <c r="C1518" t="s">
        <v>79</v>
      </c>
      <c r="D1518" t="s">
        <v>2781</v>
      </c>
      <c r="E1518" t="s">
        <v>2782</v>
      </c>
      <c r="F1518">
        <v>183.65</v>
      </c>
      <c r="G1518">
        <v>183.5</v>
      </c>
      <c r="H1518">
        <v>184.9</v>
      </c>
      <c r="I1518">
        <v>170.5</v>
      </c>
      <c r="J1518" s="1">
        <v>173.25</v>
      </c>
      <c r="K1518">
        <v>5659276.9000000004</v>
      </c>
      <c r="L1518">
        <v>32245</v>
      </c>
      <c r="M1518" t="s">
        <v>78</v>
      </c>
      <c r="N1518" t="s">
        <v>17</v>
      </c>
      <c r="O1518">
        <v>790</v>
      </c>
      <c r="P1518">
        <v>349.8</v>
      </c>
      <c r="Q1518">
        <v>131.44999999999999</v>
      </c>
    </row>
    <row r="1519" spans="2:17" x14ac:dyDescent="0.25">
      <c r="B1519" t="s">
        <v>78</v>
      </c>
      <c r="C1519" t="s">
        <v>287</v>
      </c>
      <c r="D1519" t="s">
        <v>5269</v>
      </c>
      <c r="E1519" t="s">
        <v>5268</v>
      </c>
      <c r="F1519">
        <v>109.1</v>
      </c>
      <c r="G1519">
        <v>110.5</v>
      </c>
      <c r="H1519">
        <v>111</v>
      </c>
      <c r="I1519">
        <v>110.5</v>
      </c>
      <c r="J1519" s="1">
        <v>111</v>
      </c>
      <c r="K1519">
        <v>797400</v>
      </c>
      <c r="L1519">
        <v>7200</v>
      </c>
      <c r="M1519" t="s">
        <v>78</v>
      </c>
      <c r="N1519" t="s">
        <v>17</v>
      </c>
      <c r="O1519">
        <v>6</v>
      </c>
      <c r="P1519">
        <v>120.5</v>
      </c>
      <c r="Q1519">
        <v>91</v>
      </c>
    </row>
    <row r="1520" spans="2:17" x14ac:dyDescent="0.25">
      <c r="B1520" t="s">
        <v>78</v>
      </c>
      <c r="C1520" t="s">
        <v>79</v>
      </c>
      <c r="D1520" t="s">
        <v>2785</v>
      </c>
      <c r="E1520" t="s">
        <v>2786</v>
      </c>
      <c r="F1520">
        <v>2.8</v>
      </c>
      <c r="G1520">
        <v>2.8</v>
      </c>
      <c r="H1520">
        <v>2.8</v>
      </c>
      <c r="I1520">
        <v>2.6</v>
      </c>
      <c r="J1520" s="1">
        <v>2.6</v>
      </c>
      <c r="K1520">
        <v>3388892.15</v>
      </c>
      <c r="L1520">
        <v>1273991</v>
      </c>
      <c r="M1520" t="s">
        <v>78</v>
      </c>
      <c r="N1520" t="s">
        <v>17</v>
      </c>
      <c r="O1520">
        <v>988</v>
      </c>
      <c r="P1520">
        <v>4.5</v>
      </c>
      <c r="Q1520">
        <v>1.55</v>
      </c>
    </row>
    <row r="1521" spans="2:17" x14ac:dyDescent="0.25">
      <c r="B1521" t="s">
        <v>78</v>
      </c>
      <c r="C1521" t="s">
        <v>79</v>
      </c>
      <c r="D1521" t="s">
        <v>2787</v>
      </c>
      <c r="E1521" t="s">
        <v>2788</v>
      </c>
      <c r="F1521">
        <v>27.85</v>
      </c>
      <c r="G1521">
        <v>27.5</v>
      </c>
      <c r="H1521">
        <v>28.2</v>
      </c>
      <c r="I1521">
        <v>26.5</v>
      </c>
      <c r="J1521" s="1">
        <v>26.65</v>
      </c>
      <c r="K1521">
        <v>3258791.85</v>
      </c>
      <c r="L1521">
        <v>120157</v>
      </c>
      <c r="M1521" t="s">
        <v>78</v>
      </c>
      <c r="N1521" t="s">
        <v>17</v>
      </c>
      <c r="O1521">
        <v>744</v>
      </c>
      <c r="P1521">
        <v>45.7</v>
      </c>
      <c r="Q1521">
        <v>23.4</v>
      </c>
    </row>
    <row r="1522" spans="2:17" x14ac:dyDescent="0.25">
      <c r="B1522" t="s">
        <v>78</v>
      </c>
      <c r="C1522" t="s">
        <v>79</v>
      </c>
      <c r="D1522" t="s">
        <v>2791</v>
      </c>
      <c r="E1522" t="s">
        <v>2792</v>
      </c>
      <c r="F1522">
        <v>8.4</v>
      </c>
      <c r="G1522">
        <v>8.4</v>
      </c>
      <c r="H1522">
        <v>8.6</v>
      </c>
      <c r="I1522">
        <v>7.95</v>
      </c>
      <c r="J1522" s="1">
        <v>8</v>
      </c>
      <c r="K1522">
        <v>589970.30000000005</v>
      </c>
      <c r="L1522">
        <v>72564</v>
      </c>
      <c r="M1522" t="s">
        <v>78</v>
      </c>
      <c r="N1522" t="s">
        <v>17</v>
      </c>
      <c r="O1522">
        <v>309</v>
      </c>
      <c r="P1522">
        <v>12.75</v>
      </c>
      <c r="Q1522">
        <v>7.25</v>
      </c>
    </row>
    <row r="1523" spans="2:17" x14ac:dyDescent="0.25">
      <c r="B1523" t="s">
        <v>78</v>
      </c>
      <c r="C1523" t="s">
        <v>79</v>
      </c>
      <c r="D1523" t="s">
        <v>3545</v>
      </c>
      <c r="E1523" t="s">
        <v>3546</v>
      </c>
      <c r="F1523">
        <v>119.75</v>
      </c>
      <c r="G1523">
        <v>121.35</v>
      </c>
      <c r="H1523">
        <v>122.75</v>
      </c>
      <c r="I1523">
        <v>115.2</v>
      </c>
      <c r="J1523" s="1">
        <v>117.3</v>
      </c>
      <c r="K1523">
        <v>14954601.699999999</v>
      </c>
      <c r="L1523">
        <v>127515</v>
      </c>
      <c r="M1523" t="s">
        <v>78</v>
      </c>
      <c r="N1523" t="s">
        <v>17</v>
      </c>
      <c r="O1523">
        <v>2446</v>
      </c>
      <c r="P1523">
        <v>164</v>
      </c>
      <c r="Q1523">
        <v>61.9</v>
      </c>
    </row>
    <row r="1524" spans="2:17" x14ac:dyDescent="0.25">
      <c r="B1524" t="s">
        <v>78</v>
      </c>
      <c r="C1524" t="s">
        <v>79</v>
      </c>
      <c r="D1524" t="s">
        <v>6635</v>
      </c>
      <c r="E1524" t="s">
        <v>6634</v>
      </c>
      <c r="F1524">
        <v>0.1</v>
      </c>
      <c r="G1524">
        <v>0.1</v>
      </c>
      <c r="H1524">
        <v>0.1</v>
      </c>
      <c r="I1524">
        <v>0.05</v>
      </c>
      <c r="J1524" s="1">
        <v>0.1</v>
      </c>
      <c r="K1524">
        <v>166810.35</v>
      </c>
      <c r="L1524">
        <v>2123145</v>
      </c>
      <c r="M1524" t="s">
        <v>78</v>
      </c>
      <c r="N1524" t="s">
        <v>17</v>
      </c>
      <c r="O1524">
        <v>1240</v>
      </c>
      <c r="P1524">
        <v>0.2</v>
      </c>
      <c r="Q1524">
        <v>0.05</v>
      </c>
    </row>
    <row r="1525" spans="2:17" x14ac:dyDescent="0.25">
      <c r="B1525" t="s">
        <v>78</v>
      </c>
      <c r="C1525" t="s">
        <v>79</v>
      </c>
      <c r="D1525" t="s">
        <v>2793</v>
      </c>
      <c r="E1525" t="s">
        <v>2794</v>
      </c>
      <c r="F1525">
        <v>147.9</v>
      </c>
      <c r="G1525">
        <v>147</v>
      </c>
      <c r="H1525">
        <v>148.4</v>
      </c>
      <c r="I1525">
        <v>140</v>
      </c>
      <c r="J1525" s="1">
        <v>141.65</v>
      </c>
      <c r="K1525">
        <v>2206137.7000000002</v>
      </c>
      <c r="L1525">
        <v>15455</v>
      </c>
      <c r="M1525" t="s">
        <v>78</v>
      </c>
      <c r="N1525" t="s">
        <v>17</v>
      </c>
      <c r="O1525">
        <v>486</v>
      </c>
      <c r="P1525">
        <v>466</v>
      </c>
      <c r="Q1525">
        <v>140</v>
      </c>
    </row>
    <row r="1526" spans="2:17" x14ac:dyDescent="0.25">
      <c r="B1526" t="s">
        <v>78</v>
      </c>
      <c r="C1526" t="s">
        <v>79</v>
      </c>
      <c r="D1526" t="s">
        <v>2795</v>
      </c>
      <c r="E1526" t="s">
        <v>2796</v>
      </c>
      <c r="F1526">
        <v>543.70000000000005</v>
      </c>
      <c r="G1526">
        <v>541</v>
      </c>
      <c r="H1526">
        <v>543</v>
      </c>
      <c r="I1526">
        <v>515.70000000000005</v>
      </c>
      <c r="J1526" s="1">
        <v>523.54999999999995</v>
      </c>
      <c r="K1526">
        <v>6366979.4500000002</v>
      </c>
      <c r="L1526">
        <v>12053</v>
      </c>
      <c r="M1526" t="s">
        <v>78</v>
      </c>
      <c r="N1526" t="s">
        <v>17</v>
      </c>
      <c r="O1526">
        <v>491</v>
      </c>
      <c r="P1526">
        <v>809</v>
      </c>
      <c r="Q1526">
        <v>387.2</v>
      </c>
    </row>
    <row r="1527" spans="2:17" x14ac:dyDescent="0.25">
      <c r="B1527" t="s">
        <v>78</v>
      </c>
      <c r="C1527" t="s">
        <v>79</v>
      </c>
      <c r="D1527" t="s">
        <v>2797</v>
      </c>
      <c r="E1527" t="s">
        <v>2798</v>
      </c>
      <c r="F1527">
        <v>850.05</v>
      </c>
      <c r="G1527">
        <v>850.05</v>
      </c>
      <c r="H1527">
        <v>855</v>
      </c>
      <c r="I1527">
        <v>830</v>
      </c>
      <c r="J1527" s="1">
        <v>834.05</v>
      </c>
      <c r="K1527">
        <v>15770190.550000001</v>
      </c>
      <c r="L1527">
        <v>18637</v>
      </c>
      <c r="M1527" t="s">
        <v>78</v>
      </c>
      <c r="N1527" t="s">
        <v>17</v>
      </c>
      <c r="O1527">
        <v>499</v>
      </c>
      <c r="P1527">
        <v>889.6</v>
      </c>
      <c r="Q1527">
        <v>577.4</v>
      </c>
    </row>
    <row r="1528" spans="2:17" x14ac:dyDescent="0.25">
      <c r="B1528" t="s">
        <v>78</v>
      </c>
      <c r="C1528" t="s">
        <v>79</v>
      </c>
      <c r="D1528" t="s">
        <v>2801</v>
      </c>
      <c r="E1528" t="s">
        <v>2802</v>
      </c>
      <c r="F1528">
        <v>34.6</v>
      </c>
      <c r="G1528">
        <v>34.700000000000003</v>
      </c>
      <c r="H1528">
        <v>34.700000000000003</v>
      </c>
      <c r="I1528">
        <v>32.799999999999997</v>
      </c>
      <c r="J1528" s="1">
        <v>33.15</v>
      </c>
      <c r="K1528">
        <v>131292652.90000001</v>
      </c>
      <c r="L1528">
        <v>3941270</v>
      </c>
      <c r="M1528" t="s">
        <v>78</v>
      </c>
      <c r="N1528" t="s">
        <v>17</v>
      </c>
      <c r="O1528">
        <v>8980</v>
      </c>
      <c r="P1528">
        <v>73.25</v>
      </c>
      <c r="Q1528">
        <v>22.35</v>
      </c>
    </row>
    <row r="1529" spans="2:17" x14ac:dyDescent="0.25">
      <c r="B1529" t="s">
        <v>78</v>
      </c>
      <c r="C1529" t="s">
        <v>79</v>
      </c>
      <c r="D1529" t="s">
        <v>2805</v>
      </c>
      <c r="E1529" t="s">
        <v>2806</v>
      </c>
      <c r="F1529">
        <v>39.75</v>
      </c>
      <c r="G1529">
        <v>39.4</v>
      </c>
      <c r="H1529">
        <v>40.049999999999997</v>
      </c>
      <c r="I1529">
        <v>39</v>
      </c>
      <c r="J1529" s="1">
        <v>39.6</v>
      </c>
      <c r="K1529">
        <v>440060.7</v>
      </c>
      <c r="L1529">
        <v>11179</v>
      </c>
      <c r="M1529" t="s">
        <v>78</v>
      </c>
      <c r="N1529" t="s">
        <v>17</v>
      </c>
      <c r="O1529">
        <v>73</v>
      </c>
      <c r="P1529">
        <v>48.6</v>
      </c>
      <c r="Q1529">
        <v>35.9</v>
      </c>
    </row>
    <row r="1530" spans="2:17" x14ac:dyDescent="0.25">
      <c r="B1530" t="s">
        <v>78</v>
      </c>
      <c r="C1530" t="s">
        <v>79</v>
      </c>
      <c r="D1530" t="s">
        <v>2809</v>
      </c>
      <c r="E1530" t="s">
        <v>2810</v>
      </c>
      <c r="F1530">
        <v>440.3</v>
      </c>
      <c r="G1530">
        <v>440.3</v>
      </c>
      <c r="H1530">
        <v>446</v>
      </c>
      <c r="I1530">
        <v>436</v>
      </c>
      <c r="J1530" s="1">
        <v>438.25</v>
      </c>
      <c r="K1530">
        <v>8809818</v>
      </c>
      <c r="L1530">
        <v>20084</v>
      </c>
      <c r="M1530" t="s">
        <v>78</v>
      </c>
      <c r="N1530" t="s">
        <v>17</v>
      </c>
      <c r="O1530">
        <v>1501</v>
      </c>
      <c r="P1530">
        <v>1178.7</v>
      </c>
      <c r="Q1530">
        <v>425.75</v>
      </c>
    </row>
    <row r="1531" spans="2:17" x14ac:dyDescent="0.25">
      <c r="B1531" t="s">
        <v>78</v>
      </c>
      <c r="C1531" t="s">
        <v>79</v>
      </c>
      <c r="D1531" t="s">
        <v>2811</v>
      </c>
      <c r="E1531" t="s">
        <v>2812</v>
      </c>
      <c r="F1531">
        <v>13.15</v>
      </c>
      <c r="G1531">
        <v>13.3</v>
      </c>
      <c r="H1531">
        <v>13.35</v>
      </c>
      <c r="I1531">
        <v>12.9</v>
      </c>
      <c r="J1531" s="1">
        <v>13</v>
      </c>
      <c r="K1531">
        <v>1764023</v>
      </c>
      <c r="L1531">
        <v>135209</v>
      </c>
      <c r="M1531" t="s">
        <v>78</v>
      </c>
      <c r="N1531" t="s">
        <v>17</v>
      </c>
      <c r="O1531">
        <v>366</v>
      </c>
      <c r="P1531">
        <v>32.549999999999997</v>
      </c>
      <c r="Q1531">
        <v>12.25</v>
      </c>
    </row>
    <row r="1532" spans="2:17" x14ac:dyDescent="0.25">
      <c r="B1532" t="s">
        <v>78</v>
      </c>
      <c r="C1532" t="s">
        <v>79</v>
      </c>
      <c r="D1532" t="s">
        <v>2813</v>
      </c>
      <c r="E1532" t="s">
        <v>2814</v>
      </c>
      <c r="F1532">
        <v>8.1999999999999993</v>
      </c>
      <c r="G1532">
        <v>8.15</v>
      </c>
      <c r="H1532">
        <v>8.9</v>
      </c>
      <c r="I1532">
        <v>7.15</v>
      </c>
      <c r="J1532" s="1">
        <v>8.5500000000000007</v>
      </c>
      <c r="K1532">
        <v>303826.34999999998</v>
      </c>
      <c r="L1532">
        <v>37069</v>
      </c>
      <c r="M1532" t="s">
        <v>78</v>
      </c>
      <c r="N1532" t="s">
        <v>17</v>
      </c>
      <c r="O1532">
        <v>109</v>
      </c>
      <c r="P1532">
        <v>14.85</v>
      </c>
      <c r="Q1532">
        <v>7.15</v>
      </c>
    </row>
    <row r="1533" spans="2:17" x14ac:dyDescent="0.25">
      <c r="B1533" t="s">
        <v>78</v>
      </c>
      <c r="C1533" t="s">
        <v>79</v>
      </c>
      <c r="D1533" t="s">
        <v>2815</v>
      </c>
      <c r="E1533" t="s">
        <v>2816</v>
      </c>
      <c r="F1533">
        <v>943.3</v>
      </c>
      <c r="G1533">
        <v>949.65</v>
      </c>
      <c r="H1533">
        <v>953.95</v>
      </c>
      <c r="I1533">
        <v>914.4</v>
      </c>
      <c r="J1533" s="1">
        <v>919.8</v>
      </c>
      <c r="K1533">
        <v>41399729.450000003</v>
      </c>
      <c r="L1533">
        <v>44262</v>
      </c>
      <c r="M1533" t="s">
        <v>78</v>
      </c>
      <c r="N1533" t="s">
        <v>17</v>
      </c>
      <c r="O1533">
        <v>2653</v>
      </c>
      <c r="P1533">
        <v>974.9</v>
      </c>
      <c r="Q1533">
        <v>666.8</v>
      </c>
    </row>
    <row r="1534" spans="2:17" x14ac:dyDescent="0.25">
      <c r="B1534" t="s">
        <v>78</v>
      </c>
      <c r="C1534" t="s">
        <v>79</v>
      </c>
      <c r="D1534" t="s">
        <v>2821</v>
      </c>
      <c r="E1534" t="s">
        <v>2822</v>
      </c>
      <c r="F1534">
        <v>1496.7</v>
      </c>
      <c r="G1534">
        <v>1495</v>
      </c>
      <c r="H1534">
        <v>1509.5</v>
      </c>
      <c r="I1534">
        <v>1425</v>
      </c>
      <c r="J1534" s="1">
        <v>1430.7</v>
      </c>
      <c r="K1534">
        <v>94810662</v>
      </c>
      <c r="L1534">
        <v>65570</v>
      </c>
      <c r="M1534" t="s">
        <v>78</v>
      </c>
      <c r="N1534" t="s">
        <v>17</v>
      </c>
      <c r="O1534">
        <v>7135</v>
      </c>
      <c r="P1534">
        <v>3445</v>
      </c>
      <c r="Q1534">
        <v>1425</v>
      </c>
    </row>
    <row r="1535" spans="2:17" x14ac:dyDescent="0.25">
      <c r="B1535" t="s">
        <v>78</v>
      </c>
      <c r="C1535" t="s">
        <v>79</v>
      </c>
      <c r="D1535" t="s">
        <v>2823</v>
      </c>
      <c r="E1535" t="s">
        <v>2824</v>
      </c>
      <c r="F1535">
        <v>21.65</v>
      </c>
      <c r="G1535">
        <v>21.9</v>
      </c>
      <c r="H1535">
        <v>21.9</v>
      </c>
      <c r="I1535">
        <v>18.8</v>
      </c>
      <c r="J1535" s="1">
        <v>21</v>
      </c>
      <c r="K1535">
        <v>408827.4</v>
      </c>
      <c r="L1535">
        <v>20003</v>
      </c>
      <c r="M1535" t="s">
        <v>78</v>
      </c>
      <c r="N1535" t="s">
        <v>17</v>
      </c>
      <c r="O1535">
        <v>499</v>
      </c>
      <c r="P1535">
        <v>68</v>
      </c>
      <c r="Q1535">
        <v>18.8</v>
      </c>
    </row>
    <row r="1536" spans="2:17" x14ac:dyDescent="0.25">
      <c r="B1536" t="s">
        <v>78</v>
      </c>
      <c r="C1536" t="s">
        <v>287</v>
      </c>
      <c r="D1536" t="s">
        <v>2825</v>
      </c>
      <c r="E1536" t="s">
        <v>2826</v>
      </c>
      <c r="F1536">
        <v>194.4</v>
      </c>
      <c r="G1536">
        <v>197</v>
      </c>
      <c r="H1536">
        <v>197.35</v>
      </c>
      <c r="I1536">
        <v>191.3</v>
      </c>
      <c r="J1536" s="1">
        <v>194</v>
      </c>
      <c r="K1536">
        <v>5129340</v>
      </c>
      <c r="L1536">
        <v>26400</v>
      </c>
      <c r="M1536" t="s">
        <v>78</v>
      </c>
      <c r="N1536" t="s">
        <v>17</v>
      </c>
      <c r="O1536">
        <v>20</v>
      </c>
      <c r="P1536">
        <v>220.7</v>
      </c>
      <c r="Q1536">
        <v>160</v>
      </c>
    </row>
    <row r="1537" spans="2:17" x14ac:dyDescent="0.25">
      <c r="B1537" t="s">
        <v>78</v>
      </c>
      <c r="C1537" t="s">
        <v>79</v>
      </c>
      <c r="D1537" t="s">
        <v>2827</v>
      </c>
      <c r="E1537" t="s">
        <v>2828</v>
      </c>
      <c r="F1537">
        <v>1069.1500000000001</v>
      </c>
      <c r="G1537">
        <v>1074.95</v>
      </c>
      <c r="H1537">
        <v>1119.9000000000001</v>
      </c>
      <c r="I1537">
        <v>1070</v>
      </c>
      <c r="J1537" s="1">
        <v>1106.6500000000001</v>
      </c>
      <c r="K1537">
        <v>17802017.199999999</v>
      </c>
      <c r="L1537">
        <v>16151</v>
      </c>
      <c r="M1537" t="s">
        <v>78</v>
      </c>
      <c r="N1537" t="s">
        <v>17</v>
      </c>
      <c r="O1537">
        <v>2554</v>
      </c>
      <c r="P1537">
        <v>1348</v>
      </c>
      <c r="Q1537">
        <v>971.1</v>
      </c>
    </row>
    <row r="1538" spans="2:17" x14ac:dyDescent="0.25">
      <c r="B1538" t="s">
        <v>78</v>
      </c>
      <c r="C1538" t="s">
        <v>79</v>
      </c>
      <c r="D1538" t="s">
        <v>2829</v>
      </c>
      <c r="E1538" t="s">
        <v>2830</v>
      </c>
      <c r="F1538">
        <v>72.349999999999994</v>
      </c>
      <c r="G1538">
        <v>72.2</v>
      </c>
      <c r="H1538">
        <v>73.8</v>
      </c>
      <c r="I1538">
        <v>67.650000000000006</v>
      </c>
      <c r="J1538" s="1">
        <v>68.349999999999994</v>
      </c>
      <c r="K1538">
        <v>1472052.55</v>
      </c>
      <c r="L1538">
        <v>21079</v>
      </c>
      <c r="M1538" t="s">
        <v>78</v>
      </c>
      <c r="N1538" t="s">
        <v>17</v>
      </c>
      <c r="O1538">
        <v>448</v>
      </c>
      <c r="P1538">
        <v>182.4</v>
      </c>
      <c r="Q1538">
        <v>50</v>
      </c>
    </row>
    <row r="1539" spans="2:17" x14ac:dyDescent="0.25">
      <c r="B1539" t="s">
        <v>78</v>
      </c>
      <c r="C1539" t="s">
        <v>79</v>
      </c>
      <c r="D1539" t="s">
        <v>2831</v>
      </c>
      <c r="E1539" t="s">
        <v>2832</v>
      </c>
      <c r="F1539">
        <v>234.9</v>
      </c>
      <c r="G1539">
        <v>234.9</v>
      </c>
      <c r="H1539">
        <v>237.05</v>
      </c>
      <c r="I1539">
        <v>228.55</v>
      </c>
      <c r="J1539" s="1">
        <v>230.35</v>
      </c>
      <c r="K1539">
        <v>85215674.700000003</v>
      </c>
      <c r="L1539">
        <v>368219</v>
      </c>
      <c r="M1539" t="s">
        <v>78</v>
      </c>
      <c r="N1539" t="s">
        <v>17</v>
      </c>
      <c r="O1539">
        <v>12013</v>
      </c>
      <c r="P1539">
        <v>252</v>
      </c>
      <c r="Q1539">
        <v>159.4</v>
      </c>
    </row>
    <row r="1540" spans="2:17" x14ac:dyDescent="0.25">
      <c r="B1540" t="s">
        <v>78</v>
      </c>
      <c r="C1540" t="s">
        <v>79</v>
      </c>
      <c r="D1540" t="s">
        <v>2833</v>
      </c>
      <c r="E1540" t="s">
        <v>2834</v>
      </c>
      <c r="F1540">
        <v>1801.85</v>
      </c>
      <c r="G1540">
        <v>1761.1</v>
      </c>
      <c r="H1540">
        <v>1800</v>
      </c>
      <c r="I1540">
        <v>1751.15</v>
      </c>
      <c r="J1540" s="1">
        <v>1755.5</v>
      </c>
      <c r="K1540">
        <v>298997.55</v>
      </c>
      <c r="L1540">
        <v>169</v>
      </c>
      <c r="M1540" t="s">
        <v>78</v>
      </c>
      <c r="N1540" t="s">
        <v>17</v>
      </c>
      <c r="O1540">
        <v>148</v>
      </c>
      <c r="P1540">
        <v>3084.3</v>
      </c>
      <c r="Q1540">
        <v>1750</v>
      </c>
    </row>
    <row r="1541" spans="2:17" x14ac:dyDescent="0.25">
      <c r="B1541" t="s">
        <v>78</v>
      </c>
      <c r="C1541" t="s">
        <v>79</v>
      </c>
      <c r="D1541" t="s">
        <v>2835</v>
      </c>
      <c r="E1541" t="s">
        <v>2836</v>
      </c>
      <c r="F1541">
        <v>61.5</v>
      </c>
      <c r="G1541">
        <v>61.05</v>
      </c>
      <c r="H1541">
        <v>61.95</v>
      </c>
      <c r="I1541">
        <v>59</v>
      </c>
      <c r="J1541" s="1">
        <v>61.55</v>
      </c>
      <c r="K1541">
        <v>4855176.0999999996</v>
      </c>
      <c r="L1541">
        <v>80427</v>
      </c>
      <c r="M1541" t="s">
        <v>78</v>
      </c>
      <c r="N1541" t="s">
        <v>17</v>
      </c>
      <c r="O1541">
        <v>568</v>
      </c>
      <c r="P1541">
        <v>92.4</v>
      </c>
      <c r="Q1541">
        <v>59</v>
      </c>
    </row>
    <row r="1542" spans="2:17" x14ac:dyDescent="0.25">
      <c r="B1542" t="s">
        <v>78</v>
      </c>
      <c r="C1542" t="s">
        <v>79</v>
      </c>
      <c r="D1542" t="s">
        <v>3547</v>
      </c>
      <c r="E1542" t="s">
        <v>3548</v>
      </c>
      <c r="F1542">
        <v>0.45</v>
      </c>
      <c r="G1542">
        <v>0.5</v>
      </c>
      <c r="H1542">
        <v>0.5</v>
      </c>
      <c r="I1542">
        <v>0.45</v>
      </c>
      <c r="J1542" s="1">
        <v>0.5</v>
      </c>
      <c r="K1542">
        <v>37279.15</v>
      </c>
      <c r="L1542">
        <v>75823</v>
      </c>
      <c r="M1542" t="s">
        <v>78</v>
      </c>
      <c r="N1542" t="s">
        <v>17</v>
      </c>
      <c r="O1542">
        <v>43</v>
      </c>
      <c r="P1542">
        <v>5.55</v>
      </c>
      <c r="Q1542">
        <v>0.45</v>
      </c>
    </row>
    <row r="1543" spans="2:17" x14ac:dyDescent="0.25">
      <c r="B1543" t="s">
        <v>78</v>
      </c>
      <c r="C1543" t="s">
        <v>79</v>
      </c>
      <c r="D1543" t="s">
        <v>3549</v>
      </c>
      <c r="E1543" t="s">
        <v>3550</v>
      </c>
      <c r="F1543">
        <v>4.3499999999999996</v>
      </c>
      <c r="G1543">
        <v>4.1500000000000004</v>
      </c>
      <c r="H1543">
        <v>4.55</v>
      </c>
      <c r="I1543">
        <v>4.1500000000000004</v>
      </c>
      <c r="J1543" s="1">
        <v>4.55</v>
      </c>
      <c r="K1543">
        <v>4727724.6500000004</v>
      </c>
      <c r="L1543">
        <v>1110727</v>
      </c>
      <c r="M1543" t="s">
        <v>78</v>
      </c>
      <c r="N1543" t="s">
        <v>17</v>
      </c>
      <c r="O1543">
        <v>1333</v>
      </c>
      <c r="P1543">
        <v>23.3</v>
      </c>
      <c r="Q1543">
        <v>4.1500000000000004</v>
      </c>
    </row>
    <row r="1544" spans="2:17" x14ac:dyDescent="0.25">
      <c r="B1544" t="s">
        <v>78</v>
      </c>
      <c r="C1544" t="s">
        <v>79</v>
      </c>
      <c r="D1544" t="s">
        <v>6633</v>
      </c>
      <c r="E1544" t="s">
        <v>6632</v>
      </c>
      <c r="F1544">
        <v>2.9</v>
      </c>
      <c r="G1544">
        <v>3.1</v>
      </c>
      <c r="H1544">
        <v>3.1</v>
      </c>
      <c r="I1544">
        <v>2.75</v>
      </c>
      <c r="J1544" s="1">
        <v>3</v>
      </c>
      <c r="K1544">
        <v>20048740.949999999</v>
      </c>
      <c r="L1544">
        <v>7126187</v>
      </c>
      <c r="M1544" t="s">
        <v>78</v>
      </c>
      <c r="N1544" t="s">
        <v>17</v>
      </c>
      <c r="O1544">
        <v>355</v>
      </c>
      <c r="P1544">
        <v>4.95</v>
      </c>
      <c r="Q1544">
        <v>2.1</v>
      </c>
    </row>
    <row r="1545" spans="2:17" x14ac:dyDescent="0.25">
      <c r="B1545" t="s">
        <v>78</v>
      </c>
      <c r="C1545" t="s">
        <v>79</v>
      </c>
      <c r="D1545" t="s">
        <v>2843</v>
      </c>
      <c r="E1545" t="s">
        <v>2844</v>
      </c>
      <c r="F1545">
        <v>152.35</v>
      </c>
      <c r="G1545">
        <v>156</v>
      </c>
      <c r="H1545">
        <v>156.85</v>
      </c>
      <c r="I1545">
        <v>142.94999999999999</v>
      </c>
      <c r="J1545" s="1">
        <v>144.15</v>
      </c>
      <c r="K1545">
        <v>3771477</v>
      </c>
      <c r="L1545">
        <v>25573</v>
      </c>
      <c r="M1545" t="s">
        <v>78</v>
      </c>
      <c r="N1545" t="s">
        <v>17</v>
      </c>
      <c r="O1545">
        <v>565</v>
      </c>
      <c r="P1545">
        <v>342.9</v>
      </c>
      <c r="Q1545">
        <v>142.94999999999999</v>
      </c>
    </row>
    <row r="1546" spans="2:17" x14ac:dyDescent="0.25">
      <c r="B1546" t="s">
        <v>78</v>
      </c>
      <c r="C1546" t="s">
        <v>79</v>
      </c>
      <c r="D1546" t="s">
        <v>2845</v>
      </c>
      <c r="E1546" t="s">
        <v>2846</v>
      </c>
      <c r="F1546">
        <v>2171.5500000000002</v>
      </c>
      <c r="G1546">
        <v>2186.6999999999998</v>
      </c>
      <c r="H1546">
        <v>2186.6999999999998</v>
      </c>
      <c r="I1546">
        <v>2060.1</v>
      </c>
      <c r="J1546" s="1">
        <v>2069.4499999999998</v>
      </c>
      <c r="K1546">
        <v>82352568</v>
      </c>
      <c r="L1546">
        <v>38913</v>
      </c>
      <c r="M1546" t="s">
        <v>78</v>
      </c>
      <c r="N1546" t="s">
        <v>17</v>
      </c>
      <c r="O1546">
        <v>3813</v>
      </c>
      <c r="P1546">
        <v>2279.9499999999998</v>
      </c>
      <c r="Q1546">
        <v>910.05</v>
      </c>
    </row>
    <row r="1547" spans="2:17" x14ac:dyDescent="0.25">
      <c r="B1547" t="s">
        <v>78</v>
      </c>
      <c r="C1547" t="s">
        <v>79</v>
      </c>
      <c r="D1547" t="s">
        <v>2847</v>
      </c>
      <c r="E1547" t="s">
        <v>2848</v>
      </c>
      <c r="F1547">
        <v>1038.9000000000001</v>
      </c>
      <c r="G1547">
        <v>1039.25</v>
      </c>
      <c r="H1547">
        <v>1051</v>
      </c>
      <c r="I1547">
        <v>989.65</v>
      </c>
      <c r="J1547" s="1">
        <v>999.15</v>
      </c>
      <c r="K1547">
        <v>9871309.9000000004</v>
      </c>
      <c r="L1547">
        <v>9835</v>
      </c>
      <c r="M1547" t="s">
        <v>78</v>
      </c>
      <c r="N1547" t="s">
        <v>17</v>
      </c>
      <c r="O1547">
        <v>946</v>
      </c>
      <c r="P1547">
        <v>2030</v>
      </c>
      <c r="Q1547">
        <v>910</v>
      </c>
    </row>
    <row r="1548" spans="2:17" x14ac:dyDescent="0.25">
      <c r="B1548" t="s">
        <v>78</v>
      </c>
      <c r="C1548" t="s">
        <v>79</v>
      </c>
      <c r="D1548" t="s">
        <v>2851</v>
      </c>
      <c r="E1548" t="s">
        <v>2852</v>
      </c>
      <c r="F1548">
        <v>68.400000000000006</v>
      </c>
      <c r="G1548">
        <v>67.8</v>
      </c>
      <c r="H1548">
        <v>69.650000000000006</v>
      </c>
      <c r="I1548">
        <v>67.150000000000006</v>
      </c>
      <c r="J1548" s="1">
        <v>67.5</v>
      </c>
      <c r="K1548">
        <v>871505.35</v>
      </c>
      <c r="L1548">
        <v>12805</v>
      </c>
      <c r="M1548" t="s">
        <v>78</v>
      </c>
      <c r="N1548" t="s">
        <v>17</v>
      </c>
      <c r="O1548">
        <v>222</v>
      </c>
      <c r="P1548">
        <v>114.7</v>
      </c>
      <c r="Q1548">
        <v>64</v>
      </c>
    </row>
    <row r="1549" spans="2:17" x14ac:dyDescent="0.25">
      <c r="B1549" t="s">
        <v>78</v>
      </c>
      <c r="C1549" t="s">
        <v>79</v>
      </c>
      <c r="D1549" t="s">
        <v>2853</v>
      </c>
      <c r="E1549" t="s">
        <v>2854</v>
      </c>
      <c r="F1549">
        <v>15.25</v>
      </c>
      <c r="G1549">
        <v>15.45</v>
      </c>
      <c r="H1549">
        <v>15.85</v>
      </c>
      <c r="I1549">
        <v>14.05</v>
      </c>
      <c r="J1549" s="1">
        <v>14.8</v>
      </c>
      <c r="K1549">
        <v>1036584</v>
      </c>
      <c r="L1549">
        <v>71196</v>
      </c>
      <c r="M1549" t="s">
        <v>78</v>
      </c>
      <c r="N1549" t="s">
        <v>17</v>
      </c>
      <c r="O1549">
        <v>1027</v>
      </c>
      <c r="P1549">
        <v>60.75</v>
      </c>
      <c r="Q1549">
        <v>10.55</v>
      </c>
    </row>
    <row r="1550" spans="2:17" x14ac:dyDescent="0.25">
      <c r="B1550" t="s">
        <v>78</v>
      </c>
      <c r="C1550" t="s">
        <v>79</v>
      </c>
      <c r="D1550" t="s">
        <v>2855</v>
      </c>
      <c r="E1550" t="s">
        <v>2856</v>
      </c>
      <c r="F1550">
        <v>405.65</v>
      </c>
      <c r="G1550">
        <v>405.5</v>
      </c>
      <c r="H1550">
        <v>407.35</v>
      </c>
      <c r="I1550">
        <v>400</v>
      </c>
      <c r="J1550" s="1">
        <v>400.9</v>
      </c>
      <c r="K1550">
        <v>92552640.900000006</v>
      </c>
      <c r="L1550">
        <v>228909</v>
      </c>
      <c r="M1550" t="s">
        <v>78</v>
      </c>
      <c r="N1550" t="s">
        <v>183</v>
      </c>
      <c r="O1550">
        <v>10422</v>
      </c>
      <c r="P1550">
        <v>647</v>
      </c>
      <c r="Q1550">
        <v>375.5</v>
      </c>
    </row>
    <row r="1551" spans="2:17" x14ac:dyDescent="0.25">
      <c r="B1551" t="s">
        <v>78</v>
      </c>
      <c r="C1551" t="s">
        <v>79</v>
      </c>
      <c r="D1551" t="s">
        <v>3551</v>
      </c>
      <c r="E1551" t="s">
        <v>3552</v>
      </c>
      <c r="F1551">
        <v>42.05</v>
      </c>
      <c r="G1551">
        <v>41.5</v>
      </c>
      <c r="H1551">
        <v>41.95</v>
      </c>
      <c r="I1551">
        <v>40.85</v>
      </c>
      <c r="J1551" s="1">
        <v>41.45</v>
      </c>
      <c r="K1551">
        <v>4255688.05</v>
      </c>
      <c r="L1551">
        <v>101956</v>
      </c>
      <c r="M1551" t="s">
        <v>78</v>
      </c>
      <c r="N1551" t="s">
        <v>17</v>
      </c>
      <c r="O1551">
        <v>261</v>
      </c>
      <c r="P1551">
        <v>58.8</v>
      </c>
      <c r="Q1551">
        <v>26.95</v>
      </c>
    </row>
    <row r="1552" spans="2:17" x14ac:dyDescent="0.25">
      <c r="B1552" t="s">
        <v>78</v>
      </c>
      <c r="C1552" t="s">
        <v>79</v>
      </c>
      <c r="D1552" t="s">
        <v>2857</v>
      </c>
      <c r="E1552" t="s">
        <v>2858</v>
      </c>
      <c r="F1552">
        <v>315.75</v>
      </c>
      <c r="G1552">
        <v>313</v>
      </c>
      <c r="H1552">
        <v>319.39999999999998</v>
      </c>
      <c r="I1552">
        <v>275.39999999999998</v>
      </c>
      <c r="J1552" s="1">
        <v>301.3</v>
      </c>
      <c r="K1552">
        <v>24300025.800000001</v>
      </c>
      <c r="L1552">
        <v>83250</v>
      </c>
      <c r="M1552" t="s">
        <v>78</v>
      </c>
      <c r="N1552" t="s">
        <v>17</v>
      </c>
      <c r="O1552">
        <v>4507</v>
      </c>
      <c r="P1552">
        <v>634.9</v>
      </c>
      <c r="Q1552">
        <v>275.39999999999998</v>
      </c>
    </row>
    <row r="1553" spans="2:17" x14ac:dyDescent="0.25">
      <c r="B1553" t="s">
        <v>78</v>
      </c>
      <c r="C1553" t="s">
        <v>79</v>
      </c>
      <c r="D1553" t="s">
        <v>3553</v>
      </c>
      <c r="E1553" t="s">
        <v>3554</v>
      </c>
      <c r="F1553">
        <v>5.8</v>
      </c>
      <c r="G1553">
        <v>5.8</v>
      </c>
      <c r="H1553">
        <v>6.1</v>
      </c>
      <c r="I1553">
        <v>5.45</v>
      </c>
      <c r="J1553" s="1">
        <v>5.95</v>
      </c>
      <c r="K1553">
        <v>24281.95</v>
      </c>
      <c r="L1553">
        <v>4151</v>
      </c>
      <c r="M1553" t="s">
        <v>78</v>
      </c>
      <c r="N1553" t="s">
        <v>17</v>
      </c>
      <c r="O1553">
        <v>63</v>
      </c>
      <c r="P1553">
        <v>15.05</v>
      </c>
      <c r="Q1553">
        <v>5.0999999999999996</v>
      </c>
    </row>
    <row r="1554" spans="2:17" x14ac:dyDescent="0.25">
      <c r="B1554" t="s">
        <v>78</v>
      </c>
      <c r="C1554" t="s">
        <v>79</v>
      </c>
      <c r="D1554" t="s">
        <v>3555</v>
      </c>
      <c r="E1554" t="s">
        <v>3556</v>
      </c>
      <c r="F1554">
        <v>0.05</v>
      </c>
      <c r="G1554">
        <v>0.05</v>
      </c>
      <c r="H1554">
        <v>0.1</v>
      </c>
      <c r="I1554">
        <v>0.05</v>
      </c>
      <c r="J1554" s="1">
        <v>0.1</v>
      </c>
      <c r="K1554">
        <v>258904.05</v>
      </c>
      <c r="L1554">
        <v>2928969</v>
      </c>
      <c r="M1554" t="s">
        <v>78</v>
      </c>
      <c r="N1554" t="s">
        <v>17</v>
      </c>
      <c r="O1554">
        <v>111</v>
      </c>
      <c r="P1554">
        <v>0.15</v>
      </c>
      <c r="Q1554">
        <v>0.05</v>
      </c>
    </row>
    <row r="1555" spans="2:17" x14ac:dyDescent="0.25">
      <c r="B1555" t="s">
        <v>78</v>
      </c>
      <c r="C1555" t="s">
        <v>79</v>
      </c>
      <c r="D1555" t="s">
        <v>2861</v>
      </c>
      <c r="E1555" t="s">
        <v>2862</v>
      </c>
      <c r="F1555">
        <v>120.5</v>
      </c>
      <c r="G1555">
        <v>120.95</v>
      </c>
      <c r="H1555">
        <v>120.95</v>
      </c>
      <c r="I1555">
        <v>111.3</v>
      </c>
      <c r="J1555" s="1">
        <v>114.4</v>
      </c>
      <c r="K1555">
        <v>798867.25</v>
      </c>
      <c r="L1555">
        <v>6863</v>
      </c>
      <c r="M1555" t="s">
        <v>78</v>
      </c>
      <c r="N1555" t="s">
        <v>17</v>
      </c>
      <c r="O1555">
        <v>120</v>
      </c>
      <c r="P1555">
        <v>291.89999999999998</v>
      </c>
      <c r="Q1555">
        <v>111.3</v>
      </c>
    </row>
    <row r="1556" spans="2:17" x14ac:dyDescent="0.25">
      <c r="B1556" t="s">
        <v>78</v>
      </c>
      <c r="C1556" t="s">
        <v>79</v>
      </c>
      <c r="D1556" t="s">
        <v>3559</v>
      </c>
      <c r="E1556" t="s">
        <v>3560</v>
      </c>
      <c r="F1556">
        <v>14.15</v>
      </c>
      <c r="G1556">
        <v>14.25</v>
      </c>
      <c r="H1556">
        <v>14.45</v>
      </c>
      <c r="I1556">
        <v>13.9</v>
      </c>
      <c r="J1556" s="1">
        <v>14.05</v>
      </c>
      <c r="K1556">
        <v>1737887.4</v>
      </c>
      <c r="L1556">
        <v>123896</v>
      </c>
      <c r="M1556" t="s">
        <v>78</v>
      </c>
      <c r="N1556" t="s">
        <v>17</v>
      </c>
      <c r="O1556">
        <v>245</v>
      </c>
      <c r="P1556">
        <v>75.7</v>
      </c>
      <c r="Q1556">
        <v>13.7</v>
      </c>
    </row>
    <row r="1557" spans="2:17" x14ac:dyDescent="0.25">
      <c r="B1557" t="s">
        <v>78</v>
      </c>
      <c r="C1557" t="s">
        <v>79</v>
      </c>
      <c r="D1557" t="s">
        <v>2865</v>
      </c>
      <c r="E1557" t="s">
        <v>2866</v>
      </c>
      <c r="F1557">
        <v>51.4</v>
      </c>
      <c r="G1557">
        <v>51.6</v>
      </c>
      <c r="H1557">
        <v>51.6</v>
      </c>
      <c r="I1557">
        <v>48.05</v>
      </c>
      <c r="J1557" s="1">
        <v>50.45</v>
      </c>
      <c r="K1557">
        <v>1354337.4</v>
      </c>
      <c r="L1557">
        <v>27192</v>
      </c>
      <c r="M1557" t="s">
        <v>78</v>
      </c>
      <c r="N1557" t="s">
        <v>17</v>
      </c>
      <c r="O1557">
        <v>281</v>
      </c>
      <c r="P1557">
        <v>88.4</v>
      </c>
      <c r="Q1557">
        <v>43.25</v>
      </c>
    </row>
    <row r="1558" spans="2:17" x14ac:dyDescent="0.25">
      <c r="B1558" t="s">
        <v>78</v>
      </c>
      <c r="C1558" t="s">
        <v>79</v>
      </c>
      <c r="D1558" t="s">
        <v>2869</v>
      </c>
      <c r="E1558" t="s">
        <v>2870</v>
      </c>
      <c r="F1558">
        <v>2048.4499999999998</v>
      </c>
      <c r="G1558">
        <v>2048.4</v>
      </c>
      <c r="H1558">
        <v>2090</v>
      </c>
      <c r="I1558">
        <v>2000</v>
      </c>
      <c r="J1558" s="1">
        <v>2014.25</v>
      </c>
      <c r="K1558">
        <v>6926892.5999999996</v>
      </c>
      <c r="L1558">
        <v>3389</v>
      </c>
      <c r="M1558" t="s">
        <v>78</v>
      </c>
      <c r="N1558" t="s">
        <v>17</v>
      </c>
      <c r="O1558">
        <v>917</v>
      </c>
      <c r="P1558">
        <v>3299</v>
      </c>
      <c r="Q1558">
        <v>1933.95</v>
      </c>
    </row>
    <row r="1559" spans="2:17" x14ac:dyDescent="0.25">
      <c r="B1559" t="s">
        <v>78</v>
      </c>
      <c r="C1559" t="s">
        <v>79</v>
      </c>
      <c r="D1559" t="s">
        <v>2871</v>
      </c>
      <c r="E1559" t="s">
        <v>2872</v>
      </c>
      <c r="F1559">
        <v>1119.9000000000001</v>
      </c>
      <c r="G1559">
        <v>1120.1500000000001</v>
      </c>
      <c r="H1559">
        <v>1123.0999999999999</v>
      </c>
      <c r="I1559">
        <v>1079.55</v>
      </c>
      <c r="J1559" s="1">
        <v>1100.1500000000001</v>
      </c>
      <c r="K1559">
        <v>3333427.05</v>
      </c>
      <c r="L1559">
        <v>3042</v>
      </c>
      <c r="M1559" t="s">
        <v>78</v>
      </c>
      <c r="N1559" t="s">
        <v>17</v>
      </c>
      <c r="O1559">
        <v>659</v>
      </c>
      <c r="P1559">
        <v>1274</v>
      </c>
      <c r="Q1559">
        <v>731.05</v>
      </c>
    </row>
    <row r="1560" spans="2:17" x14ac:dyDescent="0.25">
      <c r="B1560" t="s">
        <v>78</v>
      </c>
      <c r="C1560" t="s">
        <v>79</v>
      </c>
      <c r="D1560" t="s">
        <v>2873</v>
      </c>
      <c r="E1560" t="s">
        <v>2874</v>
      </c>
      <c r="F1560">
        <v>580.4</v>
      </c>
      <c r="G1560">
        <v>582</v>
      </c>
      <c r="H1560">
        <v>585.5</v>
      </c>
      <c r="I1560">
        <v>571</v>
      </c>
      <c r="J1560" s="1">
        <v>578.15</v>
      </c>
      <c r="K1560">
        <v>647691008.85000002</v>
      </c>
      <c r="L1560">
        <v>1119667</v>
      </c>
      <c r="M1560" t="s">
        <v>78</v>
      </c>
      <c r="N1560" t="s">
        <v>17</v>
      </c>
      <c r="O1560">
        <v>30120</v>
      </c>
      <c r="P1560">
        <v>662.5</v>
      </c>
      <c r="Q1560">
        <v>472.25</v>
      </c>
    </row>
    <row r="1561" spans="2:17" x14ac:dyDescent="0.25">
      <c r="B1561" t="s">
        <v>78</v>
      </c>
      <c r="C1561" t="s">
        <v>79</v>
      </c>
      <c r="D1561" t="s">
        <v>2875</v>
      </c>
      <c r="E1561" t="s">
        <v>2876</v>
      </c>
      <c r="F1561">
        <v>267.95</v>
      </c>
      <c r="G1561">
        <v>267.05</v>
      </c>
      <c r="H1561">
        <v>273.39999999999998</v>
      </c>
      <c r="I1561">
        <v>260.5</v>
      </c>
      <c r="J1561" s="1">
        <v>263.25</v>
      </c>
      <c r="K1561">
        <v>6365611.1500000004</v>
      </c>
      <c r="L1561">
        <v>23991</v>
      </c>
      <c r="M1561" t="s">
        <v>78</v>
      </c>
      <c r="N1561" t="s">
        <v>17</v>
      </c>
      <c r="O1561">
        <v>947</v>
      </c>
      <c r="P1561">
        <v>369</v>
      </c>
      <c r="Q1561">
        <v>237.15</v>
      </c>
    </row>
    <row r="1562" spans="2:17" x14ac:dyDescent="0.25">
      <c r="B1562" t="s">
        <v>78</v>
      </c>
      <c r="C1562" t="s">
        <v>287</v>
      </c>
      <c r="D1562" t="s">
        <v>2877</v>
      </c>
      <c r="E1562" t="s">
        <v>2878</v>
      </c>
      <c r="F1562">
        <v>18.649999999999999</v>
      </c>
      <c r="G1562">
        <v>19</v>
      </c>
      <c r="H1562">
        <v>19.55</v>
      </c>
      <c r="I1562">
        <v>19</v>
      </c>
      <c r="J1562" s="1">
        <v>19.55</v>
      </c>
      <c r="K1562">
        <v>1459650</v>
      </c>
      <c r="L1562">
        <v>75000</v>
      </c>
      <c r="M1562" t="s">
        <v>78</v>
      </c>
      <c r="N1562" t="s">
        <v>17</v>
      </c>
      <c r="O1562">
        <v>21</v>
      </c>
      <c r="P1562">
        <v>71</v>
      </c>
      <c r="Q1562">
        <v>18.649999999999999</v>
      </c>
    </row>
    <row r="1563" spans="2:17" x14ac:dyDescent="0.25">
      <c r="B1563" t="s">
        <v>78</v>
      </c>
      <c r="C1563" t="s">
        <v>79</v>
      </c>
      <c r="D1563" t="s">
        <v>2879</v>
      </c>
      <c r="E1563" t="s">
        <v>2880</v>
      </c>
      <c r="F1563">
        <v>86.1</v>
      </c>
      <c r="G1563">
        <v>85.05</v>
      </c>
      <c r="H1563">
        <v>85.85</v>
      </c>
      <c r="I1563">
        <v>75</v>
      </c>
      <c r="J1563" s="1">
        <v>79.05</v>
      </c>
      <c r="K1563">
        <v>1298515.8</v>
      </c>
      <c r="L1563">
        <v>16075</v>
      </c>
      <c r="M1563" t="s">
        <v>78</v>
      </c>
      <c r="N1563" t="s">
        <v>17</v>
      </c>
      <c r="O1563">
        <v>457</v>
      </c>
      <c r="P1563">
        <v>141</v>
      </c>
      <c r="Q1563">
        <v>73</v>
      </c>
    </row>
    <row r="1564" spans="2:17" x14ac:dyDescent="0.25">
      <c r="B1564" t="s">
        <v>78</v>
      </c>
      <c r="C1564" t="s">
        <v>79</v>
      </c>
      <c r="D1564" t="s">
        <v>2881</v>
      </c>
      <c r="E1564" t="s">
        <v>2882</v>
      </c>
      <c r="F1564">
        <v>3201.45</v>
      </c>
      <c r="G1564">
        <v>3206.4</v>
      </c>
      <c r="H1564">
        <v>3220</v>
      </c>
      <c r="I1564">
        <v>3155.15</v>
      </c>
      <c r="J1564" s="1">
        <v>3202.7</v>
      </c>
      <c r="K1564">
        <v>3444671.05</v>
      </c>
      <c r="L1564">
        <v>1078</v>
      </c>
      <c r="M1564" t="s">
        <v>78</v>
      </c>
      <c r="N1564" t="s">
        <v>17</v>
      </c>
      <c r="O1564">
        <v>431</v>
      </c>
      <c r="P1564">
        <v>3675</v>
      </c>
      <c r="Q1564">
        <v>2470</v>
      </c>
    </row>
    <row r="1565" spans="2:17" x14ac:dyDescent="0.25">
      <c r="B1565" t="s">
        <v>78</v>
      </c>
      <c r="C1565" t="s">
        <v>79</v>
      </c>
      <c r="D1565" t="s">
        <v>2883</v>
      </c>
      <c r="E1565" t="s">
        <v>2884</v>
      </c>
      <c r="F1565">
        <v>1130.6500000000001</v>
      </c>
      <c r="G1565">
        <v>1133.9000000000001</v>
      </c>
      <c r="H1565">
        <v>1133.95</v>
      </c>
      <c r="I1565">
        <v>1075.8</v>
      </c>
      <c r="J1565" s="1">
        <v>1087.05</v>
      </c>
      <c r="K1565">
        <v>3443755.55</v>
      </c>
      <c r="L1565">
        <v>3131</v>
      </c>
      <c r="M1565" t="s">
        <v>78</v>
      </c>
      <c r="N1565" t="s">
        <v>17</v>
      </c>
      <c r="O1565">
        <v>481</v>
      </c>
      <c r="P1565">
        <v>2350</v>
      </c>
      <c r="Q1565">
        <v>1075.8</v>
      </c>
    </row>
    <row r="1566" spans="2:17" x14ac:dyDescent="0.25">
      <c r="B1566" t="s">
        <v>78</v>
      </c>
      <c r="C1566" t="s">
        <v>79</v>
      </c>
      <c r="D1566" t="s">
        <v>2885</v>
      </c>
      <c r="E1566" t="s">
        <v>2886</v>
      </c>
      <c r="F1566">
        <v>1000</v>
      </c>
      <c r="G1566">
        <v>990</v>
      </c>
      <c r="H1566">
        <v>1004.35</v>
      </c>
      <c r="I1566">
        <v>961.65</v>
      </c>
      <c r="J1566" s="1">
        <v>964.45</v>
      </c>
      <c r="K1566">
        <v>189578353.34999999</v>
      </c>
      <c r="L1566">
        <v>189763</v>
      </c>
      <c r="M1566" t="s">
        <v>78</v>
      </c>
      <c r="N1566" t="s">
        <v>17</v>
      </c>
      <c r="O1566">
        <v>1182</v>
      </c>
      <c r="P1566">
        <v>1241.05</v>
      </c>
      <c r="Q1566">
        <v>920</v>
      </c>
    </row>
    <row r="1567" spans="2:17" x14ac:dyDescent="0.25">
      <c r="B1567" t="s">
        <v>78</v>
      </c>
      <c r="C1567" t="s">
        <v>79</v>
      </c>
      <c r="D1567" t="s">
        <v>2887</v>
      </c>
      <c r="E1567" t="s">
        <v>2888</v>
      </c>
      <c r="F1567">
        <v>302.60000000000002</v>
      </c>
      <c r="G1567">
        <v>302</v>
      </c>
      <c r="H1567">
        <v>304.2</v>
      </c>
      <c r="I1567">
        <v>288.10000000000002</v>
      </c>
      <c r="J1567" s="1">
        <v>292.64999999999998</v>
      </c>
      <c r="K1567">
        <v>51083839.450000003</v>
      </c>
      <c r="L1567">
        <v>172272</v>
      </c>
      <c r="M1567" t="s">
        <v>78</v>
      </c>
      <c r="N1567" t="s">
        <v>17</v>
      </c>
      <c r="O1567">
        <v>8145</v>
      </c>
      <c r="P1567">
        <v>413.15</v>
      </c>
      <c r="Q1567">
        <v>244.1</v>
      </c>
    </row>
    <row r="1568" spans="2:17" x14ac:dyDescent="0.25">
      <c r="B1568" t="s">
        <v>78</v>
      </c>
      <c r="C1568" t="s">
        <v>79</v>
      </c>
      <c r="D1568" t="s">
        <v>2889</v>
      </c>
      <c r="E1568" t="s">
        <v>2890</v>
      </c>
      <c r="F1568">
        <v>6117.45</v>
      </c>
      <c r="G1568">
        <v>6107.65</v>
      </c>
      <c r="H1568">
        <v>6139.95</v>
      </c>
      <c r="I1568">
        <v>6086</v>
      </c>
      <c r="J1568" s="1">
        <v>6096.3</v>
      </c>
      <c r="K1568">
        <v>17925426.550000001</v>
      </c>
      <c r="L1568">
        <v>2935</v>
      </c>
      <c r="M1568" t="s">
        <v>78</v>
      </c>
      <c r="N1568" t="s">
        <v>17</v>
      </c>
      <c r="O1568">
        <v>360</v>
      </c>
      <c r="P1568">
        <v>7446</v>
      </c>
      <c r="Q1568">
        <v>5840.1</v>
      </c>
    </row>
    <row r="1569" spans="2:17" x14ac:dyDescent="0.25">
      <c r="B1569" t="s">
        <v>78</v>
      </c>
      <c r="C1569" t="s">
        <v>79</v>
      </c>
      <c r="D1569" t="s">
        <v>2891</v>
      </c>
      <c r="E1569" t="s">
        <v>2892</v>
      </c>
      <c r="F1569">
        <v>77.05</v>
      </c>
      <c r="G1569">
        <v>78.55</v>
      </c>
      <c r="H1569">
        <v>79.599999999999994</v>
      </c>
      <c r="I1569">
        <v>77.2</v>
      </c>
      <c r="J1569" s="1">
        <v>77.650000000000006</v>
      </c>
      <c r="K1569">
        <v>10484382.800000001</v>
      </c>
      <c r="L1569">
        <v>134077</v>
      </c>
      <c r="M1569" t="s">
        <v>78</v>
      </c>
      <c r="N1569" t="s">
        <v>17</v>
      </c>
      <c r="O1569">
        <v>1651</v>
      </c>
      <c r="P1569">
        <v>150.9</v>
      </c>
      <c r="Q1569">
        <v>75.599999999999994</v>
      </c>
    </row>
    <row r="1570" spans="2:17" x14ac:dyDescent="0.25">
      <c r="B1570" t="s">
        <v>78</v>
      </c>
      <c r="C1570" t="s">
        <v>79</v>
      </c>
      <c r="D1570" t="s">
        <v>2895</v>
      </c>
      <c r="E1570" t="s">
        <v>2896</v>
      </c>
      <c r="F1570">
        <v>23.6</v>
      </c>
      <c r="G1570">
        <v>23.6</v>
      </c>
      <c r="H1570">
        <v>23.9</v>
      </c>
      <c r="I1570">
        <v>22.45</v>
      </c>
      <c r="J1570" s="1">
        <v>22.45</v>
      </c>
      <c r="K1570">
        <v>1571216.05</v>
      </c>
      <c r="L1570">
        <v>68630</v>
      </c>
      <c r="M1570" t="s">
        <v>78</v>
      </c>
      <c r="N1570" t="s">
        <v>17</v>
      </c>
      <c r="O1570">
        <v>325</v>
      </c>
      <c r="P1570">
        <v>53.9</v>
      </c>
      <c r="Q1570">
        <v>19</v>
      </c>
    </row>
    <row r="1571" spans="2:17" x14ac:dyDescent="0.25">
      <c r="B1571" t="s">
        <v>78</v>
      </c>
      <c r="C1571" t="s">
        <v>79</v>
      </c>
      <c r="D1571" t="s">
        <v>6631</v>
      </c>
      <c r="E1571" t="s">
        <v>6630</v>
      </c>
      <c r="F1571">
        <v>452</v>
      </c>
      <c r="G1571">
        <v>444.3</v>
      </c>
      <c r="H1571">
        <v>445.1</v>
      </c>
      <c r="I1571">
        <v>420.25</v>
      </c>
      <c r="J1571" s="1">
        <v>430.05</v>
      </c>
      <c r="K1571">
        <v>185296</v>
      </c>
      <c r="L1571">
        <v>427</v>
      </c>
      <c r="M1571" t="s">
        <v>78</v>
      </c>
      <c r="N1571" t="s">
        <v>17</v>
      </c>
      <c r="O1571">
        <v>67</v>
      </c>
      <c r="P1571">
        <v>685.05</v>
      </c>
      <c r="Q1571">
        <v>365</v>
      </c>
    </row>
    <row r="1572" spans="2:17" x14ac:dyDescent="0.25">
      <c r="B1572" t="s">
        <v>78</v>
      </c>
      <c r="C1572" t="s">
        <v>79</v>
      </c>
      <c r="D1572" t="s">
        <v>2897</v>
      </c>
      <c r="E1572" t="s">
        <v>2898</v>
      </c>
      <c r="F1572">
        <v>32.549999999999997</v>
      </c>
      <c r="G1572">
        <v>35.450000000000003</v>
      </c>
      <c r="H1572">
        <v>35.450000000000003</v>
      </c>
      <c r="I1572">
        <v>30.75</v>
      </c>
      <c r="J1572" s="1">
        <v>31.65</v>
      </c>
      <c r="K1572">
        <v>21914.05</v>
      </c>
      <c r="L1572">
        <v>694</v>
      </c>
      <c r="M1572" t="s">
        <v>78</v>
      </c>
      <c r="N1572" t="s">
        <v>17</v>
      </c>
      <c r="O1572">
        <v>29</v>
      </c>
      <c r="P1572">
        <v>82.65</v>
      </c>
      <c r="Q1572">
        <v>29.3</v>
      </c>
    </row>
    <row r="1573" spans="2:17" x14ac:dyDescent="0.25">
      <c r="B1573" t="s">
        <v>78</v>
      </c>
      <c r="C1573" t="s">
        <v>79</v>
      </c>
      <c r="D1573" t="s">
        <v>2899</v>
      </c>
      <c r="E1573" t="s">
        <v>2900</v>
      </c>
      <c r="F1573">
        <v>134.35</v>
      </c>
      <c r="G1573">
        <v>135.19999999999999</v>
      </c>
      <c r="H1573">
        <v>135.9</v>
      </c>
      <c r="I1573">
        <v>129.75</v>
      </c>
      <c r="J1573" s="1">
        <v>130.25</v>
      </c>
      <c r="K1573">
        <v>33576469.799999997</v>
      </c>
      <c r="L1573">
        <v>254849</v>
      </c>
      <c r="M1573" t="s">
        <v>78</v>
      </c>
      <c r="N1573" t="s">
        <v>17</v>
      </c>
      <c r="O1573">
        <v>3022</v>
      </c>
      <c r="P1573">
        <v>186.5</v>
      </c>
      <c r="Q1573">
        <v>86.8</v>
      </c>
    </row>
    <row r="1574" spans="2:17" x14ac:dyDescent="0.25">
      <c r="B1574" t="s">
        <v>78</v>
      </c>
      <c r="C1574" t="s">
        <v>79</v>
      </c>
      <c r="D1574" t="s">
        <v>2901</v>
      </c>
      <c r="E1574" t="s">
        <v>2902</v>
      </c>
      <c r="F1574">
        <v>112</v>
      </c>
      <c r="G1574">
        <v>112.7</v>
      </c>
      <c r="H1574">
        <v>112.7</v>
      </c>
      <c r="I1574">
        <v>104.1</v>
      </c>
      <c r="J1574" s="1">
        <v>105.1</v>
      </c>
      <c r="K1574">
        <v>25431737.949999999</v>
      </c>
      <c r="L1574">
        <v>238156</v>
      </c>
      <c r="M1574" t="s">
        <v>78</v>
      </c>
      <c r="N1574" t="s">
        <v>17</v>
      </c>
      <c r="O1574">
        <v>3595</v>
      </c>
      <c r="P1574">
        <v>177.4</v>
      </c>
      <c r="Q1574">
        <v>88.05</v>
      </c>
    </row>
    <row r="1575" spans="2:17" x14ac:dyDescent="0.25">
      <c r="B1575" t="s">
        <v>78</v>
      </c>
      <c r="C1575" t="s">
        <v>79</v>
      </c>
      <c r="D1575" t="s">
        <v>2903</v>
      </c>
      <c r="E1575" t="s">
        <v>2904</v>
      </c>
      <c r="F1575">
        <v>152</v>
      </c>
      <c r="G1575">
        <v>163</v>
      </c>
      <c r="H1575">
        <v>165</v>
      </c>
      <c r="I1575">
        <v>152.69999999999999</v>
      </c>
      <c r="J1575" s="1">
        <v>153.5</v>
      </c>
      <c r="K1575">
        <v>4706.3999999999996</v>
      </c>
      <c r="L1575">
        <v>30</v>
      </c>
      <c r="M1575" t="s">
        <v>78</v>
      </c>
      <c r="N1575" t="s">
        <v>17</v>
      </c>
      <c r="O1575">
        <v>7</v>
      </c>
      <c r="P1575">
        <v>178.5</v>
      </c>
      <c r="Q1575">
        <v>130</v>
      </c>
    </row>
    <row r="1576" spans="2:17" x14ac:dyDescent="0.25">
      <c r="B1576" t="s">
        <v>78</v>
      </c>
      <c r="C1576" t="s">
        <v>79</v>
      </c>
      <c r="D1576" t="s">
        <v>2905</v>
      </c>
      <c r="E1576" t="s">
        <v>2906</v>
      </c>
      <c r="F1576">
        <v>57.05</v>
      </c>
      <c r="G1576">
        <v>57.05</v>
      </c>
      <c r="H1576">
        <v>58</v>
      </c>
      <c r="I1576">
        <v>56.1</v>
      </c>
      <c r="J1576" s="1">
        <v>57.05</v>
      </c>
      <c r="K1576">
        <v>135025609.44999999</v>
      </c>
      <c r="L1576">
        <v>2371088</v>
      </c>
      <c r="M1576" t="s">
        <v>78</v>
      </c>
      <c r="N1576" t="s">
        <v>17</v>
      </c>
      <c r="O1576">
        <v>4780</v>
      </c>
      <c r="P1576">
        <v>78.25</v>
      </c>
      <c r="Q1576">
        <v>46.2</v>
      </c>
    </row>
    <row r="1577" spans="2:17" x14ac:dyDescent="0.25">
      <c r="B1577" t="s">
        <v>78</v>
      </c>
      <c r="C1577" t="s">
        <v>79</v>
      </c>
      <c r="D1577" t="s">
        <v>2907</v>
      </c>
      <c r="E1577" t="s">
        <v>2908</v>
      </c>
      <c r="F1577">
        <v>2333.6</v>
      </c>
      <c r="G1577">
        <v>2340.0500000000002</v>
      </c>
      <c r="H1577">
        <v>2350</v>
      </c>
      <c r="I1577">
        <v>2222</v>
      </c>
      <c r="J1577" s="1">
        <v>2231.65</v>
      </c>
      <c r="K1577">
        <v>1053676.1499999999</v>
      </c>
      <c r="L1577">
        <v>465</v>
      </c>
      <c r="M1577" t="s">
        <v>78</v>
      </c>
      <c r="N1577" t="s">
        <v>17</v>
      </c>
      <c r="O1577">
        <v>166</v>
      </c>
      <c r="P1577">
        <v>4050</v>
      </c>
      <c r="Q1577">
        <v>2222</v>
      </c>
    </row>
    <row r="1578" spans="2:17" x14ac:dyDescent="0.25">
      <c r="B1578" t="s">
        <v>78</v>
      </c>
      <c r="C1578" t="s">
        <v>79</v>
      </c>
      <c r="D1578" t="s">
        <v>2915</v>
      </c>
      <c r="E1578" t="s">
        <v>2916</v>
      </c>
      <c r="F1578">
        <v>733.65</v>
      </c>
      <c r="G1578">
        <v>733</v>
      </c>
      <c r="H1578">
        <v>755</v>
      </c>
      <c r="I1578">
        <v>705</v>
      </c>
      <c r="J1578" s="1">
        <v>708.75</v>
      </c>
      <c r="K1578">
        <v>823085.5</v>
      </c>
      <c r="L1578">
        <v>1152</v>
      </c>
      <c r="M1578" t="s">
        <v>78</v>
      </c>
      <c r="N1578" t="s">
        <v>17</v>
      </c>
      <c r="O1578">
        <v>190</v>
      </c>
      <c r="P1578">
        <v>2390</v>
      </c>
      <c r="Q1578">
        <v>705</v>
      </c>
    </row>
    <row r="1579" spans="2:17" x14ac:dyDescent="0.25">
      <c r="B1579" t="s">
        <v>78</v>
      </c>
      <c r="C1579" t="s">
        <v>79</v>
      </c>
      <c r="D1579" t="s">
        <v>2917</v>
      </c>
      <c r="E1579" t="s">
        <v>2918</v>
      </c>
      <c r="F1579">
        <v>1583.45</v>
      </c>
      <c r="G1579">
        <v>1590</v>
      </c>
      <c r="H1579">
        <v>1610</v>
      </c>
      <c r="I1579">
        <v>1526.55</v>
      </c>
      <c r="J1579" s="1">
        <v>1582.2</v>
      </c>
      <c r="K1579">
        <v>108274631.05</v>
      </c>
      <c r="L1579">
        <v>69567</v>
      </c>
      <c r="M1579" t="s">
        <v>78</v>
      </c>
      <c r="N1579" t="s">
        <v>17</v>
      </c>
      <c r="O1579">
        <v>10660</v>
      </c>
      <c r="P1579">
        <v>1954.7</v>
      </c>
      <c r="Q1579">
        <v>1263.8</v>
      </c>
    </row>
    <row r="1580" spans="2:17" x14ac:dyDescent="0.25">
      <c r="B1580" t="s">
        <v>78</v>
      </c>
      <c r="C1580" t="s">
        <v>79</v>
      </c>
      <c r="D1580" t="s">
        <v>2919</v>
      </c>
      <c r="E1580" t="s">
        <v>2920</v>
      </c>
      <c r="F1580">
        <v>18.05</v>
      </c>
      <c r="G1580">
        <v>17.399999999999999</v>
      </c>
      <c r="H1580">
        <v>17.399999999999999</v>
      </c>
      <c r="I1580">
        <v>17.149999999999999</v>
      </c>
      <c r="J1580" s="1">
        <v>17.149999999999999</v>
      </c>
      <c r="K1580">
        <v>29935.35</v>
      </c>
      <c r="L1580">
        <v>1743</v>
      </c>
      <c r="M1580" t="s">
        <v>78</v>
      </c>
      <c r="N1580" t="s">
        <v>17</v>
      </c>
      <c r="O1580">
        <v>20</v>
      </c>
      <c r="P1580">
        <v>89.25</v>
      </c>
      <c r="Q1580">
        <v>17.149999999999999</v>
      </c>
    </row>
    <row r="1581" spans="2:17" x14ac:dyDescent="0.25">
      <c r="B1581" t="s">
        <v>78</v>
      </c>
      <c r="C1581" t="s">
        <v>79</v>
      </c>
      <c r="D1581" t="s">
        <v>2921</v>
      </c>
      <c r="E1581" t="s">
        <v>2922</v>
      </c>
      <c r="F1581">
        <v>24.95</v>
      </c>
      <c r="G1581">
        <v>24.8</v>
      </c>
      <c r="H1581">
        <v>25.5</v>
      </c>
      <c r="I1581">
        <v>23.75</v>
      </c>
      <c r="J1581" s="1">
        <v>24.45</v>
      </c>
      <c r="K1581">
        <v>2237618.9</v>
      </c>
      <c r="L1581">
        <v>91420</v>
      </c>
      <c r="M1581" t="s">
        <v>78</v>
      </c>
      <c r="N1581" t="s">
        <v>17</v>
      </c>
      <c r="O1581">
        <v>410</v>
      </c>
      <c r="P1581">
        <v>106.05</v>
      </c>
      <c r="Q1581">
        <v>17.649999999999999</v>
      </c>
    </row>
    <row r="1582" spans="2:17" x14ac:dyDescent="0.25">
      <c r="B1582" t="s">
        <v>78</v>
      </c>
      <c r="C1582" t="s">
        <v>79</v>
      </c>
      <c r="D1582" t="s">
        <v>2923</v>
      </c>
      <c r="E1582" t="s">
        <v>2924</v>
      </c>
      <c r="F1582">
        <v>346.4</v>
      </c>
      <c r="G1582">
        <v>348.2</v>
      </c>
      <c r="H1582">
        <v>349.45</v>
      </c>
      <c r="I1582">
        <v>337.1</v>
      </c>
      <c r="J1582" s="1">
        <v>338.5</v>
      </c>
      <c r="K1582">
        <v>141907398.80000001</v>
      </c>
      <c r="L1582">
        <v>415984</v>
      </c>
      <c r="M1582" t="s">
        <v>78</v>
      </c>
      <c r="N1582" t="s">
        <v>17</v>
      </c>
      <c r="O1582">
        <v>12072</v>
      </c>
      <c r="P1582">
        <v>692.2</v>
      </c>
      <c r="Q1582">
        <v>319.05</v>
      </c>
    </row>
    <row r="1583" spans="2:17" x14ac:dyDescent="0.25">
      <c r="B1583" t="s">
        <v>78</v>
      </c>
      <c r="C1583" t="s">
        <v>79</v>
      </c>
      <c r="D1583" t="s">
        <v>2925</v>
      </c>
      <c r="E1583" t="s">
        <v>2926</v>
      </c>
      <c r="F1583">
        <v>249.3</v>
      </c>
      <c r="G1583">
        <v>250</v>
      </c>
      <c r="H1583">
        <v>256.75</v>
      </c>
      <c r="I1583">
        <v>243.8</v>
      </c>
      <c r="J1583" s="1">
        <v>245.3</v>
      </c>
      <c r="K1583">
        <v>7902218.3499999996</v>
      </c>
      <c r="L1583">
        <v>31865</v>
      </c>
      <c r="M1583" t="s">
        <v>78</v>
      </c>
      <c r="N1583" t="s">
        <v>17</v>
      </c>
      <c r="O1583">
        <v>1375</v>
      </c>
      <c r="P1583">
        <v>376</v>
      </c>
      <c r="Q1583">
        <v>243.8</v>
      </c>
    </row>
    <row r="1584" spans="2:17" x14ac:dyDescent="0.25">
      <c r="B1584" t="s">
        <v>78</v>
      </c>
      <c r="C1584" t="s">
        <v>287</v>
      </c>
      <c r="D1584" t="s">
        <v>2927</v>
      </c>
      <c r="E1584" t="s">
        <v>2928</v>
      </c>
      <c r="F1584">
        <v>51</v>
      </c>
      <c r="G1584">
        <v>49</v>
      </c>
      <c r="H1584">
        <v>49.95</v>
      </c>
      <c r="I1584">
        <v>49</v>
      </c>
      <c r="J1584" s="1">
        <v>49.95</v>
      </c>
      <c r="K1584">
        <v>223275</v>
      </c>
      <c r="L1584">
        <v>4500</v>
      </c>
      <c r="M1584" t="s">
        <v>78</v>
      </c>
      <c r="N1584" t="s">
        <v>17</v>
      </c>
      <c r="O1584">
        <v>3</v>
      </c>
      <c r="P1584">
        <v>84</v>
      </c>
      <c r="Q1584">
        <v>46</v>
      </c>
    </row>
    <row r="1585" spans="2:17" x14ac:dyDescent="0.25">
      <c r="B1585" t="s">
        <v>78</v>
      </c>
      <c r="C1585" t="s">
        <v>79</v>
      </c>
      <c r="D1585" t="s">
        <v>2929</v>
      </c>
      <c r="E1585" t="s">
        <v>2930</v>
      </c>
      <c r="F1585">
        <v>238.15</v>
      </c>
      <c r="G1585">
        <v>238</v>
      </c>
      <c r="H1585">
        <v>239</v>
      </c>
      <c r="I1585">
        <v>227.15</v>
      </c>
      <c r="J1585" s="1">
        <v>231.1</v>
      </c>
      <c r="K1585">
        <v>29682913.350000001</v>
      </c>
      <c r="L1585">
        <v>127218</v>
      </c>
      <c r="M1585" t="s">
        <v>78</v>
      </c>
      <c r="N1585" t="s">
        <v>17</v>
      </c>
      <c r="O1585">
        <v>3058</v>
      </c>
      <c r="P1585">
        <v>414.75</v>
      </c>
      <c r="Q1585">
        <v>215.75</v>
      </c>
    </row>
    <row r="1586" spans="2:17" x14ac:dyDescent="0.25">
      <c r="B1586" t="s">
        <v>78</v>
      </c>
      <c r="C1586" t="s">
        <v>79</v>
      </c>
      <c r="D1586" t="s">
        <v>2931</v>
      </c>
      <c r="E1586" t="s">
        <v>2932</v>
      </c>
      <c r="F1586">
        <v>53.55</v>
      </c>
      <c r="G1586">
        <v>53.85</v>
      </c>
      <c r="H1586">
        <v>53.85</v>
      </c>
      <c r="I1586">
        <v>51.65</v>
      </c>
      <c r="J1586" s="1">
        <v>52.65</v>
      </c>
      <c r="K1586">
        <v>201614.95</v>
      </c>
      <c r="L1586">
        <v>3844</v>
      </c>
      <c r="M1586" t="s">
        <v>78</v>
      </c>
      <c r="N1586" t="s">
        <v>17</v>
      </c>
      <c r="O1586">
        <v>61</v>
      </c>
      <c r="P1586">
        <v>64.900000000000006</v>
      </c>
      <c r="Q1586">
        <v>34.1</v>
      </c>
    </row>
    <row r="1587" spans="2:17" x14ac:dyDescent="0.25">
      <c r="B1587" t="s">
        <v>78</v>
      </c>
      <c r="C1587" t="s">
        <v>79</v>
      </c>
      <c r="D1587" t="s">
        <v>2933</v>
      </c>
      <c r="E1587" t="s">
        <v>2934</v>
      </c>
      <c r="F1587">
        <v>61.3</v>
      </c>
      <c r="G1587">
        <v>60.15</v>
      </c>
      <c r="H1587">
        <v>63.3</v>
      </c>
      <c r="I1587">
        <v>60</v>
      </c>
      <c r="J1587" s="1">
        <v>60.7</v>
      </c>
      <c r="K1587">
        <v>117764.45</v>
      </c>
      <c r="L1587">
        <v>1941</v>
      </c>
      <c r="M1587" t="s">
        <v>78</v>
      </c>
      <c r="N1587" t="s">
        <v>17</v>
      </c>
      <c r="O1587">
        <v>36</v>
      </c>
      <c r="P1587">
        <v>101.7</v>
      </c>
      <c r="Q1587">
        <v>55</v>
      </c>
    </row>
    <row r="1588" spans="2:17" x14ac:dyDescent="0.25">
      <c r="B1588" t="s">
        <v>78</v>
      </c>
      <c r="C1588" t="s">
        <v>79</v>
      </c>
      <c r="D1588" t="s">
        <v>3569</v>
      </c>
      <c r="E1588" t="s">
        <v>3570</v>
      </c>
      <c r="F1588">
        <v>29.65</v>
      </c>
      <c r="G1588">
        <v>30.9</v>
      </c>
      <c r="H1588">
        <v>31.7</v>
      </c>
      <c r="I1588">
        <v>28.35</v>
      </c>
      <c r="J1588" s="1">
        <v>29.4</v>
      </c>
      <c r="K1588">
        <v>89219.85</v>
      </c>
      <c r="L1588">
        <v>2965</v>
      </c>
      <c r="M1588" t="s">
        <v>78</v>
      </c>
      <c r="N1588" t="s">
        <v>17</v>
      </c>
      <c r="O1588">
        <v>70</v>
      </c>
      <c r="P1588">
        <v>57.8</v>
      </c>
      <c r="Q1588">
        <v>27</v>
      </c>
    </row>
    <row r="1589" spans="2:17" x14ac:dyDescent="0.25">
      <c r="B1589" t="s">
        <v>78</v>
      </c>
      <c r="C1589" t="s">
        <v>79</v>
      </c>
      <c r="D1589" t="s">
        <v>2939</v>
      </c>
      <c r="E1589" t="s">
        <v>2940</v>
      </c>
      <c r="F1589">
        <v>22.05</v>
      </c>
      <c r="G1589">
        <v>22.35</v>
      </c>
      <c r="H1589">
        <v>22.35</v>
      </c>
      <c r="I1589">
        <v>21.25</v>
      </c>
      <c r="J1589" s="1">
        <v>21.3</v>
      </c>
      <c r="K1589">
        <v>2353723.35</v>
      </c>
      <c r="L1589">
        <v>109500</v>
      </c>
      <c r="M1589" t="s">
        <v>78</v>
      </c>
      <c r="N1589" t="s">
        <v>17</v>
      </c>
      <c r="O1589">
        <v>700</v>
      </c>
      <c r="P1589">
        <v>42.2</v>
      </c>
      <c r="Q1589">
        <v>21.25</v>
      </c>
    </row>
    <row r="1590" spans="2:17" x14ac:dyDescent="0.25">
      <c r="B1590" t="s">
        <v>78</v>
      </c>
      <c r="C1590" t="s">
        <v>79</v>
      </c>
      <c r="D1590" t="s">
        <v>2941</v>
      </c>
      <c r="E1590" t="s">
        <v>2942</v>
      </c>
      <c r="F1590">
        <v>11.95</v>
      </c>
      <c r="G1590">
        <v>12.2</v>
      </c>
      <c r="H1590">
        <v>12.2</v>
      </c>
      <c r="I1590">
        <v>11.55</v>
      </c>
      <c r="J1590" s="1">
        <v>11.65</v>
      </c>
      <c r="K1590">
        <v>5149572.25</v>
      </c>
      <c r="L1590">
        <v>438941</v>
      </c>
      <c r="M1590" t="s">
        <v>78</v>
      </c>
      <c r="N1590" t="s">
        <v>17</v>
      </c>
      <c r="O1590">
        <v>1176</v>
      </c>
      <c r="P1590">
        <v>32.5</v>
      </c>
      <c r="Q1590">
        <v>10.35</v>
      </c>
    </row>
    <row r="1591" spans="2:17" x14ac:dyDescent="0.25">
      <c r="B1591" t="s">
        <v>78</v>
      </c>
      <c r="C1591" t="s">
        <v>79</v>
      </c>
      <c r="D1591" t="s">
        <v>3573</v>
      </c>
      <c r="E1591" t="s">
        <v>3574</v>
      </c>
      <c r="F1591">
        <v>43.55</v>
      </c>
      <c r="G1591">
        <v>45.7</v>
      </c>
      <c r="H1591">
        <v>45.7</v>
      </c>
      <c r="I1591">
        <v>45.7</v>
      </c>
      <c r="J1591" s="1">
        <v>45.7</v>
      </c>
      <c r="K1591">
        <v>6855</v>
      </c>
      <c r="L1591">
        <v>150</v>
      </c>
      <c r="M1591" t="s">
        <v>78</v>
      </c>
      <c r="N1591" t="s">
        <v>17</v>
      </c>
      <c r="O1591">
        <v>4</v>
      </c>
      <c r="P1591">
        <v>110</v>
      </c>
      <c r="Q1591">
        <v>33.9</v>
      </c>
    </row>
    <row r="1592" spans="2:17" x14ac:dyDescent="0.25">
      <c r="B1592" t="s">
        <v>78</v>
      </c>
      <c r="C1592" t="s">
        <v>79</v>
      </c>
      <c r="D1592" t="s">
        <v>2943</v>
      </c>
      <c r="E1592" t="s">
        <v>2944</v>
      </c>
      <c r="F1592">
        <v>244.05</v>
      </c>
      <c r="G1592">
        <v>245</v>
      </c>
      <c r="H1592">
        <v>245</v>
      </c>
      <c r="I1592">
        <v>234.3</v>
      </c>
      <c r="J1592" s="1">
        <v>238.3</v>
      </c>
      <c r="K1592">
        <v>4998479.2</v>
      </c>
      <c r="L1592">
        <v>20945</v>
      </c>
      <c r="M1592" t="s">
        <v>78</v>
      </c>
      <c r="N1592" t="s">
        <v>17</v>
      </c>
      <c r="O1592">
        <v>2954</v>
      </c>
      <c r="P1592">
        <v>1725</v>
      </c>
      <c r="Q1592">
        <v>199.9</v>
      </c>
    </row>
    <row r="1593" spans="2:17" x14ac:dyDescent="0.25">
      <c r="B1593" t="s">
        <v>78</v>
      </c>
      <c r="C1593" t="s">
        <v>79</v>
      </c>
      <c r="D1593" t="s">
        <v>2945</v>
      </c>
      <c r="E1593" t="s">
        <v>2946</v>
      </c>
      <c r="F1593">
        <v>57.95</v>
      </c>
      <c r="G1593">
        <v>57.8</v>
      </c>
      <c r="H1593">
        <v>60.3</v>
      </c>
      <c r="I1593">
        <v>54.35</v>
      </c>
      <c r="J1593" s="1">
        <v>55.4</v>
      </c>
      <c r="K1593">
        <v>3735006.95</v>
      </c>
      <c r="L1593">
        <v>66168</v>
      </c>
      <c r="M1593" t="s">
        <v>78</v>
      </c>
      <c r="N1593" t="s">
        <v>17</v>
      </c>
      <c r="O1593">
        <v>1145</v>
      </c>
      <c r="P1593">
        <v>94</v>
      </c>
      <c r="Q1593">
        <v>54.35</v>
      </c>
    </row>
    <row r="1594" spans="2:17" x14ac:dyDescent="0.25">
      <c r="B1594" t="s">
        <v>78</v>
      </c>
      <c r="C1594" t="s">
        <v>287</v>
      </c>
      <c r="D1594" t="s">
        <v>2947</v>
      </c>
      <c r="E1594" t="s">
        <v>2948</v>
      </c>
      <c r="F1594">
        <v>24.95</v>
      </c>
      <c r="G1594">
        <v>26</v>
      </c>
      <c r="H1594">
        <v>26</v>
      </c>
      <c r="I1594">
        <v>24.6</v>
      </c>
      <c r="J1594" s="1">
        <v>24.6</v>
      </c>
      <c r="K1594">
        <v>153200</v>
      </c>
      <c r="L1594">
        <v>6000</v>
      </c>
      <c r="M1594" t="s">
        <v>78</v>
      </c>
      <c r="N1594" t="s">
        <v>17</v>
      </c>
      <c r="O1594">
        <v>3</v>
      </c>
      <c r="P1594">
        <v>35</v>
      </c>
      <c r="Q1594">
        <v>14.3</v>
      </c>
    </row>
    <row r="1595" spans="2:17" x14ac:dyDescent="0.25">
      <c r="B1595" t="s">
        <v>78</v>
      </c>
      <c r="C1595" t="s">
        <v>79</v>
      </c>
      <c r="D1595" t="s">
        <v>2949</v>
      </c>
      <c r="E1595" t="s">
        <v>2950</v>
      </c>
      <c r="F1595">
        <v>229.95</v>
      </c>
      <c r="G1595">
        <v>225.15</v>
      </c>
      <c r="H1595">
        <v>225.15</v>
      </c>
      <c r="I1595">
        <v>221.05</v>
      </c>
      <c r="J1595" s="1">
        <v>222.2</v>
      </c>
      <c r="K1595">
        <v>326768.55</v>
      </c>
      <c r="L1595">
        <v>1466</v>
      </c>
      <c r="M1595" t="s">
        <v>78</v>
      </c>
      <c r="N1595" t="s">
        <v>17</v>
      </c>
      <c r="O1595">
        <v>48</v>
      </c>
      <c r="P1595">
        <v>248</v>
      </c>
      <c r="Q1595">
        <v>128.69999999999999</v>
      </c>
    </row>
    <row r="1596" spans="2:17" x14ac:dyDescent="0.25">
      <c r="B1596" t="s">
        <v>78</v>
      </c>
      <c r="C1596" t="s">
        <v>79</v>
      </c>
      <c r="D1596" t="s">
        <v>3577</v>
      </c>
      <c r="E1596" t="s">
        <v>6629</v>
      </c>
      <c r="F1596">
        <v>30.85</v>
      </c>
      <c r="G1596">
        <v>31.05</v>
      </c>
      <c r="H1596">
        <v>32.4</v>
      </c>
      <c r="I1596">
        <v>28.55</v>
      </c>
      <c r="J1596" s="1">
        <v>29.35</v>
      </c>
      <c r="K1596">
        <v>17303.95</v>
      </c>
      <c r="L1596">
        <v>580</v>
      </c>
      <c r="M1596" t="s">
        <v>78</v>
      </c>
      <c r="N1596" t="s">
        <v>17</v>
      </c>
      <c r="O1596">
        <v>15</v>
      </c>
      <c r="P1596">
        <v>64.5</v>
      </c>
      <c r="Q1596">
        <v>28.55</v>
      </c>
    </row>
    <row r="1597" spans="2:17" x14ac:dyDescent="0.25">
      <c r="B1597" t="s">
        <v>78</v>
      </c>
      <c r="C1597" t="s">
        <v>287</v>
      </c>
      <c r="D1597" t="s">
        <v>2951</v>
      </c>
      <c r="E1597" t="s">
        <v>2952</v>
      </c>
      <c r="F1597">
        <v>293.05</v>
      </c>
      <c r="G1597">
        <v>292</v>
      </c>
      <c r="H1597">
        <v>293.64999999999998</v>
      </c>
      <c r="I1597">
        <v>291</v>
      </c>
      <c r="J1597" s="1">
        <v>291.85000000000002</v>
      </c>
      <c r="K1597">
        <v>4391025</v>
      </c>
      <c r="L1597">
        <v>15000</v>
      </c>
      <c r="M1597" t="s">
        <v>78</v>
      </c>
      <c r="N1597" t="s">
        <v>17</v>
      </c>
      <c r="O1597">
        <v>23</v>
      </c>
      <c r="P1597">
        <v>304.5</v>
      </c>
      <c r="Q1597">
        <v>237.5</v>
      </c>
    </row>
    <row r="1598" spans="2:17" x14ac:dyDescent="0.25">
      <c r="B1598" t="s">
        <v>78</v>
      </c>
      <c r="C1598" t="s">
        <v>79</v>
      </c>
      <c r="D1598" t="s">
        <v>2953</v>
      </c>
      <c r="E1598" t="s">
        <v>2954</v>
      </c>
      <c r="F1598">
        <v>126.35</v>
      </c>
      <c r="G1598">
        <v>125.5</v>
      </c>
      <c r="H1598">
        <v>126.15</v>
      </c>
      <c r="I1598">
        <v>122.4</v>
      </c>
      <c r="J1598" s="1">
        <v>123.25</v>
      </c>
      <c r="K1598">
        <v>1780128.8</v>
      </c>
      <c r="L1598">
        <v>14303</v>
      </c>
      <c r="M1598" t="s">
        <v>78</v>
      </c>
      <c r="N1598" t="s">
        <v>17</v>
      </c>
      <c r="O1598">
        <v>254</v>
      </c>
      <c r="P1598">
        <v>369.95</v>
      </c>
      <c r="Q1598">
        <v>122.4</v>
      </c>
    </row>
    <row r="1599" spans="2:17" x14ac:dyDescent="0.25">
      <c r="B1599" t="s">
        <v>78</v>
      </c>
      <c r="C1599" t="s">
        <v>79</v>
      </c>
      <c r="D1599" t="s">
        <v>2955</v>
      </c>
      <c r="E1599" t="s">
        <v>2956</v>
      </c>
      <c r="F1599">
        <v>73.05</v>
      </c>
      <c r="G1599">
        <v>73.849999999999994</v>
      </c>
      <c r="H1599">
        <v>78</v>
      </c>
      <c r="I1599">
        <v>73</v>
      </c>
      <c r="J1599" s="1">
        <v>75.45</v>
      </c>
      <c r="K1599">
        <v>2088204.9</v>
      </c>
      <c r="L1599">
        <v>27792</v>
      </c>
      <c r="M1599" t="s">
        <v>78</v>
      </c>
      <c r="N1599" t="s">
        <v>17</v>
      </c>
      <c r="O1599">
        <v>496</v>
      </c>
      <c r="P1599">
        <v>139.75</v>
      </c>
      <c r="Q1599">
        <v>72.099999999999994</v>
      </c>
    </row>
    <row r="1600" spans="2:17" x14ac:dyDescent="0.25">
      <c r="B1600" t="s">
        <v>78</v>
      </c>
      <c r="C1600" t="s">
        <v>79</v>
      </c>
      <c r="D1600" t="s">
        <v>2957</v>
      </c>
      <c r="E1600" t="s">
        <v>2958</v>
      </c>
      <c r="F1600">
        <v>1380.3</v>
      </c>
      <c r="G1600">
        <v>1365</v>
      </c>
      <c r="H1600">
        <v>1407</v>
      </c>
      <c r="I1600">
        <v>1350</v>
      </c>
      <c r="J1600" s="1">
        <v>1359.85</v>
      </c>
      <c r="K1600">
        <v>8428221.75</v>
      </c>
      <c r="L1600">
        <v>6113</v>
      </c>
      <c r="M1600" t="s">
        <v>78</v>
      </c>
      <c r="N1600" t="s">
        <v>17</v>
      </c>
      <c r="O1600">
        <v>962</v>
      </c>
      <c r="P1600">
        <v>1980</v>
      </c>
      <c r="Q1600">
        <v>1087.95</v>
      </c>
    </row>
    <row r="1601" spans="2:17" x14ac:dyDescent="0.25">
      <c r="B1601" t="s">
        <v>17</v>
      </c>
      <c r="C1601" t="s">
        <v>2959</v>
      </c>
      <c r="D1601" t="s">
        <v>17</v>
      </c>
      <c r="E1601" t="s">
        <v>17</v>
      </c>
      <c r="F1601" t="s">
        <v>17</v>
      </c>
      <c r="G1601" t="s">
        <v>17</v>
      </c>
      <c r="H1601" t="s">
        <v>17</v>
      </c>
      <c r="I1601" t="s">
        <v>17</v>
      </c>
      <c r="J1601" s="1" t="s">
        <v>17</v>
      </c>
      <c r="K1601" t="s">
        <v>17</v>
      </c>
      <c r="L1601" t="s">
        <v>17</v>
      </c>
      <c r="M1601" t="s">
        <v>78</v>
      </c>
      <c r="N1601" t="s">
        <v>17</v>
      </c>
      <c r="O1601" t="s">
        <v>17</v>
      </c>
      <c r="P1601" t="s">
        <v>17</v>
      </c>
      <c r="Q1601" t="s">
        <v>17</v>
      </c>
    </row>
    <row r="1602" spans="2:17" x14ac:dyDescent="0.25">
      <c r="B1602" t="s">
        <v>17</v>
      </c>
      <c r="C1602" t="s">
        <v>2959</v>
      </c>
      <c r="D1602" t="s">
        <v>17</v>
      </c>
      <c r="E1602" t="s">
        <v>2960</v>
      </c>
      <c r="F1602" t="s">
        <v>17</v>
      </c>
      <c r="G1602" t="s">
        <v>17</v>
      </c>
      <c r="H1602" t="s">
        <v>17</v>
      </c>
      <c r="I1602" t="s">
        <v>17</v>
      </c>
      <c r="J1602" s="1" t="s">
        <v>17</v>
      </c>
      <c r="K1602" t="s">
        <v>17</v>
      </c>
      <c r="L1602" t="s">
        <v>17</v>
      </c>
      <c r="M1602" t="s">
        <v>78</v>
      </c>
      <c r="N1602" t="s">
        <v>17</v>
      </c>
      <c r="O1602" t="s">
        <v>17</v>
      </c>
      <c r="P1602" t="s">
        <v>17</v>
      </c>
      <c r="Q1602" t="s">
        <v>17</v>
      </c>
    </row>
    <row r="1603" spans="2:17" x14ac:dyDescent="0.25">
      <c r="B1603" t="s">
        <v>78</v>
      </c>
      <c r="C1603" t="s">
        <v>2961</v>
      </c>
      <c r="D1603" t="s">
        <v>338</v>
      </c>
      <c r="E1603" t="s">
        <v>339</v>
      </c>
      <c r="F1603">
        <v>93.7</v>
      </c>
      <c r="G1603">
        <v>89.05</v>
      </c>
      <c r="H1603">
        <v>93</v>
      </c>
      <c r="I1603">
        <v>89.05</v>
      </c>
      <c r="J1603" s="1">
        <v>92.95</v>
      </c>
      <c r="K1603">
        <v>1553530.8</v>
      </c>
      <c r="L1603">
        <v>16740</v>
      </c>
      <c r="M1603" t="s">
        <v>78</v>
      </c>
      <c r="N1603" t="s">
        <v>17</v>
      </c>
      <c r="O1603">
        <v>83</v>
      </c>
      <c r="P1603">
        <v>98.7</v>
      </c>
      <c r="Q1603">
        <v>55</v>
      </c>
    </row>
    <row r="1604" spans="2:17" x14ac:dyDescent="0.25">
      <c r="B1604" t="s">
        <v>78</v>
      </c>
      <c r="C1604" t="s">
        <v>2961</v>
      </c>
      <c r="D1604" t="s">
        <v>3580</v>
      </c>
      <c r="E1604" t="s">
        <v>3581</v>
      </c>
      <c r="F1604">
        <v>1.1499999999999999</v>
      </c>
      <c r="G1604">
        <v>1.1000000000000001</v>
      </c>
      <c r="H1604">
        <v>1.1000000000000001</v>
      </c>
      <c r="I1604">
        <v>1.1000000000000001</v>
      </c>
      <c r="J1604" s="1">
        <v>1.1000000000000001</v>
      </c>
      <c r="K1604">
        <v>528</v>
      </c>
      <c r="L1604">
        <v>480</v>
      </c>
      <c r="M1604" t="s">
        <v>78</v>
      </c>
      <c r="N1604" t="s">
        <v>17</v>
      </c>
      <c r="O1604">
        <v>5</v>
      </c>
      <c r="P1604">
        <v>6.8</v>
      </c>
      <c r="Q1604">
        <v>1.05</v>
      </c>
    </row>
    <row r="1605" spans="2:17" x14ac:dyDescent="0.25">
      <c r="B1605" t="s">
        <v>78</v>
      </c>
      <c r="C1605" t="s">
        <v>2961</v>
      </c>
      <c r="D1605" t="s">
        <v>2996</v>
      </c>
      <c r="E1605" t="s">
        <v>2997</v>
      </c>
      <c r="F1605">
        <v>0.85</v>
      </c>
      <c r="G1605">
        <v>0.8</v>
      </c>
      <c r="H1605">
        <v>0.8</v>
      </c>
      <c r="I1605">
        <v>0.8</v>
      </c>
      <c r="J1605" s="1">
        <v>0.8</v>
      </c>
      <c r="K1605">
        <v>1614.4</v>
      </c>
      <c r="L1605">
        <v>2018</v>
      </c>
      <c r="M1605" t="s">
        <v>78</v>
      </c>
      <c r="N1605" t="s">
        <v>17</v>
      </c>
      <c r="O1605">
        <v>4</v>
      </c>
      <c r="P1605">
        <v>3.8</v>
      </c>
      <c r="Q1605">
        <v>0.65</v>
      </c>
    </row>
    <row r="1606" spans="2:17" x14ac:dyDescent="0.25">
      <c r="B1606" t="s">
        <v>78</v>
      </c>
      <c r="C1606" t="s">
        <v>2961</v>
      </c>
      <c r="D1606" t="s">
        <v>3002</v>
      </c>
      <c r="E1606" t="s">
        <v>3003</v>
      </c>
      <c r="F1606">
        <v>0.55000000000000004</v>
      </c>
      <c r="G1606">
        <v>0.6</v>
      </c>
      <c r="H1606">
        <v>0.6</v>
      </c>
      <c r="I1606">
        <v>0.5</v>
      </c>
      <c r="J1606" s="1">
        <v>0.5</v>
      </c>
      <c r="K1606">
        <v>8673.65</v>
      </c>
      <c r="L1606">
        <v>16952</v>
      </c>
      <c r="M1606" t="s">
        <v>78</v>
      </c>
      <c r="N1606" t="s">
        <v>17</v>
      </c>
      <c r="O1606">
        <v>17</v>
      </c>
      <c r="P1606">
        <v>0.75</v>
      </c>
      <c r="Q1606">
        <v>0.35</v>
      </c>
    </row>
    <row r="1607" spans="2:17" x14ac:dyDescent="0.25">
      <c r="B1607" t="s">
        <v>78</v>
      </c>
      <c r="C1607" t="s">
        <v>2961</v>
      </c>
      <c r="D1607" t="s">
        <v>3006</v>
      </c>
      <c r="E1607" t="s">
        <v>3007</v>
      </c>
      <c r="F1607">
        <v>0.9</v>
      </c>
      <c r="G1607">
        <v>0.85</v>
      </c>
      <c r="H1607">
        <v>0.9</v>
      </c>
      <c r="I1607">
        <v>0.85</v>
      </c>
      <c r="J1607" s="1">
        <v>0.9</v>
      </c>
      <c r="K1607">
        <v>29790.1</v>
      </c>
      <c r="L1607">
        <v>34533</v>
      </c>
      <c r="M1607" t="s">
        <v>78</v>
      </c>
      <c r="N1607" t="s">
        <v>17</v>
      </c>
      <c r="O1607">
        <v>31</v>
      </c>
      <c r="P1607">
        <v>1.25</v>
      </c>
      <c r="Q1607">
        <v>0.4</v>
      </c>
    </row>
    <row r="1608" spans="2:17" x14ac:dyDescent="0.25">
      <c r="B1608" t="s">
        <v>78</v>
      </c>
      <c r="C1608" t="s">
        <v>2961</v>
      </c>
      <c r="D1608" t="s">
        <v>3014</v>
      </c>
      <c r="E1608" t="s">
        <v>3015</v>
      </c>
      <c r="F1608">
        <v>61.95</v>
      </c>
      <c r="G1608">
        <v>61.95</v>
      </c>
      <c r="H1608">
        <v>63</v>
      </c>
      <c r="I1608">
        <v>58.9</v>
      </c>
      <c r="J1608" s="1">
        <v>58.9</v>
      </c>
      <c r="K1608">
        <v>679908.4</v>
      </c>
      <c r="L1608">
        <v>11242</v>
      </c>
      <c r="M1608" t="s">
        <v>78</v>
      </c>
      <c r="N1608" t="s">
        <v>17</v>
      </c>
      <c r="O1608">
        <v>99</v>
      </c>
      <c r="P1608">
        <v>212.95</v>
      </c>
      <c r="Q1608">
        <v>58.9</v>
      </c>
    </row>
    <row r="1609" spans="2:17" x14ac:dyDescent="0.25">
      <c r="B1609" t="s">
        <v>78</v>
      </c>
      <c r="C1609" t="s">
        <v>2961</v>
      </c>
      <c r="D1609" t="s">
        <v>6628</v>
      </c>
      <c r="E1609" t="s">
        <v>6627</v>
      </c>
      <c r="F1609">
        <v>1.25</v>
      </c>
      <c r="G1609">
        <v>1.25</v>
      </c>
      <c r="H1609">
        <v>1.3</v>
      </c>
      <c r="I1609">
        <v>1.2</v>
      </c>
      <c r="J1609" s="1">
        <v>1.2</v>
      </c>
      <c r="K1609">
        <v>119511.7</v>
      </c>
      <c r="L1609">
        <v>99282</v>
      </c>
      <c r="M1609" t="s">
        <v>78</v>
      </c>
      <c r="N1609" t="s">
        <v>17</v>
      </c>
      <c r="O1609">
        <v>70</v>
      </c>
      <c r="P1609">
        <v>5.35</v>
      </c>
      <c r="Q1609">
        <v>1.1499999999999999</v>
      </c>
    </row>
    <row r="1610" spans="2:17" x14ac:dyDescent="0.25">
      <c r="B1610" t="s">
        <v>78</v>
      </c>
      <c r="C1610" t="s">
        <v>2961</v>
      </c>
      <c r="D1610" t="s">
        <v>3584</v>
      </c>
      <c r="E1610" t="s">
        <v>3585</v>
      </c>
      <c r="F1610">
        <v>41.65</v>
      </c>
      <c r="G1610">
        <v>42</v>
      </c>
      <c r="H1610">
        <v>43</v>
      </c>
      <c r="I1610">
        <v>41.3</v>
      </c>
      <c r="J1610" s="1">
        <v>42</v>
      </c>
      <c r="K1610">
        <v>475593.1</v>
      </c>
      <c r="L1610">
        <v>11284</v>
      </c>
      <c r="M1610" t="s">
        <v>78</v>
      </c>
      <c r="N1610" t="s">
        <v>17</v>
      </c>
      <c r="O1610">
        <v>124</v>
      </c>
      <c r="P1610">
        <v>153.4</v>
      </c>
      <c r="Q1610">
        <v>33</v>
      </c>
    </row>
    <row r="1611" spans="2:17" x14ac:dyDescent="0.25">
      <c r="B1611" t="s">
        <v>78</v>
      </c>
      <c r="C1611" t="s">
        <v>2961</v>
      </c>
      <c r="D1611" t="s">
        <v>6626</v>
      </c>
      <c r="E1611" t="s">
        <v>6625</v>
      </c>
      <c r="F1611">
        <v>0.25</v>
      </c>
      <c r="G1611">
        <v>0.3</v>
      </c>
      <c r="H1611">
        <v>0.3</v>
      </c>
      <c r="I1611">
        <v>0.2</v>
      </c>
      <c r="J1611" s="1">
        <v>0.2</v>
      </c>
      <c r="K1611">
        <v>5509.4</v>
      </c>
      <c r="L1611">
        <v>21962</v>
      </c>
      <c r="M1611" t="s">
        <v>78</v>
      </c>
      <c r="N1611" t="s">
        <v>17</v>
      </c>
      <c r="O1611">
        <v>18</v>
      </c>
      <c r="P1611">
        <v>0.35</v>
      </c>
      <c r="Q1611">
        <v>0.05</v>
      </c>
    </row>
    <row r="1612" spans="2:17" x14ac:dyDescent="0.25">
      <c r="B1612" t="s">
        <v>78</v>
      </c>
      <c r="C1612" t="s">
        <v>2961</v>
      </c>
      <c r="D1612" t="s">
        <v>6624</v>
      </c>
      <c r="E1612" t="s">
        <v>6623</v>
      </c>
      <c r="F1612">
        <v>6.7</v>
      </c>
      <c r="G1612">
        <v>6.4</v>
      </c>
      <c r="H1612">
        <v>6.65</v>
      </c>
      <c r="I1612">
        <v>6.4</v>
      </c>
      <c r="J1612" s="1">
        <v>6.4</v>
      </c>
      <c r="K1612">
        <v>12647.9</v>
      </c>
      <c r="L1612">
        <v>1976</v>
      </c>
      <c r="M1612" t="s">
        <v>78</v>
      </c>
      <c r="N1612" t="s">
        <v>17</v>
      </c>
      <c r="O1612">
        <v>6</v>
      </c>
      <c r="P1612">
        <v>24.7</v>
      </c>
      <c r="Q1612">
        <v>4.75</v>
      </c>
    </row>
    <row r="1613" spans="2:17" x14ac:dyDescent="0.25">
      <c r="B1613" t="s">
        <v>78</v>
      </c>
      <c r="C1613" t="s">
        <v>2961</v>
      </c>
      <c r="D1613" t="s">
        <v>534</v>
      </c>
      <c r="E1613" t="s">
        <v>6622</v>
      </c>
      <c r="F1613">
        <v>79.75</v>
      </c>
      <c r="G1613">
        <v>83</v>
      </c>
      <c r="H1613">
        <v>83</v>
      </c>
      <c r="I1613">
        <v>75.8</v>
      </c>
      <c r="J1613" s="1">
        <v>75.8</v>
      </c>
      <c r="K1613">
        <v>44218.15</v>
      </c>
      <c r="L1613">
        <v>582</v>
      </c>
      <c r="M1613" t="s">
        <v>78</v>
      </c>
      <c r="N1613" t="s">
        <v>17</v>
      </c>
      <c r="O1613">
        <v>15</v>
      </c>
      <c r="P1613">
        <v>140.4</v>
      </c>
      <c r="Q1613">
        <v>14.75</v>
      </c>
    </row>
    <row r="1614" spans="2:17" x14ac:dyDescent="0.25">
      <c r="B1614" t="s">
        <v>78</v>
      </c>
      <c r="C1614" t="s">
        <v>2961</v>
      </c>
      <c r="D1614" t="s">
        <v>3052</v>
      </c>
      <c r="E1614" t="s">
        <v>3053</v>
      </c>
      <c r="F1614">
        <v>1.45</v>
      </c>
      <c r="G1614">
        <v>1.5</v>
      </c>
      <c r="H1614">
        <v>1.5</v>
      </c>
      <c r="I1614">
        <v>1.4</v>
      </c>
      <c r="J1614" s="1">
        <v>1.4</v>
      </c>
      <c r="K1614">
        <v>10037.25</v>
      </c>
      <c r="L1614">
        <v>7035</v>
      </c>
      <c r="M1614" t="s">
        <v>78</v>
      </c>
      <c r="N1614" t="s">
        <v>17</v>
      </c>
      <c r="O1614">
        <v>20</v>
      </c>
      <c r="P1614">
        <v>3.05</v>
      </c>
      <c r="Q1614">
        <v>1.4</v>
      </c>
    </row>
    <row r="1615" spans="2:17" x14ac:dyDescent="0.25">
      <c r="B1615" t="s">
        <v>78</v>
      </c>
      <c r="C1615" t="s">
        <v>2961</v>
      </c>
      <c r="D1615" t="s">
        <v>3054</v>
      </c>
      <c r="E1615" t="s">
        <v>3055</v>
      </c>
      <c r="F1615">
        <v>298.89999999999998</v>
      </c>
      <c r="G1615">
        <v>284.10000000000002</v>
      </c>
      <c r="H1615">
        <v>299.95</v>
      </c>
      <c r="I1615">
        <v>284</v>
      </c>
      <c r="J1615" s="1">
        <v>295.45</v>
      </c>
      <c r="K1615">
        <v>14563.35</v>
      </c>
      <c r="L1615">
        <v>51</v>
      </c>
      <c r="M1615" t="s">
        <v>78</v>
      </c>
      <c r="N1615" t="s">
        <v>17</v>
      </c>
      <c r="O1615">
        <v>10</v>
      </c>
      <c r="P1615">
        <v>478</v>
      </c>
      <c r="Q1615">
        <v>199</v>
      </c>
    </row>
    <row r="1616" spans="2:17" x14ac:dyDescent="0.25">
      <c r="B1616" t="s">
        <v>78</v>
      </c>
      <c r="C1616" t="s">
        <v>2961</v>
      </c>
      <c r="D1616" t="s">
        <v>616</v>
      </c>
      <c r="E1616" t="s">
        <v>6621</v>
      </c>
      <c r="F1616">
        <v>6.3</v>
      </c>
      <c r="G1616">
        <v>6.3</v>
      </c>
      <c r="H1616">
        <v>6.6</v>
      </c>
      <c r="I1616">
        <v>6.3</v>
      </c>
      <c r="J1616" s="1">
        <v>6.55</v>
      </c>
      <c r="K1616">
        <v>322.5</v>
      </c>
      <c r="L1616">
        <v>50</v>
      </c>
      <c r="M1616" t="s">
        <v>78</v>
      </c>
      <c r="N1616" t="s">
        <v>17</v>
      </c>
      <c r="O1616">
        <v>3</v>
      </c>
      <c r="P1616">
        <v>12.6</v>
      </c>
      <c r="Q1616">
        <v>5.15</v>
      </c>
    </row>
    <row r="1617" spans="2:17" x14ac:dyDescent="0.25">
      <c r="B1617" t="s">
        <v>78</v>
      </c>
      <c r="C1617" t="s">
        <v>2961</v>
      </c>
      <c r="D1617" t="s">
        <v>627</v>
      </c>
      <c r="E1617" t="s">
        <v>628</v>
      </c>
      <c r="F1617">
        <v>3.8</v>
      </c>
      <c r="G1617">
        <v>3.8</v>
      </c>
      <c r="H1617">
        <v>3.95</v>
      </c>
      <c r="I1617">
        <v>3.65</v>
      </c>
      <c r="J1617" s="1">
        <v>3.95</v>
      </c>
      <c r="K1617">
        <v>24623.15</v>
      </c>
      <c r="L1617">
        <v>6311</v>
      </c>
      <c r="M1617" t="s">
        <v>78</v>
      </c>
      <c r="N1617" t="s">
        <v>17</v>
      </c>
      <c r="O1617">
        <v>16</v>
      </c>
      <c r="P1617">
        <v>7.4</v>
      </c>
      <c r="Q1617">
        <v>3.65</v>
      </c>
    </row>
    <row r="1618" spans="2:17" x14ac:dyDescent="0.25">
      <c r="B1618" t="s">
        <v>78</v>
      </c>
      <c r="C1618" t="s">
        <v>2961</v>
      </c>
      <c r="D1618" t="s">
        <v>635</v>
      </c>
      <c r="E1618" t="s">
        <v>636</v>
      </c>
      <c r="F1618">
        <v>5.0999999999999996</v>
      </c>
      <c r="G1618">
        <v>5.0999999999999996</v>
      </c>
      <c r="H1618">
        <v>5.35</v>
      </c>
      <c r="I1618">
        <v>5.05</v>
      </c>
      <c r="J1618" s="1">
        <v>5.05</v>
      </c>
      <c r="K1618">
        <v>38375.949999999997</v>
      </c>
      <c r="L1618">
        <v>7242</v>
      </c>
      <c r="M1618" t="s">
        <v>78</v>
      </c>
      <c r="N1618" t="s">
        <v>17</v>
      </c>
      <c r="O1618">
        <v>38</v>
      </c>
      <c r="P1618">
        <v>85.75</v>
      </c>
      <c r="Q1618">
        <v>4</v>
      </c>
    </row>
    <row r="1619" spans="2:17" x14ac:dyDescent="0.25">
      <c r="B1619" t="s">
        <v>78</v>
      </c>
      <c r="C1619" t="s">
        <v>2961</v>
      </c>
      <c r="D1619" t="s">
        <v>3066</v>
      </c>
      <c r="E1619" t="s">
        <v>3067</v>
      </c>
      <c r="F1619">
        <v>1.5</v>
      </c>
      <c r="G1619">
        <v>1.5</v>
      </c>
      <c r="H1619">
        <v>1.5</v>
      </c>
      <c r="I1619">
        <v>1.45</v>
      </c>
      <c r="J1619" s="1">
        <v>1.45</v>
      </c>
      <c r="K1619">
        <v>43160.05</v>
      </c>
      <c r="L1619">
        <v>29069</v>
      </c>
      <c r="M1619" t="s">
        <v>78</v>
      </c>
      <c r="N1619" t="s">
        <v>17</v>
      </c>
      <c r="O1619">
        <v>31</v>
      </c>
      <c r="P1619">
        <v>7.1</v>
      </c>
      <c r="Q1619">
        <v>1.45</v>
      </c>
    </row>
    <row r="1620" spans="2:17" x14ac:dyDescent="0.25">
      <c r="B1620" t="s">
        <v>78</v>
      </c>
      <c r="C1620" t="s">
        <v>2961</v>
      </c>
      <c r="D1620" t="s">
        <v>3070</v>
      </c>
      <c r="E1620" t="s">
        <v>3071</v>
      </c>
      <c r="F1620">
        <v>14.8</v>
      </c>
      <c r="G1620">
        <v>14.15</v>
      </c>
      <c r="H1620">
        <v>14.5</v>
      </c>
      <c r="I1620">
        <v>14.1</v>
      </c>
      <c r="J1620" s="1">
        <v>14.5</v>
      </c>
      <c r="K1620">
        <v>10213.450000000001</v>
      </c>
      <c r="L1620">
        <v>713</v>
      </c>
      <c r="M1620" t="s">
        <v>78</v>
      </c>
      <c r="N1620" t="s">
        <v>17</v>
      </c>
      <c r="O1620">
        <v>8</v>
      </c>
      <c r="P1620">
        <v>21.65</v>
      </c>
      <c r="Q1620">
        <v>13.9</v>
      </c>
    </row>
    <row r="1621" spans="2:17" x14ac:dyDescent="0.25">
      <c r="B1621" t="s">
        <v>78</v>
      </c>
      <c r="C1621" t="s">
        <v>2961</v>
      </c>
      <c r="D1621" t="s">
        <v>3076</v>
      </c>
      <c r="E1621" t="s">
        <v>3077</v>
      </c>
      <c r="F1621">
        <v>0.55000000000000004</v>
      </c>
      <c r="G1621">
        <v>0.6</v>
      </c>
      <c r="H1621">
        <v>0.6</v>
      </c>
      <c r="I1621">
        <v>0.55000000000000004</v>
      </c>
      <c r="J1621" s="1">
        <v>0.55000000000000004</v>
      </c>
      <c r="K1621">
        <v>40653.65</v>
      </c>
      <c r="L1621">
        <v>69719</v>
      </c>
      <c r="M1621" t="s">
        <v>78</v>
      </c>
      <c r="N1621" t="s">
        <v>17</v>
      </c>
      <c r="O1621">
        <v>46</v>
      </c>
      <c r="P1621">
        <v>2</v>
      </c>
      <c r="Q1621">
        <v>0.5</v>
      </c>
    </row>
    <row r="1622" spans="2:17" x14ac:dyDescent="0.25">
      <c r="B1622" t="s">
        <v>78</v>
      </c>
      <c r="C1622" t="s">
        <v>2961</v>
      </c>
      <c r="D1622" t="s">
        <v>3080</v>
      </c>
      <c r="E1622" t="s">
        <v>3081</v>
      </c>
      <c r="F1622">
        <v>4.5</v>
      </c>
      <c r="G1622">
        <v>4.6500000000000004</v>
      </c>
      <c r="H1622">
        <v>4.6500000000000004</v>
      </c>
      <c r="I1622">
        <v>4.3</v>
      </c>
      <c r="J1622" s="1">
        <v>4.3</v>
      </c>
      <c r="K1622">
        <v>97299</v>
      </c>
      <c r="L1622">
        <v>22250</v>
      </c>
      <c r="M1622" t="s">
        <v>78</v>
      </c>
      <c r="N1622" t="s">
        <v>17</v>
      </c>
      <c r="O1622">
        <v>54</v>
      </c>
      <c r="P1622">
        <v>10.55</v>
      </c>
      <c r="Q1622">
        <v>4.3</v>
      </c>
    </row>
    <row r="1623" spans="2:17" x14ac:dyDescent="0.25">
      <c r="B1623" t="s">
        <v>78</v>
      </c>
      <c r="C1623" t="s">
        <v>2961</v>
      </c>
      <c r="D1623" t="s">
        <v>3088</v>
      </c>
      <c r="E1623" t="s">
        <v>3089</v>
      </c>
      <c r="F1623">
        <v>2.15</v>
      </c>
      <c r="G1623">
        <v>2.1</v>
      </c>
      <c r="H1623">
        <v>2.2000000000000002</v>
      </c>
      <c r="I1623">
        <v>2.1</v>
      </c>
      <c r="J1623" s="1">
        <v>2.15</v>
      </c>
      <c r="K1623">
        <v>13918.25</v>
      </c>
      <c r="L1623">
        <v>6548</v>
      </c>
      <c r="M1623" t="s">
        <v>78</v>
      </c>
      <c r="N1623" t="s">
        <v>17</v>
      </c>
      <c r="O1623">
        <v>12</v>
      </c>
      <c r="P1623">
        <v>4.3</v>
      </c>
      <c r="Q1623">
        <v>1.85</v>
      </c>
    </row>
    <row r="1624" spans="2:17" x14ac:dyDescent="0.25">
      <c r="B1624" t="s">
        <v>78</v>
      </c>
      <c r="C1624" t="s">
        <v>2961</v>
      </c>
      <c r="D1624" t="s">
        <v>3096</v>
      </c>
      <c r="E1624" t="s">
        <v>3097</v>
      </c>
      <c r="F1624">
        <v>11.5</v>
      </c>
      <c r="G1624">
        <v>11.5</v>
      </c>
      <c r="H1624">
        <v>11.5</v>
      </c>
      <c r="I1624">
        <v>11.5</v>
      </c>
      <c r="J1624" s="1">
        <v>11.5</v>
      </c>
      <c r="K1624">
        <v>402.5</v>
      </c>
      <c r="L1624">
        <v>35</v>
      </c>
      <c r="M1624" t="s">
        <v>78</v>
      </c>
      <c r="N1624" t="s">
        <v>17</v>
      </c>
      <c r="O1624">
        <v>3</v>
      </c>
      <c r="P1624">
        <v>12.1</v>
      </c>
      <c r="Q1624">
        <v>6.55</v>
      </c>
    </row>
    <row r="1625" spans="2:17" x14ac:dyDescent="0.25">
      <c r="B1625" t="s">
        <v>78</v>
      </c>
      <c r="C1625" t="s">
        <v>2961</v>
      </c>
      <c r="D1625" t="s">
        <v>834</v>
      </c>
      <c r="E1625" t="s">
        <v>835</v>
      </c>
      <c r="F1625">
        <v>47.15</v>
      </c>
      <c r="G1625">
        <v>44.8</v>
      </c>
      <c r="H1625">
        <v>44.8</v>
      </c>
      <c r="I1625">
        <v>44.8</v>
      </c>
      <c r="J1625" s="1">
        <v>44.8</v>
      </c>
      <c r="K1625">
        <v>113881.60000000001</v>
      </c>
      <c r="L1625">
        <v>2542</v>
      </c>
      <c r="M1625" t="s">
        <v>78</v>
      </c>
      <c r="N1625" t="s">
        <v>17</v>
      </c>
      <c r="O1625">
        <v>7</v>
      </c>
      <c r="P1625">
        <v>54.9</v>
      </c>
      <c r="Q1625">
        <v>44.8</v>
      </c>
    </row>
    <row r="1626" spans="2:17" x14ac:dyDescent="0.25">
      <c r="B1626" t="s">
        <v>78</v>
      </c>
      <c r="C1626" t="s">
        <v>2961</v>
      </c>
      <c r="D1626" t="s">
        <v>881</v>
      </c>
      <c r="E1626" t="s">
        <v>882</v>
      </c>
      <c r="F1626">
        <v>0.55000000000000004</v>
      </c>
      <c r="G1626">
        <v>0.6</v>
      </c>
      <c r="H1626">
        <v>0.6</v>
      </c>
      <c r="I1626">
        <v>0.5</v>
      </c>
      <c r="J1626" s="1">
        <v>0.55000000000000004</v>
      </c>
      <c r="K1626">
        <v>26563.3</v>
      </c>
      <c r="L1626">
        <v>47828</v>
      </c>
      <c r="M1626" t="s">
        <v>78</v>
      </c>
      <c r="N1626" t="s">
        <v>17</v>
      </c>
      <c r="O1626">
        <v>30</v>
      </c>
      <c r="P1626">
        <v>7.85</v>
      </c>
      <c r="Q1626">
        <v>0.5</v>
      </c>
    </row>
    <row r="1627" spans="2:17" x14ac:dyDescent="0.25">
      <c r="B1627" t="s">
        <v>78</v>
      </c>
      <c r="C1627" t="s">
        <v>2961</v>
      </c>
      <c r="D1627" t="s">
        <v>3112</v>
      </c>
      <c r="E1627" t="s">
        <v>3113</v>
      </c>
      <c r="F1627">
        <v>1.2</v>
      </c>
      <c r="G1627">
        <v>1.1499999999999999</v>
      </c>
      <c r="H1627">
        <v>1.25</v>
      </c>
      <c r="I1627">
        <v>1.1499999999999999</v>
      </c>
      <c r="J1627" s="1">
        <v>1.1499999999999999</v>
      </c>
      <c r="K1627">
        <v>2359.25</v>
      </c>
      <c r="L1627">
        <v>2049</v>
      </c>
      <c r="M1627" t="s">
        <v>78</v>
      </c>
      <c r="N1627" t="s">
        <v>17</v>
      </c>
      <c r="O1627">
        <v>9</v>
      </c>
      <c r="P1627">
        <v>4</v>
      </c>
      <c r="Q1627">
        <v>1.1000000000000001</v>
      </c>
    </row>
    <row r="1628" spans="2:17" x14ac:dyDescent="0.25">
      <c r="B1628" t="s">
        <v>78</v>
      </c>
      <c r="C1628" t="s">
        <v>2961</v>
      </c>
      <c r="D1628" t="s">
        <v>3608</v>
      </c>
      <c r="E1628" t="s">
        <v>3609</v>
      </c>
      <c r="F1628">
        <v>2.2000000000000002</v>
      </c>
      <c r="G1628">
        <v>2.1</v>
      </c>
      <c r="H1628">
        <v>2.1</v>
      </c>
      <c r="I1628">
        <v>2.1</v>
      </c>
      <c r="J1628" s="1">
        <v>2.1</v>
      </c>
      <c r="K1628">
        <v>10.5</v>
      </c>
      <c r="L1628">
        <v>5</v>
      </c>
      <c r="M1628" t="s">
        <v>78</v>
      </c>
      <c r="N1628" t="s">
        <v>17</v>
      </c>
      <c r="O1628">
        <v>2</v>
      </c>
      <c r="P1628">
        <v>13.95</v>
      </c>
      <c r="Q1628">
        <v>1.5</v>
      </c>
    </row>
    <row r="1629" spans="2:17" x14ac:dyDescent="0.25">
      <c r="B1629" t="s">
        <v>78</v>
      </c>
      <c r="C1629" t="s">
        <v>2961</v>
      </c>
      <c r="D1629" t="s">
        <v>3122</v>
      </c>
      <c r="E1629" t="s">
        <v>3123</v>
      </c>
      <c r="F1629">
        <v>1.65</v>
      </c>
      <c r="G1629">
        <v>1.65</v>
      </c>
      <c r="H1629">
        <v>1.65</v>
      </c>
      <c r="I1629">
        <v>1.6</v>
      </c>
      <c r="J1629" s="1">
        <v>1.6</v>
      </c>
      <c r="K1629">
        <v>2290.1</v>
      </c>
      <c r="L1629">
        <v>1431</v>
      </c>
      <c r="M1629" t="s">
        <v>78</v>
      </c>
      <c r="N1629" t="s">
        <v>17</v>
      </c>
      <c r="O1629">
        <v>7</v>
      </c>
      <c r="P1629">
        <v>7.45</v>
      </c>
      <c r="Q1629">
        <v>0.9</v>
      </c>
    </row>
    <row r="1630" spans="2:17" x14ac:dyDescent="0.25">
      <c r="B1630" t="s">
        <v>78</v>
      </c>
      <c r="C1630" t="s">
        <v>2961</v>
      </c>
      <c r="D1630" t="s">
        <v>1132</v>
      </c>
      <c r="E1630" t="s">
        <v>1133</v>
      </c>
      <c r="F1630">
        <v>13</v>
      </c>
      <c r="G1630">
        <v>12.5</v>
      </c>
      <c r="H1630">
        <v>13.35</v>
      </c>
      <c r="I1630">
        <v>12.5</v>
      </c>
      <c r="J1630" s="1">
        <v>12.8</v>
      </c>
      <c r="K1630">
        <v>24926.85</v>
      </c>
      <c r="L1630">
        <v>1956</v>
      </c>
      <c r="M1630" t="s">
        <v>78</v>
      </c>
      <c r="N1630" t="s">
        <v>17</v>
      </c>
      <c r="O1630">
        <v>60</v>
      </c>
      <c r="P1630">
        <v>18.7</v>
      </c>
      <c r="Q1630">
        <v>7.2</v>
      </c>
    </row>
    <row r="1631" spans="2:17" x14ac:dyDescent="0.25">
      <c r="B1631" t="s">
        <v>78</v>
      </c>
      <c r="C1631" t="s">
        <v>2961</v>
      </c>
      <c r="D1631" t="s">
        <v>1134</v>
      </c>
      <c r="E1631" t="s">
        <v>1135</v>
      </c>
      <c r="F1631">
        <v>11.95</v>
      </c>
      <c r="G1631">
        <v>11.6</v>
      </c>
      <c r="H1631">
        <v>12.2</v>
      </c>
      <c r="I1631">
        <v>11.5</v>
      </c>
      <c r="J1631" s="1">
        <v>11.7</v>
      </c>
      <c r="K1631">
        <v>89722.5</v>
      </c>
      <c r="L1631">
        <v>7698</v>
      </c>
      <c r="M1631" t="s">
        <v>78</v>
      </c>
      <c r="N1631" t="s">
        <v>17</v>
      </c>
      <c r="O1631">
        <v>29</v>
      </c>
      <c r="P1631">
        <v>18.899999999999999</v>
      </c>
      <c r="Q1631">
        <v>10.1</v>
      </c>
    </row>
    <row r="1632" spans="2:17" x14ac:dyDescent="0.25">
      <c r="B1632" t="s">
        <v>78</v>
      </c>
      <c r="C1632" t="s">
        <v>2961</v>
      </c>
      <c r="D1632" t="s">
        <v>1158</v>
      </c>
      <c r="E1632" t="s">
        <v>6620</v>
      </c>
      <c r="F1632">
        <v>129.30000000000001</v>
      </c>
      <c r="G1632">
        <v>124</v>
      </c>
      <c r="H1632">
        <v>131.85</v>
      </c>
      <c r="I1632">
        <v>123.3</v>
      </c>
      <c r="J1632" s="1">
        <v>127.45</v>
      </c>
      <c r="K1632">
        <v>15208446.199999999</v>
      </c>
      <c r="L1632">
        <v>119148</v>
      </c>
      <c r="M1632" t="s">
        <v>78</v>
      </c>
      <c r="N1632" t="s">
        <v>17</v>
      </c>
      <c r="O1632">
        <v>1885</v>
      </c>
      <c r="P1632">
        <v>320.05</v>
      </c>
      <c r="Q1632">
        <v>110</v>
      </c>
    </row>
    <row r="1633" spans="2:17" x14ac:dyDescent="0.25">
      <c r="B1633" t="s">
        <v>78</v>
      </c>
      <c r="C1633" t="s">
        <v>2961</v>
      </c>
      <c r="D1633" t="s">
        <v>3158</v>
      </c>
      <c r="E1633" t="s">
        <v>3159</v>
      </c>
      <c r="F1633">
        <v>10.8</v>
      </c>
      <c r="G1633">
        <v>10.3</v>
      </c>
      <c r="H1633">
        <v>10.3</v>
      </c>
      <c r="I1633">
        <v>10.3</v>
      </c>
      <c r="J1633" s="1">
        <v>10.3</v>
      </c>
      <c r="K1633">
        <v>1112.4000000000001</v>
      </c>
      <c r="L1633">
        <v>108</v>
      </c>
      <c r="M1633" t="s">
        <v>78</v>
      </c>
      <c r="N1633" t="s">
        <v>17</v>
      </c>
      <c r="O1633">
        <v>2</v>
      </c>
      <c r="P1633">
        <v>30.75</v>
      </c>
      <c r="Q1633">
        <v>10.3</v>
      </c>
    </row>
    <row r="1634" spans="2:17" x14ac:dyDescent="0.25">
      <c r="B1634" t="s">
        <v>78</v>
      </c>
      <c r="C1634" t="s">
        <v>2961</v>
      </c>
      <c r="D1634" t="s">
        <v>3162</v>
      </c>
      <c r="E1634" t="s">
        <v>3163</v>
      </c>
      <c r="F1634">
        <v>0.75</v>
      </c>
      <c r="G1634">
        <v>0.75</v>
      </c>
      <c r="H1634">
        <v>0.75</v>
      </c>
      <c r="I1634">
        <v>0.75</v>
      </c>
      <c r="J1634" s="1">
        <v>0.75</v>
      </c>
      <c r="K1634">
        <v>22.5</v>
      </c>
      <c r="L1634">
        <v>30</v>
      </c>
      <c r="M1634" t="s">
        <v>78</v>
      </c>
      <c r="N1634" t="s">
        <v>17</v>
      </c>
      <c r="O1634">
        <v>1</v>
      </c>
      <c r="P1634">
        <v>1.7</v>
      </c>
      <c r="Q1634">
        <v>0.55000000000000004</v>
      </c>
    </row>
    <row r="1635" spans="2:17" x14ac:dyDescent="0.25">
      <c r="B1635" t="s">
        <v>78</v>
      </c>
      <c r="C1635" t="s">
        <v>2961</v>
      </c>
      <c r="D1635" t="s">
        <v>1234</v>
      </c>
      <c r="E1635" t="s">
        <v>1235</v>
      </c>
      <c r="F1635">
        <v>14.6</v>
      </c>
      <c r="G1635">
        <v>15.25</v>
      </c>
      <c r="H1635">
        <v>15.25</v>
      </c>
      <c r="I1635">
        <v>14.2</v>
      </c>
      <c r="J1635" s="1">
        <v>14.75</v>
      </c>
      <c r="K1635">
        <v>20597.5</v>
      </c>
      <c r="L1635">
        <v>1375</v>
      </c>
      <c r="M1635" t="s">
        <v>78</v>
      </c>
      <c r="N1635" t="s">
        <v>17</v>
      </c>
      <c r="O1635">
        <v>7</v>
      </c>
      <c r="P1635">
        <v>40.799999999999997</v>
      </c>
      <c r="Q1635">
        <v>12.1</v>
      </c>
    </row>
    <row r="1636" spans="2:17" x14ac:dyDescent="0.25">
      <c r="B1636" t="s">
        <v>78</v>
      </c>
      <c r="C1636" t="s">
        <v>2961</v>
      </c>
      <c r="D1636" t="s">
        <v>3174</v>
      </c>
      <c r="E1636" t="s">
        <v>3175</v>
      </c>
      <c r="F1636">
        <v>0.95</v>
      </c>
      <c r="G1636">
        <v>0.95</v>
      </c>
      <c r="H1636">
        <v>0.95</v>
      </c>
      <c r="I1636">
        <v>0.95</v>
      </c>
      <c r="J1636" s="1">
        <v>0.95</v>
      </c>
      <c r="K1636">
        <v>475.95</v>
      </c>
      <c r="L1636">
        <v>501</v>
      </c>
      <c r="M1636" t="s">
        <v>78</v>
      </c>
      <c r="N1636" t="s">
        <v>17</v>
      </c>
      <c r="O1636">
        <v>2</v>
      </c>
      <c r="P1636">
        <v>2.6</v>
      </c>
      <c r="Q1636">
        <v>0.95</v>
      </c>
    </row>
    <row r="1637" spans="2:17" x14ac:dyDescent="0.25">
      <c r="B1637" t="s">
        <v>78</v>
      </c>
      <c r="C1637" t="s">
        <v>2961</v>
      </c>
      <c r="D1637" t="s">
        <v>6619</v>
      </c>
      <c r="E1637" t="s">
        <v>6618</v>
      </c>
      <c r="F1637">
        <v>0.7</v>
      </c>
      <c r="G1637">
        <v>0.75</v>
      </c>
      <c r="H1637">
        <v>0.75</v>
      </c>
      <c r="I1637">
        <v>0.75</v>
      </c>
      <c r="J1637" s="1">
        <v>0.75</v>
      </c>
      <c r="K1637">
        <v>15630.75</v>
      </c>
      <c r="L1637">
        <v>20841</v>
      </c>
      <c r="M1637" t="s">
        <v>78</v>
      </c>
      <c r="N1637" t="s">
        <v>17</v>
      </c>
      <c r="O1637">
        <v>24</v>
      </c>
      <c r="P1637">
        <v>2.1</v>
      </c>
      <c r="Q1637">
        <v>0.15</v>
      </c>
    </row>
    <row r="1638" spans="2:17" x14ac:dyDescent="0.25">
      <c r="B1638" t="s">
        <v>78</v>
      </c>
      <c r="C1638" t="s">
        <v>2961</v>
      </c>
      <c r="D1638" t="s">
        <v>3183</v>
      </c>
      <c r="E1638" t="s">
        <v>3184</v>
      </c>
      <c r="F1638">
        <v>0.4</v>
      </c>
      <c r="G1638">
        <v>0.4</v>
      </c>
      <c r="H1638">
        <v>0.45</v>
      </c>
      <c r="I1638">
        <v>0.35</v>
      </c>
      <c r="J1638" s="1">
        <v>0.45</v>
      </c>
      <c r="K1638">
        <v>4902.95</v>
      </c>
      <c r="L1638">
        <v>12512</v>
      </c>
      <c r="M1638" t="s">
        <v>78</v>
      </c>
      <c r="N1638" t="s">
        <v>17</v>
      </c>
      <c r="O1638">
        <v>6</v>
      </c>
      <c r="P1638">
        <v>0.65</v>
      </c>
      <c r="Q1638">
        <v>0.25</v>
      </c>
    </row>
    <row r="1639" spans="2:17" x14ac:dyDescent="0.25">
      <c r="B1639" t="s">
        <v>78</v>
      </c>
      <c r="C1639" t="s">
        <v>2961</v>
      </c>
      <c r="D1639" t="s">
        <v>6617</v>
      </c>
      <c r="E1639" t="s">
        <v>6616</v>
      </c>
      <c r="F1639">
        <v>0.6</v>
      </c>
      <c r="G1639">
        <v>0.6</v>
      </c>
      <c r="H1639">
        <v>0.65</v>
      </c>
      <c r="I1639">
        <v>0.6</v>
      </c>
      <c r="J1639" s="1">
        <v>0.6</v>
      </c>
      <c r="K1639">
        <v>179567.1</v>
      </c>
      <c r="L1639">
        <v>292040</v>
      </c>
      <c r="M1639" t="s">
        <v>78</v>
      </c>
      <c r="N1639" t="s">
        <v>17</v>
      </c>
      <c r="O1639">
        <v>71</v>
      </c>
      <c r="P1639">
        <v>1.8</v>
      </c>
      <c r="Q1639">
        <v>0.55000000000000004</v>
      </c>
    </row>
    <row r="1640" spans="2:17" x14ac:dyDescent="0.25">
      <c r="B1640" t="s">
        <v>78</v>
      </c>
      <c r="C1640" t="s">
        <v>2961</v>
      </c>
      <c r="D1640" t="s">
        <v>3201</v>
      </c>
      <c r="E1640" t="s">
        <v>3202</v>
      </c>
      <c r="F1640">
        <v>5.55</v>
      </c>
      <c r="G1640">
        <v>5.35</v>
      </c>
      <c r="H1640">
        <v>5.7</v>
      </c>
      <c r="I1640">
        <v>5.3</v>
      </c>
      <c r="J1640" s="1">
        <v>5.45</v>
      </c>
      <c r="K1640">
        <v>38128.9</v>
      </c>
      <c r="L1640">
        <v>7183</v>
      </c>
      <c r="M1640" t="s">
        <v>78</v>
      </c>
      <c r="N1640" t="s">
        <v>17</v>
      </c>
      <c r="O1640">
        <v>18</v>
      </c>
      <c r="P1640">
        <v>7</v>
      </c>
      <c r="Q1640">
        <v>3.15</v>
      </c>
    </row>
    <row r="1641" spans="2:17" x14ac:dyDescent="0.25">
      <c r="B1641" t="s">
        <v>78</v>
      </c>
      <c r="C1641" t="s">
        <v>2961</v>
      </c>
      <c r="D1641" t="s">
        <v>3628</v>
      </c>
      <c r="E1641" t="s">
        <v>3629</v>
      </c>
      <c r="F1641">
        <v>44.9</v>
      </c>
      <c r="G1641">
        <v>42.7</v>
      </c>
      <c r="H1641">
        <v>42.85</v>
      </c>
      <c r="I1641">
        <v>42.7</v>
      </c>
      <c r="J1641" s="1">
        <v>42.7</v>
      </c>
      <c r="K1641">
        <v>1903299.6</v>
      </c>
      <c r="L1641">
        <v>44573</v>
      </c>
      <c r="M1641" t="s">
        <v>78</v>
      </c>
      <c r="N1641" t="s">
        <v>17</v>
      </c>
      <c r="O1641">
        <v>679</v>
      </c>
      <c r="P1641">
        <v>393.5</v>
      </c>
      <c r="Q1641">
        <v>42.7</v>
      </c>
    </row>
    <row r="1642" spans="2:17" x14ac:dyDescent="0.25">
      <c r="B1642" t="s">
        <v>78</v>
      </c>
      <c r="C1642" t="s">
        <v>2961</v>
      </c>
      <c r="D1642" t="s">
        <v>3205</v>
      </c>
      <c r="E1642" t="s">
        <v>3206</v>
      </c>
      <c r="F1642">
        <v>0.35</v>
      </c>
      <c r="G1642">
        <v>0.4</v>
      </c>
      <c r="H1642">
        <v>0.4</v>
      </c>
      <c r="I1642">
        <v>0.3</v>
      </c>
      <c r="J1642" s="1">
        <v>0.4</v>
      </c>
      <c r="K1642">
        <v>2529.1</v>
      </c>
      <c r="L1642">
        <v>8273</v>
      </c>
      <c r="M1642" t="s">
        <v>78</v>
      </c>
      <c r="N1642" t="s">
        <v>17</v>
      </c>
      <c r="O1642">
        <v>15</v>
      </c>
      <c r="P1642">
        <v>0.95</v>
      </c>
      <c r="Q1642">
        <v>0.25</v>
      </c>
    </row>
    <row r="1643" spans="2:17" x14ac:dyDescent="0.25">
      <c r="B1643" t="s">
        <v>78</v>
      </c>
      <c r="C1643" t="s">
        <v>2961</v>
      </c>
      <c r="D1643" t="s">
        <v>3207</v>
      </c>
      <c r="E1643" t="s">
        <v>3208</v>
      </c>
      <c r="F1643">
        <v>17.899999999999999</v>
      </c>
      <c r="G1643">
        <v>17.05</v>
      </c>
      <c r="H1643">
        <v>18.75</v>
      </c>
      <c r="I1643">
        <v>17.05</v>
      </c>
      <c r="J1643" s="1">
        <v>18.75</v>
      </c>
      <c r="K1643">
        <v>116252.7</v>
      </c>
      <c r="L1643">
        <v>6612</v>
      </c>
      <c r="M1643" t="s">
        <v>78</v>
      </c>
      <c r="N1643" t="s">
        <v>17</v>
      </c>
      <c r="O1643">
        <v>68</v>
      </c>
      <c r="P1643">
        <v>51.5</v>
      </c>
      <c r="Q1643">
        <v>17.05</v>
      </c>
    </row>
    <row r="1644" spans="2:17" x14ac:dyDescent="0.25">
      <c r="B1644" t="s">
        <v>78</v>
      </c>
      <c r="C1644" t="s">
        <v>2961</v>
      </c>
      <c r="D1644" t="s">
        <v>3213</v>
      </c>
      <c r="E1644" t="s">
        <v>3214</v>
      </c>
      <c r="F1644">
        <v>8.25</v>
      </c>
      <c r="G1644">
        <v>8.5</v>
      </c>
      <c r="H1644">
        <v>8.5</v>
      </c>
      <c r="I1644">
        <v>7.85</v>
      </c>
      <c r="J1644" s="1">
        <v>7.95</v>
      </c>
      <c r="K1644">
        <v>36048.75</v>
      </c>
      <c r="L1644">
        <v>4522</v>
      </c>
      <c r="M1644" t="s">
        <v>78</v>
      </c>
      <c r="N1644" t="s">
        <v>17</v>
      </c>
      <c r="O1644">
        <v>25</v>
      </c>
      <c r="P1644">
        <v>25.95</v>
      </c>
      <c r="Q1644">
        <v>7.85</v>
      </c>
    </row>
    <row r="1645" spans="2:17" x14ac:dyDescent="0.25">
      <c r="B1645" t="s">
        <v>78</v>
      </c>
      <c r="C1645" t="s">
        <v>2961</v>
      </c>
      <c r="D1645" t="s">
        <v>1497</v>
      </c>
      <c r="E1645" t="s">
        <v>1498</v>
      </c>
      <c r="F1645">
        <v>2</v>
      </c>
      <c r="G1645">
        <v>1.9</v>
      </c>
      <c r="H1645">
        <v>2</v>
      </c>
      <c r="I1645">
        <v>1.9</v>
      </c>
      <c r="J1645" s="1">
        <v>1.9</v>
      </c>
      <c r="K1645">
        <v>13824.3</v>
      </c>
      <c r="L1645">
        <v>7218</v>
      </c>
      <c r="M1645" t="s">
        <v>78</v>
      </c>
      <c r="N1645" t="s">
        <v>17</v>
      </c>
      <c r="O1645">
        <v>24</v>
      </c>
      <c r="P1645">
        <v>5.3</v>
      </c>
      <c r="Q1645">
        <v>1.9</v>
      </c>
    </row>
    <row r="1646" spans="2:17" x14ac:dyDescent="0.25">
      <c r="B1646" t="s">
        <v>78</v>
      </c>
      <c r="C1646" t="s">
        <v>2961</v>
      </c>
      <c r="D1646" t="s">
        <v>3225</v>
      </c>
      <c r="E1646" t="s">
        <v>3226</v>
      </c>
      <c r="F1646">
        <v>211.1</v>
      </c>
      <c r="G1646">
        <v>218.7</v>
      </c>
      <c r="H1646">
        <v>218.7</v>
      </c>
      <c r="I1646">
        <v>202.7</v>
      </c>
      <c r="J1646" s="1">
        <v>212.5</v>
      </c>
      <c r="K1646">
        <v>75234.899999999994</v>
      </c>
      <c r="L1646">
        <v>356</v>
      </c>
      <c r="M1646" t="s">
        <v>78</v>
      </c>
      <c r="N1646" t="s">
        <v>17</v>
      </c>
      <c r="O1646">
        <v>18</v>
      </c>
      <c r="P1646">
        <v>379</v>
      </c>
      <c r="Q1646">
        <v>202.7</v>
      </c>
    </row>
    <row r="1647" spans="2:17" x14ac:dyDescent="0.25">
      <c r="B1647" t="s">
        <v>78</v>
      </c>
      <c r="C1647" t="s">
        <v>2961</v>
      </c>
      <c r="D1647" t="s">
        <v>3245</v>
      </c>
      <c r="E1647" t="s">
        <v>3246</v>
      </c>
      <c r="F1647">
        <v>25.85</v>
      </c>
      <c r="G1647">
        <v>24.6</v>
      </c>
      <c r="H1647">
        <v>25</v>
      </c>
      <c r="I1647">
        <v>24.6</v>
      </c>
      <c r="J1647" s="1">
        <v>25</v>
      </c>
      <c r="K1647">
        <v>118217.60000000001</v>
      </c>
      <c r="L1647">
        <v>4748</v>
      </c>
      <c r="M1647" t="s">
        <v>78</v>
      </c>
      <c r="N1647" t="s">
        <v>17</v>
      </c>
      <c r="O1647">
        <v>19</v>
      </c>
      <c r="P1647">
        <v>30.65</v>
      </c>
      <c r="Q1647">
        <v>18.7</v>
      </c>
    </row>
    <row r="1648" spans="2:17" x14ac:dyDescent="0.25">
      <c r="B1648" t="s">
        <v>78</v>
      </c>
      <c r="C1648" t="s">
        <v>2961</v>
      </c>
      <c r="D1648" t="s">
        <v>6615</v>
      </c>
      <c r="E1648" t="s">
        <v>6614</v>
      </c>
      <c r="F1648">
        <v>34.6</v>
      </c>
      <c r="G1648">
        <v>33.200000000000003</v>
      </c>
      <c r="H1648">
        <v>34.9</v>
      </c>
      <c r="I1648">
        <v>33.200000000000003</v>
      </c>
      <c r="J1648" s="1">
        <v>34.35</v>
      </c>
      <c r="K1648">
        <v>63541.25</v>
      </c>
      <c r="L1648">
        <v>1869</v>
      </c>
      <c r="M1648" t="s">
        <v>78</v>
      </c>
      <c r="N1648" t="s">
        <v>17</v>
      </c>
      <c r="O1648">
        <v>26</v>
      </c>
      <c r="P1648">
        <v>49.7</v>
      </c>
      <c r="Q1648">
        <v>25.75</v>
      </c>
    </row>
    <row r="1649" spans="2:17" x14ac:dyDescent="0.25">
      <c r="B1649" t="s">
        <v>78</v>
      </c>
      <c r="C1649" t="s">
        <v>2961</v>
      </c>
      <c r="D1649" t="s">
        <v>6613</v>
      </c>
      <c r="E1649" t="s">
        <v>6612</v>
      </c>
      <c r="F1649">
        <v>0.7</v>
      </c>
      <c r="G1649">
        <v>0.75</v>
      </c>
      <c r="H1649">
        <v>0.75</v>
      </c>
      <c r="I1649">
        <v>0.65</v>
      </c>
      <c r="J1649" s="1">
        <v>0.7</v>
      </c>
      <c r="K1649">
        <v>2189649.0499999998</v>
      </c>
      <c r="L1649">
        <v>3128594</v>
      </c>
      <c r="M1649" t="s">
        <v>78</v>
      </c>
      <c r="N1649" t="s">
        <v>17</v>
      </c>
      <c r="O1649">
        <v>155</v>
      </c>
      <c r="P1649">
        <v>1.85</v>
      </c>
      <c r="Q1649">
        <v>0.65</v>
      </c>
    </row>
    <row r="1650" spans="2:17" x14ac:dyDescent="0.25">
      <c r="B1650" t="s">
        <v>78</v>
      </c>
      <c r="C1650" t="s">
        <v>2961</v>
      </c>
      <c r="D1650" t="s">
        <v>6611</v>
      </c>
      <c r="E1650" t="s">
        <v>6610</v>
      </c>
      <c r="F1650">
        <v>1.6</v>
      </c>
      <c r="G1650">
        <v>1.65</v>
      </c>
      <c r="H1650">
        <v>1.65</v>
      </c>
      <c r="I1650">
        <v>1.65</v>
      </c>
      <c r="J1650" s="1">
        <v>1.65</v>
      </c>
      <c r="K1650">
        <v>21075.45</v>
      </c>
      <c r="L1650">
        <v>12773</v>
      </c>
      <c r="M1650" t="s">
        <v>78</v>
      </c>
      <c r="N1650" t="s">
        <v>17</v>
      </c>
      <c r="O1650">
        <v>3</v>
      </c>
      <c r="P1650">
        <v>18.45</v>
      </c>
      <c r="Q1650">
        <v>1.3</v>
      </c>
    </row>
    <row r="1651" spans="2:17" x14ac:dyDescent="0.25">
      <c r="B1651" t="s">
        <v>78</v>
      </c>
      <c r="C1651" t="s">
        <v>2961</v>
      </c>
      <c r="D1651" t="s">
        <v>3255</v>
      </c>
      <c r="E1651" t="s">
        <v>3256</v>
      </c>
      <c r="F1651">
        <v>13.3</v>
      </c>
      <c r="G1651">
        <v>13.25</v>
      </c>
      <c r="H1651">
        <v>13.25</v>
      </c>
      <c r="I1651">
        <v>12.65</v>
      </c>
      <c r="J1651" s="1">
        <v>12.65</v>
      </c>
      <c r="K1651">
        <v>344912.75</v>
      </c>
      <c r="L1651">
        <v>27194</v>
      </c>
      <c r="M1651" t="s">
        <v>78</v>
      </c>
      <c r="N1651" t="s">
        <v>17</v>
      </c>
      <c r="O1651">
        <v>123</v>
      </c>
      <c r="P1651">
        <v>122.75</v>
      </c>
      <c r="Q1651">
        <v>12.65</v>
      </c>
    </row>
    <row r="1652" spans="2:17" x14ac:dyDescent="0.25">
      <c r="B1652" t="s">
        <v>78</v>
      </c>
      <c r="C1652" t="s">
        <v>2961</v>
      </c>
      <c r="D1652" t="s">
        <v>3259</v>
      </c>
      <c r="E1652" t="s">
        <v>3260</v>
      </c>
      <c r="F1652">
        <v>3.1</v>
      </c>
      <c r="G1652">
        <v>3.1</v>
      </c>
      <c r="H1652">
        <v>3.1</v>
      </c>
      <c r="I1652">
        <v>2.95</v>
      </c>
      <c r="J1652" s="1">
        <v>3</v>
      </c>
      <c r="K1652">
        <v>46867.199999999997</v>
      </c>
      <c r="L1652">
        <v>15693</v>
      </c>
      <c r="M1652" t="s">
        <v>78</v>
      </c>
      <c r="N1652" t="s">
        <v>17</v>
      </c>
      <c r="O1652">
        <v>27</v>
      </c>
      <c r="P1652">
        <v>5.15</v>
      </c>
      <c r="Q1652">
        <v>2.0499999999999998</v>
      </c>
    </row>
    <row r="1653" spans="2:17" x14ac:dyDescent="0.25">
      <c r="B1653" t="s">
        <v>78</v>
      </c>
      <c r="C1653" t="s">
        <v>2961</v>
      </c>
      <c r="D1653" t="s">
        <v>5805</v>
      </c>
      <c r="E1653" t="s">
        <v>5804</v>
      </c>
      <c r="F1653">
        <v>4.55</v>
      </c>
      <c r="G1653">
        <v>4.4000000000000004</v>
      </c>
      <c r="H1653">
        <v>4.4000000000000004</v>
      </c>
      <c r="I1653">
        <v>4.3499999999999996</v>
      </c>
      <c r="J1653" s="1">
        <v>4.3499999999999996</v>
      </c>
      <c r="K1653">
        <v>13531.75</v>
      </c>
      <c r="L1653">
        <v>3105</v>
      </c>
      <c r="M1653" t="s">
        <v>78</v>
      </c>
      <c r="N1653" t="s">
        <v>17</v>
      </c>
      <c r="O1653">
        <v>13</v>
      </c>
      <c r="P1653">
        <v>9</v>
      </c>
      <c r="Q1653">
        <v>4.0999999999999996</v>
      </c>
    </row>
    <row r="1654" spans="2:17" x14ac:dyDescent="0.25">
      <c r="B1654" t="s">
        <v>78</v>
      </c>
      <c r="C1654" t="s">
        <v>2961</v>
      </c>
      <c r="D1654" t="s">
        <v>3277</v>
      </c>
      <c r="E1654" t="s">
        <v>3278</v>
      </c>
      <c r="F1654">
        <v>84.55</v>
      </c>
      <c r="G1654">
        <v>82.85</v>
      </c>
      <c r="H1654">
        <v>84.55</v>
      </c>
      <c r="I1654">
        <v>80.349999999999994</v>
      </c>
      <c r="J1654" s="1">
        <v>80.349999999999994</v>
      </c>
      <c r="K1654">
        <v>9732.1</v>
      </c>
      <c r="L1654">
        <v>116</v>
      </c>
      <c r="M1654" t="s">
        <v>78</v>
      </c>
      <c r="N1654" t="s">
        <v>17</v>
      </c>
      <c r="O1654">
        <v>4</v>
      </c>
      <c r="P1654">
        <v>143.85</v>
      </c>
      <c r="Q1654">
        <v>76</v>
      </c>
    </row>
    <row r="1655" spans="2:17" x14ac:dyDescent="0.25">
      <c r="B1655" t="s">
        <v>78</v>
      </c>
      <c r="C1655" t="s">
        <v>2961</v>
      </c>
      <c r="D1655" t="s">
        <v>1698</v>
      </c>
      <c r="E1655" t="s">
        <v>1699</v>
      </c>
      <c r="F1655">
        <v>143.30000000000001</v>
      </c>
      <c r="G1655">
        <v>142.9</v>
      </c>
      <c r="H1655">
        <v>143</v>
      </c>
      <c r="I1655">
        <v>136.15</v>
      </c>
      <c r="J1655" s="1">
        <v>138.80000000000001</v>
      </c>
      <c r="K1655">
        <v>613727.44999999995</v>
      </c>
      <c r="L1655">
        <v>4460</v>
      </c>
      <c r="M1655" t="s">
        <v>78</v>
      </c>
      <c r="N1655" t="s">
        <v>17</v>
      </c>
      <c r="O1655">
        <v>61</v>
      </c>
      <c r="P1655">
        <v>185.95</v>
      </c>
      <c r="Q1655">
        <v>64.05</v>
      </c>
    </row>
    <row r="1656" spans="2:17" x14ac:dyDescent="0.25">
      <c r="B1656" t="s">
        <v>78</v>
      </c>
      <c r="C1656" t="s">
        <v>2961</v>
      </c>
      <c r="D1656" t="s">
        <v>3283</v>
      </c>
      <c r="E1656" t="s">
        <v>3284</v>
      </c>
      <c r="F1656">
        <v>9.25</v>
      </c>
      <c r="G1656">
        <v>9.0500000000000007</v>
      </c>
      <c r="H1656">
        <v>9.0500000000000007</v>
      </c>
      <c r="I1656">
        <v>8.8000000000000007</v>
      </c>
      <c r="J1656" s="1">
        <v>8.85</v>
      </c>
      <c r="K1656">
        <v>39320.75</v>
      </c>
      <c r="L1656">
        <v>4411</v>
      </c>
      <c r="M1656" t="s">
        <v>78</v>
      </c>
      <c r="N1656" t="s">
        <v>17</v>
      </c>
      <c r="O1656">
        <v>20</v>
      </c>
      <c r="P1656">
        <v>27.45</v>
      </c>
      <c r="Q1656">
        <v>8.8000000000000007</v>
      </c>
    </row>
    <row r="1657" spans="2:17" x14ac:dyDescent="0.25">
      <c r="B1657" t="s">
        <v>78</v>
      </c>
      <c r="C1657" t="s">
        <v>2961</v>
      </c>
      <c r="D1657" t="s">
        <v>3287</v>
      </c>
      <c r="E1657" t="s">
        <v>3288</v>
      </c>
      <c r="F1657">
        <v>40</v>
      </c>
      <c r="G1657">
        <v>38</v>
      </c>
      <c r="H1657">
        <v>39.9</v>
      </c>
      <c r="I1657">
        <v>38</v>
      </c>
      <c r="J1657" s="1">
        <v>39.9</v>
      </c>
      <c r="K1657">
        <v>3839.9</v>
      </c>
      <c r="L1657">
        <v>101</v>
      </c>
      <c r="M1657" t="s">
        <v>78</v>
      </c>
      <c r="N1657" t="s">
        <v>17</v>
      </c>
      <c r="O1657">
        <v>2</v>
      </c>
      <c r="P1657">
        <v>85.2</v>
      </c>
      <c r="Q1657">
        <v>19.05</v>
      </c>
    </row>
    <row r="1658" spans="2:17" x14ac:dyDescent="0.25">
      <c r="B1658" t="s">
        <v>78</v>
      </c>
      <c r="C1658" t="s">
        <v>2961</v>
      </c>
      <c r="D1658" t="s">
        <v>3291</v>
      </c>
      <c r="E1658" t="s">
        <v>3292</v>
      </c>
      <c r="F1658">
        <v>2.4</v>
      </c>
      <c r="G1658">
        <v>2.4500000000000002</v>
      </c>
      <c r="H1658">
        <v>2.5</v>
      </c>
      <c r="I1658">
        <v>2.35</v>
      </c>
      <c r="J1658" s="1">
        <v>2.35</v>
      </c>
      <c r="K1658">
        <v>57104.1</v>
      </c>
      <c r="L1658">
        <v>23559</v>
      </c>
      <c r="M1658" t="s">
        <v>78</v>
      </c>
      <c r="N1658" t="s">
        <v>17</v>
      </c>
      <c r="O1658">
        <v>30</v>
      </c>
      <c r="P1658">
        <v>42.5</v>
      </c>
      <c r="Q1658">
        <v>2.35</v>
      </c>
    </row>
    <row r="1659" spans="2:17" x14ac:dyDescent="0.25">
      <c r="B1659" t="s">
        <v>78</v>
      </c>
      <c r="C1659" t="s">
        <v>2961</v>
      </c>
      <c r="D1659" t="s">
        <v>3297</v>
      </c>
      <c r="E1659" t="s">
        <v>3298</v>
      </c>
      <c r="F1659">
        <v>7.05</v>
      </c>
      <c r="G1659">
        <v>7.25</v>
      </c>
      <c r="H1659">
        <v>7.25</v>
      </c>
      <c r="I1659">
        <v>6.7</v>
      </c>
      <c r="J1659" s="1">
        <v>6.7</v>
      </c>
      <c r="K1659">
        <v>229977.45</v>
      </c>
      <c r="L1659">
        <v>33809</v>
      </c>
      <c r="M1659" t="s">
        <v>78</v>
      </c>
      <c r="N1659" t="s">
        <v>17</v>
      </c>
      <c r="O1659">
        <v>66</v>
      </c>
      <c r="P1659">
        <v>11</v>
      </c>
      <c r="Q1659">
        <v>5.25</v>
      </c>
    </row>
    <row r="1660" spans="2:17" x14ac:dyDescent="0.25">
      <c r="B1660" t="s">
        <v>78</v>
      </c>
      <c r="C1660" t="s">
        <v>2961</v>
      </c>
      <c r="D1660" t="s">
        <v>3299</v>
      </c>
      <c r="E1660" t="s">
        <v>3300</v>
      </c>
      <c r="F1660">
        <v>2</v>
      </c>
      <c r="G1660">
        <v>2.1</v>
      </c>
      <c r="H1660">
        <v>2.1</v>
      </c>
      <c r="I1660">
        <v>2.1</v>
      </c>
      <c r="J1660" s="1">
        <v>2.1</v>
      </c>
      <c r="K1660">
        <v>111411.3</v>
      </c>
      <c r="L1660">
        <v>53053</v>
      </c>
      <c r="M1660" t="s">
        <v>78</v>
      </c>
      <c r="N1660" t="s">
        <v>17</v>
      </c>
      <c r="O1660">
        <v>52</v>
      </c>
      <c r="P1660">
        <v>35.85</v>
      </c>
      <c r="Q1660">
        <v>2</v>
      </c>
    </row>
    <row r="1661" spans="2:17" x14ac:dyDescent="0.25">
      <c r="B1661" t="s">
        <v>78</v>
      </c>
      <c r="C1661" t="s">
        <v>2961</v>
      </c>
      <c r="D1661" t="s">
        <v>3636</v>
      </c>
      <c r="E1661" t="s">
        <v>3637</v>
      </c>
      <c r="F1661">
        <v>7.8</v>
      </c>
      <c r="G1661">
        <v>7.45</v>
      </c>
      <c r="H1661">
        <v>7.45</v>
      </c>
      <c r="I1661">
        <v>7.45</v>
      </c>
      <c r="J1661" s="1">
        <v>7.45</v>
      </c>
      <c r="K1661">
        <v>16561.349999999999</v>
      </c>
      <c r="L1661">
        <v>2223</v>
      </c>
      <c r="M1661" t="s">
        <v>78</v>
      </c>
      <c r="N1661" t="s">
        <v>17</v>
      </c>
      <c r="O1661">
        <v>20</v>
      </c>
      <c r="P1661">
        <v>32.9</v>
      </c>
      <c r="Q1661">
        <v>6.3</v>
      </c>
    </row>
    <row r="1662" spans="2:17" x14ac:dyDescent="0.25">
      <c r="B1662" t="s">
        <v>78</v>
      </c>
      <c r="C1662" t="s">
        <v>2961</v>
      </c>
      <c r="D1662" t="s">
        <v>6609</v>
      </c>
      <c r="E1662" t="s">
        <v>6608</v>
      </c>
      <c r="F1662">
        <v>0.65</v>
      </c>
      <c r="G1662">
        <v>0.65</v>
      </c>
      <c r="H1662">
        <v>0.7</v>
      </c>
      <c r="I1662">
        <v>0.6</v>
      </c>
      <c r="J1662" s="1">
        <v>0.65</v>
      </c>
      <c r="K1662">
        <v>18473.8</v>
      </c>
      <c r="L1662">
        <v>28226</v>
      </c>
      <c r="M1662" t="s">
        <v>78</v>
      </c>
      <c r="N1662" t="s">
        <v>17</v>
      </c>
      <c r="O1662">
        <v>36</v>
      </c>
      <c r="P1662">
        <v>3.4</v>
      </c>
      <c r="Q1662">
        <v>0.6</v>
      </c>
    </row>
    <row r="1663" spans="2:17" x14ac:dyDescent="0.25">
      <c r="B1663" t="s">
        <v>78</v>
      </c>
      <c r="C1663" t="s">
        <v>2961</v>
      </c>
      <c r="D1663" t="s">
        <v>6607</v>
      </c>
      <c r="E1663" t="s">
        <v>6606</v>
      </c>
      <c r="F1663">
        <v>13.3</v>
      </c>
      <c r="G1663">
        <v>13.95</v>
      </c>
      <c r="H1663">
        <v>13.95</v>
      </c>
      <c r="I1663">
        <v>13.95</v>
      </c>
      <c r="J1663" s="1">
        <v>13.95</v>
      </c>
      <c r="K1663">
        <v>3334.05</v>
      </c>
      <c r="L1663">
        <v>239</v>
      </c>
      <c r="M1663" t="s">
        <v>78</v>
      </c>
      <c r="N1663" t="s">
        <v>17</v>
      </c>
      <c r="O1663">
        <v>11</v>
      </c>
      <c r="P1663">
        <v>13.95</v>
      </c>
      <c r="Q1663">
        <v>2.35</v>
      </c>
    </row>
    <row r="1664" spans="2:17" x14ac:dyDescent="0.25">
      <c r="B1664" t="s">
        <v>78</v>
      </c>
      <c r="C1664" t="s">
        <v>2961</v>
      </c>
      <c r="D1664" t="s">
        <v>3301</v>
      </c>
      <c r="E1664" t="s">
        <v>3302</v>
      </c>
      <c r="F1664">
        <v>40</v>
      </c>
      <c r="G1664">
        <v>40</v>
      </c>
      <c r="H1664">
        <v>40</v>
      </c>
      <c r="I1664">
        <v>39.049999999999997</v>
      </c>
      <c r="J1664" s="1">
        <v>39.049999999999997</v>
      </c>
      <c r="K1664">
        <v>11810</v>
      </c>
      <c r="L1664">
        <v>300</v>
      </c>
      <c r="M1664" t="s">
        <v>78</v>
      </c>
      <c r="N1664" t="s">
        <v>17</v>
      </c>
      <c r="O1664">
        <v>2</v>
      </c>
      <c r="P1664">
        <v>47.95</v>
      </c>
      <c r="Q1664">
        <v>38.700000000000003</v>
      </c>
    </row>
    <row r="1665" spans="2:17" x14ac:dyDescent="0.25">
      <c r="B1665" t="s">
        <v>78</v>
      </c>
      <c r="C1665" t="s">
        <v>2961</v>
      </c>
      <c r="D1665" t="s">
        <v>1852</v>
      </c>
      <c r="E1665" t="s">
        <v>1853</v>
      </c>
      <c r="F1665">
        <v>28.45</v>
      </c>
      <c r="G1665">
        <v>28.45</v>
      </c>
      <c r="H1665">
        <v>28.45</v>
      </c>
      <c r="I1665">
        <v>27.1</v>
      </c>
      <c r="J1665" s="1">
        <v>27.1</v>
      </c>
      <c r="K1665">
        <v>1666.6</v>
      </c>
      <c r="L1665">
        <v>61</v>
      </c>
      <c r="M1665" t="s">
        <v>78</v>
      </c>
      <c r="N1665" t="s">
        <v>17</v>
      </c>
      <c r="O1665">
        <v>5</v>
      </c>
      <c r="P1665">
        <v>65.7</v>
      </c>
      <c r="Q1665">
        <v>17.149999999999999</v>
      </c>
    </row>
    <row r="1666" spans="2:17" x14ac:dyDescent="0.25">
      <c r="B1666" t="s">
        <v>78</v>
      </c>
      <c r="C1666" t="s">
        <v>2961</v>
      </c>
      <c r="D1666" t="s">
        <v>3317</v>
      </c>
      <c r="E1666" t="s">
        <v>3318</v>
      </c>
      <c r="F1666">
        <v>3</v>
      </c>
      <c r="G1666">
        <v>2.85</v>
      </c>
      <c r="H1666">
        <v>3.05</v>
      </c>
      <c r="I1666">
        <v>2.85</v>
      </c>
      <c r="J1666" s="1">
        <v>2.95</v>
      </c>
      <c r="K1666">
        <v>10069.4</v>
      </c>
      <c r="L1666">
        <v>3484</v>
      </c>
      <c r="M1666" t="s">
        <v>78</v>
      </c>
      <c r="N1666" t="s">
        <v>17</v>
      </c>
      <c r="O1666">
        <v>22</v>
      </c>
      <c r="P1666">
        <v>16.7</v>
      </c>
      <c r="Q1666">
        <v>2.85</v>
      </c>
    </row>
    <row r="1667" spans="2:17" x14ac:dyDescent="0.25">
      <c r="B1667" t="s">
        <v>78</v>
      </c>
      <c r="C1667" t="s">
        <v>2961</v>
      </c>
      <c r="D1667" t="s">
        <v>3329</v>
      </c>
      <c r="E1667" t="s">
        <v>3330</v>
      </c>
      <c r="F1667">
        <v>32.6</v>
      </c>
      <c r="G1667">
        <v>32.4</v>
      </c>
      <c r="H1667">
        <v>32.4</v>
      </c>
      <c r="I1667">
        <v>32.4</v>
      </c>
      <c r="J1667" s="1">
        <v>32.4</v>
      </c>
      <c r="K1667">
        <v>972</v>
      </c>
      <c r="L1667">
        <v>30</v>
      </c>
      <c r="M1667" t="s">
        <v>78</v>
      </c>
      <c r="N1667" t="s">
        <v>17</v>
      </c>
      <c r="O1667">
        <v>2</v>
      </c>
      <c r="P1667">
        <v>65.55</v>
      </c>
      <c r="Q1667">
        <v>32.25</v>
      </c>
    </row>
    <row r="1668" spans="2:17" x14ac:dyDescent="0.25">
      <c r="B1668" t="s">
        <v>78</v>
      </c>
      <c r="C1668" t="s">
        <v>2961</v>
      </c>
      <c r="D1668" t="s">
        <v>3331</v>
      </c>
      <c r="E1668" t="s">
        <v>3332</v>
      </c>
      <c r="F1668">
        <v>0.5</v>
      </c>
      <c r="G1668">
        <v>0.5</v>
      </c>
      <c r="H1668">
        <v>0.55000000000000004</v>
      </c>
      <c r="I1668">
        <v>0.45</v>
      </c>
      <c r="J1668" s="1">
        <v>0.45</v>
      </c>
      <c r="K1668">
        <v>1963</v>
      </c>
      <c r="L1668">
        <v>4351</v>
      </c>
      <c r="M1668" t="s">
        <v>78</v>
      </c>
      <c r="N1668" t="s">
        <v>17</v>
      </c>
      <c r="O1668">
        <v>16</v>
      </c>
      <c r="P1668">
        <v>2.5</v>
      </c>
      <c r="Q1668">
        <v>0.45</v>
      </c>
    </row>
    <row r="1669" spans="2:17" x14ac:dyDescent="0.25">
      <c r="B1669" t="s">
        <v>78</v>
      </c>
      <c r="C1669" t="s">
        <v>2961</v>
      </c>
      <c r="D1669" t="s">
        <v>3640</v>
      </c>
      <c r="E1669" t="s">
        <v>3641</v>
      </c>
      <c r="F1669">
        <v>9.75</v>
      </c>
      <c r="G1669">
        <v>9.9499999999999993</v>
      </c>
      <c r="H1669">
        <v>10.15</v>
      </c>
      <c r="I1669">
        <v>9.3000000000000007</v>
      </c>
      <c r="J1669" s="1">
        <v>9.3000000000000007</v>
      </c>
      <c r="K1669">
        <v>1041261.8</v>
      </c>
      <c r="L1669">
        <v>109180</v>
      </c>
      <c r="M1669" t="s">
        <v>78</v>
      </c>
      <c r="N1669" t="s">
        <v>17</v>
      </c>
      <c r="O1669">
        <v>239</v>
      </c>
      <c r="P1669">
        <v>10.15</v>
      </c>
      <c r="Q1669">
        <v>1.8</v>
      </c>
    </row>
    <row r="1670" spans="2:17" x14ac:dyDescent="0.25">
      <c r="B1670" t="s">
        <v>78</v>
      </c>
      <c r="C1670" t="s">
        <v>2961</v>
      </c>
      <c r="D1670" t="s">
        <v>5100</v>
      </c>
      <c r="E1670" t="s">
        <v>5099</v>
      </c>
      <c r="F1670">
        <v>6.2</v>
      </c>
      <c r="G1670">
        <v>6.25</v>
      </c>
      <c r="H1670">
        <v>6.25</v>
      </c>
      <c r="I1670">
        <v>6.2</v>
      </c>
      <c r="J1670" s="1">
        <v>6.2</v>
      </c>
      <c r="K1670">
        <v>249</v>
      </c>
      <c r="L1670">
        <v>40</v>
      </c>
      <c r="M1670" t="s">
        <v>78</v>
      </c>
      <c r="N1670" t="s">
        <v>17</v>
      </c>
      <c r="O1670">
        <v>2</v>
      </c>
      <c r="P1670">
        <v>19.7</v>
      </c>
      <c r="Q1670">
        <v>6.05</v>
      </c>
    </row>
    <row r="1671" spans="2:17" x14ac:dyDescent="0.25">
      <c r="B1671" t="s">
        <v>78</v>
      </c>
      <c r="C1671" t="s">
        <v>2961</v>
      </c>
      <c r="D1671" t="s">
        <v>6605</v>
      </c>
      <c r="E1671" t="s">
        <v>2020</v>
      </c>
      <c r="F1671">
        <v>11.85</v>
      </c>
      <c r="G1671">
        <v>12.15</v>
      </c>
      <c r="H1671">
        <v>12.2</v>
      </c>
      <c r="I1671">
        <v>11.4</v>
      </c>
      <c r="J1671" s="1">
        <v>12</v>
      </c>
      <c r="K1671">
        <v>60059.25</v>
      </c>
      <c r="L1671">
        <v>5136</v>
      </c>
      <c r="M1671" t="s">
        <v>78</v>
      </c>
      <c r="N1671" t="s">
        <v>17</v>
      </c>
      <c r="O1671">
        <v>57</v>
      </c>
      <c r="P1671">
        <v>23.25</v>
      </c>
      <c r="Q1671">
        <v>11.15</v>
      </c>
    </row>
    <row r="1672" spans="2:17" x14ac:dyDescent="0.25">
      <c r="B1672" t="s">
        <v>78</v>
      </c>
      <c r="C1672" t="s">
        <v>2961</v>
      </c>
      <c r="D1672" t="s">
        <v>6604</v>
      </c>
      <c r="E1672" t="s">
        <v>6603</v>
      </c>
      <c r="F1672">
        <v>0.8</v>
      </c>
      <c r="G1672">
        <v>0.8</v>
      </c>
      <c r="H1672">
        <v>0.8</v>
      </c>
      <c r="I1672">
        <v>0.75</v>
      </c>
      <c r="J1672" s="1">
        <v>0.75</v>
      </c>
      <c r="K1672">
        <v>3225.75</v>
      </c>
      <c r="L1672">
        <v>4270</v>
      </c>
      <c r="M1672" t="s">
        <v>78</v>
      </c>
      <c r="N1672" t="s">
        <v>17</v>
      </c>
      <c r="O1672">
        <v>12</v>
      </c>
      <c r="P1672">
        <v>4.0999999999999996</v>
      </c>
      <c r="Q1672">
        <v>0.75</v>
      </c>
    </row>
    <row r="1673" spans="2:17" x14ac:dyDescent="0.25">
      <c r="B1673" t="s">
        <v>78</v>
      </c>
      <c r="C1673" t="s">
        <v>2961</v>
      </c>
      <c r="D1673" t="s">
        <v>2043</v>
      </c>
      <c r="E1673" t="s">
        <v>2044</v>
      </c>
      <c r="F1673">
        <v>4.55</v>
      </c>
      <c r="G1673">
        <v>4.55</v>
      </c>
      <c r="H1673">
        <v>4.75</v>
      </c>
      <c r="I1673">
        <v>4.3499999999999996</v>
      </c>
      <c r="J1673" s="1">
        <v>4.6500000000000004</v>
      </c>
      <c r="K1673">
        <v>913354</v>
      </c>
      <c r="L1673">
        <v>198646</v>
      </c>
      <c r="M1673" t="s">
        <v>78</v>
      </c>
      <c r="N1673" t="s">
        <v>17</v>
      </c>
      <c r="O1673">
        <v>219</v>
      </c>
      <c r="P1673">
        <v>17.399999999999999</v>
      </c>
      <c r="Q1673">
        <v>4.25</v>
      </c>
    </row>
    <row r="1674" spans="2:17" x14ac:dyDescent="0.25">
      <c r="B1674" t="s">
        <v>78</v>
      </c>
      <c r="C1674" t="s">
        <v>2961</v>
      </c>
      <c r="D1674" t="s">
        <v>3351</v>
      </c>
      <c r="E1674" t="s">
        <v>3352</v>
      </c>
      <c r="F1674">
        <v>4.45</v>
      </c>
      <c r="G1674">
        <v>4.25</v>
      </c>
      <c r="H1674">
        <v>4.25</v>
      </c>
      <c r="I1674">
        <v>4.25</v>
      </c>
      <c r="J1674" s="1">
        <v>4.25</v>
      </c>
      <c r="K1674">
        <v>4.25</v>
      </c>
      <c r="L1674">
        <v>1</v>
      </c>
      <c r="M1674" t="s">
        <v>78</v>
      </c>
      <c r="N1674" t="s">
        <v>17</v>
      </c>
      <c r="O1674">
        <v>1</v>
      </c>
      <c r="P1674">
        <v>15.5</v>
      </c>
      <c r="Q1674">
        <v>4.25</v>
      </c>
    </row>
    <row r="1675" spans="2:17" x14ac:dyDescent="0.25">
      <c r="B1675" t="s">
        <v>78</v>
      </c>
      <c r="C1675" t="s">
        <v>2961</v>
      </c>
      <c r="D1675" t="s">
        <v>2059</v>
      </c>
      <c r="E1675" t="s">
        <v>2060</v>
      </c>
      <c r="F1675">
        <v>12.4</v>
      </c>
      <c r="G1675">
        <v>12.35</v>
      </c>
      <c r="H1675">
        <v>12.35</v>
      </c>
      <c r="I1675">
        <v>11.85</v>
      </c>
      <c r="J1675" s="1">
        <v>12</v>
      </c>
      <c r="K1675">
        <v>5143.3</v>
      </c>
      <c r="L1675">
        <v>423</v>
      </c>
      <c r="M1675" t="s">
        <v>78</v>
      </c>
      <c r="N1675" t="s">
        <v>17</v>
      </c>
      <c r="O1675">
        <v>7</v>
      </c>
      <c r="P1675">
        <v>23.6</v>
      </c>
      <c r="Q1675">
        <v>5.15</v>
      </c>
    </row>
    <row r="1676" spans="2:17" x14ac:dyDescent="0.25">
      <c r="B1676" t="s">
        <v>78</v>
      </c>
      <c r="C1676" t="s">
        <v>2961</v>
      </c>
      <c r="D1676" t="s">
        <v>6602</v>
      </c>
      <c r="E1676" t="s">
        <v>6601</v>
      </c>
      <c r="F1676">
        <v>7.1</v>
      </c>
      <c r="G1676">
        <v>7.45</v>
      </c>
      <c r="H1676">
        <v>7.45</v>
      </c>
      <c r="I1676">
        <v>7.45</v>
      </c>
      <c r="J1676" s="1">
        <v>7.45</v>
      </c>
      <c r="K1676">
        <v>2629.85</v>
      </c>
      <c r="L1676">
        <v>353</v>
      </c>
      <c r="M1676" t="s">
        <v>78</v>
      </c>
      <c r="N1676" t="s">
        <v>17</v>
      </c>
      <c r="O1676">
        <v>5</v>
      </c>
      <c r="P1676">
        <v>53.5</v>
      </c>
      <c r="Q1676">
        <v>6.1</v>
      </c>
    </row>
    <row r="1677" spans="2:17" x14ac:dyDescent="0.25">
      <c r="B1677" t="s">
        <v>78</v>
      </c>
      <c r="C1677" t="s">
        <v>2961</v>
      </c>
      <c r="D1677" t="s">
        <v>6600</v>
      </c>
      <c r="E1677" t="s">
        <v>6599</v>
      </c>
      <c r="F1677">
        <v>26.15</v>
      </c>
      <c r="G1677">
        <v>26.9</v>
      </c>
      <c r="H1677">
        <v>27.45</v>
      </c>
      <c r="I1677">
        <v>26</v>
      </c>
      <c r="J1677" s="1">
        <v>27.35</v>
      </c>
      <c r="K1677">
        <v>568704.9</v>
      </c>
      <c r="L1677">
        <v>21032</v>
      </c>
      <c r="M1677" t="s">
        <v>78</v>
      </c>
      <c r="N1677" t="s">
        <v>17</v>
      </c>
      <c r="O1677">
        <v>17</v>
      </c>
      <c r="P1677">
        <v>44</v>
      </c>
      <c r="Q1677">
        <v>23.55</v>
      </c>
    </row>
    <row r="1678" spans="2:17" x14ac:dyDescent="0.25">
      <c r="B1678" t="s">
        <v>78</v>
      </c>
      <c r="C1678" t="s">
        <v>2961</v>
      </c>
      <c r="D1678" t="s">
        <v>3357</v>
      </c>
      <c r="E1678" t="s">
        <v>3358</v>
      </c>
      <c r="F1678">
        <v>133</v>
      </c>
      <c r="G1678">
        <v>137.19999999999999</v>
      </c>
      <c r="H1678">
        <v>137.25</v>
      </c>
      <c r="I1678">
        <v>130.05000000000001</v>
      </c>
      <c r="J1678" s="1">
        <v>130.05000000000001</v>
      </c>
      <c r="K1678">
        <v>6377.5</v>
      </c>
      <c r="L1678">
        <v>47</v>
      </c>
      <c r="M1678" t="s">
        <v>78</v>
      </c>
      <c r="N1678" t="s">
        <v>17</v>
      </c>
      <c r="O1678">
        <v>6</v>
      </c>
      <c r="P1678">
        <v>304</v>
      </c>
      <c r="Q1678">
        <v>124.15</v>
      </c>
    </row>
    <row r="1679" spans="2:17" x14ac:dyDescent="0.25">
      <c r="B1679" t="s">
        <v>78</v>
      </c>
      <c r="C1679" t="s">
        <v>2961</v>
      </c>
      <c r="D1679" t="s">
        <v>2121</v>
      </c>
      <c r="E1679" t="s">
        <v>2122</v>
      </c>
      <c r="F1679">
        <v>80.75</v>
      </c>
      <c r="G1679">
        <v>80</v>
      </c>
      <c r="H1679">
        <v>82</v>
      </c>
      <c r="I1679">
        <v>76.75</v>
      </c>
      <c r="J1679" s="1">
        <v>78.400000000000006</v>
      </c>
      <c r="K1679">
        <v>1616848.15</v>
      </c>
      <c r="L1679">
        <v>20639</v>
      </c>
      <c r="M1679" t="s">
        <v>78</v>
      </c>
      <c r="N1679" t="s">
        <v>17</v>
      </c>
      <c r="O1679">
        <v>394</v>
      </c>
      <c r="P1679">
        <v>109.25</v>
      </c>
      <c r="Q1679">
        <v>74.849999999999994</v>
      </c>
    </row>
    <row r="1680" spans="2:17" x14ac:dyDescent="0.25">
      <c r="B1680" t="s">
        <v>78</v>
      </c>
      <c r="C1680" t="s">
        <v>2961</v>
      </c>
      <c r="D1680" t="s">
        <v>3369</v>
      </c>
      <c r="E1680" t="s">
        <v>3370</v>
      </c>
      <c r="F1680">
        <v>3.55</v>
      </c>
      <c r="G1680">
        <v>3.55</v>
      </c>
      <c r="H1680">
        <v>3.55</v>
      </c>
      <c r="I1680">
        <v>3.4</v>
      </c>
      <c r="J1680" s="1">
        <v>3.4</v>
      </c>
      <c r="K1680">
        <v>2778</v>
      </c>
      <c r="L1680">
        <v>804</v>
      </c>
      <c r="M1680" t="s">
        <v>78</v>
      </c>
      <c r="N1680" t="s">
        <v>17</v>
      </c>
      <c r="O1680">
        <v>5</v>
      </c>
      <c r="P1680">
        <v>21.4</v>
      </c>
      <c r="Q1680">
        <v>3.4</v>
      </c>
    </row>
    <row r="1681" spans="2:17" x14ac:dyDescent="0.25">
      <c r="B1681" t="s">
        <v>78</v>
      </c>
      <c r="C1681" t="s">
        <v>2961</v>
      </c>
      <c r="D1681" t="s">
        <v>6598</v>
      </c>
      <c r="E1681" t="s">
        <v>6597</v>
      </c>
      <c r="F1681">
        <v>1.55</v>
      </c>
      <c r="G1681">
        <v>1.5</v>
      </c>
      <c r="H1681">
        <v>1.5</v>
      </c>
      <c r="I1681">
        <v>1.5</v>
      </c>
      <c r="J1681" s="1">
        <v>1.5</v>
      </c>
      <c r="K1681">
        <v>8227.5</v>
      </c>
      <c r="L1681">
        <v>5485</v>
      </c>
      <c r="M1681" t="s">
        <v>78</v>
      </c>
      <c r="N1681" t="s">
        <v>17</v>
      </c>
      <c r="O1681">
        <v>13</v>
      </c>
      <c r="P1681">
        <v>4.95</v>
      </c>
      <c r="Q1681">
        <v>0.9</v>
      </c>
    </row>
    <row r="1682" spans="2:17" x14ac:dyDescent="0.25">
      <c r="B1682" t="s">
        <v>78</v>
      </c>
      <c r="C1682" t="s">
        <v>2961</v>
      </c>
      <c r="D1682" t="s">
        <v>3373</v>
      </c>
      <c r="E1682" t="s">
        <v>3374</v>
      </c>
      <c r="F1682">
        <v>17.600000000000001</v>
      </c>
      <c r="G1682">
        <v>18.45</v>
      </c>
      <c r="H1682">
        <v>18.45</v>
      </c>
      <c r="I1682">
        <v>18.05</v>
      </c>
      <c r="J1682" s="1">
        <v>18.45</v>
      </c>
      <c r="K1682">
        <v>512922.65</v>
      </c>
      <c r="L1682">
        <v>27826</v>
      </c>
      <c r="M1682" t="s">
        <v>78</v>
      </c>
      <c r="N1682" t="s">
        <v>17</v>
      </c>
      <c r="O1682">
        <v>90</v>
      </c>
      <c r="P1682">
        <v>46.95</v>
      </c>
      <c r="Q1682">
        <v>15.4</v>
      </c>
    </row>
    <row r="1683" spans="2:17" x14ac:dyDescent="0.25">
      <c r="B1683" t="s">
        <v>78</v>
      </c>
      <c r="C1683" t="s">
        <v>2961</v>
      </c>
      <c r="D1683" t="s">
        <v>3375</v>
      </c>
      <c r="E1683" t="s">
        <v>3376</v>
      </c>
      <c r="F1683">
        <v>0.8</v>
      </c>
      <c r="G1683">
        <v>0.75</v>
      </c>
      <c r="H1683">
        <v>0.75</v>
      </c>
      <c r="I1683">
        <v>0.75</v>
      </c>
      <c r="J1683" s="1">
        <v>0.75</v>
      </c>
      <c r="K1683">
        <v>201</v>
      </c>
      <c r="L1683">
        <v>268</v>
      </c>
      <c r="M1683" t="s">
        <v>78</v>
      </c>
      <c r="N1683" t="s">
        <v>17</v>
      </c>
      <c r="O1683">
        <v>6</v>
      </c>
      <c r="P1683">
        <v>1.35</v>
      </c>
      <c r="Q1683">
        <v>0.3</v>
      </c>
    </row>
    <row r="1684" spans="2:17" x14ac:dyDescent="0.25">
      <c r="B1684" t="s">
        <v>78</v>
      </c>
      <c r="C1684" t="s">
        <v>2961</v>
      </c>
      <c r="D1684" t="s">
        <v>3383</v>
      </c>
      <c r="E1684" t="s">
        <v>3384</v>
      </c>
      <c r="F1684">
        <v>21</v>
      </c>
      <c r="G1684">
        <v>21</v>
      </c>
      <c r="H1684">
        <v>21.5</v>
      </c>
      <c r="I1684">
        <v>19.95</v>
      </c>
      <c r="J1684" s="1">
        <v>20.6</v>
      </c>
      <c r="K1684">
        <v>324022.8</v>
      </c>
      <c r="L1684">
        <v>15701</v>
      </c>
      <c r="M1684" t="s">
        <v>78</v>
      </c>
      <c r="N1684" t="s">
        <v>17</v>
      </c>
      <c r="O1684">
        <v>65</v>
      </c>
      <c r="P1684">
        <v>36.6</v>
      </c>
      <c r="Q1684">
        <v>18.5</v>
      </c>
    </row>
    <row r="1685" spans="2:17" x14ac:dyDescent="0.25">
      <c r="B1685" t="s">
        <v>78</v>
      </c>
      <c r="C1685" t="s">
        <v>2961</v>
      </c>
      <c r="D1685" t="s">
        <v>2219</v>
      </c>
      <c r="E1685" t="s">
        <v>2220</v>
      </c>
      <c r="F1685">
        <v>114.6</v>
      </c>
      <c r="G1685">
        <v>120.3</v>
      </c>
      <c r="H1685">
        <v>120.3</v>
      </c>
      <c r="I1685">
        <v>120.3</v>
      </c>
      <c r="J1685" s="1">
        <v>120.3</v>
      </c>
      <c r="K1685">
        <v>2557217.1</v>
      </c>
      <c r="L1685">
        <v>21257</v>
      </c>
      <c r="M1685" t="s">
        <v>78</v>
      </c>
      <c r="N1685" t="s">
        <v>17</v>
      </c>
      <c r="O1685">
        <v>182</v>
      </c>
      <c r="P1685">
        <v>133.55000000000001</v>
      </c>
      <c r="Q1685">
        <v>11.35</v>
      </c>
    </row>
    <row r="1686" spans="2:17" x14ac:dyDescent="0.25">
      <c r="B1686" t="s">
        <v>78</v>
      </c>
      <c r="C1686" t="s">
        <v>2961</v>
      </c>
      <c r="D1686" t="s">
        <v>3389</v>
      </c>
      <c r="E1686" t="s">
        <v>3390</v>
      </c>
      <c r="F1686">
        <v>2.5</v>
      </c>
      <c r="G1686">
        <v>2.4500000000000002</v>
      </c>
      <c r="H1686">
        <v>2.4500000000000002</v>
      </c>
      <c r="I1686">
        <v>2.4</v>
      </c>
      <c r="J1686" s="1">
        <v>2.4</v>
      </c>
      <c r="K1686">
        <v>3748.6</v>
      </c>
      <c r="L1686">
        <v>1549</v>
      </c>
      <c r="M1686" t="s">
        <v>78</v>
      </c>
      <c r="N1686" t="s">
        <v>17</v>
      </c>
      <c r="O1686">
        <v>8</v>
      </c>
      <c r="P1686">
        <v>5.5</v>
      </c>
      <c r="Q1686">
        <v>2.15</v>
      </c>
    </row>
    <row r="1687" spans="2:17" x14ac:dyDescent="0.25">
      <c r="B1687" t="s">
        <v>78</v>
      </c>
      <c r="C1687" t="s">
        <v>2961</v>
      </c>
      <c r="D1687" t="s">
        <v>3397</v>
      </c>
      <c r="E1687" t="s">
        <v>3398</v>
      </c>
      <c r="F1687">
        <v>0.55000000000000004</v>
      </c>
      <c r="G1687">
        <v>0.6</v>
      </c>
      <c r="H1687">
        <v>0.6</v>
      </c>
      <c r="I1687">
        <v>0.6</v>
      </c>
      <c r="J1687" s="1">
        <v>0.6</v>
      </c>
      <c r="K1687">
        <v>66</v>
      </c>
      <c r="L1687">
        <v>110</v>
      </c>
      <c r="M1687" t="s">
        <v>78</v>
      </c>
      <c r="N1687" t="s">
        <v>17</v>
      </c>
      <c r="O1687">
        <v>2</v>
      </c>
      <c r="P1687">
        <v>3</v>
      </c>
      <c r="Q1687">
        <v>0.55000000000000004</v>
      </c>
    </row>
    <row r="1688" spans="2:17" x14ac:dyDescent="0.25">
      <c r="B1688" t="s">
        <v>78</v>
      </c>
      <c r="C1688" t="s">
        <v>2961</v>
      </c>
      <c r="D1688" t="s">
        <v>2263</v>
      </c>
      <c r="E1688" t="s">
        <v>2264</v>
      </c>
      <c r="F1688">
        <v>2</v>
      </c>
      <c r="G1688">
        <v>2.1</v>
      </c>
      <c r="H1688">
        <v>2.1</v>
      </c>
      <c r="I1688">
        <v>2.1</v>
      </c>
      <c r="J1688" s="1">
        <v>2.1</v>
      </c>
      <c r="K1688">
        <v>18192.3</v>
      </c>
      <c r="L1688">
        <v>8663</v>
      </c>
      <c r="M1688" t="s">
        <v>78</v>
      </c>
      <c r="N1688" t="s">
        <v>17</v>
      </c>
      <c r="O1688">
        <v>11</v>
      </c>
      <c r="P1688">
        <v>3.85</v>
      </c>
      <c r="Q1688">
        <v>1.65</v>
      </c>
    </row>
    <row r="1689" spans="2:17" x14ac:dyDescent="0.25">
      <c r="B1689" t="s">
        <v>78</v>
      </c>
      <c r="C1689" t="s">
        <v>2961</v>
      </c>
      <c r="D1689" t="s">
        <v>3407</v>
      </c>
      <c r="E1689" t="s">
        <v>3408</v>
      </c>
      <c r="F1689">
        <v>2.2000000000000002</v>
      </c>
      <c r="G1689">
        <v>2.1</v>
      </c>
      <c r="H1689">
        <v>2.15</v>
      </c>
      <c r="I1689">
        <v>2.1</v>
      </c>
      <c r="J1689" s="1">
        <v>2.15</v>
      </c>
      <c r="K1689">
        <v>14514</v>
      </c>
      <c r="L1689">
        <v>6898</v>
      </c>
      <c r="M1689" t="s">
        <v>78</v>
      </c>
      <c r="N1689" t="s">
        <v>17</v>
      </c>
      <c r="O1689">
        <v>11</v>
      </c>
      <c r="P1689">
        <v>7.7</v>
      </c>
      <c r="Q1689">
        <v>2.0499999999999998</v>
      </c>
    </row>
    <row r="1690" spans="2:17" x14ac:dyDescent="0.25">
      <c r="B1690" t="s">
        <v>78</v>
      </c>
      <c r="C1690" t="s">
        <v>2961</v>
      </c>
      <c r="D1690" t="s">
        <v>3417</v>
      </c>
      <c r="E1690" t="s">
        <v>3418</v>
      </c>
      <c r="F1690">
        <v>57.95</v>
      </c>
      <c r="G1690">
        <v>57.75</v>
      </c>
      <c r="H1690">
        <v>58</v>
      </c>
      <c r="I1690">
        <v>57</v>
      </c>
      <c r="J1690" s="1">
        <v>57</v>
      </c>
      <c r="K1690">
        <v>6215.5</v>
      </c>
      <c r="L1690">
        <v>108</v>
      </c>
      <c r="M1690" t="s">
        <v>78</v>
      </c>
      <c r="N1690" t="s">
        <v>17</v>
      </c>
      <c r="O1690">
        <v>10</v>
      </c>
      <c r="P1690">
        <v>111</v>
      </c>
      <c r="Q1690">
        <v>34.1</v>
      </c>
    </row>
    <row r="1691" spans="2:17" x14ac:dyDescent="0.25">
      <c r="B1691" t="s">
        <v>78</v>
      </c>
      <c r="C1691" t="s">
        <v>2961</v>
      </c>
      <c r="D1691" t="s">
        <v>2309</v>
      </c>
      <c r="E1691" t="s">
        <v>2310</v>
      </c>
      <c r="F1691">
        <v>58.3</v>
      </c>
      <c r="G1691">
        <v>55.45</v>
      </c>
      <c r="H1691">
        <v>58.95</v>
      </c>
      <c r="I1691">
        <v>55.45</v>
      </c>
      <c r="J1691" s="1">
        <v>58.4</v>
      </c>
      <c r="K1691">
        <v>203634.4</v>
      </c>
      <c r="L1691">
        <v>3617</v>
      </c>
      <c r="M1691" t="s">
        <v>78</v>
      </c>
      <c r="N1691" t="s">
        <v>17</v>
      </c>
      <c r="O1691">
        <v>16</v>
      </c>
      <c r="P1691">
        <v>60.95</v>
      </c>
      <c r="Q1691">
        <v>54.15</v>
      </c>
    </row>
    <row r="1692" spans="2:17" x14ac:dyDescent="0.25">
      <c r="B1692" t="s">
        <v>78</v>
      </c>
      <c r="C1692" t="s">
        <v>2961</v>
      </c>
      <c r="D1692" t="s">
        <v>6596</v>
      </c>
      <c r="E1692" t="s">
        <v>6595</v>
      </c>
      <c r="F1692">
        <v>19.399999999999999</v>
      </c>
      <c r="G1692">
        <v>20.3</v>
      </c>
      <c r="H1692">
        <v>20.3</v>
      </c>
      <c r="I1692">
        <v>20.3</v>
      </c>
      <c r="J1692" s="1">
        <v>20.3</v>
      </c>
      <c r="K1692">
        <v>20.3</v>
      </c>
      <c r="L1692">
        <v>1</v>
      </c>
      <c r="M1692" t="s">
        <v>78</v>
      </c>
      <c r="N1692" t="s">
        <v>17</v>
      </c>
      <c r="O1692">
        <v>1</v>
      </c>
      <c r="P1692">
        <v>40.9</v>
      </c>
      <c r="Q1692">
        <v>17.25</v>
      </c>
    </row>
    <row r="1693" spans="2:17" x14ac:dyDescent="0.25">
      <c r="B1693" t="s">
        <v>78</v>
      </c>
      <c r="C1693" t="s">
        <v>2961</v>
      </c>
      <c r="D1693" t="s">
        <v>3433</v>
      </c>
      <c r="E1693" t="s">
        <v>3434</v>
      </c>
      <c r="F1693">
        <v>6.25</v>
      </c>
      <c r="G1693">
        <v>5.95</v>
      </c>
      <c r="H1693">
        <v>6.1</v>
      </c>
      <c r="I1693">
        <v>5.95</v>
      </c>
      <c r="J1693" s="1">
        <v>5.95</v>
      </c>
      <c r="K1693">
        <v>11330.5</v>
      </c>
      <c r="L1693">
        <v>1890</v>
      </c>
      <c r="M1693" t="s">
        <v>78</v>
      </c>
      <c r="N1693" t="s">
        <v>17</v>
      </c>
      <c r="O1693">
        <v>10</v>
      </c>
      <c r="P1693">
        <v>15.65</v>
      </c>
      <c r="Q1693">
        <v>5.8</v>
      </c>
    </row>
    <row r="1694" spans="2:17" x14ac:dyDescent="0.25">
      <c r="B1694" t="s">
        <v>78</v>
      </c>
      <c r="C1694" t="s">
        <v>2961</v>
      </c>
      <c r="D1694" t="s">
        <v>3435</v>
      </c>
      <c r="E1694" t="s">
        <v>3436</v>
      </c>
      <c r="F1694">
        <v>125.85</v>
      </c>
      <c r="G1694">
        <v>123.65</v>
      </c>
      <c r="H1694">
        <v>129</v>
      </c>
      <c r="I1694">
        <v>121.1</v>
      </c>
      <c r="J1694" s="1">
        <v>128.5</v>
      </c>
      <c r="K1694">
        <v>2433522.35</v>
      </c>
      <c r="L1694">
        <v>19211</v>
      </c>
      <c r="M1694" t="s">
        <v>78</v>
      </c>
      <c r="N1694" t="s">
        <v>17</v>
      </c>
      <c r="O1694">
        <v>166</v>
      </c>
      <c r="P1694">
        <v>273.8</v>
      </c>
      <c r="Q1694">
        <v>110.2</v>
      </c>
    </row>
    <row r="1695" spans="2:17" x14ac:dyDescent="0.25">
      <c r="B1695" t="s">
        <v>78</v>
      </c>
      <c r="C1695" t="s">
        <v>2961</v>
      </c>
      <c r="D1695" t="s">
        <v>2375</v>
      </c>
      <c r="E1695" t="s">
        <v>2376</v>
      </c>
      <c r="F1695">
        <v>12.15</v>
      </c>
      <c r="G1695">
        <v>11.55</v>
      </c>
      <c r="H1695">
        <v>11.55</v>
      </c>
      <c r="I1695">
        <v>11.55</v>
      </c>
      <c r="J1695" s="1">
        <v>11.55</v>
      </c>
      <c r="K1695">
        <v>7923.3</v>
      </c>
      <c r="L1695">
        <v>686</v>
      </c>
      <c r="M1695" t="s">
        <v>78</v>
      </c>
      <c r="N1695" t="s">
        <v>17</v>
      </c>
      <c r="O1695">
        <v>13</v>
      </c>
      <c r="P1695">
        <v>13.35</v>
      </c>
      <c r="Q1695">
        <v>5.55</v>
      </c>
    </row>
    <row r="1696" spans="2:17" x14ac:dyDescent="0.25">
      <c r="B1696" t="s">
        <v>78</v>
      </c>
      <c r="C1696" t="s">
        <v>2961</v>
      </c>
      <c r="D1696" t="s">
        <v>2407</v>
      </c>
      <c r="E1696" t="s">
        <v>2408</v>
      </c>
      <c r="F1696">
        <v>5.25</v>
      </c>
      <c r="G1696">
        <v>5.2</v>
      </c>
      <c r="H1696">
        <v>5.45</v>
      </c>
      <c r="I1696">
        <v>5</v>
      </c>
      <c r="J1696" s="1">
        <v>5</v>
      </c>
      <c r="K1696">
        <v>33580.449999999997</v>
      </c>
      <c r="L1696">
        <v>6680</v>
      </c>
      <c r="M1696" t="s">
        <v>78</v>
      </c>
      <c r="N1696" t="s">
        <v>17</v>
      </c>
      <c r="O1696">
        <v>26</v>
      </c>
      <c r="P1696">
        <v>16.05</v>
      </c>
      <c r="Q1696">
        <v>4.55</v>
      </c>
    </row>
    <row r="1697" spans="2:17" x14ac:dyDescent="0.25">
      <c r="B1697" t="s">
        <v>78</v>
      </c>
      <c r="C1697" t="s">
        <v>2961</v>
      </c>
      <c r="D1697" t="s">
        <v>3453</v>
      </c>
      <c r="E1697" t="s">
        <v>3454</v>
      </c>
      <c r="F1697">
        <v>822</v>
      </c>
      <c r="G1697">
        <v>780.95</v>
      </c>
      <c r="H1697">
        <v>834</v>
      </c>
      <c r="I1697">
        <v>780.9</v>
      </c>
      <c r="J1697" s="1">
        <v>809.05</v>
      </c>
      <c r="K1697">
        <v>241927.75</v>
      </c>
      <c r="L1697">
        <v>307</v>
      </c>
      <c r="M1697" t="s">
        <v>78</v>
      </c>
      <c r="N1697" t="s">
        <v>17</v>
      </c>
      <c r="O1697">
        <v>40</v>
      </c>
      <c r="P1697">
        <v>1593.45</v>
      </c>
      <c r="Q1697">
        <v>780.9</v>
      </c>
    </row>
    <row r="1698" spans="2:17" x14ac:dyDescent="0.25">
      <c r="B1698" t="s">
        <v>78</v>
      </c>
      <c r="C1698" t="s">
        <v>2961</v>
      </c>
      <c r="D1698" t="s">
        <v>3459</v>
      </c>
      <c r="E1698" t="s">
        <v>3460</v>
      </c>
      <c r="F1698">
        <v>15.25</v>
      </c>
      <c r="G1698">
        <v>14.75</v>
      </c>
      <c r="H1698">
        <v>14.75</v>
      </c>
      <c r="I1698">
        <v>14.5</v>
      </c>
      <c r="J1698" s="1">
        <v>14.5</v>
      </c>
      <c r="K1698">
        <v>51039.5</v>
      </c>
      <c r="L1698">
        <v>3501</v>
      </c>
      <c r="M1698" t="s">
        <v>78</v>
      </c>
      <c r="N1698" t="s">
        <v>17</v>
      </c>
      <c r="O1698">
        <v>6</v>
      </c>
      <c r="P1698">
        <v>20.100000000000001</v>
      </c>
      <c r="Q1698">
        <v>10.050000000000001</v>
      </c>
    </row>
    <row r="1699" spans="2:17" x14ac:dyDescent="0.25">
      <c r="B1699" t="s">
        <v>78</v>
      </c>
      <c r="C1699" t="s">
        <v>2961</v>
      </c>
      <c r="D1699" t="s">
        <v>6594</v>
      </c>
      <c r="E1699" t="s">
        <v>6593</v>
      </c>
      <c r="F1699">
        <v>0.45</v>
      </c>
      <c r="G1699">
        <v>0.45</v>
      </c>
      <c r="H1699">
        <v>0.5</v>
      </c>
      <c r="I1699">
        <v>0.4</v>
      </c>
      <c r="J1699" s="1">
        <v>0.5</v>
      </c>
      <c r="K1699">
        <v>22023.5</v>
      </c>
      <c r="L1699">
        <v>50053</v>
      </c>
      <c r="M1699" t="s">
        <v>78</v>
      </c>
      <c r="N1699" t="s">
        <v>17</v>
      </c>
      <c r="O1699">
        <v>27</v>
      </c>
      <c r="P1699">
        <v>1.95</v>
      </c>
      <c r="Q1699">
        <v>0.35</v>
      </c>
    </row>
    <row r="1700" spans="2:17" x14ac:dyDescent="0.25">
      <c r="B1700" t="s">
        <v>78</v>
      </c>
      <c r="C1700" t="s">
        <v>2961</v>
      </c>
      <c r="D1700" t="s">
        <v>2455</v>
      </c>
      <c r="E1700" t="s">
        <v>2456</v>
      </c>
      <c r="F1700">
        <v>87.95</v>
      </c>
      <c r="G1700">
        <v>86.5</v>
      </c>
      <c r="H1700">
        <v>92.2</v>
      </c>
      <c r="I1700">
        <v>85.5</v>
      </c>
      <c r="J1700" s="1">
        <v>85.5</v>
      </c>
      <c r="K1700">
        <v>434225.85</v>
      </c>
      <c r="L1700">
        <v>4999</v>
      </c>
      <c r="M1700" t="s">
        <v>78</v>
      </c>
      <c r="N1700" t="s">
        <v>17</v>
      </c>
      <c r="O1700">
        <v>43</v>
      </c>
      <c r="P1700">
        <v>107.85</v>
      </c>
      <c r="Q1700">
        <v>77</v>
      </c>
    </row>
    <row r="1701" spans="2:17" x14ac:dyDescent="0.25">
      <c r="B1701" t="s">
        <v>78</v>
      </c>
      <c r="C1701" t="s">
        <v>2961</v>
      </c>
      <c r="D1701" t="s">
        <v>6592</v>
      </c>
      <c r="E1701" t="s">
        <v>6591</v>
      </c>
      <c r="F1701">
        <v>0.35</v>
      </c>
      <c r="G1701">
        <v>0.3</v>
      </c>
      <c r="H1701">
        <v>0.35</v>
      </c>
      <c r="I1701">
        <v>0.3</v>
      </c>
      <c r="J1701" s="1">
        <v>0.35</v>
      </c>
      <c r="K1701">
        <v>6752.8</v>
      </c>
      <c r="L1701">
        <v>21941</v>
      </c>
      <c r="M1701" t="s">
        <v>78</v>
      </c>
      <c r="N1701" t="s">
        <v>17</v>
      </c>
      <c r="O1701">
        <v>13</v>
      </c>
      <c r="P1701">
        <v>0.85</v>
      </c>
      <c r="Q1701">
        <v>0.3</v>
      </c>
    </row>
    <row r="1702" spans="2:17" x14ac:dyDescent="0.25">
      <c r="B1702" t="s">
        <v>78</v>
      </c>
      <c r="C1702" t="s">
        <v>2961</v>
      </c>
      <c r="D1702" t="s">
        <v>3475</v>
      </c>
      <c r="E1702" t="s">
        <v>3476</v>
      </c>
      <c r="F1702">
        <v>1</v>
      </c>
      <c r="G1702">
        <v>1.05</v>
      </c>
      <c r="H1702">
        <v>1.05</v>
      </c>
      <c r="I1702">
        <v>0.95</v>
      </c>
      <c r="J1702" s="1">
        <v>1</v>
      </c>
      <c r="K1702">
        <v>1864.8</v>
      </c>
      <c r="L1702">
        <v>1907</v>
      </c>
      <c r="M1702" t="s">
        <v>78</v>
      </c>
      <c r="N1702" t="s">
        <v>17</v>
      </c>
      <c r="O1702">
        <v>13</v>
      </c>
      <c r="P1702">
        <v>1.35</v>
      </c>
      <c r="Q1702">
        <v>0.25</v>
      </c>
    </row>
    <row r="1703" spans="2:17" x14ac:dyDescent="0.25">
      <c r="B1703" t="s">
        <v>78</v>
      </c>
      <c r="C1703" t="s">
        <v>2961</v>
      </c>
      <c r="D1703" t="s">
        <v>3660</v>
      </c>
      <c r="E1703" t="s">
        <v>3661</v>
      </c>
      <c r="F1703">
        <v>0.55000000000000004</v>
      </c>
      <c r="G1703">
        <v>0.5</v>
      </c>
      <c r="H1703">
        <v>0.5</v>
      </c>
      <c r="I1703">
        <v>0.5</v>
      </c>
      <c r="J1703" s="1">
        <v>0.5</v>
      </c>
      <c r="K1703">
        <v>1250</v>
      </c>
      <c r="L1703">
        <v>2500</v>
      </c>
      <c r="M1703" t="s">
        <v>78</v>
      </c>
      <c r="N1703" t="s">
        <v>17</v>
      </c>
      <c r="O1703">
        <v>4</v>
      </c>
      <c r="P1703">
        <v>3.8</v>
      </c>
      <c r="Q1703">
        <v>0.45</v>
      </c>
    </row>
    <row r="1704" spans="2:17" x14ac:dyDescent="0.25">
      <c r="B1704" t="s">
        <v>78</v>
      </c>
      <c r="C1704" t="s">
        <v>2961</v>
      </c>
      <c r="D1704" t="s">
        <v>6590</v>
      </c>
      <c r="E1704" t="s">
        <v>6589</v>
      </c>
      <c r="F1704">
        <v>7.8</v>
      </c>
      <c r="G1704">
        <v>7.45</v>
      </c>
      <c r="H1704">
        <v>7.45</v>
      </c>
      <c r="I1704">
        <v>7.45</v>
      </c>
      <c r="J1704" s="1">
        <v>7.45</v>
      </c>
      <c r="K1704">
        <v>16412.349999999999</v>
      </c>
      <c r="L1704">
        <v>2203</v>
      </c>
      <c r="M1704" t="s">
        <v>78</v>
      </c>
      <c r="N1704" t="s">
        <v>17</v>
      </c>
      <c r="O1704">
        <v>17</v>
      </c>
      <c r="P1704">
        <v>15.7</v>
      </c>
      <c r="Q1704">
        <v>6.55</v>
      </c>
    </row>
    <row r="1705" spans="2:17" x14ac:dyDescent="0.25">
      <c r="B1705" t="s">
        <v>78</v>
      </c>
      <c r="C1705" t="s">
        <v>2961</v>
      </c>
      <c r="D1705" t="s">
        <v>3481</v>
      </c>
      <c r="E1705" t="s">
        <v>3482</v>
      </c>
      <c r="F1705">
        <v>0.2</v>
      </c>
      <c r="G1705">
        <v>0.25</v>
      </c>
      <c r="H1705">
        <v>0.25</v>
      </c>
      <c r="I1705">
        <v>0.2</v>
      </c>
      <c r="J1705" s="1">
        <v>0.2</v>
      </c>
      <c r="K1705">
        <v>5562.5</v>
      </c>
      <c r="L1705">
        <v>24240</v>
      </c>
      <c r="M1705" t="s">
        <v>78</v>
      </c>
      <c r="N1705" t="s">
        <v>17</v>
      </c>
      <c r="O1705">
        <v>13</v>
      </c>
      <c r="P1705">
        <v>0.4</v>
      </c>
      <c r="Q1705">
        <v>0.15</v>
      </c>
    </row>
    <row r="1706" spans="2:17" x14ac:dyDescent="0.25">
      <c r="B1706" t="s">
        <v>78</v>
      </c>
      <c r="C1706" t="s">
        <v>2961</v>
      </c>
      <c r="D1706" t="s">
        <v>6588</v>
      </c>
      <c r="E1706" t="s">
        <v>6587</v>
      </c>
      <c r="F1706">
        <v>0.15</v>
      </c>
      <c r="G1706">
        <v>0.2</v>
      </c>
      <c r="H1706">
        <v>0.2</v>
      </c>
      <c r="I1706">
        <v>0.15</v>
      </c>
      <c r="J1706" s="1">
        <v>0.15</v>
      </c>
      <c r="K1706">
        <v>74293.350000000006</v>
      </c>
      <c r="L1706">
        <v>379855</v>
      </c>
      <c r="M1706" t="s">
        <v>78</v>
      </c>
      <c r="N1706" t="s">
        <v>17</v>
      </c>
      <c r="O1706">
        <v>26</v>
      </c>
      <c r="P1706">
        <v>0.6</v>
      </c>
      <c r="Q1706">
        <v>0.15</v>
      </c>
    </row>
    <row r="1707" spans="2:17" x14ac:dyDescent="0.25">
      <c r="B1707" t="s">
        <v>78</v>
      </c>
      <c r="C1707" t="s">
        <v>2961</v>
      </c>
      <c r="D1707" t="s">
        <v>6586</v>
      </c>
      <c r="E1707" t="s">
        <v>6585</v>
      </c>
      <c r="F1707">
        <v>1.3</v>
      </c>
      <c r="G1707">
        <v>1.25</v>
      </c>
      <c r="H1707">
        <v>1.35</v>
      </c>
      <c r="I1707">
        <v>1.25</v>
      </c>
      <c r="J1707" s="1">
        <v>1.3</v>
      </c>
      <c r="K1707">
        <v>19155.2</v>
      </c>
      <c r="L1707">
        <v>15124</v>
      </c>
      <c r="M1707" t="s">
        <v>78</v>
      </c>
      <c r="N1707" t="s">
        <v>17</v>
      </c>
      <c r="O1707">
        <v>26</v>
      </c>
      <c r="P1707">
        <v>4.9000000000000004</v>
      </c>
      <c r="Q1707">
        <v>1.25</v>
      </c>
    </row>
    <row r="1708" spans="2:17" x14ac:dyDescent="0.25">
      <c r="B1708" t="s">
        <v>78</v>
      </c>
      <c r="C1708" t="s">
        <v>2961</v>
      </c>
      <c r="D1708" t="s">
        <v>3664</v>
      </c>
      <c r="E1708" t="s">
        <v>3665</v>
      </c>
      <c r="F1708">
        <v>2.2000000000000002</v>
      </c>
      <c r="G1708">
        <v>2.1</v>
      </c>
      <c r="H1708">
        <v>2.1</v>
      </c>
      <c r="I1708">
        <v>2.1</v>
      </c>
      <c r="J1708" s="1">
        <v>2.1</v>
      </c>
      <c r="K1708">
        <v>1071</v>
      </c>
      <c r="L1708">
        <v>510</v>
      </c>
      <c r="M1708" t="s">
        <v>78</v>
      </c>
      <c r="N1708" t="s">
        <v>17</v>
      </c>
      <c r="O1708">
        <v>4</v>
      </c>
      <c r="P1708">
        <v>8.6</v>
      </c>
      <c r="Q1708">
        <v>2.0499999999999998</v>
      </c>
    </row>
    <row r="1709" spans="2:17" x14ac:dyDescent="0.25">
      <c r="B1709" t="s">
        <v>78</v>
      </c>
      <c r="C1709" t="s">
        <v>2961</v>
      </c>
      <c r="D1709" t="s">
        <v>6584</v>
      </c>
      <c r="E1709" t="s">
        <v>6583</v>
      </c>
      <c r="F1709">
        <v>0.8</v>
      </c>
      <c r="G1709">
        <v>0.8</v>
      </c>
      <c r="H1709">
        <v>0.8</v>
      </c>
      <c r="I1709">
        <v>0.75</v>
      </c>
      <c r="J1709" s="1">
        <v>0.75</v>
      </c>
      <c r="K1709">
        <v>91</v>
      </c>
      <c r="L1709">
        <v>120</v>
      </c>
      <c r="M1709" t="s">
        <v>78</v>
      </c>
      <c r="N1709" t="s">
        <v>17</v>
      </c>
      <c r="O1709">
        <v>4</v>
      </c>
      <c r="P1709">
        <v>8.5500000000000007</v>
      </c>
      <c r="Q1709">
        <v>0.45</v>
      </c>
    </row>
    <row r="1710" spans="2:17" x14ac:dyDescent="0.25">
      <c r="B1710" t="s">
        <v>78</v>
      </c>
      <c r="C1710" t="s">
        <v>2961</v>
      </c>
      <c r="D1710" t="s">
        <v>3529</v>
      </c>
      <c r="E1710" t="s">
        <v>3530</v>
      </c>
      <c r="F1710">
        <v>1.65</v>
      </c>
      <c r="G1710">
        <v>1.7</v>
      </c>
      <c r="H1710">
        <v>1.7</v>
      </c>
      <c r="I1710">
        <v>1.7</v>
      </c>
      <c r="J1710" s="1">
        <v>1.7</v>
      </c>
      <c r="K1710">
        <v>52.7</v>
      </c>
      <c r="L1710">
        <v>31</v>
      </c>
      <c r="M1710" t="s">
        <v>78</v>
      </c>
      <c r="N1710" t="s">
        <v>17</v>
      </c>
      <c r="O1710">
        <v>2</v>
      </c>
      <c r="P1710">
        <v>2.75</v>
      </c>
      <c r="Q1710">
        <v>0.9</v>
      </c>
    </row>
    <row r="1711" spans="2:17" x14ac:dyDescent="0.25">
      <c r="B1711" t="s">
        <v>78</v>
      </c>
      <c r="C1711" t="s">
        <v>2961</v>
      </c>
      <c r="D1711" t="s">
        <v>3537</v>
      </c>
      <c r="E1711" t="s">
        <v>3538</v>
      </c>
      <c r="F1711">
        <v>3.4</v>
      </c>
      <c r="G1711">
        <v>3.5</v>
      </c>
      <c r="H1711">
        <v>3.5</v>
      </c>
      <c r="I1711">
        <v>3.25</v>
      </c>
      <c r="J1711" s="1">
        <v>3.25</v>
      </c>
      <c r="K1711">
        <v>1042843.75</v>
      </c>
      <c r="L1711">
        <v>320207</v>
      </c>
      <c r="M1711" t="s">
        <v>78</v>
      </c>
      <c r="N1711" t="s">
        <v>17</v>
      </c>
      <c r="O1711">
        <v>363</v>
      </c>
      <c r="P1711">
        <v>5.85</v>
      </c>
      <c r="Q1711">
        <v>2.6</v>
      </c>
    </row>
    <row r="1712" spans="2:17" x14ac:dyDescent="0.25">
      <c r="B1712" t="s">
        <v>78</v>
      </c>
      <c r="C1712" t="s">
        <v>2961</v>
      </c>
      <c r="D1712" t="s">
        <v>6582</v>
      </c>
      <c r="E1712" t="s">
        <v>6581</v>
      </c>
      <c r="F1712">
        <v>60.95</v>
      </c>
      <c r="G1712">
        <v>60.95</v>
      </c>
      <c r="H1712">
        <v>60.95</v>
      </c>
      <c r="I1712">
        <v>57.95</v>
      </c>
      <c r="J1712" s="1">
        <v>57.95</v>
      </c>
      <c r="K1712">
        <v>3346576.1</v>
      </c>
      <c r="L1712">
        <v>57259</v>
      </c>
      <c r="M1712" t="s">
        <v>78</v>
      </c>
      <c r="N1712" t="s">
        <v>17</v>
      </c>
      <c r="O1712">
        <v>1222</v>
      </c>
      <c r="P1712">
        <v>79.150000000000006</v>
      </c>
      <c r="Q1712">
        <v>40.700000000000003</v>
      </c>
    </row>
    <row r="1713" spans="2:17" x14ac:dyDescent="0.25">
      <c r="B1713" t="s">
        <v>78</v>
      </c>
      <c r="C1713" t="s">
        <v>2961</v>
      </c>
      <c r="D1713" t="s">
        <v>2807</v>
      </c>
      <c r="E1713" t="s">
        <v>2808</v>
      </c>
      <c r="F1713">
        <v>3.5</v>
      </c>
      <c r="G1713">
        <v>3.35</v>
      </c>
      <c r="H1713">
        <v>3.65</v>
      </c>
      <c r="I1713">
        <v>3.35</v>
      </c>
      <c r="J1713" s="1">
        <v>3.65</v>
      </c>
      <c r="K1713">
        <v>6132.55</v>
      </c>
      <c r="L1713">
        <v>1768</v>
      </c>
      <c r="M1713" t="s">
        <v>78</v>
      </c>
      <c r="N1713" t="s">
        <v>17</v>
      </c>
      <c r="O1713">
        <v>12</v>
      </c>
      <c r="P1713">
        <v>18.350000000000001</v>
      </c>
      <c r="Q1713">
        <v>3.35</v>
      </c>
    </row>
    <row r="1714" spans="2:17" x14ac:dyDescent="0.25">
      <c r="B1714" t="s">
        <v>78</v>
      </c>
      <c r="C1714" t="s">
        <v>2961</v>
      </c>
      <c r="D1714" t="s">
        <v>3670</v>
      </c>
      <c r="E1714" t="s">
        <v>3671</v>
      </c>
      <c r="F1714">
        <v>1.4</v>
      </c>
      <c r="G1714">
        <v>1.4</v>
      </c>
      <c r="H1714">
        <v>1.4</v>
      </c>
      <c r="I1714">
        <v>1.35</v>
      </c>
      <c r="J1714" s="1">
        <v>1.4</v>
      </c>
      <c r="K1714">
        <v>20853.400000000001</v>
      </c>
      <c r="L1714">
        <v>15381</v>
      </c>
      <c r="M1714" t="s">
        <v>78</v>
      </c>
      <c r="N1714" t="s">
        <v>17</v>
      </c>
      <c r="O1714">
        <v>28</v>
      </c>
      <c r="P1714">
        <v>8.85</v>
      </c>
      <c r="Q1714">
        <v>1.35</v>
      </c>
    </row>
    <row r="1715" spans="2:17" x14ac:dyDescent="0.25">
      <c r="B1715" t="s">
        <v>78</v>
      </c>
      <c r="C1715" t="s">
        <v>2961</v>
      </c>
      <c r="D1715" t="s">
        <v>3557</v>
      </c>
      <c r="E1715" t="s">
        <v>3558</v>
      </c>
      <c r="F1715">
        <v>0.3</v>
      </c>
      <c r="G1715">
        <v>0.3</v>
      </c>
      <c r="H1715">
        <v>0.35</v>
      </c>
      <c r="I1715">
        <v>0.25</v>
      </c>
      <c r="J1715" s="1">
        <v>0.3</v>
      </c>
      <c r="K1715">
        <v>36892.35</v>
      </c>
      <c r="L1715">
        <v>124468</v>
      </c>
      <c r="M1715" t="s">
        <v>78</v>
      </c>
      <c r="N1715" t="s">
        <v>17</v>
      </c>
      <c r="O1715">
        <v>33</v>
      </c>
      <c r="P1715">
        <v>1.2</v>
      </c>
      <c r="Q1715">
        <v>0.25</v>
      </c>
    </row>
    <row r="1716" spans="2:17" x14ac:dyDescent="0.25">
      <c r="B1716" t="s">
        <v>78</v>
      </c>
      <c r="C1716" t="s">
        <v>2961</v>
      </c>
      <c r="D1716" t="s">
        <v>3561</v>
      </c>
      <c r="E1716" t="s">
        <v>3562</v>
      </c>
      <c r="F1716">
        <v>15.5</v>
      </c>
      <c r="G1716">
        <v>16.25</v>
      </c>
      <c r="H1716">
        <v>16.25</v>
      </c>
      <c r="I1716">
        <v>15.15</v>
      </c>
      <c r="J1716" s="1">
        <v>16.2</v>
      </c>
      <c r="K1716">
        <v>48228.5</v>
      </c>
      <c r="L1716">
        <v>3006</v>
      </c>
      <c r="M1716" t="s">
        <v>78</v>
      </c>
      <c r="N1716" t="s">
        <v>17</v>
      </c>
      <c r="O1716">
        <v>21</v>
      </c>
      <c r="P1716">
        <v>28.5</v>
      </c>
      <c r="Q1716">
        <v>12.5</v>
      </c>
    </row>
    <row r="1717" spans="2:17" x14ac:dyDescent="0.25">
      <c r="B1717" t="s">
        <v>78</v>
      </c>
      <c r="C1717" t="s">
        <v>2961</v>
      </c>
      <c r="D1717" t="s">
        <v>3567</v>
      </c>
      <c r="E1717" t="s">
        <v>3568</v>
      </c>
      <c r="F1717">
        <v>0.7</v>
      </c>
      <c r="G1717">
        <v>0.65</v>
      </c>
      <c r="H1717">
        <v>0.75</v>
      </c>
      <c r="I1717">
        <v>0.65</v>
      </c>
      <c r="J1717" s="1">
        <v>0.75</v>
      </c>
      <c r="K1717">
        <v>2253.1999999999998</v>
      </c>
      <c r="L1717">
        <v>3228</v>
      </c>
      <c r="M1717" t="s">
        <v>78</v>
      </c>
      <c r="N1717" t="s">
        <v>17</v>
      </c>
      <c r="O1717">
        <v>4</v>
      </c>
      <c r="P1717">
        <v>5.8</v>
      </c>
      <c r="Q1717">
        <v>0.65</v>
      </c>
    </row>
    <row r="1718" spans="2:17" x14ac:dyDescent="0.25">
      <c r="B1718" t="s">
        <v>78</v>
      </c>
      <c r="C1718" t="s">
        <v>2961</v>
      </c>
      <c r="D1718" t="s">
        <v>6580</v>
      </c>
      <c r="E1718" t="s">
        <v>6579</v>
      </c>
      <c r="F1718">
        <v>0.6</v>
      </c>
      <c r="G1718">
        <v>0.6</v>
      </c>
      <c r="H1718">
        <v>0.6</v>
      </c>
      <c r="I1718">
        <v>0.55000000000000004</v>
      </c>
      <c r="J1718" s="1">
        <v>0.55000000000000004</v>
      </c>
      <c r="K1718">
        <v>742.55</v>
      </c>
      <c r="L1718">
        <v>1241</v>
      </c>
      <c r="M1718" t="s">
        <v>78</v>
      </c>
      <c r="N1718" t="s">
        <v>17</v>
      </c>
      <c r="O1718">
        <v>4</v>
      </c>
      <c r="P1718">
        <v>1.4</v>
      </c>
      <c r="Q1718">
        <v>0.55000000000000004</v>
      </c>
    </row>
    <row r="1719" spans="2:17" x14ac:dyDescent="0.25">
      <c r="B1719" t="s">
        <v>78</v>
      </c>
      <c r="C1719" t="s">
        <v>2961</v>
      </c>
      <c r="D1719" t="s">
        <v>6578</v>
      </c>
      <c r="E1719" t="s">
        <v>6577</v>
      </c>
      <c r="F1719">
        <v>0.4</v>
      </c>
      <c r="G1719">
        <v>0.4</v>
      </c>
      <c r="H1719">
        <v>0.4</v>
      </c>
      <c r="I1719">
        <v>0.35</v>
      </c>
      <c r="J1719" s="1">
        <v>0.35</v>
      </c>
      <c r="K1719">
        <v>4382.1000000000004</v>
      </c>
      <c r="L1719">
        <v>11435</v>
      </c>
      <c r="M1719" t="s">
        <v>78</v>
      </c>
      <c r="N1719" t="s">
        <v>17</v>
      </c>
      <c r="O1719">
        <v>24</v>
      </c>
      <c r="P1719">
        <v>0.9</v>
      </c>
      <c r="Q1719">
        <v>0.35</v>
      </c>
    </row>
    <row r="1720" spans="2:17" x14ac:dyDescent="0.25">
      <c r="B1720" t="s">
        <v>78</v>
      </c>
      <c r="C1720" t="s">
        <v>2961</v>
      </c>
      <c r="D1720" t="s">
        <v>3672</v>
      </c>
      <c r="E1720" t="s">
        <v>3673</v>
      </c>
      <c r="F1720">
        <v>1.1000000000000001</v>
      </c>
      <c r="G1720">
        <v>1.1000000000000001</v>
      </c>
      <c r="H1720">
        <v>1.1000000000000001</v>
      </c>
      <c r="I1720">
        <v>1.05</v>
      </c>
      <c r="J1720" s="1">
        <v>1.05</v>
      </c>
      <c r="K1720">
        <v>46430</v>
      </c>
      <c r="L1720">
        <v>43950</v>
      </c>
      <c r="M1720" t="s">
        <v>78</v>
      </c>
      <c r="N1720" t="s">
        <v>17</v>
      </c>
      <c r="O1720">
        <v>25</v>
      </c>
      <c r="P1720">
        <v>14.2</v>
      </c>
      <c r="Q1720">
        <v>1</v>
      </c>
    </row>
    <row r="1721" spans="2:17" x14ac:dyDescent="0.25">
      <c r="B1721" t="s">
        <v>78</v>
      </c>
      <c r="C1721" t="s">
        <v>3579</v>
      </c>
      <c r="D1721" t="s">
        <v>3586</v>
      </c>
      <c r="E1721" t="s">
        <v>3587</v>
      </c>
      <c r="F1721">
        <v>25.85</v>
      </c>
      <c r="G1721">
        <v>25.1</v>
      </c>
      <c r="H1721">
        <v>26.95</v>
      </c>
      <c r="I1721">
        <v>24.6</v>
      </c>
      <c r="J1721" s="1">
        <v>26.95</v>
      </c>
      <c r="K1721">
        <v>12483.9</v>
      </c>
      <c r="L1721">
        <v>502</v>
      </c>
      <c r="M1721" t="s">
        <v>78</v>
      </c>
      <c r="N1721" t="s">
        <v>17</v>
      </c>
      <c r="O1721">
        <v>5</v>
      </c>
      <c r="P1721">
        <v>34.4</v>
      </c>
      <c r="Q1721">
        <v>19.3</v>
      </c>
    </row>
    <row r="1722" spans="2:17" x14ac:dyDescent="0.25">
      <c r="B1722" t="s">
        <v>78</v>
      </c>
      <c r="C1722" t="s">
        <v>3579</v>
      </c>
      <c r="D1722" t="s">
        <v>6256</v>
      </c>
      <c r="E1722" t="s">
        <v>6255</v>
      </c>
      <c r="F1722">
        <v>15.45</v>
      </c>
      <c r="G1722">
        <v>15</v>
      </c>
      <c r="H1722">
        <v>15</v>
      </c>
      <c r="I1722">
        <v>14.7</v>
      </c>
      <c r="J1722" s="1">
        <v>14.7</v>
      </c>
      <c r="K1722">
        <v>15715.15</v>
      </c>
      <c r="L1722">
        <v>1067</v>
      </c>
      <c r="M1722" t="s">
        <v>78</v>
      </c>
      <c r="N1722" t="s">
        <v>17</v>
      </c>
      <c r="O1722">
        <v>10</v>
      </c>
      <c r="P1722">
        <v>30.8</v>
      </c>
      <c r="Q1722">
        <v>11.35</v>
      </c>
    </row>
    <row r="1723" spans="2:17" x14ac:dyDescent="0.25">
      <c r="B1723" t="s">
        <v>78</v>
      </c>
      <c r="C1723" t="s">
        <v>3579</v>
      </c>
      <c r="D1723" t="s">
        <v>3600</v>
      </c>
      <c r="E1723" t="s">
        <v>3601</v>
      </c>
      <c r="F1723">
        <v>0.8</v>
      </c>
      <c r="G1723">
        <v>0.85</v>
      </c>
      <c r="H1723">
        <v>0.85</v>
      </c>
      <c r="I1723">
        <v>0.75</v>
      </c>
      <c r="J1723" s="1">
        <v>0.8</v>
      </c>
      <c r="K1723">
        <v>4065.5</v>
      </c>
      <c r="L1723">
        <v>5046</v>
      </c>
      <c r="M1723" t="s">
        <v>78</v>
      </c>
      <c r="N1723" t="s">
        <v>17</v>
      </c>
      <c r="O1723">
        <v>29</v>
      </c>
      <c r="P1723">
        <v>4.05</v>
      </c>
      <c r="Q1723">
        <v>0.7</v>
      </c>
    </row>
    <row r="1724" spans="2:17" x14ac:dyDescent="0.25">
      <c r="B1724" t="s">
        <v>78</v>
      </c>
      <c r="C1724" t="s">
        <v>3579</v>
      </c>
      <c r="D1724" t="s">
        <v>6576</v>
      </c>
      <c r="E1724" t="s">
        <v>6575</v>
      </c>
      <c r="F1724">
        <v>4.25</v>
      </c>
      <c r="G1724">
        <v>4.05</v>
      </c>
      <c r="H1724">
        <v>4.3499999999999996</v>
      </c>
      <c r="I1724">
        <v>4.05</v>
      </c>
      <c r="J1724" s="1">
        <v>4.3499999999999996</v>
      </c>
      <c r="K1724">
        <v>10626.65</v>
      </c>
      <c r="L1724">
        <v>2585</v>
      </c>
      <c r="M1724" t="s">
        <v>78</v>
      </c>
      <c r="N1724" t="s">
        <v>17</v>
      </c>
      <c r="O1724">
        <v>12</v>
      </c>
      <c r="P1724">
        <v>7.8</v>
      </c>
      <c r="Q1724">
        <v>4.05</v>
      </c>
    </row>
    <row r="1725" spans="2:17" x14ac:dyDescent="0.25">
      <c r="B1725" t="s">
        <v>78</v>
      </c>
      <c r="C1725" t="s">
        <v>3579</v>
      </c>
      <c r="D1725" t="s">
        <v>3606</v>
      </c>
      <c r="E1725" t="s">
        <v>3607</v>
      </c>
      <c r="F1725">
        <v>1.4</v>
      </c>
      <c r="G1725">
        <v>1.45</v>
      </c>
      <c r="H1725">
        <v>1.45</v>
      </c>
      <c r="I1725">
        <v>1.4</v>
      </c>
      <c r="J1725" s="1">
        <v>1.45</v>
      </c>
      <c r="K1725">
        <v>20992.45</v>
      </c>
      <c r="L1725">
        <v>14651</v>
      </c>
      <c r="M1725" t="s">
        <v>78</v>
      </c>
      <c r="N1725" t="s">
        <v>17</v>
      </c>
      <c r="O1725">
        <v>85</v>
      </c>
      <c r="P1725">
        <v>4.45</v>
      </c>
      <c r="Q1725">
        <v>1.3</v>
      </c>
    </row>
    <row r="1726" spans="2:17" x14ac:dyDescent="0.25">
      <c r="B1726" t="s">
        <v>78</v>
      </c>
      <c r="C1726" t="s">
        <v>3579</v>
      </c>
      <c r="D1726" t="s">
        <v>3136</v>
      </c>
      <c r="E1726" t="s">
        <v>3137</v>
      </c>
      <c r="F1726">
        <v>0.95</v>
      </c>
      <c r="G1726">
        <v>0.9</v>
      </c>
      <c r="H1726">
        <v>0.9</v>
      </c>
      <c r="I1726">
        <v>0.9</v>
      </c>
      <c r="J1726" s="1">
        <v>0.9</v>
      </c>
      <c r="K1726">
        <v>103.5</v>
      </c>
      <c r="L1726">
        <v>115</v>
      </c>
      <c r="M1726" t="s">
        <v>78</v>
      </c>
      <c r="N1726" t="s">
        <v>17</v>
      </c>
      <c r="O1726">
        <v>3</v>
      </c>
      <c r="P1726">
        <v>5.8</v>
      </c>
      <c r="Q1726">
        <v>0.65</v>
      </c>
    </row>
    <row r="1727" spans="2:17" x14ac:dyDescent="0.25">
      <c r="B1727" t="s">
        <v>78</v>
      </c>
      <c r="C1727" t="s">
        <v>3579</v>
      </c>
      <c r="D1727" t="s">
        <v>3612</v>
      </c>
      <c r="E1727" t="s">
        <v>3613</v>
      </c>
      <c r="F1727">
        <v>0.25</v>
      </c>
      <c r="G1727">
        <v>0.3</v>
      </c>
      <c r="H1727">
        <v>0.3</v>
      </c>
      <c r="I1727">
        <v>0.2</v>
      </c>
      <c r="J1727" s="1">
        <v>0.3</v>
      </c>
      <c r="K1727">
        <v>11882.25</v>
      </c>
      <c r="L1727">
        <v>44429</v>
      </c>
      <c r="M1727" t="s">
        <v>78</v>
      </c>
      <c r="N1727" t="s">
        <v>17</v>
      </c>
      <c r="O1727">
        <v>28</v>
      </c>
      <c r="P1727">
        <v>0.55000000000000004</v>
      </c>
      <c r="Q1727">
        <v>0.2</v>
      </c>
    </row>
    <row r="1728" spans="2:17" x14ac:dyDescent="0.25">
      <c r="B1728" t="s">
        <v>78</v>
      </c>
      <c r="C1728" t="s">
        <v>3579</v>
      </c>
      <c r="D1728" t="s">
        <v>3618</v>
      </c>
      <c r="E1728" t="s">
        <v>3619</v>
      </c>
      <c r="F1728">
        <v>14.8</v>
      </c>
      <c r="G1728">
        <v>15.05</v>
      </c>
      <c r="H1728">
        <v>15.05</v>
      </c>
      <c r="I1728">
        <v>14.3</v>
      </c>
      <c r="J1728" s="1">
        <v>14.4</v>
      </c>
      <c r="K1728">
        <v>93500.75</v>
      </c>
      <c r="L1728">
        <v>6284</v>
      </c>
      <c r="M1728" t="s">
        <v>78</v>
      </c>
      <c r="N1728" t="s">
        <v>17</v>
      </c>
      <c r="O1728">
        <v>36</v>
      </c>
      <c r="P1728">
        <v>25.75</v>
      </c>
      <c r="Q1728">
        <v>14.25</v>
      </c>
    </row>
    <row r="1729" spans="2:17" x14ac:dyDescent="0.25">
      <c r="B1729" t="s">
        <v>78</v>
      </c>
      <c r="C1729" t="s">
        <v>3579</v>
      </c>
      <c r="D1729" t="s">
        <v>3620</v>
      </c>
      <c r="E1729" t="s">
        <v>3621</v>
      </c>
      <c r="F1729">
        <v>5.25</v>
      </c>
      <c r="G1729">
        <v>5.25</v>
      </c>
      <c r="H1729">
        <v>5.25</v>
      </c>
      <c r="I1729">
        <v>5</v>
      </c>
      <c r="J1729" s="1">
        <v>5</v>
      </c>
      <c r="K1729">
        <v>29996.85</v>
      </c>
      <c r="L1729">
        <v>5927</v>
      </c>
      <c r="M1729" t="s">
        <v>78</v>
      </c>
      <c r="N1729" t="s">
        <v>17</v>
      </c>
      <c r="O1729">
        <v>21</v>
      </c>
      <c r="P1729">
        <v>9.35</v>
      </c>
      <c r="Q1729">
        <v>5</v>
      </c>
    </row>
    <row r="1730" spans="2:17" x14ac:dyDescent="0.25">
      <c r="B1730" t="s">
        <v>78</v>
      </c>
      <c r="C1730" t="s">
        <v>3579</v>
      </c>
      <c r="D1730" t="s">
        <v>3622</v>
      </c>
      <c r="E1730" t="s">
        <v>3623</v>
      </c>
      <c r="F1730">
        <v>2.75</v>
      </c>
      <c r="G1730">
        <v>2.85</v>
      </c>
      <c r="H1730">
        <v>2.85</v>
      </c>
      <c r="I1730">
        <v>2.65</v>
      </c>
      <c r="J1730" s="1">
        <v>2.8</v>
      </c>
      <c r="K1730">
        <v>37372.699999999997</v>
      </c>
      <c r="L1730">
        <v>13410</v>
      </c>
      <c r="M1730" t="s">
        <v>78</v>
      </c>
      <c r="N1730" t="s">
        <v>17</v>
      </c>
      <c r="O1730">
        <v>42</v>
      </c>
      <c r="P1730">
        <v>5.9</v>
      </c>
      <c r="Q1730">
        <v>2.6</v>
      </c>
    </row>
    <row r="1731" spans="2:17" x14ac:dyDescent="0.25">
      <c r="B1731" t="s">
        <v>78</v>
      </c>
      <c r="C1731" t="s">
        <v>3579</v>
      </c>
      <c r="D1731" t="s">
        <v>3624</v>
      </c>
      <c r="E1731" t="s">
        <v>3625</v>
      </c>
      <c r="F1731">
        <v>0.95</v>
      </c>
      <c r="G1731">
        <v>1</v>
      </c>
      <c r="H1731">
        <v>1</v>
      </c>
      <c r="I1731">
        <v>0.9</v>
      </c>
      <c r="J1731" s="1">
        <v>0.9</v>
      </c>
      <c r="K1731">
        <v>185553.8</v>
      </c>
      <c r="L1731">
        <v>201392</v>
      </c>
      <c r="M1731" t="s">
        <v>78</v>
      </c>
      <c r="N1731" t="s">
        <v>17</v>
      </c>
      <c r="O1731">
        <v>60</v>
      </c>
      <c r="P1731">
        <v>1.05</v>
      </c>
      <c r="Q1731">
        <v>0.85</v>
      </c>
    </row>
    <row r="1732" spans="2:17" x14ac:dyDescent="0.25">
      <c r="B1732" t="s">
        <v>78</v>
      </c>
      <c r="C1732" t="s">
        <v>3579</v>
      </c>
      <c r="D1732" t="s">
        <v>6574</v>
      </c>
      <c r="E1732" t="s">
        <v>6573</v>
      </c>
      <c r="F1732">
        <v>0.6</v>
      </c>
      <c r="G1732">
        <v>0.65</v>
      </c>
      <c r="H1732">
        <v>0.65</v>
      </c>
      <c r="I1732">
        <v>0.6</v>
      </c>
      <c r="J1732" s="1">
        <v>0.6</v>
      </c>
      <c r="K1732">
        <v>60.9</v>
      </c>
      <c r="L1732">
        <v>100</v>
      </c>
      <c r="M1732" t="s">
        <v>78</v>
      </c>
      <c r="N1732" t="s">
        <v>17</v>
      </c>
      <c r="O1732">
        <v>2</v>
      </c>
      <c r="P1732">
        <v>0.65</v>
      </c>
      <c r="Q1732">
        <v>0.6</v>
      </c>
    </row>
    <row r="1733" spans="2:17" x14ac:dyDescent="0.25">
      <c r="B1733" t="s">
        <v>78</v>
      </c>
      <c r="C1733" t="s">
        <v>3579</v>
      </c>
      <c r="D1733" t="s">
        <v>3626</v>
      </c>
      <c r="E1733" t="s">
        <v>3627</v>
      </c>
      <c r="F1733">
        <v>2.5499999999999998</v>
      </c>
      <c r="G1733">
        <v>2.4500000000000002</v>
      </c>
      <c r="H1733">
        <v>2.65</v>
      </c>
      <c r="I1733">
        <v>2.4500000000000002</v>
      </c>
      <c r="J1733" s="1">
        <v>2.65</v>
      </c>
      <c r="K1733">
        <v>4875.7</v>
      </c>
      <c r="L1733">
        <v>1990</v>
      </c>
      <c r="M1733" t="s">
        <v>78</v>
      </c>
      <c r="N1733" t="s">
        <v>17</v>
      </c>
      <c r="O1733">
        <v>3</v>
      </c>
      <c r="P1733">
        <v>11</v>
      </c>
      <c r="Q1733">
        <v>2.35</v>
      </c>
    </row>
    <row r="1734" spans="2:17" x14ac:dyDescent="0.25">
      <c r="B1734" t="s">
        <v>78</v>
      </c>
      <c r="C1734" t="s">
        <v>3579</v>
      </c>
      <c r="D1734" t="s">
        <v>6572</v>
      </c>
      <c r="E1734" t="s">
        <v>6571</v>
      </c>
      <c r="F1734">
        <v>1.5</v>
      </c>
      <c r="G1734">
        <v>1.55</v>
      </c>
      <c r="H1734">
        <v>1.55</v>
      </c>
      <c r="I1734">
        <v>1.55</v>
      </c>
      <c r="J1734" s="1">
        <v>1.55</v>
      </c>
      <c r="K1734">
        <v>15695.3</v>
      </c>
      <c r="L1734">
        <v>10126</v>
      </c>
      <c r="M1734" t="s">
        <v>78</v>
      </c>
      <c r="N1734" t="s">
        <v>17</v>
      </c>
      <c r="O1734">
        <v>21</v>
      </c>
      <c r="P1734">
        <v>13.1</v>
      </c>
      <c r="Q1734">
        <v>0.85</v>
      </c>
    </row>
    <row r="1735" spans="2:17" x14ac:dyDescent="0.25">
      <c r="B1735" t="s">
        <v>78</v>
      </c>
      <c r="C1735" t="s">
        <v>3579</v>
      </c>
      <c r="D1735" t="s">
        <v>3632</v>
      </c>
      <c r="E1735" t="s">
        <v>3633</v>
      </c>
      <c r="F1735">
        <v>5.8</v>
      </c>
      <c r="G1735">
        <v>5.6</v>
      </c>
      <c r="H1735">
        <v>5.6</v>
      </c>
      <c r="I1735">
        <v>5.6</v>
      </c>
      <c r="J1735" s="1">
        <v>5.6</v>
      </c>
      <c r="K1735">
        <v>554.4</v>
      </c>
      <c r="L1735">
        <v>99</v>
      </c>
      <c r="M1735" t="s">
        <v>78</v>
      </c>
      <c r="N1735" t="s">
        <v>17</v>
      </c>
      <c r="O1735">
        <v>1</v>
      </c>
      <c r="P1735">
        <v>21.7</v>
      </c>
      <c r="Q1735">
        <v>5.6</v>
      </c>
    </row>
    <row r="1736" spans="2:17" x14ac:dyDescent="0.25">
      <c r="B1736" t="s">
        <v>78</v>
      </c>
      <c r="C1736" t="s">
        <v>3579</v>
      </c>
      <c r="D1736" t="s">
        <v>6570</v>
      </c>
      <c r="E1736" t="s">
        <v>6569</v>
      </c>
      <c r="F1736">
        <v>6.65</v>
      </c>
      <c r="G1736">
        <v>6.35</v>
      </c>
      <c r="H1736">
        <v>6.75</v>
      </c>
      <c r="I1736">
        <v>6.35</v>
      </c>
      <c r="J1736" s="1">
        <v>6.35</v>
      </c>
      <c r="K1736">
        <v>228900.2</v>
      </c>
      <c r="L1736">
        <v>35640</v>
      </c>
      <c r="M1736" t="s">
        <v>78</v>
      </c>
      <c r="N1736" t="s">
        <v>17</v>
      </c>
      <c r="O1736">
        <v>116</v>
      </c>
      <c r="P1736">
        <v>8.15</v>
      </c>
      <c r="Q1736">
        <v>6.35</v>
      </c>
    </row>
    <row r="1737" spans="2:17" x14ac:dyDescent="0.25">
      <c r="B1737" t="s">
        <v>78</v>
      </c>
      <c r="C1737" t="s">
        <v>3579</v>
      </c>
      <c r="D1737" t="s">
        <v>6568</v>
      </c>
      <c r="E1737" t="s">
        <v>6567</v>
      </c>
      <c r="F1737">
        <v>0.35</v>
      </c>
      <c r="G1737">
        <v>0.35</v>
      </c>
      <c r="H1737">
        <v>0.35</v>
      </c>
      <c r="I1737">
        <v>0.3</v>
      </c>
      <c r="J1737" s="1">
        <v>0.35</v>
      </c>
      <c r="K1737">
        <v>2763.75</v>
      </c>
      <c r="L1737">
        <v>8685</v>
      </c>
      <c r="M1737" t="s">
        <v>78</v>
      </c>
      <c r="N1737" t="s">
        <v>17</v>
      </c>
      <c r="O1737">
        <v>13</v>
      </c>
      <c r="P1737">
        <v>0.45</v>
      </c>
      <c r="Q1737">
        <v>0.3</v>
      </c>
    </row>
    <row r="1738" spans="2:17" x14ac:dyDescent="0.25">
      <c r="B1738" t="s">
        <v>78</v>
      </c>
      <c r="C1738" t="s">
        <v>3579</v>
      </c>
      <c r="D1738" t="s">
        <v>6566</v>
      </c>
      <c r="E1738" t="s">
        <v>3346</v>
      </c>
      <c r="F1738">
        <v>6.6</v>
      </c>
      <c r="G1738">
        <v>6.3</v>
      </c>
      <c r="H1738">
        <v>6.3</v>
      </c>
      <c r="I1738">
        <v>6.3</v>
      </c>
      <c r="J1738" s="1">
        <v>6.3</v>
      </c>
      <c r="K1738">
        <v>7572.6</v>
      </c>
      <c r="L1738">
        <v>1202</v>
      </c>
      <c r="M1738" t="s">
        <v>78</v>
      </c>
      <c r="N1738" t="s">
        <v>17</v>
      </c>
      <c r="O1738">
        <v>13</v>
      </c>
      <c r="P1738">
        <v>8.6999999999999993</v>
      </c>
      <c r="Q1738">
        <v>3</v>
      </c>
    </row>
    <row r="1739" spans="2:17" x14ac:dyDescent="0.25">
      <c r="B1739" t="s">
        <v>78</v>
      </c>
      <c r="C1739" t="s">
        <v>3579</v>
      </c>
      <c r="D1739" t="s">
        <v>3648</v>
      </c>
      <c r="E1739" t="s">
        <v>3649</v>
      </c>
      <c r="F1739">
        <v>0.05</v>
      </c>
      <c r="G1739">
        <v>0.05</v>
      </c>
      <c r="H1739">
        <v>0.1</v>
      </c>
      <c r="I1739">
        <v>0.05</v>
      </c>
      <c r="J1739" s="1">
        <v>0.05</v>
      </c>
      <c r="K1739">
        <v>36477.65</v>
      </c>
      <c r="L1739">
        <v>729549</v>
      </c>
      <c r="M1739" t="s">
        <v>78</v>
      </c>
      <c r="N1739" t="s">
        <v>17</v>
      </c>
      <c r="O1739">
        <v>157</v>
      </c>
      <c r="P1739">
        <v>0.25</v>
      </c>
      <c r="Q1739">
        <v>0.05</v>
      </c>
    </row>
    <row r="1740" spans="2:17" x14ac:dyDescent="0.25">
      <c r="B1740" t="s">
        <v>78</v>
      </c>
      <c r="C1740" t="s">
        <v>3579</v>
      </c>
      <c r="D1740" t="s">
        <v>2183</v>
      </c>
      <c r="E1740" t="s">
        <v>2184</v>
      </c>
      <c r="F1740">
        <v>39.799999999999997</v>
      </c>
      <c r="G1740">
        <v>39</v>
      </c>
      <c r="H1740">
        <v>39.75</v>
      </c>
      <c r="I1740">
        <v>38</v>
      </c>
      <c r="J1740" s="1">
        <v>39.75</v>
      </c>
      <c r="K1740">
        <v>11823.75</v>
      </c>
      <c r="L1740">
        <v>304</v>
      </c>
      <c r="M1740" t="s">
        <v>78</v>
      </c>
      <c r="N1740" t="s">
        <v>17</v>
      </c>
      <c r="O1740">
        <v>4</v>
      </c>
      <c r="P1740">
        <v>68.150000000000006</v>
      </c>
      <c r="Q1740">
        <v>24.45</v>
      </c>
    </row>
    <row r="1741" spans="2:17" x14ac:dyDescent="0.25">
      <c r="B1741" t="s">
        <v>78</v>
      </c>
      <c r="C1741" t="s">
        <v>3579</v>
      </c>
      <c r="D1741" t="s">
        <v>6565</v>
      </c>
      <c r="E1741" t="s">
        <v>6564</v>
      </c>
      <c r="F1741">
        <v>0.25</v>
      </c>
      <c r="G1741">
        <v>0.2</v>
      </c>
      <c r="H1741">
        <v>0.25</v>
      </c>
      <c r="I1741">
        <v>0.2</v>
      </c>
      <c r="J1741" s="1">
        <v>0.25</v>
      </c>
      <c r="K1741">
        <v>63039.6</v>
      </c>
      <c r="L1741">
        <v>312518</v>
      </c>
      <c r="M1741" t="s">
        <v>78</v>
      </c>
      <c r="N1741" t="s">
        <v>17</v>
      </c>
      <c r="O1741">
        <v>83</v>
      </c>
      <c r="P1741">
        <v>0.5</v>
      </c>
      <c r="Q1741">
        <v>0.15</v>
      </c>
    </row>
    <row r="1742" spans="2:17" x14ac:dyDescent="0.25">
      <c r="B1742" t="s">
        <v>78</v>
      </c>
      <c r="C1742" t="s">
        <v>3579</v>
      </c>
      <c r="D1742" t="s">
        <v>6563</v>
      </c>
      <c r="E1742" t="s">
        <v>6562</v>
      </c>
      <c r="F1742">
        <v>6.2</v>
      </c>
      <c r="G1742">
        <v>6.45</v>
      </c>
      <c r="H1742">
        <v>6.5</v>
      </c>
      <c r="I1742">
        <v>6.1</v>
      </c>
      <c r="J1742" s="1">
        <v>6.45</v>
      </c>
      <c r="K1742">
        <v>2532.9</v>
      </c>
      <c r="L1742">
        <v>397</v>
      </c>
      <c r="M1742" t="s">
        <v>78</v>
      </c>
      <c r="N1742" t="s">
        <v>17</v>
      </c>
      <c r="O1742">
        <v>13</v>
      </c>
      <c r="P1742">
        <v>12.2</v>
      </c>
      <c r="Q1742">
        <v>5.75</v>
      </c>
    </row>
    <row r="1743" spans="2:17" x14ac:dyDescent="0.25">
      <c r="B1743" t="s">
        <v>78</v>
      </c>
      <c r="C1743" t="s">
        <v>3579</v>
      </c>
      <c r="D1743" t="s">
        <v>6561</v>
      </c>
      <c r="E1743" t="s">
        <v>6560</v>
      </c>
      <c r="F1743">
        <v>0.5</v>
      </c>
      <c r="G1743">
        <v>0.45</v>
      </c>
      <c r="H1743">
        <v>0.45</v>
      </c>
      <c r="I1743">
        <v>0.45</v>
      </c>
      <c r="J1743" s="1">
        <v>0.45</v>
      </c>
      <c r="K1743">
        <v>2950.65</v>
      </c>
      <c r="L1743">
        <v>6557</v>
      </c>
      <c r="M1743" t="s">
        <v>78</v>
      </c>
      <c r="N1743" t="s">
        <v>17</v>
      </c>
      <c r="O1743">
        <v>5</v>
      </c>
      <c r="P1743">
        <v>3.15</v>
      </c>
      <c r="Q1743">
        <v>0.3</v>
      </c>
    </row>
    <row r="1744" spans="2:17" x14ac:dyDescent="0.25">
      <c r="B1744" t="s">
        <v>78</v>
      </c>
      <c r="C1744" t="s">
        <v>3579</v>
      </c>
      <c r="D1744" t="s">
        <v>6559</v>
      </c>
      <c r="E1744" t="s">
        <v>6558</v>
      </c>
      <c r="F1744">
        <v>1.7</v>
      </c>
      <c r="G1744">
        <v>1.65</v>
      </c>
      <c r="H1744">
        <v>1.75</v>
      </c>
      <c r="I1744">
        <v>1.65</v>
      </c>
      <c r="J1744" s="1">
        <v>1.65</v>
      </c>
      <c r="K1744">
        <v>122869.35</v>
      </c>
      <c r="L1744">
        <v>73487</v>
      </c>
      <c r="M1744" t="s">
        <v>78</v>
      </c>
      <c r="N1744" t="s">
        <v>17</v>
      </c>
      <c r="O1744">
        <v>78</v>
      </c>
      <c r="P1744">
        <v>7.55</v>
      </c>
      <c r="Q1744">
        <v>1.4</v>
      </c>
    </row>
    <row r="1745" spans="2:17" x14ac:dyDescent="0.25">
      <c r="B1745" t="s">
        <v>78</v>
      </c>
      <c r="C1745" t="s">
        <v>3674</v>
      </c>
      <c r="D1745" t="s">
        <v>308</v>
      </c>
      <c r="E1745" t="s">
        <v>309</v>
      </c>
      <c r="F1745">
        <v>24.85</v>
      </c>
      <c r="G1745">
        <v>23.65</v>
      </c>
      <c r="H1745">
        <v>25</v>
      </c>
      <c r="I1745">
        <v>23.65</v>
      </c>
      <c r="J1745" s="1">
        <v>24.45</v>
      </c>
      <c r="K1745">
        <v>10111400</v>
      </c>
      <c r="L1745">
        <v>424000</v>
      </c>
      <c r="M1745" t="s">
        <v>78</v>
      </c>
      <c r="N1745" t="s">
        <v>17</v>
      </c>
      <c r="O1745">
        <v>97</v>
      </c>
      <c r="P1745">
        <v>29.5</v>
      </c>
      <c r="Q1745">
        <v>23.65</v>
      </c>
    </row>
    <row r="1746" spans="2:17" x14ac:dyDescent="0.25">
      <c r="B1746" t="s">
        <v>17</v>
      </c>
      <c r="C1746" t="s">
        <v>3680</v>
      </c>
      <c r="D1746" t="s">
        <v>17</v>
      </c>
      <c r="E1746" t="s">
        <v>17</v>
      </c>
      <c r="F1746" t="s">
        <v>17</v>
      </c>
      <c r="G1746" t="s">
        <v>17</v>
      </c>
      <c r="H1746" t="s">
        <v>17</v>
      </c>
      <c r="I1746" t="s">
        <v>17</v>
      </c>
      <c r="J1746" s="1" t="s">
        <v>17</v>
      </c>
      <c r="K1746" t="s">
        <v>17</v>
      </c>
      <c r="L1746" t="s">
        <v>17</v>
      </c>
      <c r="M1746" t="s">
        <v>78</v>
      </c>
      <c r="N1746" t="s">
        <v>17</v>
      </c>
      <c r="O1746" t="s">
        <v>17</v>
      </c>
      <c r="P1746" t="s">
        <v>17</v>
      </c>
      <c r="Q1746" t="s">
        <v>17</v>
      </c>
    </row>
    <row r="1747" spans="2:17" x14ac:dyDescent="0.25">
      <c r="B1747" t="s">
        <v>17</v>
      </c>
      <c r="C1747" t="s">
        <v>3680</v>
      </c>
      <c r="D1747" t="s">
        <v>17</v>
      </c>
      <c r="E1747" t="s">
        <v>3681</v>
      </c>
      <c r="F1747" t="s">
        <v>17</v>
      </c>
      <c r="G1747" t="s">
        <v>17</v>
      </c>
      <c r="H1747" t="s">
        <v>17</v>
      </c>
      <c r="I1747" t="s">
        <v>17</v>
      </c>
      <c r="J1747" s="1" t="s">
        <v>17</v>
      </c>
      <c r="K1747" t="s">
        <v>17</v>
      </c>
      <c r="L1747" t="s">
        <v>17</v>
      </c>
      <c r="M1747" t="s">
        <v>78</v>
      </c>
      <c r="N1747" t="s">
        <v>17</v>
      </c>
      <c r="O1747" t="s">
        <v>17</v>
      </c>
      <c r="P1747" t="s">
        <v>17</v>
      </c>
      <c r="Q1747" t="s">
        <v>17</v>
      </c>
    </row>
    <row r="1748" spans="2:17" x14ac:dyDescent="0.25">
      <c r="B1748" t="s">
        <v>78</v>
      </c>
      <c r="C1748" t="s">
        <v>6557</v>
      </c>
      <c r="D1748" t="s">
        <v>6556</v>
      </c>
      <c r="E1748" t="s">
        <v>6555</v>
      </c>
      <c r="F1748">
        <v>56.05</v>
      </c>
      <c r="G1748">
        <v>58</v>
      </c>
      <c r="H1748">
        <v>58</v>
      </c>
      <c r="I1748">
        <v>56.15</v>
      </c>
      <c r="J1748" s="1">
        <v>57</v>
      </c>
      <c r="K1748">
        <v>276994.3</v>
      </c>
      <c r="L1748">
        <v>4873</v>
      </c>
      <c r="M1748" t="s">
        <v>78</v>
      </c>
      <c r="N1748" t="s">
        <v>17</v>
      </c>
      <c r="O1748">
        <v>46</v>
      </c>
      <c r="P1748">
        <v>62.5</v>
      </c>
      <c r="Q1748">
        <v>41.35</v>
      </c>
    </row>
    <row r="1749" spans="2:17" x14ac:dyDescent="0.25">
      <c r="B1749" t="s">
        <v>78</v>
      </c>
      <c r="C1749" t="s">
        <v>3682</v>
      </c>
      <c r="D1749" t="s">
        <v>3685</v>
      </c>
      <c r="E1749" t="s">
        <v>3686</v>
      </c>
      <c r="F1749">
        <v>3295.11</v>
      </c>
      <c r="G1749">
        <v>3293</v>
      </c>
      <c r="H1749">
        <v>3349.9</v>
      </c>
      <c r="I1749">
        <v>3293</v>
      </c>
      <c r="J1749" s="1">
        <v>3334.85</v>
      </c>
      <c r="K1749">
        <v>2872405.5</v>
      </c>
      <c r="L1749">
        <v>863</v>
      </c>
      <c r="M1749" t="s">
        <v>78</v>
      </c>
      <c r="N1749" t="s">
        <v>17</v>
      </c>
      <c r="O1749">
        <v>59</v>
      </c>
      <c r="P1749">
        <v>3349.9</v>
      </c>
      <c r="Q1749">
        <v>2611.25</v>
      </c>
    </row>
    <row r="1750" spans="2:17" x14ac:dyDescent="0.25">
      <c r="B1750" t="s">
        <v>78</v>
      </c>
      <c r="C1750" t="s">
        <v>3682</v>
      </c>
      <c r="D1750" t="s">
        <v>3695</v>
      </c>
      <c r="E1750" t="s">
        <v>3696</v>
      </c>
      <c r="F1750">
        <v>3200</v>
      </c>
      <c r="G1750">
        <v>3250</v>
      </c>
      <c r="H1750">
        <v>3250</v>
      </c>
      <c r="I1750">
        <v>3250</v>
      </c>
      <c r="J1750" s="1">
        <v>3250</v>
      </c>
      <c r="K1750">
        <v>9750</v>
      </c>
      <c r="L1750">
        <v>3</v>
      </c>
      <c r="M1750" t="s">
        <v>78</v>
      </c>
      <c r="N1750" t="s">
        <v>17</v>
      </c>
      <c r="O1750">
        <v>1</v>
      </c>
      <c r="P1750">
        <v>3250</v>
      </c>
      <c r="Q1750">
        <v>2525</v>
      </c>
    </row>
    <row r="1751" spans="2:17" x14ac:dyDescent="0.25">
      <c r="B1751" t="s">
        <v>78</v>
      </c>
      <c r="C1751" t="s">
        <v>3682</v>
      </c>
      <c r="D1751" t="s">
        <v>4909</v>
      </c>
      <c r="E1751" t="s">
        <v>4908</v>
      </c>
      <c r="F1751">
        <v>3150</v>
      </c>
      <c r="G1751">
        <v>3269.99</v>
      </c>
      <c r="H1751">
        <v>3269.99</v>
      </c>
      <c r="I1751">
        <v>3269.99</v>
      </c>
      <c r="J1751" s="1">
        <v>3269.99</v>
      </c>
      <c r="K1751">
        <v>19619.939999999999</v>
      </c>
      <c r="L1751">
        <v>6</v>
      </c>
      <c r="M1751" t="s">
        <v>78</v>
      </c>
      <c r="N1751" t="s">
        <v>17</v>
      </c>
      <c r="O1751">
        <v>1</v>
      </c>
      <c r="P1751">
        <v>3269.99</v>
      </c>
      <c r="Q1751">
        <v>2515</v>
      </c>
    </row>
    <row r="1752" spans="2:17" x14ac:dyDescent="0.25">
      <c r="B1752" t="s">
        <v>78</v>
      </c>
      <c r="C1752" t="s">
        <v>3682</v>
      </c>
      <c r="D1752" t="s">
        <v>3697</v>
      </c>
      <c r="E1752" t="s">
        <v>3698</v>
      </c>
      <c r="F1752">
        <v>3190</v>
      </c>
      <c r="G1752">
        <v>3180</v>
      </c>
      <c r="H1752">
        <v>3185</v>
      </c>
      <c r="I1752">
        <v>3180</v>
      </c>
      <c r="J1752" s="1">
        <v>3185</v>
      </c>
      <c r="K1752">
        <v>108280</v>
      </c>
      <c r="L1752">
        <v>34</v>
      </c>
      <c r="M1752" t="s">
        <v>78</v>
      </c>
      <c r="N1752" t="s">
        <v>17</v>
      </c>
      <c r="O1752">
        <v>4</v>
      </c>
      <c r="P1752">
        <v>3450</v>
      </c>
      <c r="Q1752">
        <v>2711</v>
      </c>
    </row>
    <row r="1753" spans="2:17" x14ac:dyDescent="0.25">
      <c r="B1753" t="s">
        <v>78</v>
      </c>
      <c r="C1753" t="s">
        <v>3682</v>
      </c>
      <c r="D1753" t="s">
        <v>3699</v>
      </c>
      <c r="E1753" t="s">
        <v>3700</v>
      </c>
      <c r="F1753">
        <v>3325</v>
      </c>
      <c r="G1753">
        <v>3300</v>
      </c>
      <c r="H1753">
        <v>3340</v>
      </c>
      <c r="I1753">
        <v>3300</v>
      </c>
      <c r="J1753" s="1">
        <v>3335.33</v>
      </c>
      <c r="K1753">
        <v>16606</v>
      </c>
      <c r="L1753">
        <v>5</v>
      </c>
      <c r="M1753" t="s">
        <v>78</v>
      </c>
      <c r="N1753" t="s">
        <v>17</v>
      </c>
      <c r="O1753">
        <v>3</v>
      </c>
      <c r="P1753">
        <v>3340</v>
      </c>
      <c r="Q1753">
        <v>2600</v>
      </c>
    </row>
    <row r="1754" spans="2:17" x14ac:dyDescent="0.25">
      <c r="B1754" t="s">
        <v>78</v>
      </c>
      <c r="C1754" t="s">
        <v>3682</v>
      </c>
      <c r="D1754" t="s">
        <v>3707</v>
      </c>
      <c r="E1754" t="s">
        <v>3708</v>
      </c>
      <c r="F1754">
        <v>3240</v>
      </c>
      <c r="G1754">
        <v>3240</v>
      </c>
      <c r="H1754">
        <v>3250</v>
      </c>
      <c r="I1754">
        <v>3200</v>
      </c>
      <c r="J1754" s="1">
        <v>3200</v>
      </c>
      <c r="K1754">
        <v>90220</v>
      </c>
      <c r="L1754">
        <v>28</v>
      </c>
      <c r="M1754" t="s">
        <v>78</v>
      </c>
      <c r="N1754" t="s">
        <v>17</v>
      </c>
      <c r="O1754">
        <v>4</v>
      </c>
      <c r="P1754">
        <v>3250</v>
      </c>
      <c r="Q1754">
        <v>2551.04</v>
      </c>
    </row>
    <row r="1755" spans="2:17" x14ac:dyDescent="0.25">
      <c r="B1755" t="s">
        <v>78</v>
      </c>
      <c r="C1755" t="s">
        <v>3682</v>
      </c>
      <c r="D1755" t="s">
        <v>4901</v>
      </c>
      <c r="E1755" t="s">
        <v>4879</v>
      </c>
      <c r="F1755">
        <v>3268</v>
      </c>
      <c r="G1755">
        <v>3280</v>
      </c>
      <c r="H1755">
        <v>3280</v>
      </c>
      <c r="I1755">
        <v>3280</v>
      </c>
      <c r="J1755" s="1">
        <v>3280</v>
      </c>
      <c r="K1755">
        <v>6560</v>
      </c>
      <c r="L1755">
        <v>2</v>
      </c>
      <c r="M1755" t="s">
        <v>78</v>
      </c>
      <c r="N1755" t="s">
        <v>17</v>
      </c>
      <c r="O1755">
        <v>1</v>
      </c>
      <c r="P1755">
        <v>3300</v>
      </c>
      <c r="Q1755">
        <v>2751</v>
      </c>
    </row>
    <row r="1756" spans="2:17" x14ac:dyDescent="0.25">
      <c r="B1756" t="s">
        <v>78</v>
      </c>
      <c r="C1756" t="s">
        <v>3682</v>
      </c>
      <c r="D1756" t="s">
        <v>3715</v>
      </c>
      <c r="E1756" t="s">
        <v>3716</v>
      </c>
      <c r="F1756">
        <v>3260</v>
      </c>
      <c r="G1756">
        <v>3289</v>
      </c>
      <c r="H1756">
        <v>3290</v>
      </c>
      <c r="I1756">
        <v>3280</v>
      </c>
      <c r="J1756" s="1">
        <v>3281</v>
      </c>
      <c r="K1756">
        <v>400887</v>
      </c>
      <c r="L1756">
        <v>122</v>
      </c>
      <c r="M1756" t="s">
        <v>78</v>
      </c>
      <c r="N1756" t="s">
        <v>17</v>
      </c>
      <c r="O1756">
        <v>10</v>
      </c>
      <c r="P1756">
        <v>3290</v>
      </c>
      <c r="Q1756">
        <v>2556</v>
      </c>
    </row>
    <row r="1757" spans="2:17" x14ac:dyDescent="0.25">
      <c r="B1757" t="s">
        <v>78</v>
      </c>
      <c r="C1757" t="s">
        <v>3682</v>
      </c>
      <c r="D1757" t="s">
        <v>3721</v>
      </c>
      <c r="E1757" t="s">
        <v>3722</v>
      </c>
      <c r="F1757">
        <v>3150.01</v>
      </c>
      <c r="G1757">
        <v>3166</v>
      </c>
      <c r="H1757">
        <v>3249</v>
      </c>
      <c r="I1757">
        <v>3162</v>
      </c>
      <c r="J1757" s="1">
        <v>3249</v>
      </c>
      <c r="K1757">
        <v>199516.25</v>
      </c>
      <c r="L1757">
        <v>63</v>
      </c>
      <c r="M1757" t="s">
        <v>78</v>
      </c>
      <c r="N1757" t="s">
        <v>17</v>
      </c>
      <c r="O1757">
        <v>6</v>
      </c>
      <c r="P1757">
        <v>3465</v>
      </c>
      <c r="Q1757">
        <v>2657.95</v>
      </c>
    </row>
    <row r="1758" spans="2:17" x14ac:dyDescent="0.25">
      <c r="B1758" t="s">
        <v>78</v>
      </c>
      <c r="C1758" t="s">
        <v>3682</v>
      </c>
      <c r="D1758" t="s">
        <v>3727</v>
      </c>
      <c r="E1758" t="s">
        <v>3728</v>
      </c>
      <c r="F1758">
        <v>3285</v>
      </c>
      <c r="G1758">
        <v>3285.1</v>
      </c>
      <c r="H1758">
        <v>3330</v>
      </c>
      <c r="I1758">
        <v>3285</v>
      </c>
      <c r="J1758" s="1">
        <v>3330</v>
      </c>
      <c r="K1758">
        <v>2020365.5</v>
      </c>
      <c r="L1758">
        <v>612</v>
      </c>
      <c r="M1758" t="s">
        <v>78</v>
      </c>
      <c r="N1758" t="s">
        <v>17</v>
      </c>
      <c r="O1758">
        <v>12</v>
      </c>
      <c r="P1758">
        <v>3350</v>
      </c>
      <c r="Q1758">
        <v>2616.31</v>
      </c>
    </row>
    <row r="1759" spans="2:17" x14ac:dyDescent="0.25">
      <c r="B1759" t="s">
        <v>78</v>
      </c>
      <c r="C1759" t="s">
        <v>3682</v>
      </c>
      <c r="D1759" t="s">
        <v>3729</v>
      </c>
      <c r="E1759" t="s">
        <v>3730</v>
      </c>
      <c r="F1759">
        <v>3250</v>
      </c>
      <c r="G1759">
        <v>3259</v>
      </c>
      <c r="H1759">
        <v>3290</v>
      </c>
      <c r="I1759">
        <v>3259</v>
      </c>
      <c r="J1759" s="1">
        <v>3285</v>
      </c>
      <c r="K1759">
        <v>979474</v>
      </c>
      <c r="L1759">
        <v>299</v>
      </c>
      <c r="M1759" t="s">
        <v>78</v>
      </c>
      <c r="N1759" t="s">
        <v>17</v>
      </c>
      <c r="O1759">
        <v>15</v>
      </c>
      <c r="P1759">
        <v>3300</v>
      </c>
      <c r="Q1759">
        <v>2605.04</v>
      </c>
    </row>
    <row r="1760" spans="2:17" x14ac:dyDescent="0.25">
      <c r="B1760" t="s">
        <v>78</v>
      </c>
      <c r="C1760" t="s">
        <v>3682</v>
      </c>
      <c r="D1760" t="s">
        <v>3733</v>
      </c>
      <c r="E1760" t="s">
        <v>3734</v>
      </c>
      <c r="F1760">
        <v>3248</v>
      </c>
      <c r="G1760">
        <v>3250.2</v>
      </c>
      <c r="H1760">
        <v>3339</v>
      </c>
      <c r="I1760">
        <v>3250.2</v>
      </c>
      <c r="J1760" s="1">
        <v>3339</v>
      </c>
      <c r="K1760">
        <v>2997078.93</v>
      </c>
      <c r="L1760">
        <v>908</v>
      </c>
      <c r="M1760" t="s">
        <v>78</v>
      </c>
      <c r="N1760" t="s">
        <v>17</v>
      </c>
      <c r="O1760">
        <v>52</v>
      </c>
      <c r="P1760">
        <v>3339</v>
      </c>
      <c r="Q1760">
        <v>2552.15</v>
      </c>
    </row>
    <row r="1761" spans="2:17" x14ac:dyDescent="0.25">
      <c r="B1761" t="s">
        <v>78</v>
      </c>
      <c r="C1761" t="s">
        <v>3682</v>
      </c>
      <c r="D1761" t="s">
        <v>3735</v>
      </c>
      <c r="E1761" t="s">
        <v>3736</v>
      </c>
      <c r="F1761">
        <v>3215.1</v>
      </c>
      <c r="G1761">
        <v>3230.1</v>
      </c>
      <c r="H1761">
        <v>3302.99</v>
      </c>
      <c r="I1761">
        <v>3230</v>
      </c>
      <c r="J1761" s="1">
        <v>3302.99</v>
      </c>
      <c r="K1761">
        <v>158129.19</v>
      </c>
      <c r="L1761">
        <v>48</v>
      </c>
      <c r="M1761" t="s">
        <v>78</v>
      </c>
      <c r="N1761" t="s">
        <v>17</v>
      </c>
      <c r="O1761">
        <v>11</v>
      </c>
      <c r="P1761">
        <v>3320</v>
      </c>
      <c r="Q1761">
        <v>2426</v>
      </c>
    </row>
    <row r="1762" spans="2:17" x14ac:dyDescent="0.25">
      <c r="B1762" t="s">
        <v>78</v>
      </c>
      <c r="C1762" t="s">
        <v>3682</v>
      </c>
      <c r="D1762" t="s">
        <v>3745</v>
      </c>
      <c r="E1762" t="s">
        <v>3746</v>
      </c>
      <c r="F1762">
        <v>3324</v>
      </c>
      <c r="G1762">
        <v>3350</v>
      </c>
      <c r="H1762">
        <v>3350</v>
      </c>
      <c r="I1762">
        <v>3350</v>
      </c>
      <c r="J1762" s="1">
        <v>3350</v>
      </c>
      <c r="K1762">
        <v>6700</v>
      </c>
      <c r="L1762">
        <v>2</v>
      </c>
      <c r="M1762" t="s">
        <v>78</v>
      </c>
      <c r="N1762" t="s">
        <v>17</v>
      </c>
      <c r="O1762">
        <v>1</v>
      </c>
      <c r="P1762">
        <v>3390</v>
      </c>
      <c r="Q1762">
        <v>2650</v>
      </c>
    </row>
    <row r="1763" spans="2:17" x14ac:dyDescent="0.25">
      <c r="B1763" t="s">
        <v>78</v>
      </c>
      <c r="C1763" t="s">
        <v>3682</v>
      </c>
      <c r="D1763" t="s">
        <v>3747</v>
      </c>
      <c r="E1763" t="s">
        <v>3748</v>
      </c>
      <c r="F1763">
        <v>3259.83</v>
      </c>
      <c r="G1763">
        <v>3265</v>
      </c>
      <c r="H1763">
        <v>3310</v>
      </c>
      <c r="I1763">
        <v>3265</v>
      </c>
      <c r="J1763" s="1">
        <v>3289.99</v>
      </c>
      <c r="K1763">
        <v>1870355.79</v>
      </c>
      <c r="L1763">
        <v>569</v>
      </c>
      <c r="M1763" t="s">
        <v>78</v>
      </c>
      <c r="N1763" t="s">
        <v>17</v>
      </c>
      <c r="O1763">
        <v>36</v>
      </c>
      <c r="P1763">
        <v>3310</v>
      </c>
      <c r="Q1763">
        <v>2605</v>
      </c>
    </row>
    <row r="1764" spans="2:17" x14ac:dyDescent="0.25">
      <c r="B1764" t="s">
        <v>78</v>
      </c>
      <c r="C1764" t="s">
        <v>3682</v>
      </c>
      <c r="D1764" t="s">
        <v>3749</v>
      </c>
      <c r="E1764" t="s">
        <v>3750</v>
      </c>
      <c r="F1764">
        <v>3245</v>
      </c>
      <c r="G1764">
        <v>3245</v>
      </c>
      <c r="H1764">
        <v>3245</v>
      </c>
      <c r="I1764">
        <v>3240</v>
      </c>
      <c r="J1764" s="1">
        <v>3240</v>
      </c>
      <c r="K1764">
        <v>366435</v>
      </c>
      <c r="L1764">
        <v>113</v>
      </c>
      <c r="M1764" t="s">
        <v>78</v>
      </c>
      <c r="N1764" t="s">
        <v>17</v>
      </c>
      <c r="O1764">
        <v>11</v>
      </c>
      <c r="P1764">
        <v>3300</v>
      </c>
      <c r="Q1764">
        <v>2511.29</v>
      </c>
    </row>
    <row r="1765" spans="2:17" x14ac:dyDescent="0.25">
      <c r="B1765" t="s">
        <v>78</v>
      </c>
      <c r="C1765" t="s">
        <v>3682</v>
      </c>
      <c r="D1765" t="s">
        <v>3751</v>
      </c>
      <c r="E1765" t="s">
        <v>3752</v>
      </c>
      <c r="F1765">
        <v>3190</v>
      </c>
      <c r="G1765">
        <v>3230</v>
      </c>
      <c r="H1765">
        <v>3274</v>
      </c>
      <c r="I1765">
        <v>3160</v>
      </c>
      <c r="J1765" s="1">
        <v>3270</v>
      </c>
      <c r="K1765">
        <v>201730.1</v>
      </c>
      <c r="L1765">
        <v>63</v>
      </c>
      <c r="M1765" t="s">
        <v>78</v>
      </c>
      <c r="N1765" t="s">
        <v>17</v>
      </c>
      <c r="O1765">
        <v>10</v>
      </c>
      <c r="P1765">
        <v>3274</v>
      </c>
      <c r="Q1765">
        <v>2600</v>
      </c>
    </row>
    <row r="1766" spans="2:17" x14ac:dyDescent="0.25">
      <c r="B1766" t="s">
        <v>78</v>
      </c>
      <c r="C1766" t="s">
        <v>3682</v>
      </c>
      <c r="D1766" t="s">
        <v>3755</v>
      </c>
      <c r="E1766" t="s">
        <v>3756</v>
      </c>
      <c r="F1766">
        <v>3250</v>
      </c>
      <c r="G1766">
        <v>3250</v>
      </c>
      <c r="H1766">
        <v>3280</v>
      </c>
      <c r="I1766">
        <v>3211</v>
      </c>
      <c r="J1766" s="1">
        <v>3221</v>
      </c>
      <c r="K1766">
        <v>355493</v>
      </c>
      <c r="L1766">
        <v>109</v>
      </c>
      <c r="M1766" t="s">
        <v>78</v>
      </c>
      <c r="N1766" t="s">
        <v>17</v>
      </c>
      <c r="O1766">
        <v>10</v>
      </c>
      <c r="P1766">
        <v>3300</v>
      </c>
      <c r="Q1766">
        <v>2426</v>
      </c>
    </row>
    <row r="1767" spans="2:17" x14ac:dyDescent="0.25">
      <c r="B1767" t="s">
        <v>78</v>
      </c>
      <c r="C1767" t="s">
        <v>3682</v>
      </c>
      <c r="D1767" t="s">
        <v>4884</v>
      </c>
      <c r="E1767" t="s">
        <v>4883</v>
      </c>
      <c r="F1767">
        <v>3250</v>
      </c>
      <c r="G1767">
        <v>3250</v>
      </c>
      <c r="H1767">
        <v>3275</v>
      </c>
      <c r="I1767">
        <v>3206</v>
      </c>
      <c r="J1767" s="1">
        <v>3270</v>
      </c>
      <c r="K1767">
        <v>123097</v>
      </c>
      <c r="L1767">
        <v>38</v>
      </c>
      <c r="M1767" t="s">
        <v>78</v>
      </c>
      <c r="N1767" t="s">
        <v>17</v>
      </c>
      <c r="O1767">
        <v>7</v>
      </c>
      <c r="P1767">
        <v>3275</v>
      </c>
      <c r="Q1767">
        <v>2426</v>
      </c>
    </row>
    <row r="1768" spans="2:17" x14ac:dyDescent="0.25">
      <c r="B1768" t="s">
        <v>78</v>
      </c>
      <c r="C1768" t="s">
        <v>3682</v>
      </c>
      <c r="D1768" t="s">
        <v>3760</v>
      </c>
      <c r="E1768" t="s">
        <v>3761</v>
      </c>
      <c r="F1768">
        <v>3309.97</v>
      </c>
      <c r="G1768">
        <v>3310</v>
      </c>
      <c r="H1768">
        <v>3330.4</v>
      </c>
      <c r="I1768">
        <v>3306</v>
      </c>
      <c r="J1768" s="1">
        <v>3330</v>
      </c>
      <c r="K1768">
        <v>1308819.8500000001</v>
      </c>
      <c r="L1768">
        <v>394</v>
      </c>
      <c r="M1768" t="s">
        <v>78</v>
      </c>
      <c r="N1768" t="s">
        <v>17</v>
      </c>
      <c r="O1768">
        <v>34</v>
      </c>
      <c r="P1768">
        <v>3330.4</v>
      </c>
      <c r="Q1768">
        <v>2641.25</v>
      </c>
    </row>
    <row r="1769" spans="2:17" x14ac:dyDescent="0.25">
      <c r="B1769" t="s">
        <v>78</v>
      </c>
      <c r="C1769" t="s">
        <v>3766</v>
      </c>
      <c r="D1769" t="s">
        <v>6554</v>
      </c>
      <c r="E1769" t="s">
        <v>6553</v>
      </c>
      <c r="F1769">
        <v>94.31</v>
      </c>
      <c r="G1769">
        <v>94</v>
      </c>
      <c r="H1769">
        <v>94</v>
      </c>
      <c r="I1769">
        <v>94</v>
      </c>
      <c r="J1769" s="1">
        <v>94</v>
      </c>
      <c r="K1769">
        <v>84600</v>
      </c>
      <c r="L1769">
        <v>900</v>
      </c>
      <c r="M1769" t="s">
        <v>78</v>
      </c>
      <c r="N1769" t="s">
        <v>17</v>
      </c>
      <c r="O1769">
        <v>7</v>
      </c>
      <c r="P1769">
        <v>94</v>
      </c>
      <c r="Q1769">
        <v>94</v>
      </c>
    </row>
    <row r="1770" spans="2:17" x14ac:dyDescent="0.25">
      <c r="B1770" t="s">
        <v>78</v>
      </c>
      <c r="C1770" t="s">
        <v>3766</v>
      </c>
      <c r="D1770" t="s">
        <v>6552</v>
      </c>
      <c r="E1770" t="s">
        <v>6551</v>
      </c>
      <c r="F1770">
        <v>100</v>
      </c>
      <c r="G1770">
        <v>100.01</v>
      </c>
      <c r="H1770">
        <v>100.01</v>
      </c>
      <c r="I1770">
        <v>100.01</v>
      </c>
      <c r="J1770" s="1">
        <v>100.01</v>
      </c>
      <c r="K1770">
        <v>20002</v>
      </c>
      <c r="L1770">
        <v>200</v>
      </c>
      <c r="M1770" t="s">
        <v>78</v>
      </c>
      <c r="N1770" t="s">
        <v>17</v>
      </c>
      <c r="O1770">
        <v>1</v>
      </c>
      <c r="P1770">
        <v>100.01</v>
      </c>
      <c r="Q1770">
        <v>100.01</v>
      </c>
    </row>
    <row r="1771" spans="2:17" x14ac:dyDescent="0.25">
      <c r="B1771" t="s">
        <v>78</v>
      </c>
      <c r="C1771" t="s">
        <v>3766</v>
      </c>
      <c r="D1771" t="s">
        <v>6550</v>
      </c>
      <c r="E1771" t="s">
        <v>6549</v>
      </c>
      <c r="F1771">
        <v>100</v>
      </c>
      <c r="G1771">
        <v>100</v>
      </c>
      <c r="H1771">
        <v>100</v>
      </c>
      <c r="I1771">
        <v>100</v>
      </c>
      <c r="J1771" s="1">
        <v>100</v>
      </c>
      <c r="K1771">
        <v>10000</v>
      </c>
      <c r="L1771">
        <v>100</v>
      </c>
      <c r="M1771" t="s">
        <v>78</v>
      </c>
      <c r="N1771" t="s">
        <v>17</v>
      </c>
      <c r="O1771">
        <v>1</v>
      </c>
      <c r="P1771">
        <v>100</v>
      </c>
      <c r="Q1771">
        <v>100</v>
      </c>
    </row>
    <row r="1772" spans="2:17" x14ac:dyDescent="0.25">
      <c r="B1772" t="s">
        <v>78</v>
      </c>
      <c r="C1772" t="s">
        <v>3766</v>
      </c>
      <c r="D1772" t="s">
        <v>6548</v>
      </c>
      <c r="E1772" t="s">
        <v>6547</v>
      </c>
      <c r="F1772">
        <v>107.29</v>
      </c>
      <c r="G1772">
        <v>102</v>
      </c>
      <c r="H1772">
        <v>102.5</v>
      </c>
      <c r="I1772">
        <v>102</v>
      </c>
      <c r="J1772" s="1">
        <v>102.5</v>
      </c>
      <c r="K1772">
        <v>30700</v>
      </c>
      <c r="L1772">
        <v>300</v>
      </c>
      <c r="M1772" t="s">
        <v>78</v>
      </c>
      <c r="N1772" t="s">
        <v>17</v>
      </c>
      <c r="O1772">
        <v>2</v>
      </c>
      <c r="P1772">
        <v>102.5</v>
      </c>
      <c r="Q1772">
        <v>102</v>
      </c>
    </row>
    <row r="1773" spans="2:17" x14ac:dyDescent="0.25">
      <c r="B1773" t="s">
        <v>78</v>
      </c>
      <c r="C1773" t="s">
        <v>3781</v>
      </c>
      <c r="D1773" t="s">
        <v>3782</v>
      </c>
      <c r="E1773" t="s">
        <v>3783</v>
      </c>
      <c r="F1773">
        <v>7.57</v>
      </c>
      <c r="G1773">
        <v>7.25</v>
      </c>
      <c r="H1773">
        <v>7.25</v>
      </c>
      <c r="I1773">
        <v>7.25</v>
      </c>
      <c r="J1773" s="1">
        <v>7.25</v>
      </c>
      <c r="K1773">
        <v>3625</v>
      </c>
      <c r="L1773">
        <v>500</v>
      </c>
      <c r="M1773" t="s">
        <v>78</v>
      </c>
      <c r="N1773" t="s">
        <v>17</v>
      </c>
      <c r="O1773">
        <v>1</v>
      </c>
      <c r="P1773">
        <v>10</v>
      </c>
      <c r="Q1773">
        <v>6.22</v>
      </c>
    </row>
    <row r="1774" spans="2:17" x14ac:dyDescent="0.25">
      <c r="B1774" t="s">
        <v>78</v>
      </c>
      <c r="C1774" t="s">
        <v>3781</v>
      </c>
      <c r="D1774" t="s">
        <v>6546</v>
      </c>
      <c r="E1774" t="s">
        <v>6545</v>
      </c>
      <c r="F1774">
        <v>9.67</v>
      </c>
      <c r="G1774">
        <v>9.68</v>
      </c>
      <c r="H1774">
        <v>9.7100000000000009</v>
      </c>
      <c r="I1774">
        <v>9.68</v>
      </c>
      <c r="J1774" s="1">
        <v>9.7100000000000009</v>
      </c>
      <c r="K1774">
        <v>103876</v>
      </c>
      <c r="L1774">
        <v>10700</v>
      </c>
      <c r="M1774" t="s">
        <v>78</v>
      </c>
      <c r="N1774" t="s">
        <v>17</v>
      </c>
      <c r="O1774">
        <v>7</v>
      </c>
      <c r="P1774">
        <v>10.3</v>
      </c>
      <c r="Q1774">
        <v>8.31</v>
      </c>
    </row>
    <row r="1775" spans="2:17" x14ac:dyDescent="0.25">
      <c r="B1775" t="s">
        <v>78</v>
      </c>
      <c r="C1775" t="s">
        <v>3781</v>
      </c>
      <c r="D1775" t="s">
        <v>6544</v>
      </c>
      <c r="E1775" t="s">
        <v>6543</v>
      </c>
      <c r="F1775">
        <v>7.76</v>
      </c>
      <c r="G1775">
        <v>7.34</v>
      </c>
      <c r="H1775">
        <v>7.76</v>
      </c>
      <c r="I1775">
        <v>7.31</v>
      </c>
      <c r="J1775" s="1">
        <v>7.6</v>
      </c>
      <c r="K1775">
        <v>342022.92</v>
      </c>
      <c r="L1775">
        <v>45472</v>
      </c>
      <c r="M1775" t="s">
        <v>78</v>
      </c>
      <c r="N1775" t="s">
        <v>17</v>
      </c>
      <c r="O1775">
        <v>24</v>
      </c>
      <c r="P1775">
        <v>9.0500000000000007</v>
      </c>
      <c r="Q1775">
        <v>6.35</v>
      </c>
    </row>
    <row r="1776" spans="2:17" x14ac:dyDescent="0.25">
      <c r="B1776" t="s">
        <v>78</v>
      </c>
      <c r="C1776" t="s">
        <v>3781</v>
      </c>
      <c r="D1776" t="s">
        <v>6542</v>
      </c>
      <c r="E1776" t="s">
        <v>6541</v>
      </c>
      <c r="F1776">
        <v>9.8800000000000008</v>
      </c>
      <c r="G1776">
        <v>9.85</v>
      </c>
      <c r="H1776">
        <v>9.85</v>
      </c>
      <c r="I1776">
        <v>9.85</v>
      </c>
      <c r="J1776" s="1">
        <v>9.85</v>
      </c>
      <c r="K1776">
        <v>49250</v>
      </c>
      <c r="L1776">
        <v>5000</v>
      </c>
      <c r="M1776" t="s">
        <v>78</v>
      </c>
      <c r="N1776" t="s">
        <v>17</v>
      </c>
      <c r="O1776">
        <v>2</v>
      </c>
      <c r="P1776">
        <v>10.130000000000001</v>
      </c>
      <c r="Q1776">
        <v>8.15</v>
      </c>
    </row>
    <row r="1777" spans="2:17" x14ac:dyDescent="0.25">
      <c r="B1777" t="s">
        <v>78</v>
      </c>
      <c r="C1777" t="s">
        <v>3781</v>
      </c>
      <c r="D1777" t="s">
        <v>3794</v>
      </c>
      <c r="E1777" t="s">
        <v>3795</v>
      </c>
      <c r="F1777">
        <v>7</v>
      </c>
      <c r="G1777">
        <v>6.32</v>
      </c>
      <c r="H1777">
        <v>6.32</v>
      </c>
      <c r="I1777">
        <v>6.3</v>
      </c>
      <c r="J1777" s="1">
        <v>6.3</v>
      </c>
      <c r="K1777">
        <v>28390</v>
      </c>
      <c r="L1777">
        <v>4500</v>
      </c>
      <c r="M1777" t="s">
        <v>78</v>
      </c>
      <c r="N1777" t="s">
        <v>17</v>
      </c>
      <c r="O1777">
        <v>2</v>
      </c>
      <c r="P1777">
        <v>10.5</v>
      </c>
      <c r="Q1777">
        <v>5.96</v>
      </c>
    </row>
    <row r="1778" spans="2:17" x14ac:dyDescent="0.25">
      <c r="B1778" t="s">
        <v>78</v>
      </c>
      <c r="C1778" t="s">
        <v>3781</v>
      </c>
      <c r="D1778" t="s">
        <v>6540</v>
      </c>
      <c r="E1778" t="s">
        <v>6539</v>
      </c>
      <c r="F1778">
        <v>8.58</v>
      </c>
      <c r="G1778">
        <v>8.4600000000000009</v>
      </c>
      <c r="H1778">
        <v>8.4600000000000009</v>
      </c>
      <c r="I1778">
        <v>8.25</v>
      </c>
      <c r="J1778" s="1">
        <v>8.25</v>
      </c>
      <c r="K1778">
        <v>1245824</v>
      </c>
      <c r="L1778">
        <v>150000</v>
      </c>
      <c r="M1778" t="s">
        <v>78</v>
      </c>
      <c r="N1778" t="s">
        <v>17</v>
      </c>
      <c r="O1778">
        <v>31</v>
      </c>
      <c r="P1778">
        <v>9</v>
      </c>
      <c r="Q1778">
        <v>6.8</v>
      </c>
    </row>
    <row r="1779" spans="2:17" x14ac:dyDescent="0.25">
      <c r="B1779" t="s">
        <v>78</v>
      </c>
      <c r="C1779" t="s">
        <v>3680</v>
      </c>
      <c r="D1779" t="s">
        <v>6513</v>
      </c>
      <c r="E1779" t="s">
        <v>6538</v>
      </c>
      <c r="F1779">
        <v>969.79</v>
      </c>
      <c r="G1779">
        <v>932</v>
      </c>
      <c r="H1779">
        <v>949.95</v>
      </c>
      <c r="I1779">
        <v>932</v>
      </c>
      <c r="J1779" s="1">
        <v>949.95</v>
      </c>
      <c r="K1779">
        <v>93506.35</v>
      </c>
      <c r="L1779">
        <v>99</v>
      </c>
      <c r="M1779" t="s">
        <v>78</v>
      </c>
      <c r="N1779" t="s">
        <v>17</v>
      </c>
      <c r="O1779">
        <v>10</v>
      </c>
      <c r="P1779">
        <v>1048</v>
      </c>
      <c r="Q1779">
        <v>890</v>
      </c>
    </row>
    <row r="1780" spans="2:17" x14ac:dyDescent="0.25">
      <c r="B1780" t="s">
        <v>78</v>
      </c>
      <c r="C1780" t="s">
        <v>3680</v>
      </c>
      <c r="D1780" t="s">
        <v>1417</v>
      </c>
      <c r="E1780" t="s">
        <v>3796</v>
      </c>
      <c r="F1780">
        <v>1132.99</v>
      </c>
      <c r="G1780">
        <v>1125</v>
      </c>
      <c r="H1780">
        <v>1125</v>
      </c>
      <c r="I1780">
        <v>1121</v>
      </c>
      <c r="J1780" s="1">
        <v>1121.5</v>
      </c>
      <c r="K1780">
        <v>25740094.600000001</v>
      </c>
      <c r="L1780">
        <v>22881</v>
      </c>
      <c r="M1780" t="s">
        <v>78</v>
      </c>
      <c r="N1780" t="s">
        <v>17</v>
      </c>
      <c r="O1780">
        <v>115</v>
      </c>
      <c r="P1780">
        <v>1171</v>
      </c>
      <c r="Q1780">
        <v>1040</v>
      </c>
    </row>
    <row r="1781" spans="2:17" x14ac:dyDescent="0.25">
      <c r="B1781" t="s">
        <v>78</v>
      </c>
      <c r="C1781" t="s">
        <v>3680</v>
      </c>
      <c r="D1781" t="s">
        <v>6537</v>
      </c>
      <c r="E1781" t="s">
        <v>6536</v>
      </c>
      <c r="F1781">
        <v>1025</v>
      </c>
      <c r="G1781">
        <v>1026</v>
      </c>
      <c r="H1781">
        <v>1035</v>
      </c>
      <c r="I1781">
        <v>1026</v>
      </c>
      <c r="J1781" s="1">
        <v>1035</v>
      </c>
      <c r="K1781">
        <v>1123650</v>
      </c>
      <c r="L1781">
        <v>1090</v>
      </c>
      <c r="M1781" t="s">
        <v>78</v>
      </c>
      <c r="N1781" t="s">
        <v>17</v>
      </c>
      <c r="O1781">
        <v>4</v>
      </c>
      <c r="P1781">
        <v>1070</v>
      </c>
      <c r="Q1781">
        <v>1009.75</v>
      </c>
    </row>
    <row r="1782" spans="2:17" x14ac:dyDescent="0.25">
      <c r="B1782" t="s">
        <v>78</v>
      </c>
      <c r="C1782" t="s">
        <v>3680</v>
      </c>
      <c r="D1782" t="s">
        <v>1682</v>
      </c>
      <c r="E1782" t="s">
        <v>4777</v>
      </c>
      <c r="F1782">
        <v>1015</v>
      </c>
      <c r="G1782">
        <v>1010</v>
      </c>
      <c r="H1782">
        <v>1010</v>
      </c>
      <c r="I1782">
        <v>1010</v>
      </c>
      <c r="J1782" s="1">
        <v>1010</v>
      </c>
      <c r="K1782">
        <v>20200</v>
      </c>
      <c r="L1782">
        <v>20</v>
      </c>
      <c r="M1782" t="s">
        <v>78</v>
      </c>
      <c r="N1782" t="s">
        <v>17</v>
      </c>
      <c r="O1782">
        <v>1</v>
      </c>
      <c r="P1782">
        <v>1020</v>
      </c>
      <c r="Q1782">
        <v>950</v>
      </c>
    </row>
    <row r="1783" spans="2:17" x14ac:dyDescent="0.25">
      <c r="B1783" t="s">
        <v>78</v>
      </c>
      <c r="C1783" t="s">
        <v>3680</v>
      </c>
      <c r="D1783" t="s">
        <v>3800</v>
      </c>
      <c r="E1783" t="s">
        <v>3801</v>
      </c>
      <c r="F1783">
        <v>1127.02</v>
      </c>
      <c r="G1783">
        <v>1129</v>
      </c>
      <c r="H1783">
        <v>1129.99</v>
      </c>
      <c r="I1783">
        <v>1124.04</v>
      </c>
      <c r="J1783" s="1">
        <v>1124.83</v>
      </c>
      <c r="K1783">
        <v>14094459.92</v>
      </c>
      <c r="L1783">
        <v>12521</v>
      </c>
      <c r="M1783" t="s">
        <v>78</v>
      </c>
      <c r="N1783" t="s">
        <v>17</v>
      </c>
      <c r="O1783">
        <v>64</v>
      </c>
      <c r="P1783">
        <v>1184.4000000000001</v>
      </c>
      <c r="Q1783">
        <v>1038.4000000000001</v>
      </c>
    </row>
    <row r="1784" spans="2:17" x14ac:dyDescent="0.25">
      <c r="B1784" t="s">
        <v>78</v>
      </c>
      <c r="C1784" t="s">
        <v>3680</v>
      </c>
      <c r="D1784" t="s">
        <v>6508</v>
      </c>
      <c r="E1784" t="s">
        <v>6536</v>
      </c>
      <c r="F1784">
        <v>10300</v>
      </c>
      <c r="G1784">
        <v>10400</v>
      </c>
      <c r="H1784">
        <v>10400</v>
      </c>
      <c r="I1784">
        <v>10400</v>
      </c>
      <c r="J1784" s="1">
        <v>10400</v>
      </c>
      <c r="K1784">
        <v>10400</v>
      </c>
      <c r="L1784">
        <v>1</v>
      </c>
      <c r="M1784" t="s">
        <v>78</v>
      </c>
      <c r="N1784" t="s">
        <v>17</v>
      </c>
      <c r="O1784">
        <v>1</v>
      </c>
      <c r="P1784">
        <v>10999</v>
      </c>
      <c r="Q1784">
        <v>10115.75</v>
      </c>
    </row>
    <row r="1785" spans="2:17" x14ac:dyDescent="0.25">
      <c r="B1785" t="s">
        <v>78</v>
      </c>
      <c r="C1785" t="s">
        <v>3802</v>
      </c>
      <c r="D1785" t="s">
        <v>3824</v>
      </c>
      <c r="E1785" t="s">
        <v>6535</v>
      </c>
      <c r="F1785">
        <v>650</v>
      </c>
      <c r="G1785">
        <v>650</v>
      </c>
      <c r="H1785">
        <v>679</v>
      </c>
      <c r="I1785">
        <v>650</v>
      </c>
      <c r="J1785" s="1">
        <v>673.43</v>
      </c>
      <c r="K1785">
        <v>117411</v>
      </c>
      <c r="L1785">
        <v>178</v>
      </c>
      <c r="M1785" t="s">
        <v>78</v>
      </c>
      <c r="N1785" t="s">
        <v>17</v>
      </c>
      <c r="O1785">
        <v>13</v>
      </c>
      <c r="P1785">
        <v>1014.4</v>
      </c>
      <c r="Q1785">
        <v>559.04999999999995</v>
      </c>
    </row>
    <row r="1786" spans="2:17" x14ac:dyDescent="0.25">
      <c r="B1786" t="s">
        <v>78</v>
      </c>
      <c r="C1786" t="s">
        <v>3802</v>
      </c>
      <c r="D1786" t="s">
        <v>1286</v>
      </c>
      <c r="E1786" t="s">
        <v>3804</v>
      </c>
      <c r="F1786">
        <v>1162.02</v>
      </c>
      <c r="G1786">
        <v>1170</v>
      </c>
      <c r="H1786">
        <v>1170</v>
      </c>
      <c r="I1786">
        <v>1160</v>
      </c>
      <c r="J1786" s="1">
        <v>1169</v>
      </c>
      <c r="K1786">
        <v>1987838.25</v>
      </c>
      <c r="L1786">
        <v>1706</v>
      </c>
      <c r="M1786" t="s">
        <v>78</v>
      </c>
      <c r="N1786" t="s">
        <v>17</v>
      </c>
      <c r="O1786">
        <v>11</v>
      </c>
      <c r="P1786">
        <v>1363</v>
      </c>
      <c r="Q1786">
        <v>1060.55</v>
      </c>
    </row>
    <row r="1787" spans="2:17" x14ac:dyDescent="0.25">
      <c r="B1787" t="s">
        <v>78</v>
      </c>
      <c r="C1787" t="s">
        <v>3802</v>
      </c>
      <c r="D1787" t="s">
        <v>3828</v>
      </c>
      <c r="E1787" t="s">
        <v>6534</v>
      </c>
      <c r="F1787">
        <v>977</v>
      </c>
      <c r="G1787">
        <v>969</v>
      </c>
      <c r="H1787">
        <v>969</v>
      </c>
      <c r="I1787">
        <v>969</v>
      </c>
      <c r="J1787" s="1">
        <v>969</v>
      </c>
      <c r="K1787">
        <v>2907</v>
      </c>
      <c r="L1787">
        <v>3</v>
      </c>
      <c r="M1787" t="s">
        <v>78</v>
      </c>
      <c r="N1787" t="s">
        <v>17</v>
      </c>
      <c r="O1787">
        <v>1</v>
      </c>
      <c r="P1787">
        <v>1015</v>
      </c>
      <c r="Q1787">
        <v>851</v>
      </c>
    </row>
    <row r="1788" spans="2:17" x14ac:dyDescent="0.25">
      <c r="B1788" t="s">
        <v>78</v>
      </c>
      <c r="C1788" t="s">
        <v>3802</v>
      </c>
      <c r="D1788" t="s">
        <v>6513</v>
      </c>
      <c r="E1788" t="s">
        <v>3819</v>
      </c>
      <c r="F1788">
        <v>948.9</v>
      </c>
      <c r="G1788">
        <v>911.01</v>
      </c>
      <c r="H1788">
        <v>911.01</v>
      </c>
      <c r="I1788">
        <v>911.01</v>
      </c>
      <c r="J1788" s="1">
        <v>911.01</v>
      </c>
      <c r="K1788">
        <v>911.01</v>
      </c>
      <c r="L1788">
        <v>1</v>
      </c>
      <c r="M1788" t="s">
        <v>78</v>
      </c>
      <c r="N1788" t="s">
        <v>17</v>
      </c>
      <c r="O1788">
        <v>1</v>
      </c>
      <c r="P1788">
        <v>1100</v>
      </c>
      <c r="Q1788">
        <v>905.2</v>
      </c>
    </row>
    <row r="1789" spans="2:17" x14ac:dyDescent="0.25">
      <c r="B1789" t="s">
        <v>78</v>
      </c>
      <c r="C1789" t="s">
        <v>3802</v>
      </c>
      <c r="D1789" t="s">
        <v>1306</v>
      </c>
      <c r="E1789" t="s">
        <v>6533</v>
      </c>
      <c r="F1789">
        <v>9356</v>
      </c>
      <c r="G1789">
        <v>9356</v>
      </c>
      <c r="H1789">
        <v>9413</v>
      </c>
      <c r="I1789">
        <v>9356</v>
      </c>
      <c r="J1789" s="1">
        <v>9413</v>
      </c>
      <c r="K1789">
        <v>84603</v>
      </c>
      <c r="L1789">
        <v>9</v>
      </c>
      <c r="M1789" t="s">
        <v>78</v>
      </c>
      <c r="N1789" t="s">
        <v>17</v>
      </c>
      <c r="O1789">
        <v>5</v>
      </c>
      <c r="P1789">
        <v>9449</v>
      </c>
      <c r="Q1789">
        <v>8135</v>
      </c>
    </row>
    <row r="1790" spans="2:17" x14ac:dyDescent="0.25">
      <c r="B1790" t="s">
        <v>78</v>
      </c>
      <c r="C1790" t="s">
        <v>3802</v>
      </c>
      <c r="D1790" t="s">
        <v>6532</v>
      </c>
      <c r="E1790" t="s">
        <v>6531</v>
      </c>
      <c r="F1790">
        <v>1001</v>
      </c>
      <c r="G1790">
        <v>1001</v>
      </c>
      <c r="H1790">
        <v>1001</v>
      </c>
      <c r="I1790">
        <v>997.05</v>
      </c>
      <c r="J1790" s="1">
        <v>998.39</v>
      </c>
      <c r="K1790">
        <v>374527.91</v>
      </c>
      <c r="L1790">
        <v>375</v>
      </c>
      <c r="M1790" t="s">
        <v>78</v>
      </c>
      <c r="N1790" t="s">
        <v>17</v>
      </c>
      <c r="O1790">
        <v>17</v>
      </c>
      <c r="P1790">
        <v>1079</v>
      </c>
      <c r="Q1790">
        <v>985.6</v>
      </c>
    </row>
    <row r="1791" spans="2:17" x14ac:dyDescent="0.25">
      <c r="B1791" t="s">
        <v>78</v>
      </c>
      <c r="C1791" t="s">
        <v>3802</v>
      </c>
      <c r="D1791" t="s">
        <v>1417</v>
      </c>
      <c r="E1791" t="s">
        <v>3810</v>
      </c>
      <c r="F1791">
        <v>1190</v>
      </c>
      <c r="G1791">
        <v>1195</v>
      </c>
      <c r="H1791">
        <v>1204.9000000000001</v>
      </c>
      <c r="I1791">
        <v>1195</v>
      </c>
      <c r="J1791" s="1">
        <v>1204.9000000000001</v>
      </c>
      <c r="K1791">
        <v>2399.9</v>
      </c>
      <c r="L1791">
        <v>2</v>
      </c>
      <c r="M1791" t="s">
        <v>78</v>
      </c>
      <c r="N1791" t="s">
        <v>17</v>
      </c>
      <c r="O1791">
        <v>2</v>
      </c>
      <c r="P1791">
        <v>1294.5</v>
      </c>
      <c r="Q1791">
        <v>1078</v>
      </c>
    </row>
    <row r="1792" spans="2:17" x14ac:dyDescent="0.25">
      <c r="B1792" t="s">
        <v>78</v>
      </c>
      <c r="C1792" t="s">
        <v>3802</v>
      </c>
      <c r="D1792" t="s">
        <v>1682</v>
      </c>
      <c r="E1792" t="s">
        <v>3811</v>
      </c>
      <c r="F1792">
        <v>1010.79</v>
      </c>
      <c r="G1792">
        <v>1014.8</v>
      </c>
      <c r="H1792">
        <v>1014.8</v>
      </c>
      <c r="I1792">
        <v>1010.25</v>
      </c>
      <c r="J1792" s="1">
        <v>1010.89</v>
      </c>
      <c r="K1792">
        <v>148609.85</v>
      </c>
      <c r="L1792">
        <v>147</v>
      </c>
      <c r="M1792" t="s">
        <v>78</v>
      </c>
      <c r="N1792" t="s">
        <v>17</v>
      </c>
      <c r="O1792">
        <v>8</v>
      </c>
      <c r="P1792">
        <v>1084.5</v>
      </c>
      <c r="Q1792">
        <v>990.01</v>
      </c>
    </row>
    <row r="1793" spans="2:17" x14ac:dyDescent="0.25">
      <c r="B1793" t="s">
        <v>78</v>
      </c>
      <c r="C1793" t="s">
        <v>3802</v>
      </c>
      <c r="D1793" t="s">
        <v>3798</v>
      </c>
      <c r="E1793" t="s">
        <v>3812</v>
      </c>
      <c r="F1793">
        <v>1159.95</v>
      </c>
      <c r="G1793">
        <v>1154.9000000000001</v>
      </c>
      <c r="H1793">
        <v>1159.95</v>
      </c>
      <c r="I1793">
        <v>1154.9000000000001</v>
      </c>
      <c r="J1793" s="1">
        <v>1158</v>
      </c>
      <c r="K1793">
        <v>4377899.96</v>
      </c>
      <c r="L1793">
        <v>3781</v>
      </c>
      <c r="M1793" t="s">
        <v>78</v>
      </c>
      <c r="N1793" t="s">
        <v>17</v>
      </c>
      <c r="O1793">
        <v>26</v>
      </c>
      <c r="P1793">
        <v>1320</v>
      </c>
      <c r="Q1793">
        <v>1098</v>
      </c>
    </row>
    <row r="1794" spans="2:17" x14ac:dyDescent="0.25">
      <c r="B1794" t="s">
        <v>78</v>
      </c>
      <c r="C1794" t="s">
        <v>3802</v>
      </c>
      <c r="D1794" t="s">
        <v>3800</v>
      </c>
      <c r="E1794" t="s">
        <v>3813</v>
      </c>
      <c r="F1794">
        <v>1228</v>
      </c>
      <c r="G1794">
        <v>1219</v>
      </c>
      <c r="H1794">
        <v>1244.9000000000001</v>
      </c>
      <c r="I1794">
        <v>1219</v>
      </c>
      <c r="J1794" s="1">
        <v>1236.21</v>
      </c>
      <c r="K1794">
        <v>1263115.53</v>
      </c>
      <c r="L1794">
        <v>1021</v>
      </c>
      <c r="M1794" t="s">
        <v>78</v>
      </c>
      <c r="N1794" t="s">
        <v>17</v>
      </c>
      <c r="O1794">
        <v>35</v>
      </c>
      <c r="P1794">
        <v>1244.9000000000001</v>
      </c>
      <c r="Q1794">
        <v>1091</v>
      </c>
    </row>
    <row r="1795" spans="2:17" x14ac:dyDescent="0.25">
      <c r="B1795" t="s">
        <v>78</v>
      </c>
      <c r="C1795" t="s">
        <v>3802</v>
      </c>
      <c r="D1795" t="s">
        <v>258</v>
      </c>
      <c r="E1795" t="s">
        <v>6530</v>
      </c>
      <c r="F1795">
        <v>1121.05</v>
      </c>
      <c r="G1795">
        <v>1121.05</v>
      </c>
      <c r="H1795">
        <v>1121.05</v>
      </c>
      <c r="I1795">
        <v>1121.05</v>
      </c>
      <c r="J1795" s="1">
        <v>1121.05</v>
      </c>
      <c r="K1795">
        <v>22421</v>
      </c>
      <c r="L1795">
        <v>20</v>
      </c>
      <c r="M1795" t="s">
        <v>78</v>
      </c>
      <c r="N1795" t="s">
        <v>17</v>
      </c>
      <c r="O1795">
        <v>1</v>
      </c>
      <c r="P1795">
        <v>1182</v>
      </c>
      <c r="Q1795">
        <v>1045</v>
      </c>
    </row>
    <row r="1796" spans="2:17" x14ac:dyDescent="0.25">
      <c r="B1796" t="s">
        <v>78</v>
      </c>
      <c r="C1796" t="s">
        <v>3802</v>
      </c>
      <c r="D1796" t="s">
        <v>2215</v>
      </c>
      <c r="E1796" t="s">
        <v>6529</v>
      </c>
      <c r="F1796">
        <v>1120</v>
      </c>
      <c r="G1796">
        <v>1129.05</v>
      </c>
      <c r="H1796">
        <v>1135</v>
      </c>
      <c r="I1796">
        <v>1129.05</v>
      </c>
      <c r="J1796" s="1">
        <v>1135</v>
      </c>
      <c r="K1796">
        <v>1130185</v>
      </c>
      <c r="L1796">
        <v>1001</v>
      </c>
      <c r="M1796" t="s">
        <v>78</v>
      </c>
      <c r="N1796" t="s">
        <v>17</v>
      </c>
      <c r="O1796">
        <v>2</v>
      </c>
      <c r="P1796">
        <v>1205</v>
      </c>
      <c r="Q1796">
        <v>1045.2</v>
      </c>
    </row>
    <row r="1797" spans="2:17" x14ac:dyDescent="0.25">
      <c r="B1797" t="s">
        <v>78</v>
      </c>
      <c r="C1797" t="s">
        <v>3802</v>
      </c>
      <c r="D1797" t="s">
        <v>3395</v>
      </c>
      <c r="E1797" t="s">
        <v>6488</v>
      </c>
      <c r="F1797">
        <v>500</v>
      </c>
      <c r="G1797">
        <v>500.01</v>
      </c>
      <c r="H1797">
        <v>500.01</v>
      </c>
      <c r="I1797">
        <v>480</v>
      </c>
      <c r="J1797" s="1">
        <v>480</v>
      </c>
      <c r="K1797">
        <v>157601</v>
      </c>
      <c r="L1797">
        <v>320</v>
      </c>
      <c r="M1797" t="s">
        <v>78</v>
      </c>
      <c r="N1797" t="s">
        <v>17</v>
      </c>
      <c r="O1797">
        <v>7</v>
      </c>
      <c r="P1797">
        <v>1040</v>
      </c>
      <c r="Q1797">
        <v>480</v>
      </c>
    </row>
    <row r="1798" spans="2:17" x14ac:dyDescent="0.25">
      <c r="B1798" t="s">
        <v>78</v>
      </c>
      <c r="C1798" t="s">
        <v>3802</v>
      </c>
      <c r="D1798" t="s">
        <v>158</v>
      </c>
      <c r="E1798" t="s">
        <v>6528</v>
      </c>
      <c r="F1798">
        <v>11203</v>
      </c>
      <c r="G1798">
        <v>11205</v>
      </c>
      <c r="H1798">
        <v>11240</v>
      </c>
      <c r="I1798">
        <v>11195</v>
      </c>
      <c r="J1798" s="1">
        <v>11204.15</v>
      </c>
      <c r="K1798">
        <v>2880893</v>
      </c>
      <c r="L1798">
        <v>257</v>
      </c>
      <c r="M1798" t="s">
        <v>78</v>
      </c>
      <c r="N1798" t="s">
        <v>17</v>
      </c>
      <c r="O1798">
        <v>14</v>
      </c>
      <c r="P1798">
        <v>11547</v>
      </c>
      <c r="Q1798">
        <v>10360</v>
      </c>
    </row>
    <row r="1799" spans="2:17" x14ac:dyDescent="0.25">
      <c r="B1799" t="s">
        <v>78</v>
      </c>
      <c r="C1799" t="s">
        <v>3817</v>
      </c>
      <c r="D1799" t="s">
        <v>3843</v>
      </c>
      <c r="E1799" t="s">
        <v>6486</v>
      </c>
      <c r="F1799">
        <v>924.01</v>
      </c>
      <c r="G1799">
        <v>924</v>
      </c>
      <c r="H1799">
        <v>924</v>
      </c>
      <c r="I1799">
        <v>924</v>
      </c>
      <c r="J1799" s="1">
        <v>924</v>
      </c>
      <c r="K1799">
        <v>2772</v>
      </c>
      <c r="L1799">
        <v>3</v>
      </c>
      <c r="M1799" t="s">
        <v>78</v>
      </c>
      <c r="N1799" t="s">
        <v>17</v>
      </c>
      <c r="O1799">
        <v>2</v>
      </c>
      <c r="P1799">
        <v>1050</v>
      </c>
      <c r="Q1799">
        <v>915</v>
      </c>
    </row>
    <row r="1800" spans="2:17" x14ac:dyDescent="0.25">
      <c r="B1800" t="s">
        <v>78</v>
      </c>
      <c r="C1800" t="s">
        <v>3817</v>
      </c>
      <c r="D1800" t="s">
        <v>1286</v>
      </c>
      <c r="E1800" t="s">
        <v>3818</v>
      </c>
      <c r="F1800">
        <v>1095</v>
      </c>
      <c r="G1800">
        <v>1094</v>
      </c>
      <c r="H1800">
        <v>1099</v>
      </c>
      <c r="I1800">
        <v>1094</v>
      </c>
      <c r="J1800" s="1">
        <v>1098.23</v>
      </c>
      <c r="K1800">
        <v>952595.5</v>
      </c>
      <c r="L1800">
        <v>868</v>
      </c>
      <c r="M1800" t="s">
        <v>78</v>
      </c>
      <c r="N1800" t="s">
        <v>17</v>
      </c>
      <c r="O1800">
        <v>22</v>
      </c>
      <c r="P1800">
        <v>1176</v>
      </c>
      <c r="Q1800">
        <v>1050.25</v>
      </c>
    </row>
    <row r="1801" spans="2:17" x14ac:dyDescent="0.25">
      <c r="B1801" t="s">
        <v>78</v>
      </c>
      <c r="C1801" t="s">
        <v>3817</v>
      </c>
      <c r="D1801" t="s">
        <v>1292</v>
      </c>
      <c r="E1801" t="s">
        <v>6527</v>
      </c>
      <c r="F1801">
        <v>1050</v>
      </c>
      <c r="G1801">
        <v>1051</v>
      </c>
      <c r="H1801">
        <v>1051</v>
      </c>
      <c r="I1801">
        <v>1051</v>
      </c>
      <c r="J1801" s="1">
        <v>1051</v>
      </c>
      <c r="K1801">
        <v>1051</v>
      </c>
      <c r="L1801">
        <v>1</v>
      </c>
      <c r="M1801" t="s">
        <v>78</v>
      </c>
      <c r="N1801" t="s">
        <v>17</v>
      </c>
      <c r="O1801">
        <v>1</v>
      </c>
      <c r="P1801">
        <v>1074.99</v>
      </c>
      <c r="Q1801">
        <v>810</v>
      </c>
    </row>
    <row r="1802" spans="2:17" x14ac:dyDescent="0.25">
      <c r="B1802" t="s">
        <v>78</v>
      </c>
      <c r="C1802" t="s">
        <v>3817</v>
      </c>
      <c r="D1802" t="s">
        <v>6513</v>
      </c>
      <c r="E1802" t="s">
        <v>6526</v>
      </c>
      <c r="F1802">
        <v>968.07</v>
      </c>
      <c r="G1802">
        <v>980</v>
      </c>
      <c r="H1802">
        <v>980</v>
      </c>
      <c r="I1802">
        <v>980</v>
      </c>
      <c r="J1802" s="1">
        <v>980</v>
      </c>
      <c r="K1802">
        <v>980</v>
      </c>
      <c r="L1802">
        <v>1</v>
      </c>
      <c r="M1802" t="s">
        <v>78</v>
      </c>
      <c r="N1802" t="s">
        <v>17</v>
      </c>
      <c r="O1802">
        <v>1</v>
      </c>
      <c r="P1802">
        <v>1021</v>
      </c>
      <c r="Q1802">
        <v>911.5</v>
      </c>
    </row>
    <row r="1803" spans="2:17" x14ac:dyDescent="0.25">
      <c r="B1803" t="s">
        <v>78</v>
      </c>
      <c r="C1803" t="s">
        <v>3817</v>
      </c>
      <c r="D1803" t="s">
        <v>6510</v>
      </c>
      <c r="E1803" t="s">
        <v>6525</v>
      </c>
      <c r="F1803">
        <v>1013.01</v>
      </c>
      <c r="G1803">
        <v>1010.67</v>
      </c>
      <c r="H1803">
        <v>1010.67</v>
      </c>
      <c r="I1803">
        <v>1010.3</v>
      </c>
      <c r="J1803" s="1">
        <v>1010.37</v>
      </c>
      <c r="K1803">
        <v>67697.3</v>
      </c>
      <c r="L1803">
        <v>67</v>
      </c>
      <c r="M1803" t="s">
        <v>78</v>
      </c>
      <c r="N1803" t="s">
        <v>17</v>
      </c>
      <c r="O1803">
        <v>3</v>
      </c>
      <c r="P1803">
        <v>1056.5</v>
      </c>
      <c r="Q1803">
        <v>851.05</v>
      </c>
    </row>
    <row r="1804" spans="2:17" x14ac:dyDescent="0.25">
      <c r="B1804" t="s">
        <v>78</v>
      </c>
      <c r="C1804" t="s">
        <v>3817</v>
      </c>
      <c r="D1804" t="s">
        <v>1682</v>
      </c>
      <c r="E1804" t="s">
        <v>6524</v>
      </c>
      <c r="F1804">
        <v>1304</v>
      </c>
      <c r="G1804">
        <v>1300</v>
      </c>
      <c r="H1804">
        <v>1300</v>
      </c>
      <c r="I1804">
        <v>1300</v>
      </c>
      <c r="J1804" s="1">
        <v>1300</v>
      </c>
      <c r="K1804">
        <v>39000</v>
      </c>
      <c r="L1804">
        <v>30</v>
      </c>
      <c r="M1804" t="s">
        <v>78</v>
      </c>
      <c r="N1804" t="s">
        <v>17</v>
      </c>
      <c r="O1804">
        <v>1</v>
      </c>
      <c r="P1804">
        <v>1305</v>
      </c>
      <c r="Q1804">
        <v>1115</v>
      </c>
    </row>
    <row r="1805" spans="2:17" x14ac:dyDescent="0.25">
      <c r="B1805" t="s">
        <v>78</v>
      </c>
      <c r="C1805" t="s">
        <v>3817</v>
      </c>
      <c r="D1805" t="s">
        <v>258</v>
      </c>
      <c r="E1805" t="s">
        <v>4757</v>
      </c>
      <c r="F1805">
        <v>1239</v>
      </c>
      <c r="G1805">
        <v>1192.55</v>
      </c>
      <c r="H1805">
        <v>1192.55</v>
      </c>
      <c r="I1805">
        <v>1192.55</v>
      </c>
      <c r="J1805" s="1">
        <v>1192.55</v>
      </c>
      <c r="K1805">
        <v>71553</v>
      </c>
      <c r="L1805">
        <v>60</v>
      </c>
      <c r="M1805" t="s">
        <v>78</v>
      </c>
      <c r="N1805" t="s">
        <v>17</v>
      </c>
      <c r="O1805">
        <v>1</v>
      </c>
      <c r="P1805">
        <v>1239</v>
      </c>
      <c r="Q1805">
        <v>1071.0999999999999</v>
      </c>
    </row>
    <row r="1806" spans="2:17" x14ac:dyDescent="0.25">
      <c r="B1806" t="s">
        <v>78</v>
      </c>
      <c r="C1806" t="s">
        <v>3821</v>
      </c>
      <c r="D1806" t="s">
        <v>3824</v>
      </c>
      <c r="E1806" t="s">
        <v>3825</v>
      </c>
      <c r="F1806">
        <v>450</v>
      </c>
      <c r="G1806">
        <v>520</v>
      </c>
      <c r="H1806">
        <v>520</v>
      </c>
      <c r="I1806">
        <v>375</v>
      </c>
      <c r="J1806" s="1">
        <v>444.5</v>
      </c>
      <c r="K1806">
        <v>2690</v>
      </c>
      <c r="L1806">
        <v>6</v>
      </c>
      <c r="M1806" t="s">
        <v>78</v>
      </c>
      <c r="N1806" t="s">
        <v>17</v>
      </c>
      <c r="O1806">
        <v>6</v>
      </c>
      <c r="P1806">
        <v>1005</v>
      </c>
      <c r="Q1806">
        <v>351</v>
      </c>
    </row>
    <row r="1807" spans="2:17" x14ac:dyDescent="0.25">
      <c r="B1807" t="s">
        <v>78</v>
      </c>
      <c r="C1807" t="s">
        <v>3821</v>
      </c>
      <c r="D1807" t="s">
        <v>3826</v>
      </c>
      <c r="E1807" t="s">
        <v>3827</v>
      </c>
      <c r="F1807">
        <v>895.55</v>
      </c>
      <c r="G1807">
        <v>850</v>
      </c>
      <c r="H1807">
        <v>895.55</v>
      </c>
      <c r="I1807">
        <v>850</v>
      </c>
      <c r="J1807" s="1">
        <v>895.55</v>
      </c>
      <c r="K1807">
        <v>33089.800000000003</v>
      </c>
      <c r="L1807">
        <v>37</v>
      </c>
      <c r="M1807" t="s">
        <v>78</v>
      </c>
      <c r="N1807" t="s">
        <v>17</v>
      </c>
      <c r="O1807">
        <v>3</v>
      </c>
      <c r="P1807">
        <v>1030</v>
      </c>
      <c r="Q1807">
        <v>824</v>
      </c>
    </row>
    <row r="1808" spans="2:17" x14ac:dyDescent="0.25">
      <c r="B1808" t="s">
        <v>78</v>
      </c>
      <c r="C1808" t="s">
        <v>3821</v>
      </c>
      <c r="D1808" t="s">
        <v>3828</v>
      </c>
      <c r="E1808" t="s">
        <v>3829</v>
      </c>
      <c r="F1808">
        <v>967.55</v>
      </c>
      <c r="G1808">
        <v>966.25</v>
      </c>
      <c r="H1808">
        <v>966.25</v>
      </c>
      <c r="I1808">
        <v>966.25</v>
      </c>
      <c r="J1808" s="1">
        <v>966.25</v>
      </c>
      <c r="K1808">
        <v>9662.5</v>
      </c>
      <c r="L1808">
        <v>10</v>
      </c>
      <c r="M1808" t="s">
        <v>78</v>
      </c>
      <c r="N1808" t="s">
        <v>17</v>
      </c>
      <c r="O1808">
        <v>2</v>
      </c>
      <c r="P1808">
        <v>1098</v>
      </c>
      <c r="Q1808">
        <v>821.05</v>
      </c>
    </row>
    <row r="1809" spans="2:17" x14ac:dyDescent="0.25">
      <c r="B1809" t="s">
        <v>78</v>
      </c>
      <c r="C1809" t="s">
        <v>3821</v>
      </c>
      <c r="D1809" t="s">
        <v>1306</v>
      </c>
      <c r="E1809" t="s">
        <v>6523</v>
      </c>
      <c r="F1809">
        <v>8930.5</v>
      </c>
      <c r="G1809">
        <v>8986</v>
      </c>
      <c r="H1809">
        <v>8986</v>
      </c>
      <c r="I1809">
        <v>8986</v>
      </c>
      <c r="J1809" s="1">
        <v>8986</v>
      </c>
      <c r="K1809">
        <v>26958</v>
      </c>
      <c r="L1809">
        <v>3</v>
      </c>
      <c r="M1809" t="s">
        <v>78</v>
      </c>
      <c r="N1809" t="s">
        <v>17</v>
      </c>
      <c r="O1809">
        <v>1</v>
      </c>
      <c r="P1809">
        <v>9626.5</v>
      </c>
      <c r="Q1809">
        <v>7840</v>
      </c>
    </row>
    <row r="1810" spans="2:17" x14ac:dyDescent="0.25">
      <c r="B1810" t="s">
        <v>78</v>
      </c>
      <c r="C1810" t="s">
        <v>3821</v>
      </c>
      <c r="D1810" t="s">
        <v>3805</v>
      </c>
      <c r="E1810" t="s">
        <v>3830</v>
      </c>
      <c r="F1810">
        <v>1311.1</v>
      </c>
      <c r="G1810">
        <v>1306.25</v>
      </c>
      <c r="H1810">
        <v>1311</v>
      </c>
      <c r="I1810">
        <v>1306.25</v>
      </c>
      <c r="J1810" s="1">
        <v>1307.25</v>
      </c>
      <c r="K1810">
        <v>459919.75</v>
      </c>
      <c r="L1810">
        <v>351</v>
      </c>
      <c r="M1810" t="s">
        <v>78</v>
      </c>
      <c r="N1810" t="s">
        <v>17</v>
      </c>
      <c r="O1810">
        <v>5</v>
      </c>
      <c r="P1810">
        <v>1325</v>
      </c>
      <c r="Q1810">
        <v>1225</v>
      </c>
    </row>
    <row r="1811" spans="2:17" x14ac:dyDescent="0.25">
      <c r="B1811" t="s">
        <v>78</v>
      </c>
      <c r="C1811" t="s">
        <v>3821</v>
      </c>
      <c r="D1811" t="s">
        <v>3862</v>
      </c>
      <c r="E1811" t="s">
        <v>6522</v>
      </c>
      <c r="F1811">
        <v>1031.5999999999999</v>
      </c>
      <c r="G1811">
        <v>1032</v>
      </c>
      <c r="H1811">
        <v>1032</v>
      </c>
      <c r="I1811">
        <v>1031.75</v>
      </c>
      <c r="J1811" s="1">
        <v>1031.75</v>
      </c>
      <c r="K1811">
        <v>271355.25</v>
      </c>
      <c r="L1811">
        <v>263</v>
      </c>
      <c r="M1811" t="s">
        <v>78</v>
      </c>
      <c r="N1811" t="s">
        <v>17</v>
      </c>
      <c r="O1811">
        <v>4</v>
      </c>
      <c r="P1811">
        <v>1098.95</v>
      </c>
      <c r="Q1811">
        <v>981</v>
      </c>
    </row>
    <row r="1812" spans="2:17" x14ac:dyDescent="0.25">
      <c r="B1812" t="s">
        <v>78</v>
      </c>
      <c r="C1812" t="s">
        <v>3821</v>
      </c>
      <c r="D1812" t="s">
        <v>6510</v>
      </c>
      <c r="E1812" t="s">
        <v>6521</v>
      </c>
      <c r="F1812">
        <v>1810</v>
      </c>
      <c r="G1812">
        <v>1810</v>
      </c>
      <c r="H1812">
        <v>1817</v>
      </c>
      <c r="I1812">
        <v>1806.8</v>
      </c>
      <c r="J1812" s="1">
        <v>1807</v>
      </c>
      <c r="K1812">
        <v>263941.8</v>
      </c>
      <c r="L1812">
        <v>146</v>
      </c>
      <c r="M1812" t="s">
        <v>78</v>
      </c>
      <c r="N1812" t="s">
        <v>17</v>
      </c>
      <c r="O1812">
        <v>7</v>
      </c>
      <c r="P1812">
        <v>1870</v>
      </c>
      <c r="Q1812">
        <v>1648</v>
      </c>
    </row>
    <row r="1813" spans="2:17" x14ac:dyDescent="0.25">
      <c r="B1813" t="s">
        <v>78</v>
      </c>
      <c r="C1813" t="s">
        <v>3821</v>
      </c>
      <c r="D1813" t="s">
        <v>3800</v>
      </c>
      <c r="E1813" t="s">
        <v>6520</v>
      </c>
      <c r="F1813">
        <v>1190</v>
      </c>
      <c r="G1813">
        <v>1180</v>
      </c>
      <c r="H1813">
        <v>1180</v>
      </c>
      <c r="I1813">
        <v>1170</v>
      </c>
      <c r="J1813" s="1">
        <v>1170</v>
      </c>
      <c r="K1813">
        <v>263500</v>
      </c>
      <c r="L1813">
        <v>225</v>
      </c>
      <c r="M1813" t="s">
        <v>78</v>
      </c>
      <c r="N1813" t="s">
        <v>17</v>
      </c>
      <c r="O1813">
        <v>4</v>
      </c>
      <c r="P1813">
        <v>1428</v>
      </c>
      <c r="Q1813">
        <v>1082.2</v>
      </c>
    </row>
    <row r="1814" spans="2:17" x14ac:dyDescent="0.25">
      <c r="B1814" t="s">
        <v>78</v>
      </c>
      <c r="C1814" t="s">
        <v>3821</v>
      </c>
      <c r="D1814" t="s">
        <v>148</v>
      </c>
      <c r="E1814" t="s">
        <v>3832</v>
      </c>
      <c r="F1814">
        <v>1181</v>
      </c>
      <c r="G1814">
        <v>1183</v>
      </c>
      <c r="H1814">
        <v>1183</v>
      </c>
      <c r="I1814">
        <v>1183</v>
      </c>
      <c r="J1814" s="1">
        <v>1183</v>
      </c>
      <c r="K1814">
        <v>88725</v>
      </c>
      <c r="L1814">
        <v>75</v>
      </c>
      <c r="M1814" t="s">
        <v>78</v>
      </c>
      <c r="N1814" t="s">
        <v>17</v>
      </c>
      <c r="O1814">
        <v>5</v>
      </c>
      <c r="P1814">
        <v>1289</v>
      </c>
      <c r="Q1814">
        <v>1120.0999999999999</v>
      </c>
    </row>
    <row r="1815" spans="2:17" x14ac:dyDescent="0.25">
      <c r="B1815" t="s">
        <v>78</v>
      </c>
      <c r="C1815" t="s">
        <v>3821</v>
      </c>
      <c r="D1815" t="s">
        <v>258</v>
      </c>
      <c r="E1815" t="s">
        <v>3833</v>
      </c>
      <c r="F1815">
        <v>1130</v>
      </c>
      <c r="G1815">
        <v>1125</v>
      </c>
      <c r="H1815">
        <v>1125</v>
      </c>
      <c r="I1815">
        <v>1124</v>
      </c>
      <c r="J1815" s="1">
        <v>1125</v>
      </c>
      <c r="K1815">
        <v>10031605</v>
      </c>
      <c r="L1815">
        <v>8917</v>
      </c>
      <c r="M1815" t="s">
        <v>78</v>
      </c>
      <c r="N1815" t="s">
        <v>17</v>
      </c>
      <c r="O1815">
        <v>33</v>
      </c>
      <c r="P1815">
        <v>1223.2</v>
      </c>
      <c r="Q1815">
        <v>1000</v>
      </c>
    </row>
    <row r="1816" spans="2:17" x14ac:dyDescent="0.25">
      <c r="B1816" t="s">
        <v>78</v>
      </c>
      <c r="C1816" t="s">
        <v>3821</v>
      </c>
      <c r="D1816" t="s">
        <v>3395</v>
      </c>
      <c r="E1816" t="s">
        <v>6519</v>
      </c>
      <c r="F1816">
        <v>481</v>
      </c>
      <c r="G1816">
        <v>481.2</v>
      </c>
      <c r="H1816">
        <v>481.2</v>
      </c>
      <c r="I1816">
        <v>463.98</v>
      </c>
      <c r="J1816" s="1">
        <v>466.99</v>
      </c>
      <c r="K1816">
        <v>4235.34</v>
      </c>
      <c r="L1816">
        <v>9</v>
      </c>
      <c r="M1816" t="s">
        <v>78</v>
      </c>
      <c r="N1816" t="s">
        <v>17</v>
      </c>
      <c r="O1816">
        <v>4</v>
      </c>
      <c r="P1816">
        <v>1054.45</v>
      </c>
      <c r="Q1816">
        <v>400</v>
      </c>
    </row>
    <row r="1817" spans="2:17" x14ac:dyDescent="0.25">
      <c r="B1817" t="s">
        <v>78</v>
      </c>
      <c r="C1817" t="s">
        <v>3835</v>
      </c>
      <c r="D1817" t="s">
        <v>3900</v>
      </c>
      <c r="E1817" t="s">
        <v>6518</v>
      </c>
      <c r="F1817">
        <v>997.3</v>
      </c>
      <c r="G1817">
        <v>997.3</v>
      </c>
      <c r="H1817">
        <v>997.3</v>
      </c>
      <c r="I1817">
        <v>988</v>
      </c>
      <c r="J1817" s="1">
        <v>990</v>
      </c>
      <c r="K1817">
        <v>1539810.36</v>
      </c>
      <c r="L1817">
        <v>1555</v>
      </c>
      <c r="M1817" t="s">
        <v>78</v>
      </c>
      <c r="N1817" t="s">
        <v>17</v>
      </c>
      <c r="O1817">
        <v>50</v>
      </c>
      <c r="P1817">
        <v>1080</v>
      </c>
      <c r="Q1817">
        <v>908.4</v>
      </c>
    </row>
    <row r="1818" spans="2:17" x14ac:dyDescent="0.25">
      <c r="B1818" t="s">
        <v>78</v>
      </c>
      <c r="C1818" t="s">
        <v>3835</v>
      </c>
      <c r="D1818" t="s">
        <v>3826</v>
      </c>
      <c r="E1818" t="s">
        <v>3836</v>
      </c>
      <c r="F1818">
        <v>812.5</v>
      </c>
      <c r="G1818">
        <v>807.6</v>
      </c>
      <c r="H1818">
        <v>815</v>
      </c>
      <c r="I1818">
        <v>807</v>
      </c>
      <c r="J1818" s="1">
        <v>807</v>
      </c>
      <c r="K1818">
        <v>64670</v>
      </c>
      <c r="L1818">
        <v>80</v>
      </c>
      <c r="M1818" t="s">
        <v>78</v>
      </c>
      <c r="N1818" t="s">
        <v>17</v>
      </c>
      <c r="O1818">
        <v>6</v>
      </c>
      <c r="P1818">
        <v>989.7</v>
      </c>
      <c r="Q1818">
        <v>807</v>
      </c>
    </row>
    <row r="1819" spans="2:17" x14ac:dyDescent="0.25">
      <c r="B1819" t="s">
        <v>78</v>
      </c>
      <c r="C1819" t="s">
        <v>3835</v>
      </c>
      <c r="D1819" t="s">
        <v>1286</v>
      </c>
      <c r="E1819" t="s">
        <v>3837</v>
      </c>
      <c r="F1819">
        <v>1130</v>
      </c>
      <c r="G1819">
        <v>1125</v>
      </c>
      <c r="H1819">
        <v>1135</v>
      </c>
      <c r="I1819">
        <v>1125</v>
      </c>
      <c r="J1819" s="1">
        <v>1132.97</v>
      </c>
      <c r="K1819">
        <v>1894503</v>
      </c>
      <c r="L1819">
        <v>1675</v>
      </c>
      <c r="M1819" t="s">
        <v>78</v>
      </c>
      <c r="N1819" t="s">
        <v>17</v>
      </c>
      <c r="O1819">
        <v>19</v>
      </c>
      <c r="P1819">
        <v>1158</v>
      </c>
      <c r="Q1819">
        <v>1061.5999999999999</v>
      </c>
    </row>
    <row r="1820" spans="2:17" x14ac:dyDescent="0.25">
      <c r="B1820" t="s">
        <v>78</v>
      </c>
      <c r="C1820" t="s">
        <v>3835</v>
      </c>
      <c r="D1820" t="s">
        <v>6510</v>
      </c>
      <c r="E1820" t="s">
        <v>6517</v>
      </c>
      <c r="F1820">
        <v>997.01</v>
      </c>
      <c r="G1820">
        <v>995.11</v>
      </c>
      <c r="H1820">
        <v>1002</v>
      </c>
      <c r="I1820">
        <v>995.1</v>
      </c>
      <c r="J1820" s="1">
        <v>995.1</v>
      </c>
      <c r="K1820">
        <v>278200.40000000002</v>
      </c>
      <c r="L1820">
        <v>279</v>
      </c>
      <c r="M1820" t="s">
        <v>78</v>
      </c>
      <c r="N1820" t="s">
        <v>17</v>
      </c>
      <c r="O1820">
        <v>10</v>
      </c>
      <c r="P1820">
        <v>1089.8</v>
      </c>
      <c r="Q1820">
        <v>898</v>
      </c>
    </row>
    <row r="1821" spans="2:17" x14ac:dyDescent="0.25">
      <c r="B1821" t="s">
        <v>78</v>
      </c>
      <c r="C1821" t="s">
        <v>3835</v>
      </c>
      <c r="D1821" t="s">
        <v>258</v>
      </c>
      <c r="E1821" t="s">
        <v>6516</v>
      </c>
      <c r="F1821">
        <v>1200</v>
      </c>
      <c r="G1821">
        <v>1200</v>
      </c>
      <c r="H1821">
        <v>1200</v>
      </c>
      <c r="I1821">
        <v>1200</v>
      </c>
      <c r="J1821" s="1">
        <v>1200</v>
      </c>
      <c r="K1821">
        <v>600000</v>
      </c>
      <c r="L1821">
        <v>500</v>
      </c>
      <c r="M1821" t="s">
        <v>78</v>
      </c>
      <c r="N1821" t="s">
        <v>17</v>
      </c>
      <c r="O1821">
        <v>1</v>
      </c>
      <c r="P1821">
        <v>1234</v>
      </c>
      <c r="Q1821">
        <v>1105.0999999999999</v>
      </c>
    </row>
    <row r="1822" spans="2:17" x14ac:dyDescent="0.25">
      <c r="B1822" t="s">
        <v>78</v>
      </c>
      <c r="C1822" t="s">
        <v>3835</v>
      </c>
      <c r="D1822" t="s">
        <v>158</v>
      </c>
      <c r="E1822" t="s">
        <v>6515</v>
      </c>
      <c r="F1822">
        <v>11496.25</v>
      </c>
      <c r="G1822">
        <v>11480</v>
      </c>
      <c r="H1822">
        <v>11499</v>
      </c>
      <c r="I1822">
        <v>11463</v>
      </c>
      <c r="J1822" s="1">
        <v>11486</v>
      </c>
      <c r="K1822">
        <v>643153</v>
      </c>
      <c r="L1822">
        <v>56</v>
      </c>
      <c r="M1822" t="s">
        <v>78</v>
      </c>
      <c r="N1822" t="s">
        <v>17</v>
      </c>
      <c r="O1822">
        <v>13</v>
      </c>
      <c r="P1822">
        <v>12887</v>
      </c>
      <c r="Q1822">
        <v>10693</v>
      </c>
    </row>
    <row r="1823" spans="2:17" x14ac:dyDescent="0.25">
      <c r="B1823" t="s">
        <v>78</v>
      </c>
      <c r="C1823" t="s">
        <v>3841</v>
      </c>
      <c r="D1823" t="s">
        <v>3824</v>
      </c>
      <c r="E1823" t="s">
        <v>3842</v>
      </c>
      <c r="F1823">
        <v>378.91</v>
      </c>
      <c r="G1823">
        <v>397</v>
      </c>
      <c r="H1823">
        <v>397</v>
      </c>
      <c r="I1823">
        <v>350</v>
      </c>
      <c r="J1823" s="1">
        <v>354.38</v>
      </c>
      <c r="K1823">
        <v>50985.65</v>
      </c>
      <c r="L1823">
        <v>144</v>
      </c>
      <c r="M1823" t="s">
        <v>78</v>
      </c>
      <c r="N1823" t="s">
        <v>17</v>
      </c>
      <c r="O1823">
        <v>26</v>
      </c>
      <c r="P1823">
        <v>1015.82</v>
      </c>
      <c r="Q1823">
        <v>339.25</v>
      </c>
    </row>
    <row r="1824" spans="2:17" x14ac:dyDescent="0.25">
      <c r="B1824" t="s">
        <v>78</v>
      </c>
      <c r="C1824" t="s">
        <v>3841</v>
      </c>
      <c r="D1824" t="s">
        <v>3900</v>
      </c>
      <c r="E1824" t="s">
        <v>6514</v>
      </c>
      <c r="F1824">
        <v>995.1</v>
      </c>
      <c r="G1824">
        <v>995.1</v>
      </c>
      <c r="H1824">
        <v>999.99</v>
      </c>
      <c r="I1824">
        <v>995.1</v>
      </c>
      <c r="J1824" s="1">
        <v>999.43</v>
      </c>
      <c r="K1824">
        <v>377842.86</v>
      </c>
      <c r="L1824">
        <v>378</v>
      </c>
      <c r="M1824" t="s">
        <v>78</v>
      </c>
      <c r="N1824" t="s">
        <v>17</v>
      </c>
      <c r="O1824">
        <v>24</v>
      </c>
      <c r="P1824">
        <v>1180</v>
      </c>
      <c r="Q1824">
        <v>995.1</v>
      </c>
    </row>
    <row r="1825" spans="2:17" x14ac:dyDescent="0.25">
      <c r="B1825" t="s">
        <v>78</v>
      </c>
      <c r="C1825" t="s">
        <v>3841</v>
      </c>
      <c r="D1825" t="s">
        <v>3843</v>
      </c>
      <c r="E1825" t="s">
        <v>3844</v>
      </c>
      <c r="F1825">
        <v>790</v>
      </c>
      <c r="G1825">
        <v>837.5</v>
      </c>
      <c r="H1825">
        <v>860</v>
      </c>
      <c r="I1825">
        <v>785</v>
      </c>
      <c r="J1825" s="1">
        <v>820.2</v>
      </c>
      <c r="K1825">
        <v>230804.65</v>
      </c>
      <c r="L1825">
        <v>285</v>
      </c>
      <c r="M1825" t="s">
        <v>78</v>
      </c>
      <c r="N1825" t="s">
        <v>17</v>
      </c>
      <c r="O1825">
        <v>14</v>
      </c>
      <c r="P1825">
        <v>1059.8</v>
      </c>
      <c r="Q1825">
        <v>771</v>
      </c>
    </row>
    <row r="1826" spans="2:17" x14ac:dyDescent="0.25">
      <c r="B1826" t="s">
        <v>78</v>
      </c>
      <c r="C1826" t="s">
        <v>3841</v>
      </c>
      <c r="D1826" t="s">
        <v>3826</v>
      </c>
      <c r="E1826" t="s">
        <v>3845</v>
      </c>
      <c r="F1826">
        <v>809.09</v>
      </c>
      <c r="G1826">
        <v>805</v>
      </c>
      <c r="H1826">
        <v>850</v>
      </c>
      <c r="I1826">
        <v>805</v>
      </c>
      <c r="J1826" s="1">
        <v>850</v>
      </c>
      <c r="K1826">
        <v>32380</v>
      </c>
      <c r="L1826">
        <v>40</v>
      </c>
      <c r="M1826" t="s">
        <v>78</v>
      </c>
      <c r="N1826" t="s">
        <v>17</v>
      </c>
      <c r="O1826">
        <v>2</v>
      </c>
      <c r="P1826">
        <v>1010</v>
      </c>
      <c r="Q1826">
        <v>801</v>
      </c>
    </row>
    <row r="1827" spans="2:17" x14ac:dyDescent="0.25">
      <c r="B1827" t="s">
        <v>78</v>
      </c>
      <c r="C1827" t="s">
        <v>3841</v>
      </c>
      <c r="D1827" t="s">
        <v>1292</v>
      </c>
      <c r="E1827" t="s">
        <v>3847</v>
      </c>
      <c r="F1827">
        <v>958.5</v>
      </c>
      <c r="G1827">
        <v>925</v>
      </c>
      <c r="H1827">
        <v>925</v>
      </c>
      <c r="I1827">
        <v>925</v>
      </c>
      <c r="J1827" s="1">
        <v>925</v>
      </c>
      <c r="K1827">
        <v>12025</v>
      </c>
      <c r="L1827">
        <v>13</v>
      </c>
      <c r="M1827" t="s">
        <v>78</v>
      </c>
      <c r="N1827" t="s">
        <v>17</v>
      </c>
      <c r="O1827">
        <v>1</v>
      </c>
      <c r="P1827">
        <v>1083.99</v>
      </c>
      <c r="Q1827">
        <v>811.5</v>
      </c>
    </row>
    <row r="1828" spans="2:17" x14ac:dyDescent="0.25">
      <c r="B1828" t="s">
        <v>78</v>
      </c>
      <c r="C1828" t="s">
        <v>3841</v>
      </c>
      <c r="D1828" t="s">
        <v>6513</v>
      </c>
      <c r="E1828" t="s">
        <v>6512</v>
      </c>
      <c r="F1828">
        <v>990</v>
      </c>
      <c r="G1828">
        <v>990</v>
      </c>
      <c r="H1828">
        <v>990</v>
      </c>
      <c r="I1828">
        <v>990</v>
      </c>
      <c r="J1828" s="1">
        <v>990</v>
      </c>
      <c r="K1828">
        <v>79200</v>
      </c>
      <c r="L1828">
        <v>80</v>
      </c>
      <c r="M1828" t="s">
        <v>78</v>
      </c>
      <c r="N1828" t="s">
        <v>17</v>
      </c>
      <c r="O1828">
        <v>2</v>
      </c>
      <c r="P1828">
        <v>1206</v>
      </c>
      <c r="Q1828">
        <v>901.02</v>
      </c>
    </row>
    <row r="1829" spans="2:17" x14ac:dyDescent="0.25">
      <c r="B1829" t="s">
        <v>78</v>
      </c>
      <c r="C1829" t="s">
        <v>3841</v>
      </c>
      <c r="D1829" t="s">
        <v>1306</v>
      </c>
      <c r="E1829" t="s">
        <v>6511</v>
      </c>
      <c r="F1829">
        <v>9080</v>
      </c>
      <c r="G1829">
        <v>9100</v>
      </c>
      <c r="H1829">
        <v>9100</v>
      </c>
      <c r="I1829">
        <v>9100</v>
      </c>
      <c r="J1829" s="1">
        <v>9100</v>
      </c>
      <c r="K1829">
        <v>18200</v>
      </c>
      <c r="L1829">
        <v>2</v>
      </c>
      <c r="M1829" t="s">
        <v>78</v>
      </c>
      <c r="N1829" t="s">
        <v>17</v>
      </c>
      <c r="O1829">
        <v>1</v>
      </c>
      <c r="P1829">
        <v>9325</v>
      </c>
      <c r="Q1829">
        <v>7615</v>
      </c>
    </row>
    <row r="1830" spans="2:17" x14ac:dyDescent="0.25">
      <c r="B1830" t="s">
        <v>78</v>
      </c>
      <c r="C1830" t="s">
        <v>3841</v>
      </c>
      <c r="D1830" t="s">
        <v>6510</v>
      </c>
      <c r="E1830" t="s">
        <v>6509</v>
      </c>
      <c r="F1830">
        <v>1883.08</v>
      </c>
      <c r="G1830">
        <v>1881.55</v>
      </c>
      <c r="H1830">
        <v>1885</v>
      </c>
      <c r="I1830">
        <v>1881.55</v>
      </c>
      <c r="J1830" s="1">
        <v>1885</v>
      </c>
      <c r="K1830">
        <v>674370.15</v>
      </c>
      <c r="L1830">
        <v>358</v>
      </c>
      <c r="M1830" t="s">
        <v>78</v>
      </c>
      <c r="N1830" t="s">
        <v>17</v>
      </c>
      <c r="O1830">
        <v>17</v>
      </c>
      <c r="P1830">
        <v>1900</v>
      </c>
      <c r="Q1830">
        <v>1678.85</v>
      </c>
    </row>
    <row r="1831" spans="2:17" x14ac:dyDescent="0.25">
      <c r="B1831" t="s">
        <v>78</v>
      </c>
      <c r="C1831" t="s">
        <v>3841</v>
      </c>
      <c r="D1831" t="s">
        <v>3800</v>
      </c>
      <c r="E1831" t="s">
        <v>3849</v>
      </c>
      <c r="F1831">
        <v>1258.8499999999999</v>
      </c>
      <c r="G1831">
        <v>1258</v>
      </c>
      <c r="H1831">
        <v>1268</v>
      </c>
      <c r="I1831">
        <v>1251</v>
      </c>
      <c r="J1831" s="1">
        <v>1260</v>
      </c>
      <c r="K1831">
        <v>3599212.8</v>
      </c>
      <c r="L1831">
        <v>2862</v>
      </c>
      <c r="M1831" t="s">
        <v>78</v>
      </c>
      <c r="N1831" t="s">
        <v>17</v>
      </c>
      <c r="O1831">
        <v>121</v>
      </c>
      <c r="P1831">
        <v>1280</v>
      </c>
      <c r="Q1831">
        <v>1101</v>
      </c>
    </row>
    <row r="1832" spans="2:17" x14ac:dyDescent="0.25">
      <c r="B1832" t="s">
        <v>78</v>
      </c>
      <c r="C1832" t="s">
        <v>3841</v>
      </c>
      <c r="D1832" t="s">
        <v>3850</v>
      </c>
      <c r="E1832" t="s">
        <v>3851</v>
      </c>
      <c r="F1832">
        <v>6672</v>
      </c>
      <c r="G1832">
        <v>6700</v>
      </c>
      <c r="H1832">
        <v>6700</v>
      </c>
      <c r="I1832">
        <v>6676</v>
      </c>
      <c r="J1832" s="1">
        <v>6676</v>
      </c>
      <c r="K1832">
        <v>33404</v>
      </c>
      <c r="L1832">
        <v>5</v>
      </c>
      <c r="M1832" t="s">
        <v>78</v>
      </c>
      <c r="N1832" t="s">
        <v>17</v>
      </c>
      <c r="O1832">
        <v>2</v>
      </c>
      <c r="P1832">
        <v>7474</v>
      </c>
      <c r="Q1832">
        <v>6302</v>
      </c>
    </row>
    <row r="1833" spans="2:17" x14ac:dyDescent="0.25">
      <c r="B1833" t="s">
        <v>78</v>
      </c>
      <c r="C1833" t="s">
        <v>3841</v>
      </c>
      <c r="D1833" t="s">
        <v>6508</v>
      </c>
      <c r="E1833" t="s">
        <v>4719</v>
      </c>
      <c r="F1833">
        <v>6180</v>
      </c>
      <c r="G1833">
        <v>6230</v>
      </c>
      <c r="H1833">
        <v>6230</v>
      </c>
      <c r="I1833">
        <v>6150</v>
      </c>
      <c r="J1833" s="1">
        <v>6150</v>
      </c>
      <c r="K1833">
        <v>552846</v>
      </c>
      <c r="L1833">
        <v>89</v>
      </c>
      <c r="M1833" t="s">
        <v>78</v>
      </c>
      <c r="N1833" t="s">
        <v>17</v>
      </c>
      <c r="O1833">
        <v>6</v>
      </c>
      <c r="P1833">
        <v>6375</v>
      </c>
      <c r="Q1833">
        <v>5825</v>
      </c>
    </row>
    <row r="1834" spans="2:17" x14ac:dyDescent="0.25">
      <c r="B1834" t="s">
        <v>78</v>
      </c>
      <c r="C1834" t="s">
        <v>3841</v>
      </c>
      <c r="D1834" t="s">
        <v>1935</v>
      </c>
      <c r="E1834" t="s">
        <v>3852</v>
      </c>
      <c r="F1834">
        <v>1282</v>
      </c>
      <c r="G1834">
        <v>1271.83</v>
      </c>
      <c r="H1834">
        <v>1293.5</v>
      </c>
      <c r="I1834">
        <v>1271.83</v>
      </c>
      <c r="J1834" s="1">
        <v>1293.5</v>
      </c>
      <c r="K1834">
        <v>456166.08</v>
      </c>
      <c r="L1834">
        <v>356</v>
      </c>
      <c r="M1834" t="s">
        <v>78</v>
      </c>
      <c r="N1834" t="s">
        <v>17</v>
      </c>
      <c r="O1834">
        <v>8</v>
      </c>
      <c r="P1834">
        <v>1339.75</v>
      </c>
      <c r="Q1834">
        <v>1220</v>
      </c>
    </row>
    <row r="1835" spans="2:17" x14ac:dyDescent="0.25">
      <c r="B1835" t="s">
        <v>78</v>
      </c>
      <c r="C1835" t="s">
        <v>3841</v>
      </c>
      <c r="D1835" t="s">
        <v>148</v>
      </c>
      <c r="E1835" t="s">
        <v>3853</v>
      </c>
      <c r="F1835">
        <v>1333.6</v>
      </c>
      <c r="G1835">
        <v>1344.99</v>
      </c>
      <c r="H1835">
        <v>1344.99</v>
      </c>
      <c r="I1835">
        <v>1310.06</v>
      </c>
      <c r="J1835" s="1">
        <v>1312.04</v>
      </c>
      <c r="K1835">
        <v>11927.19</v>
      </c>
      <c r="L1835">
        <v>9</v>
      </c>
      <c r="M1835" t="s">
        <v>78</v>
      </c>
      <c r="N1835" t="s">
        <v>17</v>
      </c>
      <c r="O1835">
        <v>4</v>
      </c>
      <c r="P1835">
        <v>1521.9</v>
      </c>
      <c r="Q1835">
        <v>1240</v>
      </c>
    </row>
    <row r="1836" spans="2:17" x14ac:dyDescent="0.25">
      <c r="B1836" t="s">
        <v>78</v>
      </c>
      <c r="C1836" t="s">
        <v>3841</v>
      </c>
      <c r="D1836" t="s">
        <v>258</v>
      </c>
      <c r="E1836" t="s">
        <v>3854</v>
      </c>
      <c r="F1836">
        <v>1150</v>
      </c>
      <c r="G1836">
        <v>1152</v>
      </c>
      <c r="H1836">
        <v>1152</v>
      </c>
      <c r="I1836">
        <v>1152</v>
      </c>
      <c r="J1836" s="1">
        <v>1152</v>
      </c>
      <c r="K1836">
        <v>11520</v>
      </c>
      <c r="L1836">
        <v>10</v>
      </c>
      <c r="M1836" t="s">
        <v>78</v>
      </c>
      <c r="N1836" t="s">
        <v>17</v>
      </c>
      <c r="O1836">
        <v>1</v>
      </c>
      <c r="P1836">
        <v>1399.99</v>
      </c>
      <c r="Q1836">
        <v>1058.51</v>
      </c>
    </row>
    <row r="1837" spans="2:17" x14ac:dyDescent="0.25">
      <c r="B1837" t="s">
        <v>78</v>
      </c>
      <c r="C1837" t="s">
        <v>3841</v>
      </c>
      <c r="D1837" t="s">
        <v>2215</v>
      </c>
      <c r="E1837" t="s">
        <v>3855</v>
      </c>
      <c r="F1837">
        <v>1244</v>
      </c>
      <c r="G1837">
        <v>1244</v>
      </c>
      <c r="H1837">
        <v>1244</v>
      </c>
      <c r="I1837">
        <v>1244</v>
      </c>
      <c r="J1837" s="1">
        <v>1244</v>
      </c>
      <c r="K1837">
        <v>97032</v>
      </c>
      <c r="L1837">
        <v>78</v>
      </c>
      <c r="M1837" t="s">
        <v>78</v>
      </c>
      <c r="N1837" t="s">
        <v>17</v>
      </c>
      <c r="O1837">
        <v>1</v>
      </c>
      <c r="P1837">
        <v>1389</v>
      </c>
      <c r="Q1837">
        <v>1125</v>
      </c>
    </row>
    <row r="1838" spans="2:17" x14ac:dyDescent="0.25">
      <c r="B1838" t="s">
        <v>78</v>
      </c>
      <c r="C1838" t="s">
        <v>3841</v>
      </c>
      <c r="D1838" t="s">
        <v>158</v>
      </c>
      <c r="E1838" t="s">
        <v>6507</v>
      </c>
      <c r="F1838">
        <v>11224.75</v>
      </c>
      <c r="G1838">
        <v>11100</v>
      </c>
      <c r="H1838">
        <v>11200</v>
      </c>
      <c r="I1838">
        <v>11100</v>
      </c>
      <c r="J1838" s="1">
        <v>11200</v>
      </c>
      <c r="K1838">
        <v>244992</v>
      </c>
      <c r="L1838">
        <v>22</v>
      </c>
      <c r="M1838" t="s">
        <v>78</v>
      </c>
      <c r="N1838" t="s">
        <v>17</v>
      </c>
      <c r="O1838">
        <v>8</v>
      </c>
      <c r="P1838">
        <v>11875</v>
      </c>
      <c r="Q1838">
        <v>10404.200000000001</v>
      </c>
    </row>
    <row r="1839" spans="2:17" x14ac:dyDescent="0.25">
      <c r="B1839" t="s">
        <v>78</v>
      </c>
      <c r="C1839" t="s">
        <v>3856</v>
      </c>
      <c r="D1839" t="s">
        <v>3824</v>
      </c>
      <c r="E1839" t="s">
        <v>6506</v>
      </c>
      <c r="F1839">
        <v>675</v>
      </c>
      <c r="G1839">
        <v>700</v>
      </c>
      <c r="H1839">
        <v>700</v>
      </c>
      <c r="I1839">
        <v>670</v>
      </c>
      <c r="J1839" s="1">
        <v>700</v>
      </c>
      <c r="K1839">
        <v>104850</v>
      </c>
      <c r="L1839">
        <v>156</v>
      </c>
      <c r="M1839" t="s">
        <v>78</v>
      </c>
      <c r="N1839" t="s">
        <v>17</v>
      </c>
      <c r="O1839">
        <v>3</v>
      </c>
      <c r="P1839">
        <v>1020</v>
      </c>
      <c r="Q1839">
        <v>670</v>
      </c>
    </row>
    <row r="1840" spans="2:17" x14ac:dyDescent="0.25">
      <c r="B1840" t="s">
        <v>78</v>
      </c>
      <c r="C1840" t="s">
        <v>3856</v>
      </c>
      <c r="D1840" t="s">
        <v>3808</v>
      </c>
      <c r="E1840" t="s">
        <v>4710</v>
      </c>
      <c r="F1840">
        <v>1186</v>
      </c>
      <c r="G1840">
        <v>1170</v>
      </c>
      <c r="H1840">
        <v>1195</v>
      </c>
      <c r="I1840">
        <v>1162</v>
      </c>
      <c r="J1840" s="1">
        <v>1195</v>
      </c>
      <c r="K1840">
        <v>196451</v>
      </c>
      <c r="L1840">
        <v>169</v>
      </c>
      <c r="M1840" t="s">
        <v>78</v>
      </c>
      <c r="N1840" t="s">
        <v>17</v>
      </c>
      <c r="O1840">
        <v>4</v>
      </c>
      <c r="P1840">
        <v>1195</v>
      </c>
      <c r="Q1840">
        <v>1082.45</v>
      </c>
    </row>
    <row r="1841" spans="2:17" x14ac:dyDescent="0.25">
      <c r="B1841" t="s">
        <v>78</v>
      </c>
      <c r="C1841" t="s">
        <v>3856</v>
      </c>
      <c r="D1841" t="s">
        <v>148</v>
      </c>
      <c r="E1841" t="s">
        <v>3858</v>
      </c>
      <c r="F1841">
        <v>13.09</v>
      </c>
      <c r="G1841">
        <v>13</v>
      </c>
      <c r="H1841">
        <v>13.1</v>
      </c>
      <c r="I1841">
        <v>13</v>
      </c>
      <c r="J1841" s="1">
        <v>13.09</v>
      </c>
      <c r="K1841">
        <v>326206.21000000002</v>
      </c>
      <c r="L1841">
        <v>24964</v>
      </c>
      <c r="M1841" t="s">
        <v>78</v>
      </c>
      <c r="N1841" t="s">
        <v>17</v>
      </c>
      <c r="O1841">
        <v>70</v>
      </c>
      <c r="P1841">
        <v>13.79</v>
      </c>
      <c r="Q1841">
        <v>11</v>
      </c>
    </row>
    <row r="1842" spans="2:17" x14ac:dyDescent="0.25">
      <c r="B1842" t="s">
        <v>78</v>
      </c>
      <c r="C1842" t="s">
        <v>3859</v>
      </c>
      <c r="D1842" t="s">
        <v>3824</v>
      </c>
      <c r="E1842" t="s">
        <v>6505</v>
      </c>
      <c r="F1842">
        <v>681.29</v>
      </c>
      <c r="G1842">
        <v>700</v>
      </c>
      <c r="H1842">
        <v>700</v>
      </c>
      <c r="I1842">
        <v>656</v>
      </c>
      <c r="J1842" s="1">
        <v>680</v>
      </c>
      <c r="K1842">
        <v>187180</v>
      </c>
      <c r="L1842">
        <v>275</v>
      </c>
      <c r="M1842" t="s">
        <v>78</v>
      </c>
      <c r="N1842" t="s">
        <v>17</v>
      </c>
      <c r="O1842">
        <v>7</v>
      </c>
      <c r="P1842">
        <v>1090</v>
      </c>
      <c r="Q1842">
        <v>656</v>
      </c>
    </row>
    <row r="1843" spans="2:17" x14ac:dyDescent="0.25">
      <c r="B1843" t="s">
        <v>78</v>
      </c>
      <c r="C1843" t="s">
        <v>3859</v>
      </c>
      <c r="D1843" t="s">
        <v>3862</v>
      </c>
      <c r="E1843" t="s">
        <v>3863</v>
      </c>
      <c r="F1843">
        <v>1035</v>
      </c>
      <c r="G1843">
        <v>1035</v>
      </c>
      <c r="H1843">
        <v>1041</v>
      </c>
      <c r="I1843">
        <v>1025.3599999999999</v>
      </c>
      <c r="J1843" s="1">
        <v>1030.21</v>
      </c>
      <c r="K1843">
        <v>870210.2</v>
      </c>
      <c r="L1843">
        <v>844</v>
      </c>
      <c r="M1843" t="s">
        <v>78</v>
      </c>
      <c r="N1843" t="s">
        <v>17</v>
      </c>
      <c r="O1843">
        <v>17</v>
      </c>
      <c r="P1843">
        <v>1200</v>
      </c>
      <c r="Q1843">
        <v>985.06</v>
      </c>
    </row>
    <row r="1844" spans="2:17" x14ac:dyDescent="0.25">
      <c r="B1844" t="s">
        <v>78</v>
      </c>
      <c r="C1844" t="s">
        <v>3859</v>
      </c>
      <c r="D1844" t="s">
        <v>3800</v>
      </c>
      <c r="E1844" t="s">
        <v>3864</v>
      </c>
      <c r="F1844">
        <v>1100</v>
      </c>
      <c r="G1844">
        <v>1083.51</v>
      </c>
      <c r="H1844">
        <v>1090</v>
      </c>
      <c r="I1844">
        <v>1083.5</v>
      </c>
      <c r="J1844" s="1">
        <v>1090</v>
      </c>
      <c r="K1844">
        <v>570300.31000000006</v>
      </c>
      <c r="L1844">
        <v>525</v>
      </c>
      <c r="M1844" t="s">
        <v>78</v>
      </c>
      <c r="N1844" t="s">
        <v>17</v>
      </c>
      <c r="O1844">
        <v>3</v>
      </c>
      <c r="P1844">
        <v>1292</v>
      </c>
      <c r="Q1844">
        <v>1054</v>
      </c>
    </row>
    <row r="1845" spans="2:17" x14ac:dyDescent="0.25">
      <c r="B1845" t="s">
        <v>78</v>
      </c>
      <c r="C1845" t="s">
        <v>3859</v>
      </c>
      <c r="D1845" t="s">
        <v>258</v>
      </c>
      <c r="E1845" t="s">
        <v>3865</v>
      </c>
      <c r="F1845">
        <v>1330</v>
      </c>
      <c r="G1845">
        <v>1330</v>
      </c>
      <c r="H1845">
        <v>1330</v>
      </c>
      <c r="I1845">
        <v>1325</v>
      </c>
      <c r="J1845" s="1">
        <v>1325.06</v>
      </c>
      <c r="K1845">
        <v>1584687.1</v>
      </c>
      <c r="L1845">
        <v>1192</v>
      </c>
      <c r="M1845" t="s">
        <v>78</v>
      </c>
      <c r="N1845" t="s">
        <v>17</v>
      </c>
      <c r="O1845">
        <v>27</v>
      </c>
      <c r="P1845">
        <v>1339</v>
      </c>
      <c r="Q1845">
        <v>1101</v>
      </c>
    </row>
    <row r="1846" spans="2:17" x14ac:dyDescent="0.25">
      <c r="B1846" t="s">
        <v>78</v>
      </c>
      <c r="C1846" t="s">
        <v>3859</v>
      </c>
      <c r="D1846" t="s">
        <v>2215</v>
      </c>
      <c r="E1846" t="s">
        <v>3866</v>
      </c>
      <c r="F1846">
        <v>1189.3</v>
      </c>
      <c r="G1846">
        <v>1189</v>
      </c>
      <c r="H1846">
        <v>1189</v>
      </c>
      <c r="I1846">
        <v>1179</v>
      </c>
      <c r="J1846" s="1">
        <v>1179</v>
      </c>
      <c r="K1846">
        <v>930653.5</v>
      </c>
      <c r="L1846">
        <v>785</v>
      </c>
      <c r="M1846" t="s">
        <v>78</v>
      </c>
      <c r="N1846" t="s">
        <v>17</v>
      </c>
      <c r="O1846">
        <v>8</v>
      </c>
      <c r="P1846">
        <v>1189.3</v>
      </c>
      <c r="Q1846">
        <v>1030.4000000000001</v>
      </c>
    </row>
    <row r="1847" spans="2:17" x14ac:dyDescent="0.25">
      <c r="B1847" t="s">
        <v>78</v>
      </c>
      <c r="C1847" t="s">
        <v>3859</v>
      </c>
      <c r="D1847" t="s">
        <v>3395</v>
      </c>
      <c r="E1847" t="s">
        <v>6504</v>
      </c>
      <c r="F1847">
        <v>338.95</v>
      </c>
      <c r="G1847">
        <v>325</v>
      </c>
      <c r="H1847">
        <v>325</v>
      </c>
      <c r="I1847">
        <v>300</v>
      </c>
      <c r="J1847" s="1">
        <v>300</v>
      </c>
      <c r="K1847">
        <v>11000</v>
      </c>
      <c r="L1847">
        <v>35</v>
      </c>
      <c r="M1847" t="s">
        <v>78</v>
      </c>
      <c r="N1847" t="s">
        <v>17</v>
      </c>
      <c r="O1847">
        <v>3</v>
      </c>
      <c r="P1847">
        <v>1050</v>
      </c>
      <c r="Q1847">
        <v>244</v>
      </c>
    </row>
    <row r="1848" spans="2:17" x14ac:dyDescent="0.25">
      <c r="B1848" t="s">
        <v>78</v>
      </c>
      <c r="C1848" t="s">
        <v>3868</v>
      </c>
      <c r="D1848" t="s">
        <v>1286</v>
      </c>
      <c r="E1848" t="s">
        <v>3869</v>
      </c>
      <c r="F1848">
        <v>1170</v>
      </c>
      <c r="G1848">
        <v>1165</v>
      </c>
      <c r="H1848">
        <v>1165</v>
      </c>
      <c r="I1848">
        <v>1165</v>
      </c>
      <c r="J1848" s="1">
        <v>1165</v>
      </c>
      <c r="K1848">
        <v>2330</v>
      </c>
      <c r="L1848">
        <v>2</v>
      </c>
      <c r="M1848" t="s">
        <v>78</v>
      </c>
      <c r="N1848" t="s">
        <v>17</v>
      </c>
      <c r="O1848">
        <v>1</v>
      </c>
      <c r="P1848">
        <v>1188.8</v>
      </c>
      <c r="Q1848">
        <v>1070.01</v>
      </c>
    </row>
    <row r="1849" spans="2:17" x14ac:dyDescent="0.25">
      <c r="B1849" t="s">
        <v>78</v>
      </c>
      <c r="C1849" t="s">
        <v>3868</v>
      </c>
      <c r="D1849" t="s">
        <v>3828</v>
      </c>
      <c r="E1849" t="s">
        <v>3870</v>
      </c>
      <c r="F1849">
        <v>842</v>
      </c>
      <c r="G1849">
        <v>930.55</v>
      </c>
      <c r="H1849">
        <v>935</v>
      </c>
      <c r="I1849">
        <v>930.55</v>
      </c>
      <c r="J1849" s="1">
        <v>935</v>
      </c>
      <c r="K1849">
        <v>41033.199999999997</v>
      </c>
      <c r="L1849">
        <v>44</v>
      </c>
      <c r="M1849" t="s">
        <v>78</v>
      </c>
      <c r="N1849" t="s">
        <v>17</v>
      </c>
      <c r="O1849">
        <v>4</v>
      </c>
      <c r="P1849">
        <v>988.95</v>
      </c>
      <c r="Q1849">
        <v>755</v>
      </c>
    </row>
    <row r="1850" spans="2:17" x14ac:dyDescent="0.25">
      <c r="B1850" t="s">
        <v>78</v>
      </c>
      <c r="C1850" t="s">
        <v>3868</v>
      </c>
      <c r="D1850" t="s">
        <v>1306</v>
      </c>
      <c r="E1850" t="s">
        <v>3871</v>
      </c>
      <c r="F1850">
        <v>5005</v>
      </c>
      <c r="G1850">
        <v>4992.01</v>
      </c>
      <c r="H1850">
        <v>5000.01</v>
      </c>
      <c r="I1850">
        <v>4992.01</v>
      </c>
      <c r="J1850" s="1">
        <v>5000.01</v>
      </c>
      <c r="K1850">
        <v>39968.080000000002</v>
      </c>
      <c r="L1850">
        <v>8</v>
      </c>
      <c r="M1850" t="s">
        <v>78</v>
      </c>
      <c r="N1850" t="s">
        <v>17</v>
      </c>
      <c r="O1850">
        <v>2</v>
      </c>
      <c r="P1850">
        <v>5400</v>
      </c>
      <c r="Q1850">
        <v>4700</v>
      </c>
    </row>
    <row r="1851" spans="2:17" x14ac:dyDescent="0.25">
      <c r="B1851" t="s">
        <v>78</v>
      </c>
      <c r="C1851" t="s">
        <v>3868</v>
      </c>
      <c r="D1851" t="s">
        <v>1417</v>
      </c>
      <c r="E1851" t="s">
        <v>3873</v>
      </c>
      <c r="F1851">
        <v>1145</v>
      </c>
      <c r="G1851">
        <v>1159.8</v>
      </c>
      <c r="H1851">
        <v>1159.8</v>
      </c>
      <c r="I1851">
        <v>1159.8</v>
      </c>
      <c r="J1851" s="1">
        <v>1159.8</v>
      </c>
      <c r="K1851">
        <v>11598</v>
      </c>
      <c r="L1851">
        <v>10</v>
      </c>
      <c r="M1851" t="s">
        <v>78</v>
      </c>
      <c r="N1851" t="s">
        <v>17</v>
      </c>
      <c r="O1851">
        <v>1</v>
      </c>
      <c r="P1851">
        <v>1386</v>
      </c>
      <c r="Q1851">
        <v>1050.5999999999999</v>
      </c>
    </row>
    <row r="1852" spans="2:17" x14ac:dyDescent="0.25">
      <c r="B1852" t="s">
        <v>78</v>
      </c>
      <c r="C1852" t="s">
        <v>3868</v>
      </c>
      <c r="D1852" t="s">
        <v>2215</v>
      </c>
      <c r="E1852" t="s">
        <v>3874</v>
      </c>
      <c r="F1852">
        <v>1231.0999999999999</v>
      </c>
      <c r="G1852">
        <v>1238</v>
      </c>
      <c r="H1852">
        <v>1247</v>
      </c>
      <c r="I1852">
        <v>1238</v>
      </c>
      <c r="J1852" s="1">
        <v>1246.5</v>
      </c>
      <c r="K1852">
        <v>2391601.4</v>
      </c>
      <c r="L1852">
        <v>1929</v>
      </c>
      <c r="M1852" t="s">
        <v>78</v>
      </c>
      <c r="N1852" t="s">
        <v>17</v>
      </c>
      <c r="O1852">
        <v>13</v>
      </c>
      <c r="P1852">
        <v>1290</v>
      </c>
      <c r="Q1852">
        <v>1130</v>
      </c>
    </row>
    <row r="1853" spans="2:17" x14ac:dyDescent="0.25">
      <c r="B1853" t="s">
        <v>78</v>
      </c>
      <c r="C1853" t="s">
        <v>3875</v>
      </c>
      <c r="D1853" t="s">
        <v>3824</v>
      </c>
      <c r="E1853" t="s">
        <v>3876</v>
      </c>
      <c r="F1853">
        <v>491.99</v>
      </c>
      <c r="G1853">
        <v>581</v>
      </c>
      <c r="H1853">
        <v>581</v>
      </c>
      <c r="I1853">
        <v>439.98</v>
      </c>
      <c r="J1853" s="1">
        <v>439.98</v>
      </c>
      <c r="K1853">
        <v>35905.910000000003</v>
      </c>
      <c r="L1853">
        <v>80</v>
      </c>
      <c r="M1853" t="s">
        <v>78</v>
      </c>
      <c r="N1853" t="s">
        <v>17</v>
      </c>
      <c r="O1853">
        <v>15</v>
      </c>
      <c r="P1853">
        <v>1090</v>
      </c>
      <c r="Q1853">
        <v>363.01</v>
      </c>
    </row>
    <row r="1854" spans="2:17" x14ac:dyDescent="0.25">
      <c r="B1854" t="s">
        <v>78</v>
      </c>
      <c r="C1854" t="s">
        <v>3875</v>
      </c>
      <c r="D1854" t="s">
        <v>1292</v>
      </c>
      <c r="E1854" t="s">
        <v>3877</v>
      </c>
      <c r="F1854">
        <v>924</v>
      </c>
      <c r="G1854">
        <v>928</v>
      </c>
      <c r="H1854">
        <v>928</v>
      </c>
      <c r="I1854">
        <v>830</v>
      </c>
      <c r="J1854" s="1">
        <v>850</v>
      </c>
      <c r="K1854">
        <v>311350</v>
      </c>
      <c r="L1854">
        <v>364</v>
      </c>
      <c r="M1854" t="s">
        <v>78</v>
      </c>
      <c r="N1854" t="s">
        <v>17</v>
      </c>
      <c r="O1854">
        <v>9</v>
      </c>
      <c r="P1854">
        <v>1200</v>
      </c>
      <c r="Q1854">
        <v>720</v>
      </c>
    </row>
    <row r="1855" spans="2:17" x14ac:dyDescent="0.25">
      <c r="B1855" t="s">
        <v>78</v>
      </c>
      <c r="C1855" t="s">
        <v>3875</v>
      </c>
      <c r="D1855" t="s">
        <v>1306</v>
      </c>
      <c r="E1855" t="s">
        <v>3878</v>
      </c>
      <c r="F1855">
        <v>9100</v>
      </c>
      <c r="G1855">
        <v>9100</v>
      </c>
      <c r="H1855">
        <v>10000</v>
      </c>
      <c r="I1855">
        <v>9100</v>
      </c>
      <c r="J1855" s="1">
        <v>9480</v>
      </c>
      <c r="K1855">
        <v>64980</v>
      </c>
      <c r="L1855">
        <v>7</v>
      </c>
      <c r="M1855" t="s">
        <v>78</v>
      </c>
      <c r="N1855" t="s">
        <v>17</v>
      </c>
      <c r="O1855">
        <v>4</v>
      </c>
      <c r="P1855">
        <v>10000</v>
      </c>
      <c r="Q1855">
        <v>8310</v>
      </c>
    </row>
    <row r="1856" spans="2:17" x14ac:dyDescent="0.25">
      <c r="B1856" t="s">
        <v>78</v>
      </c>
      <c r="C1856" t="s">
        <v>3875</v>
      </c>
      <c r="D1856" t="s">
        <v>1417</v>
      </c>
      <c r="E1856" t="s">
        <v>3880</v>
      </c>
      <c r="F1856">
        <v>1220</v>
      </c>
      <c r="G1856">
        <v>1200</v>
      </c>
      <c r="H1856">
        <v>1220</v>
      </c>
      <c r="I1856">
        <v>1200</v>
      </c>
      <c r="J1856" s="1">
        <v>1220</v>
      </c>
      <c r="K1856">
        <v>158690</v>
      </c>
      <c r="L1856">
        <v>131</v>
      </c>
      <c r="M1856" t="s">
        <v>78</v>
      </c>
      <c r="N1856" t="s">
        <v>17</v>
      </c>
      <c r="O1856">
        <v>9</v>
      </c>
      <c r="P1856">
        <v>1464</v>
      </c>
      <c r="Q1856">
        <v>1165.1500000000001</v>
      </c>
    </row>
    <row r="1857" spans="2:17" x14ac:dyDescent="0.25">
      <c r="B1857" t="s">
        <v>78</v>
      </c>
      <c r="C1857" t="s">
        <v>3875</v>
      </c>
      <c r="D1857" t="s">
        <v>3800</v>
      </c>
      <c r="E1857" t="s">
        <v>3882</v>
      </c>
      <c r="F1857">
        <v>1153.02</v>
      </c>
      <c r="G1857">
        <v>1153.02</v>
      </c>
      <c r="H1857">
        <v>1169.7</v>
      </c>
      <c r="I1857">
        <v>1153</v>
      </c>
      <c r="J1857" s="1">
        <v>1168.2</v>
      </c>
      <c r="K1857">
        <v>2347036.9700000002</v>
      </c>
      <c r="L1857">
        <v>2023</v>
      </c>
      <c r="M1857" t="s">
        <v>78</v>
      </c>
      <c r="N1857" t="s">
        <v>17</v>
      </c>
      <c r="O1857">
        <v>45</v>
      </c>
      <c r="P1857">
        <v>1178</v>
      </c>
      <c r="Q1857">
        <v>1070.0999999999999</v>
      </c>
    </row>
    <row r="1858" spans="2:17" x14ac:dyDescent="0.25">
      <c r="B1858" t="s">
        <v>78</v>
      </c>
      <c r="C1858" t="s">
        <v>3885</v>
      </c>
      <c r="D1858" t="s">
        <v>3900</v>
      </c>
      <c r="E1858" t="s">
        <v>6503</v>
      </c>
      <c r="F1858">
        <v>984.79</v>
      </c>
      <c r="G1858">
        <v>951</v>
      </c>
      <c r="H1858">
        <v>989.99</v>
      </c>
      <c r="I1858">
        <v>899.99</v>
      </c>
      <c r="J1858" s="1">
        <v>975.1</v>
      </c>
      <c r="K1858">
        <v>438913.6</v>
      </c>
      <c r="L1858">
        <v>454</v>
      </c>
      <c r="M1858" t="s">
        <v>78</v>
      </c>
      <c r="N1858" t="s">
        <v>17</v>
      </c>
      <c r="O1858">
        <v>20</v>
      </c>
      <c r="P1858">
        <v>1030</v>
      </c>
      <c r="Q1858">
        <v>899.99</v>
      </c>
    </row>
    <row r="1859" spans="2:17" x14ac:dyDescent="0.25">
      <c r="B1859" t="s">
        <v>78</v>
      </c>
      <c r="C1859" t="s">
        <v>3885</v>
      </c>
      <c r="D1859" t="s">
        <v>3828</v>
      </c>
      <c r="E1859" t="s">
        <v>4671</v>
      </c>
      <c r="F1859">
        <v>825</v>
      </c>
      <c r="G1859">
        <v>825</v>
      </c>
      <c r="H1859">
        <v>849.9</v>
      </c>
      <c r="I1859">
        <v>825</v>
      </c>
      <c r="J1859" s="1">
        <v>849.9</v>
      </c>
      <c r="K1859">
        <v>93340</v>
      </c>
      <c r="L1859">
        <v>110</v>
      </c>
      <c r="M1859" t="s">
        <v>78</v>
      </c>
      <c r="N1859" t="s">
        <v>17</v>
      </c>
      <c r="O1859">
        <v>4</v>
      </c>
      <c r="P1859">
        <v>990</v>
      </c>
      <c r="Q1859">
        <v>720.05</v>
      </c>
    </row>
    <row r="1860" spans="2:17" x14ac:dyDescent="0.25">
      <c r="B1860" t="s">
        <v>78</v>
      </c>
      <c r="C1860" t="s">
        <v>3885</v>
      </c>
      <c r="D1860" t="s">
        <v>1306</v>
      </c>
      <c r="E1860" t="s">
        <v>3886</v>
      </c>
      <c r="F1860">
        <v>4921.24</v>
      </c>
      <c r="G1860">
        <v>4950</v>
      </c>
      <c r="H1860">
        <v>4950</v>
      </c>
      <c r="I1860">
        <v>4925</v>
      </c>
      <c r="J1860" s="1">
        <v>4927.5</v>
      </c>
      <c r="K1860">
        <v>64060.08</v>
      </c>
      <c r="L1860">
        <v>13</v>
      </c>
      <c r="M1860" t="s">
        <v>78</v>
      </c>
      <c r="N1860" t="s">
        <v>17</v>
      </c>
      <c r="O1860">
        <v>5</v>
      </c>
      <c r="P1860">
        <v>5400</v>
      </c>
      <c r="Q1860">
        <v>4800</v>
      </c>
    </row>
    <row r="1861" spans="2:17" x14ac:dyDescent="0.25">
      <c r="B1861" t="s">
        <v>78</v>
      </c>
      <c r="C1861" t="s">
        <v>3885</v>
      </c>
      <c r="D1861" t="s">
        <v>3889</v>
      </c>
      <c r="E1861" t="s">
        <v>3890</v>
      </c>
      <c r="F1861">
        <v>1070.99</v>
      </c>
      <c r="G1861">
        <v>1069</v>
      </c>
      <c r="H1861">
        <v>1070</v>
      </c>
      <c r="I1861">
        <v>1068.7</v>
      </c>
      <c r="J1861" s="1">
        <v>1069.74</v>
      </c>
      <c r="K1861">
        <v>785866.7</v>
      </c>
      <c r="L1861">
        <v>735</v>
      </c>
      <c r="M1861" t="s">
        <v>78</v>
      </c>
      <c r="N1861" t="s">
        <v>17</v>
      </c>
      <c r="O1861">
        <v>22</v>
      </c>
      <c r="P1861">
        <v>1072.7</v>
      </c>
      <c r="Q1861">
        <v>953</v>
      </c>
    </row>
    <row r="1862" spans="2:17" x14ac:dyDescent="0.25">
      <c r="B1862" t="s">
        <v>78</v>
      </c>
      <c r="C1862" t="s">
        <v>3891</v>
      </c>
      <c r="D1862" t="s">
        <v>3824</v>
      </c>
      <c r="E1862" t="s">
        <v>3892</v>
      </c>
      <c r="F1862">
        <v>339.94</v>
      </c>
      <c r="G1862">
        <v>340</v>
      </c>
      <c r="H1862">
        <v>340</v>
      </c>
      <c r="I1862">
        <v>328.49</v>
      </c>
      <c r="J1862" s="1">
        <v>334.31</v>
      </c>
      <c r="K1862">
        <v>82371.600000000006</v>
      </c>
      <c r="L1862">
        <v>246</v>
      </c>
      <c r="M1862" t="s">
        <v>78</v>
      </c>
      <c r="N1862" t="s">
        <v>17</v>
      </c>
      <c r="O1862">
        <v>17</v>
      </c>
      <c r="P1862">
        <v>1090</v>
      </c>
      <c r="Q1862">
        <v>318.18</v>
      </c>
    </row>
    <row r="1863" spans="2:17" x14ac:dyDescent="0.25">
      <c r="B1863" t="s">
        <v>78</v>
      </c>
      <c r="C1863" t="s">
        <v>3891</v>
      </c>
      <c r="D1863" t="s">
        <v>1306</v>
      </c>
      <c r="E1863" t="s">
        <v>3893</v>
      </c>
      <c r="F1863">
        <v>8700</v>
      </c>
      <c r="G1863">
        <v>8800</v>
      </c>
      <c r="H1863">
        <v>8800</v>
      </c>
      <c r="I1863">
        <v>8800</v>
      </c>
      <c r="J1863" s="1">
        <v>8800</v>
      </c>
      <c r="K1863">
        <v>2156000</v>
      </c>
      <c r="L1863">
        <v>245</v>
      </c>
      <c r="M1863" t="s">
        <v>78</v>
      </c>
      <c r="N1863" t="s">
        <v>17</v>
      </c>
      <c r="O1863">
        <v>15</v>
      </c>
      <c r="P1863">
        <v>8899.9</v>
      </c>
      <c r="Q1863">
        <v>7301</v>
      </c>
    </row>
    <row r="1864" spans="2:17" x14ac:dyDescent="0.25">
      <c r="B1864" t="s">
        <v>78</v>
      </c>
      <c r="C1864" t="s">
        <v>3891</v>
      </c>
      <c r="D1864" t="s">
        <v>148</v>
      </c>
      <c r="E1864" t="s">
        <v>6502</v>
      </c>
      <c r="F1864">
        <v>1200</v>
      </c>
      <c r="G1864">
        <v>1220</v>
      </c>
      <c r="H1864">
        <v>1220</v>
      </c>
      <c r="I1864">
        <v>1220</v>
      </c>
      <c r="J1864" s="1">
        <v>1220</v>
      </c>
      <c r="K1864">
        <v>1220</v>
      </c>
      <c r="L1864">
        <v>1</v>
      </c>
      <c r="M1864" t="s">
        <v>78</v>
      </c>
      <c r="N1864" t="s">
        <v>17</v>
      </c>
      <c r="O1864">
        <v>1</v>
      </c>
      <c r="P1864">
        <v>1220</v>
      </c>
      <c r="Q1864">
        <v>1046.2</v>
      </c>
    </row>
    <row r="1865" spans="2:17" x14ac:dyDescent="0.25">
      <c r="B1865" t="s">
        <v>78</v>
      </c>
      <c r="C1865" t="s">
        <v>3895</v>
      </c>
      <c r="D1865" t="s">
        <v>1286</v>
      </c>
      <c r="E1865" t="s">
        <v>3896</v>
      </c>
      <c r="F1865">
        <v>1250</v>
      </c>
      <c r="G1865">
        <v>1245</v>
      </c>
      <c r="H1865">
        <v>1245</v>
      </c>
      <c r="I1865">
        <v>1245</v>
      </c>
      <c r="J1865" s="1">
        <v>1245</v>
      </c>
      <c r="K1865">
        <v>1245</v>
      </c>
      <c r="L1865">
        <v>1</v>
      </c>
      <c r="M1865" t="s">
        <v>78</v>
      </c>
      <c r="N1865" t="s">
        <v>17</v>
      </c>
      <c r="O1865">
        <v>1</v>
      </c>
      <c r="P1865">
        <v>1269</v>
      </c>
      <c r="Q1865">
        <v>1130</v>
      </c>
    </row>
    <row r="1866" spans="2:17" x14ac:dyDescent="0.25">
      <c r="B1866" t="s">
        <v>78</v>
      </c>
      <c r="C1866" t="s">
        <v>3895</v>
      </c>
      <c r="D1866" t="s">
        <v>6494</v>
      </c>
      <c r="E1866" t="s">
        <v>6501</v>
      </c>
      <c r="F1866">
        <v>909.59</v>
      </c>
      <c r="G1866">
        <v>920</v>
      </c>
      <c r="H1866">
        <v>920</v>
      </c>
      <c r="I1866">
        <v>920</v>
      </c>
      <c r="J1866" s="1">
        <v>920</v>
      </c>
      <c r="K1866">
        <v>11960</v>
      </c>
      <c r="L1866">
        <v>13</v>
      </c>
      <c r="M1866" t="s">
        <v>78</v>
      </c>
      <c r="N1866" t="s">
        <v>17</v>
      </c>
      <c r="O1866">
        <v>1</v>
      </c>
      <c r="P1866">
        <v>1020</v>
      </c>
      <c r="Q1866">
        <v>816</v>
      </c>
    </row>
    <row r="1867" spans="2:17" x14ac:dyDescent="0.25">
      <c r="B1867" t="s">
        <v>78</v>
      </c>
      <c r="C1867" t="s">
        <v>3895</v>
      </c>
      <c r="D1867" t="s">
        <v>148</v>
      </c>
      <c r="E1867" t="s">
        <v>6500</v>
      </c>
      <c r="F1867">
        <v>1227</v>
      </c>
      <c r="G1867">
        <v>1228.9000000000001</v>
      </c>
      <c r="H1867">
        <v>1228.9000000000001</v>
      </c>
      <c r="I1867">
        <v>1228.9000000000001</v>
      </c>
      <c r="J1867" s="1">
        <v>1228.9000000000001</v>
      </c>
      <c r="K1867">
        <v>61445</v>
      </c>
      <c r="L1867">
        <v>50</v>
      </c>
      <c r="M1867" t="s">
        <v>78</v>
      </c>
      <c r="N1867" t="s">
        <v>17</v>
      </c>
      <c r="O1867">
        <v>4</v>
      </c>
      <c r="P1867">
        <v>1228.9000000000001</v>
      </c>
      <c r="Q1867">
        <v>1072</v>
      </c>
    </row>
    <row r="1868" spans="2:17" x14ac:dyDescent="0.25">
      <c r="B1868" t="s">
        <v>78</v>
      </c>
      <c r="C1868" t="s">
        <v>3895</v>
      </c>
      <c r="D1868" t="s">
        <v>3889</v>
      </c>
      <c r="E1868" t="s">
        <v>3898</v>
      </c>
      <c r="F1868">
        <v>1084.45</v>
      </c>
      <c r="G1868">
        <v>1084.8</v>
      </c>
      <c r="H1868">
        <v>1084.8</v>
      </c>
      <c r="I1868">
        <v>1082</v>
      </c>
      <c r="J1868" s="1">
        <v>1083.08</v>
      </c>
      <c r="K1868">
        <v>391111.6</v>
      </c>
      <c r="L1868">
        <v>361</v>
      </c>
      <c r="M1868" t="s">
        <v>78</v>
      </c>
      <c r="N1868" t="s">
        <v>17</v>
      </c>
      <c r="O1868">
        <v>16</v>
      </c>
      <c r="P1868">
        <v>1084.8</v>
      </c>
      <c r="Q1868">
        <v>971</v>
      </c>
    </row>
    <row r="1869" spans="2:17" x14ac:dyDescent="0.25">
      <c r="B1869" t="s">
        <v>78</v>
      </c>
      <c r="C1869" t="s">
        <v>3899</v>
      </c>
      <c r="D1869" t="s">
        <v>3824</v>
      </c>
      <c r="E1869" t="s">
        <v>6499</v>
      </c>
      <c r="F1869">
        <v>899.99</v>
      </c>
      <c r="G1869">
        <v>870</v>
      </c>
      <c r="H1869">
        <v>880</v>
      </c>
      <c r="I1869">
        <v>851</v>
      </c>
      <c r="J1869" s="1">
        <v>855</v>
      </c>
      <c r="K1869">
        <v>280050</v>
      </c>
      <c r="L1869">
        <v>326</v>
      </c>
      <c r="M1869" t="s">
        <v>78</v>
      </c>
      <c r="N1869" t="s">
        <v>17</v>
      </c>
      <c r="O1869">
        <v>7</v>
      </c>
      <c r="P1869">
        <v>1235</v>
      </c>
      <c r="Q1869">
        <v>700</v>
      </c>
    </row>
    <row r="1870" spans="2:17" x14ac:dyDescent="0.25">
      <c r="B1870" t="s">
        <v>78</v>
      </c>
      <c r="C1870" t="s">
        <v>3899</v>
      </c>
      <c r="D1870" t="s">
        <v>1286</v>
      </c>
      <c r="E1870" t="s">
        <v>3902</v>
      </c>
      <c r="F1870">
        <v>1330</v>
      </c>
      <c r="G1870">
        <v>1331</v>
      </c>
      <c r="H1870">
        <v>1337.6</v>
      </c>
      <c r="I1870">
        <v>1330</v>
      </c>
      <c r="J1870" s="1">
        <v>1335</v>
      </c>
      <c r="K1870">
        <v>482869.6</v>
      </c>
      <c r="L1870">
        <v>363</v>
      </c>
      <c r="M1870" t="s">
        <v>78</v>
      </c>
      <c r="N1870" t="s">
        <v>17</v>
      </c>
      <c r="O1870">
        <v>10</v>
      </c>
      <c r="P1870">
        <v>1389.99</v>
      </c>
      <c r="Q1870">
        <v>1254.05</v>
      </c>
    </row>
    <row r="1871" spans="2:17" x14ac:dyDescent="0.25">
      <c r="B1871" t="s">
        <v>78</v>
      </c>
      <c r="C1871" t="s">
        <v>3899</v>
      </c>
      <c r="D1871" t="s">
        <v>1314</v>
      </c>
      <c r="E1871" t="s">
        <v>6498</v>
      </c>
      <c r="F1871">
        <v>978</v>
      </c>
      <c r="G1871">
        <v>977</v>
      </c>
      <c r="H1871">
        <v>977</v>
      </c>
      <c r="I1871">
        <v>977</v>
      </c>
      <c r="J1871" s="1">
        <v>977</v>
      </c>
      <c r="K1871">
        <v>97700</v>
      </c>
      <c r="L1871">
        <v>100</v>
      </c>
      <c r="M1871" t="s">
        <v>78</v>
      </c>
      <c r="N1871" t="s">
        <v>17</v>
      </c>
      <c r="O1871">
        <v>3</v>
      </c>
      <c r="P1871">
        <v>1049.25</v>
      </c>
      <c r="Q1871">
        <v>950</v>
      </c>
    </row>
    <row r="1872" spans="2:17" x14ac:dyDescent="0.25">
      <c r="B1872" t="s">
        <v>78</v>
      </c>
      <c r="C1872" t="s">
        <v>3899</v>
      </c>
      <c r="D1872" t="s">
        <v>1417</v>
      </c>
      <c r="E1872" t="s">
        <v>3906</v>
      </c>
      <c r="F1872">
        <v>1289.99</v>
      </c>
      <c r="G1872">
        <v>1290</v>
      </c>
      <c r="H1872">
        <v>1290</v>
      </c>
      <c r="I1872">
        <v>1250</v>
      </c>
      <c r="J1872" s="1">
        <v>1250</v>
      </c>
      <c r="K1872">
        <v>7620</v>
      </c>
      <c r="L1872">
        <v>6</v>
      </c>
      <c r="M1872" t="s">
        <v>78</v>
      </c>
      <c r="N1872" t="s">
        <v>17</v>
      </c>
      <c r="O1872">
        <v>2</v>
      </c>
      <c r="P1872">
        <v>1336</v>
      </c>
      <c r="Q1872">
        <v>1190</v>
      </c>
    </row>
    <row r="1873" spans="2:17" x14ac:dyDescent="0.25">
      <c r="B1873" t="s">
        <v>78</v>
      </c>
      <c r="C1873" t="s">
        <v>3899</v>
      </c>
      <c r="D1873" t="s">
        <v>3862</v>
      </c>
      <c r="E1873" t="s">
        <v>3907</v>
      </c>
      <c r="F1873">
        <v>1025</v>
      </c>
      <c r="G1873">
        <v>1230</v>
      </c>
      <c r="H1873">
        <v>1230</v>
      </c>
      <c r="I1873">
        <v>1028</v>
      </c>
      <c r="J1873" s="1">
        <v>1028</v>
      </c>
      <c r="K1873">
        <v>2258</v>
      </c>
      <c r="L1873">
        <v>2</v>
      </c>
      <c r="M1873" t="s">
        <v>78</v>
      </c>
      <c r="N1873" t="s">
        <v>17</v>
      </c>
      <c r="O1873">
        <v>2</v>
      </c>
      <c r="P1873">
        <v>1230</v>
      </c>
      <c r="Q1873">
        <v>1000</v>
      </c>
    </row>
    <row r="1874" spans="2:17" x14ac:dyDescent="0.25">
      <c r="B1874" t="s">
        <v>78</v>
      </c>
      <c r="C1874" t="s">
        <v>3899</v>
      </c>
      <c r="D1874" t="s">
        <v>3800</v>
      </c>
      <c r="E1874" t="s">
        <v>3908</v>
      </c>
      <c r="F1874">
        <v>1199.9000000000001</v>
      </c>
      <c r="G1874">
        <v>1204.95</v>
      </c>
      <c r="H1874">
        <v>1245</v>
      </c>
      <c r="I1874">
        <v>1204.95</v>
      </c>
      <c r="J1874" s="1">
        <v>1207.1500000000001</v>
      </c>
      <c r="K1874">
        <v>3499930.66</v>
      </c>
      <c r="L1874">
        <v>2890</v>
      </c>
      <c r="M1874" t="s">
        <v>78</v>
      </c>
      <c r="N1874" t="s">
        <v>17</v>
      </c>
      <c r="O1874">
        <v>32</v>
      </c>
      <c r="P1874">
        <v>1245</v>
      </c>
      <c r="Q1874">
        <v>1070</v>
      </c>
    </row>
    <row r="1875" spans="2:17" x14ac:dyDescent="0.25">
      <c r="B1875" t="s">
        <v>78</v>
      </c>
      <c r="C1875" t="s">
        <v>3909</v>
      </c>
      <c r="D1875" t="s">
        <v>3824</v>
      </c>
      <c r="E1875" t="s">
        <v>6497</v>
      </c>
      <c r="F1875">
        <v>575</v>
      </c>
      <c r="G1875">
        <v>600</v>
      </c>
      <c r="H1875">
        <v>650</v>
      </c>
      <c r="I1875">
        <v>466</v>
      </c>
      <c r="J1875" s="1">
        <v>610</v>
      </c>
      <c r="K1875">
        <v>292286</v>
      </c>
      <c r="L1875">
        <v>624</v>
      </c>
      <c r="M1875" t="s">
        <v>78</v>
      </c>
      <c r="N1875" t="s">
        <v>17</v>
      </c>
      <c r="O1875">
        <v>13</v>
      </c>
      <c r="P1875">
        <v>1240</v>
      </c>
      <c r="Q1875">
        <v>450</v>
      </c>
    </row>
    <row r="1876" spans="2:17" x14ac:dyDescent="0.25">
      <c r="B1876" t="s">
        <v>78</v>
      </c>
      <c r="C1876" t="s">
        <v>3909</v>
      </c>
      <c r="D1876" t="s">
        <v>3900</v>
      </c>
      <c r="E1876" t="s">
        <v>3910</v>
      </c>
      <c r="F1876">
        <v>987.97</v>
      </c>
      <c r="G1876">
        <v>942.11</v>
      </c>
      <c r="H1876">
        <v>969.96</v>
      </c>
      <c r="I1876">
        <v>942.11</v>
      </c>
      <c r="J1876" s="1">
        <v>969.96</v>
      </c>
      <c r="K1876">
        <v>3824.14</v>
      </c>
      <c r="L1876">
        <v>4</v>
      </c>
      <c r="M1876" t="s">
        <v>78</v>
      </c>
      <c r="N1876" t="s">
        <v>6492</v>
      </c>
      <c r="O1876">
        <v>3</v>
      </c>
      <c r="P1876">
        <v>1050</v>
      </c>
      <c r="Q1876">
        <v>806</v>
      </c>
    </row>
    <row r="1877" spans="2:17" x14ac:dyDescent="0.25">
      <c r="B1877" t="s">
        <v>78</v>
      </c>
      <c r="C1877" t="s">
        <v>3909</v>
      </c>
      <c r="D1877" t="s">
        <v>6494</v>
      </c>
      <c r="E1877" t="s">
        <v>6486</v>
      </c>
      <c r="F1877">
        <v>940</v>
      </c>
      <c r="G1877">
        <v>942</v>
      </c>
      <c r="H1877">
        <v>942</v>
      </c>
      <c r="I1877">
        <v>935</v>
      </c>
      <c r="J1877" s="1">
        <v>936</v>
      </c>
      <c r="K1877">
        <v>297222.25</v>
      </c>
      <c r="L1877">
        <v>317</v>
      </c>
      <c r="M1877" t="s">
        <v>78</v>
      </c>
      <c r="N1877" t="s">
        <v>17</v>
      </c>
      <c r="O1877">
        <v>14</v>
      </c>
      <c r="P1877">
        <v>1011.1</v>
      </c>
      <c r="Q1877">
        <v>800</v>
      </c>
    </row>
    <row r="1878" spans="2:17" x14ac:dyDescent="0.25">
      <c r="B1878" t="s">
        <v>78</v>
      </c>
      <c r="C1878" t="s">
        <v>3909</v>
      </c>
      <c r="D1878" t="s">
        <v>3889</v>
      </c>
      <c r="E1878" t="s">
        <v>3914</v>
      </c>
      <c r="F1878">
        <v>1088.51</v>
      </c>
      <c r="G1878">
        <v>1091</v>
      </c>
      <c r="H1878">
        <v>1091</v>
      </c>
      <c r="I1878">
        <v>1088.0999999999999</v>
      </c>
      <c r="J1878" s="1">
        <v>1090.1300000000001</v>
      </c>
      <c r="K1878">
        <v>954781.1</v>
      </c>
      <c r="L1878">
        <v>877</v>
      </c>
      <c r="M1878" t="s">
        <v>78</v>
      </c>
      <c r="N1878" t="s">
        <v>17</v>
      </c>
      <c r="O1878">
        <v>9</v>
      </c>
      <c r="P1878">
        <v>1162.05</v>
      </c>
      <c r="Q1878">
        <v>979</v>
      </c>
    </row>
    <row r="1879" spans="2:17" x14ac:dyDescent="0.25">
      <c r="B1879" t="s">
        <v>78</v>
      </c>
      <c r="C1879" t="s">
        <v>3915</v>
      </c>
      <c r="D1879" t="s">
        <v>3900</v>
      </c>
      <c r="E1879" t="s">
        <v>3916</v>
      </c>
      <c r="F1879">
        <v>976</v>
      </c>
      <c r="G1879">
        <v>875</v>
      </c>
      <c r="H1879">
        <v>950</v>
      </c>
      <c r="I1879">
        <v>875</v>
      </c>
      <c r="J1879" s="1">
        <v>943</v>
      </c>
      <c r="K1879">
        <v>56731</v>
      </c>
      <c r="L1879">
        <v>61</v>
      </c>
      <c r="M1879" t="s">
        <v>78</v>
      </c>
      <c r="N1879" t="s">
        <v>17</v>
      </c>
      <c r="O1879">
        <v>9</v>
      </c>
      <c r="P1879">
        <v>1050</v>
      </c>
      <c r="Q1879">
        <v>865</v>
      </c>
    </row>
    <row r="1880" spans="2:17" x14ac:dyDescent="0.25">
      <c r="B1880" t="s">
        <v>78</v>
      </c>
      <c r="C1880" t="s">
        <v>3915</v>
      </c>
      <c r="D1880" t="s">
        <v>1417</v>
      </c>
      <c r="E1880" t="s">
        <v>6496</v>
      </c>
      <c r="F1880">
        <v>1149</v>
      </c>
      <c r="G1880">
        <v>1150.2</v>
      </c>
      <c r="H1880">
        <v>1150.2</v>
      </c>
      <c r="I1880">
        <v>1150.2</v>
      </c>
      <c r="J1880" s="1">
        <v>1150.2</v>
      </c>
      <c r="K1880">
        <v>1150.2</v>
      </c>
      <c r="L1880">
        <v>1</v>
      </c>
      <c r="M1880" t="s">
        <v>78</v>
      </c>
      <c r="N1880" t="s">
        <v>17</v>
      </c>
      <c r="O1880">
        <v>1</v>
      </c>
      <c r="P1880">
        <v>1200</v>
      </c>
      <c r="Q1880">
        <v>1036</v>
      </c>
    </row>
    <row r="1881" spans="2:17" x14ac:dyDescent="0.25">
      <c r="B1881" t="s">
        <v>78</v>
      </c>
      <c r="C1881" t="s">
        <v>1933</v>
      </c>
      <c r="D1881" t="s">
        <v>3824</v>
      </c>
      <c r="E1881" t="s">
        <v>6495</v>
      </c>
      <c r="F1881">
        <v>629</v>
      </c>
      <c r="G1881">
        <v>504.1</v>
      </c>
      <c r="H1881">
        <v>506.5</v>
      </c>
      <c r="I1881">
        <v>504</v>
      </c>
      <c r="J1881" s="1">
        <v>506.5</v>
      </c>
      <c r="K1881">
        <v>20186</v>
      </c>
      <c r="L1881">
        <v>40</v>
      </c>
      <c r="M1881" t="s">
        <v>78</v>
      </c>
      <c r="N1881" t="s">
        <v>17</v>
      </c>
      <c r="O1881">
        <v>3</v>
      </c>
      <c r="P1881">
        <v>1190</v>
      </c>
      <c r="Q1881">
        <v>504</v>
      </c>
    </row>
    <row r="1882" spans="2:17" x14ac:dyDescent="0.25">
      <c r="B1882" t="s">
        <v>78</v>
      </c>
      <c r="C1882" t="s">
        <v>1933</v>
      </c>
      <c r="D1882" t="s">
        <v>6494</v>
      </c>
      <c r="E1882" t="s">
        <v>3848</v>
      </c>
      <c r="F1882">
        <v>950</v>
      </c>
      <c r="G1882">
        <v>950</v>
      </c>
      <c r="H1882">
        <v>950</v>
      </c>
      <c r="I1882">
        <v>930</v>
      </c>
      <c r="J1882" s="1">
        <v>930</v>
      </c>
      <c r="K1882">
        <v>23530</v>
      </c>
      <c r="L1882">
        <v>25</v>
      </c>
      <c r="M1882" t="s">
        <v>78</v>
      </c>
      <c r="N1882" t="s">
        <v>17</v>
      </c>
      <c r="O1882">
        <v>4</v>
      </c>
      <c r="P1882">
        <v>1018</v>
      </c>
      <c r="Q1882">
        <v>885</v>
      </c>
    </row>
    <row r="1883" spans="2:17" x14ac:dyDescent="0.25">
      <c r="B1883" t="s">
        <v>78</v>
      </c>
      <c r="C1883" t="s">
        <v>1933</v>
      </c>
      <c r="D1883" t="s">
        <v>2215</v>
      </c>
      <c r="E1883" t="s">
        <v>6493</v>
      </c>
      <c r="F1883">
        <v>1180</v>
      </c>
      <c r="G1883">
        <v>1179.99</v>
      </c>
      <c r="H1883">
        <v>1192</v>
      </c>
      <c r="I1883">
        <v>1179.99</v>
      </c>
      <c r="J1883" s="1">
        <v>1192</v>
      </c>
      <c r="K1883">
        <v>1148579.82</v>
      </c>
      <c r="L1883">
        <v>973</v>
      </c>
      <c r="M1883" t="s">
        <v>78</v>
      </c>
      <c r="N1883" t="s">
        <v>17</v>
      </c>
      <c r="O1883">
        <v>8</v>
      </c>
      <c r="P1883">
        <v>1310</v>
      </c>
      <c r="Q1883">
        <v>1084</v>
      </c>
    </row>
    <row r="1884" spans="2:17" x14ac:dyDescent="0.25">
      <c r="B1884" t="s">
        <v>78</v>
      </c>
      <c r="C1884" t="s">
        <v>3921</v>
      </c>
      <c r="D1884" t="s">
        <v>3862</v>
      </c>
      <c r="E1884" t="s">
        <v>3923</v>
      </c>
      <c r="F1884">
        <v>1036.46</v>
      </c>
      <c r="G1884">
        <v>1032</v>
      </c>
      <c r="H1884">
        <v>1032</v>
      </c>
      <c r="I1884">
        <v>1032</v>
      </c>
      <c r="J1884" s="1">
        <v>1032</v>
      </c>
      <c r="K1884">
        <v>258000</v>
      </c>
      <c r="L1884">
        <v>250</v>
      </c>
      <c r="M1884" t="s">
        <v>78</v>
      </c>
      <c r="N1884" t="s">
        <v>17</v>
      </c>
      <c r="O1884">
        <v>2</v>
      </c>
      <c r="P1884">
        <v>1073</v>
      </c>
      <c r="Q1884">
        <v>1001</v>
      </c>
    </row>
    <row r="1885" spans="2:17" x14ac:dyDescent="0.25">
      <c r="B1885" t="s">
        <v>78</v>
      </c>
      <c r="C1885" t="s">
        <v>3925</v>
      </c>
      <c r="D1885" t="s">
        <v>3900</v>
      </c>
      <c r="E1885" t="s">
        <v>4634</v>
      </c>
      <c r="F1885">
        <v>891</v>
      </c>
      <c r="G1885">
        <v>895</v>
      </c>
      <c r="H1885">
        <v>895</v>
      </c>
      <c r="I1885">
        <v>880</v>
      </c>
      <c r="J1885" s="1">
        <v>880</v>
      </c>
      <c r="K1885">
        <v>46890</v>
      </c>
      <c r="L1885">
        <v>53</v>
      </c>
      <c r="M1885" t="s">
        <v>78</v>
      </c>
      <c r="N1885" t="s">
        <v>17</v>
      </c>
      <c r="O1885">
        <v>5</v>
      </c>
      <c r="P1885">
        <v>1011</v>
      </c>
      <c r="Q1885">
        <v>832</v>
      </c>
    </row>
    <row r="1886" spans="2:17" x14ac:dyDescent="0.25">
      <c r="B1886" t="s">
        <v>78</v>
      </c>
      <c r="C1886" t="s">
        <v>3925</v>
      </c>
      <c r="D1886" t="s">
        <v>1417</v>
      </c>
      <c r="E1886" t="s">
        <v>3927</v>
      </c>
      <c r="F1886">
        <v>1175</v>
      </c>
      <c r="G1886">
        <v>1165</v>
      </c>
      <c r="H1886">
        <v>1190</v>
      </c>
      <c r="I1886">
        <v>1165</v>
      </c>
      <c r="J1886" s="1">
        <v>1190</v>
      </c>
      <c r="K1886">
        <v>60660</v>
      </c>
      <c r="L1886">
        <v>51</v>
      </c>
      <c r="M1886" t="s">
        <v>78</v>
      </c>
      <c r="N1886" t="s">
        <v>17</v>
      </c>
      <c r="O1886">
        <v>4</v>
      </c>
      <c r="P1886">
        <v>1190</v>
      </c>
      <c r="Q1886">
        <v>1036</v>
      </c>
    </row>
    <row r="1887" spans="2:17" x14ac:dyDescent="0.25">
      <c r="B1887" t="s">
        <v>78</v>
      </c>
      <c r="C1887" t="s">
        <v>3930</v>
      </c>
      <c r="D1887" t="s">
        <v>3900</v>
      </c>
      <c r="E1887" t="s">
        <v>3931</v>
      </c>
      <c r="F1887">
        <v>974.16</v>
      </c>
      <c r="G1887">
        <v>900</v>
      </c>
      <c r="H1887">
        <v>900</v>
      </c>
      <c r="I1887">
        <v>880</v>
      </c>
      <c r="J1887" s="1">
        <v>884</v>
      </c>
      <c r="K1887">
        <v>499702.9</v>
      </c>
      <c r="L1887">
        <v>565</v>
      </c>
      <c r="M1887" t="s">
        <v>78</v>
      </c>
      <c r="N1887" t="s">
        <v>6492</v>
      </c>
      <c r="O1887">
        <v>23</v>
      </c>
      <c r="P1887">
        <v>1078</v>
      </c>
      <c r="Q1887">
        <v>880</v>
      </c>
    </row>
    <row r="1888" spans="2:17" x14ac:dyDescent="0.25">
      <c r="B1888" t="s">
        <v>78</v>
      </c>
      <c r="C1888" t="s">
        <v>3930</v>
      </c>
      <c r="D1888" t="s">
        <v>1417</v>
      </c>
      <c r="E1888" t="s">
        <v>3932</v>
      </c>
      <c r="F1888">
        <v>1221.58</v>
      </c>
      <c r="G1888">
        <v>1200</v>
      </c>
      <c r="H1888">
        <v>1222</v>
      </c>
      <c r="I1888">
        <v>1200</v>
      </c>
      <c r="J1888" s="1">
        <v>1222</v>
      </c>
      <c r="K1888">
        <v>543211</v>
      </c>
      <c r="L1888">
        <v>446</v>
      </c>
      <c r="M1888" t="s">
        <v>78</v>
      </c>
      <c r="N1888" t="s">
        <v>17</v>
      </c>
      <c r="O1888">
        <v>9</v>
      </c>
      <c r="P1888">
        <v>1224.4000000000001</v>
      </c>
      <c r="Q1888">
        <v>1055</v>
      </c>
    </row>
    <row r="1889" spans="2:17" x14ac:dyDescent="0.25">
      <c r="B1889" t="s">
        <v>78</v>
      </c>
      <c r="C1889" t="s">
        <v>3930</v>
      </c>
      <c r="D1889" t="s">
        <v>3862</v>
      </c>
      <c r="E1889" t="s">
        <v>3933</v>
      </c>
      <c r="F1889">
        <v>1025</v>
      </c>
      <c r="G1889">
        <v>1022</v>
      </c>
      <c r="H1889">
        <v>1022</v>
      </c>
      <c r="I1889">
        <v>1022</v>
      </c>
      <c r="J1889" s="1">
        <v>1022</v>
      </c>
      <c r="K1889">
        <v>102200</v>
      </c>
      <c r="L1889">
        <v>100</v>
      </c>
      <c r="M1889" t="s">
        <v>78</v>
      </c>
      <c r="N1889" t="s">
        <v>17</v>
      </c>
      <c r="O1889">
        <v>1</v>
      </c>
      <c r="P1889">
        <v>1068</v>
      </c>
      <c r="Q1889">
        <v>1000</v>
      </c>
    </row>
    <row r="1890" spans="2:17" x14ac:dyDescent="0.25">
      <c r="B1890" t="s">
        <v>78</v>
      </c>
      <c r="C1890" t="s">
        <v>3934</v>
      </c>
      <c r="D1890" t="s">
        <v>3824</v>
      </c>
      <c r="E1890" t="s">
        <v>6491</v>
      </c>
      <c r="F1890">
        <v>640</v>
      </c>
      <c r="G1890">
        <v>629.9</v>
      </c>
      <c r="H1890">
        <v>657</v>
      </c>
      <c r="I1890">
        <v>601</v>
      </c>
      <c r="J1890" s="1">
        <v>630.11</v>
      </c>
      <c r="K1890">
        <v>731439.5</v>
      </c>
      <c r="L1890">
        <v>1168</v>
      </c>
      <c r="M1890" t="s">
        <v>78</v>
      </c>
      <c r="N1890" t="s">
        <v>17</v>
      </c>
      <c r="O1890">
        <v>41</v>
      </c>
      <c r="P1890">
        <v>1080</v>
      </c>
      <c r="Q1890">
        <v>522</v>
      </c>
    </row>
    <row r="1891" spans="2:17" x14ac:dyDescent="0.25">
      <c r="B1891" t="s">
        <v>78</v>
      </c>
      <c r="C1891" t="s">
        <v>3934</v>
      </c>
      <c r="D1891" t="s">
        <v>1314</v>
      </c>
      <c r="E1891" t="s">
        <v>3935</v>
      </c>
      <c r="F1891">
        <v>965.5</v>
      </c>
      <c r="G1891">
        <v>965</v>
      </c>
      <c r="H1891">
        <v>965</v>
      </c>
      <c r="I1891">
        <v>952.05</v>
      </c>
      <c r="J1891" s="1">
        <v>952.05</v>
      </c>
      <c r="K1891">
        <v>192811.15</v>
      </c>
      <c r="L1891">
        <v>200</v>
      </c>
      <c r="M1891" t="s">
        <v>78</v>
      </c>
      <c r="N1891" t="s">
        <v>17</v>
      </c>
      <c r="O1891">
        <v>9</v>
      </c>
      <c r="P1891">
        <v>1056.01</v>
      </c>
      <c r="Q1891">
        <v>914.99</v>
      </c>
    </row>
    <row r="1892" spans="2:17" x14ac:dyDescent="0.25">
      <c r="B1892" t="s">
        <v>78</v>
      </c>
      <c r="C1892" t="s">
        <v>3937</v>
      </c>
      <c r="D1892" t="s">
        <v>3900</v>
      </c>
      <c r="E1892" t="s">
        <v>3938</v>
      </c>
      <c r="F1892">
        <v>989.1</v>
      </c>
      <c r="G1892">
        <v>1000</v>
      </c>
      <c r="H1892">
        <v>1005</v>
      </c>
      <c r="I1892">
        <v>989.1</v>
      </c>
      <c r="J1892" s="1">
        <v>993.58</v>
      </c>
      <c r="K1892">
        <v>81624</v>
      </c>
      <c r="L1892">
        <v>82</v>
      </c>
      <c r="M1892" t="s">
        <v>78</v>
      </c>
      <c r="N1892" t="s">
        <v>17</v>
      </c>
      <c r="O1892">
        <v>7</v>
      </c>
      <c r="P1892">
        <v>1030</v>
      </c>
      <c r="Q1892">
        <v>900.41</v>
      </c>
    </row>
    <row r="1893" spans="2:17" x14ac:dyDescent="0.25">
      <c r="B1893" t="s">
        <v>78</v>
      </c>
      <c r="C1893" t="s">
        <v>3937</v>
      </c>
      <c r="D1893" t="s">
        <v>1417</v>
      </c>
      <c r="E1893" t="s">
        <v>6490</v>
      </c>
      <c r="F1893">
        <v>1156</v>
      </c>
      <c r="G1893">
        <v>1162.5999999999999</v>
      </c>
      <c r="H1893">
        <v>1162.5999999999999</v>
      </c>
      <c r="I1893">
        <v>1162.5999999999999</v>
      </c>
      <c r="J1893" s="1">
        <v>1162.5999999999999</v>
      </c>
      <c r="K1893">
        <v>116260</v>
      </c>
      <c r="L1893">
        <v>100</v>
      </c>
      <c r="M1893" t="s">
        <v>78</v>
      </c>
      <c r="N1893" t="s">
        <v>17</v>
      </c>
      <c r="O1893">
        <v>1</v>
      </c>
      <c r="P1893">
        <v>1255</v>
      </c>
      <c r="Q1893">
        <v>1043</v>
      </c>
    </row>
    <row r="1894" spans="2:17" x14ac:dyDescent="0.25">
      <c r="B1894" t="s">
        <v>78</v>
      </c>
      <c r="C1894" t="s">
        <v>3939</v>
      </c>
      <c r="D1894" t="s">
        <v>3824</v>
      </c>
      <c r="E1894" t="s">
        <v>3940</v>
      </c>
      <c r="F1894">
        <v>375.61</v>
      </c>
      <c r="G1894">
        <v>434.68</v>
      </c>
      <c r="H1894">
        <v>434.68</v>
      </c>
      <c r="I1894">
        <v>376</v>
      </c>
      <c r="J1894" s="1">
        <v>410.99</v>
      </c>
      <c r="K1894">
        <v>107746.71</v>
      </c>
      <c r="L1894">
        <v>259</v>
      </c>
      <c r="M1894" t="s">
        <v>78</v>
      </c>
      <c r="N1894" t="s">
        <v>17</v>
      </c>
      <c r="O1894">
        <v>14</v>
      </c>
      <c r="P1894">
        <v>1075.0999999999999</v>
      </c>
      <c r="Q1894">
        <v>361</v>
      </c>
    </row>
    <row r="1895" spans="2:17" x14ac:dyDescent="0.25">
      <c r="B1895" t="s">
        <v>78</v>
      </c>
      <c r="C1895" t="s">
        <v>3941</v>
      </c>
      <c r="D1895" t="s">
        <v>1417</v>
      </c>
      <c r="E1895" t="s">
        <v>3943</v>
      </c>
      <c r="F1895">
        <v>1194.76</v>
      </c>
      <c r="G1895">
        <v>1199</v>
      </c>
      <c r="H1895">
        <v>1200</v>
      </c>
      <c r="I1895">
        <v>1197.95</v>
      </c>
      <c r="J1895" s="1">
        <v>1200</v>
      </c>
      <c r="K1895">
        <v>1247150</v>
      </c>
      <c r="L1895">
        <v>1041</v>
      </c>
      <c r="M1895" t="s">
        <v>78</v>
      </c>
      <c r="N1895" t="s">
        <v>17</v>
      </c>
      <c r="O1895">
        <v>6</v>
      </c>
      <c r="P1895">
        <v>1200</v>
      </c>
      <c r="Q1895">
        <v>1063.25</v>
      </c>
    </row>
    <row r="1896" spans="2:17" x14ac:dyDescent="0.25">
      <c r="B1896" t="s">
        <v>78</v>
      </c>
      <c r="C1896" t="s">
        <v>3941</v>
      </c>
      <c r="D1896" t="s">
        <v>3862</v>
      </c>
      <c r="E1896" t="s">
        <v>6489</v>
      </c>
      <c r="F1896">
        <v>1036</v>
      </c>
      <c r="G1896">
        <v>1039</v>
      </c>
      <c r="H1896">
        <v>1039</v>
      </c>
      <c r="I1896">
        <v>1035.95</v>
      </c>
      <c r="J1896" s="1">
        <v>1035.95</v>
      </c>
      <c r="K1896">
        <v>432300.4</v>
      </c>
      <c r="L1896">
        <v>417</v>
      </c>
      <c r="M1896" t="s">
        <v>78</v>
      </c>
      <c r="N1896" t="s">
        <v>17</v>
      </c>
      <c r="O1896">
        <v>6</v>
      </c>
      <c r="P1896">
        <v>1045</v>
      </c>
      <c r="Q1896">
        <v>1000</v>
      </c>
    </row>
    <row r="1897" spans="2:17" x14ac:dyDescent="0.25">
      <c r="B1897" t="s">
        <v>78</v>
      </c>
      <c r="C1897" t="s">
        <v>3941</v>
      </c>
      <c r="D1897" t="s">
        <v>3928</v>
      </c>
      <c r="E1897" t="s">
        <v>3944</v>
      </c>
      <c r="F1897">
        <v>820</v>
      </c>
      <c r="G1897">
        <v>811</v>
      </c>
      <c r="H1897">
        <v>811</v>
      </c>
      <c r="I1897">
        <v>803</v>
      </c>
      <c r="J1897" s="1">
        <v>803</v>
      </c>
      <c r="K1897">
        <v>48430</v>
      </c>
      <c r="L1897">
        <v>60</v>
      </c>
      <c r="M1897" t="s">
        <v>78</v>
      </c>
      <c r="N1897" t="s">
        <v>17</v>
      </c>
      <c r="O1897">
        <v>5</v>
      </c>
      <c r="P1897">
        <v>997.9</v>
      </c>
      <c r="Q1897">
        <v>801</v>
      </c>
    </row>
    <row r="1898" spans="2:17" x14ac:dyDescent="0.25">
      <c r="B1898" t="s">
        <v>78</v>
      </c>
      <c r="C1898" t="s">
        <v>3945</v>
      </c>
      <c r="D1898" t="s">
        <v>3824</v>
      </c>
      <c r="E1898" t="s">
        <v>3946</v>
      </c>
      <c r="F1898">
        <v>373</v>
      </c>
      <c r="G1898">
        <v>330.14</v>
      </c>
      <c r="H1898">
        <v>355</v>
      </c>
      <c r="I1898">
        <v>330.14</v>
      </c>
      <c r="J1898" s="1">
        <v>341.25</v>
      </c>
      <c r="K1898">
        <v>663437.75</v>
      </c>
      <c r="L1898">
        <v>1898</v>
      </c>
      <c r="M1898" t="s">
        <v>78</v>
      </c>
      <c r="N1898" t="s">
        <v>17</v>
      </c>
      <c r="O1898">
        <v>42</v>
      </c>
      <c r="P1898">
        <v>1080</v>
      </c>
      <c r="Q1898">
        <v>328.25</v>
      </c>
    </row>
    <row r="1899" spans="2:17" x14ac:dyDescent="0.25">
      <c r="B1899" t="s">
        <v>78</v>
      </c>
      <c r="C1899" t="s">
        <v>3948</v>
      </c>
      <c r="D1899" t="s">
        <v>3824</v>
      </c>
      <c r="E1899" t="s">
        <v>6488</v>
      </c>
      <c r="F1899">
        <v>370.39</v>
      </c>
      <c r="G1899">
        <v>404</v>
      </c>
      <c r="H1899">
        <v>404</v>
      </c>
      <c r="I1899">
        <v>345.01</v>
      </c>
      <c r="J1899" s="1">
        <v>365</v>
      </c>
      <c r="K1899">
        <v>33790.14</v>
      </c>
      <c r="L1899">
        <v>90</v>
      </c>
      <c r="M1899" t="s">
        <v>78</v>
      </c>
      <c r="N1899" t="s">
        <v>17</v>
      </c>
      <c r="O1899">
        <v>15</v>
      </c>
      <c r="P1899">
        <v>1005</v>
      </c>
      <c r="Q1899">
        <v>332</v>
      </c>
    </row>
    <row r="1900" spans="2:17" x14ac:dyDescent="0.25">
      <c r="B1900" t="s">
        <v>78</v>
      </c>
      <c r="C1900" t="s">
        <v>3948</v>
      </c>
      <c r="D1900" t="s">
        <v>3900</v>
      </c>
      <c r="E1900" t="s">
        <v>3949</v>
      </c>
      <c r="F1900">
        <v>980</v>
      </c>
      <c r="G1900">
        <v>980</v>
      </c>
      <c r="H1900">
        <v>980</v>
      </c>
      <c r="I1900">
        <v>980</v>
      </c>
      <c r="J1900" s="1">
        <v>980</v>
      </c>
      <c r="K1900">
        <v>196000</v>
      </c>
      <c r="L1900">
        <v>200</v>
      </c>
      <c r="M1900" t="s">
        <v>78</v>
      </c>
      <c r="N1900" t="s">
        <v>17</v>
      </c>
      <c r="O1900">
        <v>2</v>
      </c>
      <c r="P1900">
        <v>1030</v>
      </c>
      <c r="Q1900">
        <v>919</v>
      </c>
    </row>
    <row r="1901" spans="2:17" x14ac:dyDescent="0.25">
      <c r="B1901" t="s">
        <v>78</v>
      </c>
      <c r="C1901" t="s">
        <v>3950</v>
      </c>
      <c r="D1901" t="s">
        <v>3900</v>
      </c>
      <c r="E1901" t="s">
        <v>3951</v>
      </c>
      <c r="F1901">
        <v>985.18</v>
      </c>
      <c r="G1901">
        <v>989.9</v>
      </c>
      <c r="H1901">
        <v>989.9</v>
      </c>
      <c r="I1901">
        <v>976.01</v>
      </c>
      <c r="J1901" s="1">
        <v>983.25</v>
      </c>
      <c r="K1901">
        <v>3254675.97</v>
      </c>
      <c r="L1901">
        <v>3294</v>
      </c>
      <c r="M1901" t="s">
        <v>78</v>
      </c>
      <c r="N1901" t="s">
        <v>17</v>
      </c>
      <c r="O1901">
        <v>30</v>
      </c>
      <c r="P1901">
        <v>1032.9000000000001</v>
      </c>
      <c r="Q1901">
        <v>930.3</v>
      </c>
    </row>
    <row r="1902" spans="2:17" x14ac:dyDescent="0.25">
      <c r="B1902" t="s">
        <v>78</v>
      </c>
      <c r="C1902" t="s">
        <v>3952</v>
      </c>
      <c r="D1902" t="s">
        <v>3824</v>
      </c>
      <c r="E1902" t="s">
        <v>3953</v>
      </c>
      <c r="F1902">
        <v>330</v>
      </c>
      <c r="G1902">
        <v>331</v>
      </c>
      <c r="H1902">
        <v>331</v>
      </c>
      <c r="I1902">
        <v>312.45</v>
      </c>
      <c r="J1902" s="1">
        <v>315</v>
      </c>
      <c r="K1902">
        <v>271238.51</v>
      </c>
      <c r="L1902">
        <v>854</v>
      </c>
      <c r="M1902" t="s">
        <v>78</v>
      </c>
      <c r="N1902" t="s">
        <v>17</v>
      </c>
      <c r="O1902">
        <v>17</v>
      </c>
      <c r="P1902">
        <v>1002</v>
      </c>
      <c r="Q1902">
        <v>300</v>
      </c>
    </row>
    <row r="1903" spans="2:17" x14ac:dyDescent="0.25">
      <c r="B1903" t="s">
        <v>78</v>
      </c>
      <c r="C1903" t="s">
        <v>3952</v>
      </c>
      <c r="D1903" t="s">
        <v>3900</v>
      </c>
      <c r="E1903" t="s">
        <v>3954</v>
      </c>
      <c r="F1903">
        <v>1004</v>
      </c>
      <c r="G1903">
        <v>941</v>
      </c>
      <c r="H1903">
        <v>945</v>
      </c>
      <c r="I1903">
        <v>941</v>
      </c>
      <c r="J1903" s="1">
        <v>941</v>
      </c>
      <c r="K1903">
        <v>108275</v>
      </c>
      <c r="L1903">
        <v>115</v>
      </c>
      <c r="M1903" t="s">
        <v>78</v>
      </c>
      <c r="N1903" t="s">
        <v>17</v>
      </c>
      <c r="O1903">
        <v>3</v>
      </c>
      <c r="P1903">
        <v>1089</v>
      </c>
      <c r="Q1903">
        <v>838.8</v>
      </c>
    </row>
    <row r="1904" spans="2:17" x14ac:dyDescent="0.25">
      <c r="B1904" t="s">
        <v>78</v>
      </c>
      <c r="C1904" t="s">
        <v>3955</v>
      </c>
      <c r="D1904" t="s">
        <v>3928</v>
      </c>
      <c r="E1904" t="s">
        <v>3956</v>
      </c>
      <c r="F1904">
        <v>835</v>
      </c>
      <c r="G1904">
        <v>845</v>
      </c>
      <c r="H1904">
        <v>845</v>
      </c>
      <c r="I1904">
        <v>845</v>
      </c>
      <c r="J1904" s="1">
        <v>845</v>
      </c>
      <c r="K1904">
        <v>845</v>
      </c>
      <c r="L1904">
        <v>1</v>
      </c>
      <c r="M1904" t="s">
        <v>78</v>
      </c>
      <c r="N1904" t="s">
        <v>17</v>
      </c>
      <c r="O1904">
        <v>1</v>
      </c>
      <c r="P1904">
        <v>1022</v>
      </c>
      <c r="Q1904">
        <v>715.1</v>
      </c>
    </row>
    <row r="1905" spans="2:17" x14ac:dyDescent="0.25">
      <c r="B1905" t="s">
        <v>78</v>
      </c>
      <c r="C1905" t="s">
        <v>4608</v>
      </c>
      <c r="D1905" t="s">
        <v>3824</v>
      </c>
      <c r="E1905" t="s">
        <v>6487</v>
      </c>
      <c r="F1905">
        <v>302</v>
      </c>
      <c r="G1905">
        <v>302.25</v>
      </c>
      <c r="H1905">
        <v>318.98</v>
      </c>
      <c r="I1905">
        <v>274.14999999999998</v>
      </c>
      <c r="J1905" s="1">
        <v>276.39</v>
      </c>
      <c r="K1905">
        <v>208263.92</v>
      </c>
      <c r="L1905">
        <v>706</v>
      </c>
      <c r="M1905" t="s">
        <v>78</v>
      </c>
      <c r="N1905" t="s">
        <v>17</v>
      </c>
      <c r="O1905">
        <v>24</v>
      </c>
      <c r="P1905">
        <v>1001.45</v>
      </c>
      <c r="Q1905">
        <v>274.14999999999998</v>
      </c>
    </row>
    <row r="1906" spans="2:17" x14ac:dyDescent="0.25">
      <c r="B1906" t="s">
        <v>78</v>
      </c>
      <c r="C1906" t="s">
        <v>4608</v>
      </c>
      <c r="D1906" t="s">
        <v>2509</v>
      </c>
      <c r="E1906" t="s">
        <v>6486</v>
      </c>
      <c r="F1906">
        <v>965.05</v>
      </c>
      <c r="G1906">
        <v>965.05</v>
      </c>
      <c r="H1906">
        <v>965.05</v>
      </c>
      <c r="I1906">
        <v>965.05</v>
      </c>
      <c r="J1906" s="1">
        <v>965.05</v>
      </c>
      <c r="K1906">
        <v>19301</v>
      </c>
      <c r="L1906">
        <v>20</v>
      </c>
      <c r="M1906" t="s">
        <v>78</v>
      </c>
      <c r="N1906" t="s">
        <v>17</v>
      </c>
      <c r="O1906">
        <v>2</v>
      </c>
      <c r="P1906">
        <v>1100</v>
      </c>
      <c r="Q1906">
        <v>801</v>
      </c>
    </row>
    <row r="1907" spans="2:17" x14ac:dyDescent="0.25">
      <c r="B1907" t="s">
        <v>78</v>
      </c>
      <c r="C1907" t="s">
        <v>3959</v>
      </c>
      <c r="D1907" t="s">
        <v>3824</v>
      </c>
      <c r="E1907" t="s">
        <v>6485</v>
      </c>
      <c r="F1907">
        <v>400</v>
      </c>
      <c r="G1907">
        <v>479</v>
      </c>
      <c r="H1907">
        <v>479</v>
      </c>
      <c r="I1907">
        <v>479</v>
      </c>
      <c r="J1907" s="1">
        <v>479</v>
      </c>
      <c r="K1907">
        <v>479</v>
      </c>
      <c r="L1907">
        <v>1</v>
      </c>
      <c r="M1907" t="s">
        <v>78</v>
      </c>
      <c r="N1907" t="s">
        <v>17</v>
      </c>
      <c r="O1907">
        <v>1</v>
      </c>
      <c r="P1907">
        <v>1000</v>
      </c>
      <c r="Q1907">
        <v>350</v>
      </c>
    </row>
    <row r="1908" spans="2:17" x14ac:dyDescent="0.25">
      <c r="B1908" t="s">
        <v>78</v>
      </c>
      <c r="C1908" t="s">
        <v>4604</v>
      </c>
      <c r="D1908" t="s">
        <v>2509</v>
      </c>
      <c r="E1908" t="s">
        <v>6484</v>
      </c>
      <c r="F1908">
        <v>870</v>
      </c>
      <c r="G1908">
        <v>870</v>
      </c>
      <c r="H1908">
        <v>875</v>
      </c>
      <c r="I1908">
        <v>870</v>
      </c>
      <c r="J1908" s="1">
        <v>875</v>
      </c>
      <c r="K1908">
        <v>51588.7</v>
      </c>
      <c r="L1908">
        <v>59</v>
      </c>
      <c r="M1908" t="s">
        <v>78</v>
      </c>
      <c r="N1908" t="s">
        <v>17</v>
      </c>
      <c r="O1908">
        <v>3</v>
      </c>
      <c r="P1908">
        <v>1059.9000000000001</v>
      </c>
      <c r="Q1908">
        <v>825</v>
      </c>
    </row>
    <row r="1909" spans="2:17" x14ac:dyDescent="0.25">
      <c r="B1909" t="s">
        <v>78</v>
      </c>
      <c r="C1909" t="s">
        <v>3963</v>
      </c>
      <c r="D1909" t="s">
        <v>136</v>
      </c>
      <c r="E1909" t="s">
        <v>6483</v>
      </c>
      <c r="F1909">
        <v>3.6</v>
      </c>
      <c r="G1909">
        <v>3.6</v>
      </c>
      <c r="H1909">
        <v>3.65</v>
      </c>
      <c r="I1909">
        <v>3.6</v>
      </c>
      <c r="J1909" s="1">
        <v>3.6</v>
      </c>
      <c r="K1909">
        <v>50267.1</v>
      </c>
      <c r="L1909">
        <v>13963</v>
      </c>
      <c r="M1909" t="s">
        <v>78</v>
      </c>
      <c r="N1909" t="s">
        <v>17</v>
      </c>
      <c r="O1909">
        <v>20</v>
      </c>
      <c r="P1909">
        <v>8.15</v>
      </c>
      <c r="Q1909">
        <v>3.5</v>
      </c>
    </row>
    <row r="1910" spans="2:17" x14ac:dyDescent="0.25">
      <c r="B1910" t="s">
        <v>78</v>
      </c>
      <c r="C1910" t="s">
        <v>3963</v>
      </c>
      <c r="D1910" t="s">
        <v>2937</v>
      </c>
      <c r="E1910" t="s">
        <v>2938</v>
      </c>
      <c r="F1910">
        <v>5.2</v>
      </c>
      <c r="G1910">
        <v>5.15</v>
      </c>
      <c r="H1910">
        <v>5.2</v>
      </c>
      <c r="I1910">
        <v>5.15</v>
      </c>
      <c r="J1910" s="1">
        <v>5.2</v>
      </c>
      <c r="K1910">
        <v>13863.1</v>
      </c>
      <c r="L1910">
        <v>2666</v>
      </c>
      <c r="M1910" t="s">
        <v>78</v>
      </c>
      <c r="N1910" t="s">
        <v>17</v>
      </c>
      <c r="O1910">
        <v>12</v>
      </c>
      <c r="P1910">
        <v>9</v>
      </c>
      <c r="Q1910">
        <v>5</v>
      </c>
    </row>
    <row r="1911" spans="2:17" x14ac:dyDescent="0.25">
      <c r="B1911" t="s">
        <v>78</v>
      </c>
      <c r="C1911" t="s">
        <v>3968</v>
      </c>
      <c r="D1911" t="s">
        <v>3824</v>
      </c>
      <c r="E1911" t="s">
        <v>3969</v>
      </c>
      <c r="F1911">
        <v>360</v>
      </c>
      <c r="G1911">
        <v>350</v>
      </c>
      <c r="H1911">
        <v>390</v>
      </c>
      <c r="I1911">
        <v>350</v>
      </c>
      <c r="J1911" s="1">
        <v>390</v>
      </c>
      <c r="K1911">
        <v>43207</v>
      </c>
      <c r="L1911">
        <v>120</v>
      </c>
      <c r="M1911" t="s">
        <v>78</v>
      </c>
      <c r="N1911" t="s">
        <v>17</v>
      </c>
      <c r="O1911">
        <v>4</v>
      </c>
      <c r="P1911">
        <v>1020</v>
      </c>
      <c r="Q1911">
        <v>315</v>
      </c>
    </row>
    <row r="1912" spans="2:17" x14ac:dyDescent="0.25">
      <c r="B1912" t="s">
        <v>78</v>
      </c>
      <c r="C1912" t="s">
        <v>3968</v>
      </c>
      <c r="D1912" t="s">
        <v>2509</v>
      </c>
      <c r="E1912" t="s">
        <v>3960</v>
      </c>
      <c r="F1912">
        <v>800.9</v>
      </c>
      <c r="G1912">
        <v>808.13</v>
      </c>
      <c r="H1912">
        <v>808.13</v>
      </c>
      <c r="I1912">
        <v>801.9</v>
      </c>
      <c r="J1912" s="1">
        <v>801.9</v>
      </c>
      <c r="K1912">
        <v>196247.5</v>
      </c>
      <c r="L1912">
        <v>243</v>
      </c>
      <c r="M1912" t="s">
        <v>78</v>
      </c>
      <c r="N1912" t="s">
        <v>17</v>
      </c>
      <c r="O1912">
        <v>5</v>
      </c>
      <c r="P1912">
        <v>1030</v>
      </c>
      <c r="Q1912">
        <v>800</v>
      </c>
    </row>
    <row r="1913" spans="2:17" x14ac:dyDescent="0.25">
      <c r="B1913" t="s">
        <v>78</v>
      </c>
      <c r="C1913" t="s">
        <v>3972</v>
      </c>
      <c r="D1913" t="s">
        <v>2509</v>
      </c>
      <c r="E1913" t="s">
        <v>3987</v>
      </c>
      <c r="F1913">
        <v>1060</v>
      </c>
      <c r="G1913">
        <v>1000</v>
      </c>
      <c r="H1913">
        <v>1000</v>
      </c>
      <c r="I1913">
        <v>1000</v>
      </c>
      <c r="J1913" s="1">
        <v>1000</v>
      </c>
      <c r="K1913">
        <v>25000</v>
      </c>
      <c r="L1913">
        <v>25</v>
      </c>
      <c r="M1913" t="s">
        <v>78</v>
      </c>
      <c r="N1913" t="s">
        <v>17</v>
      </c>
      <c r="O1913">
        <v>1</v>
      </c>
      <c r="P1913">
        <v>1295</v>
      </c>
      <c r="Q1913">
        <v>916</v>
      </c>
    </row>
    <row r="1914" spans="2:17" x14ac:dyDescent="0.25">
      <c r="B1914" t="s">
        <v>78</v>
      </c>
      <c r="C1914" t="s">
        <v>3976</v>
      </c>
      <c r="D1914" t="s">
        <v>2509</v>
      </c>
      <c r="E1914" t="s">
        <v>6482</v>
      </c>
      <c r="F1914">
        <v>925</v>
      </c>
      <c r="G1914">
        <v>940</v>
      </c>
      <c r="H1914">
        <v>940</v>
      </c>
      <c r="I1914">
        <v>940</v>
      </c>
      <c r="J1914" s="1">
        <v>940</v>
      </c>
      <c r="K1914">
        <v>94000</v>
      </c>
      <c r="L1914">
        <v>100</v>
      </c>
      <c r="M1914" t="s">
        <v>78</v>
      </c>
      <c r="N1914" t="s">
        <v>17</v>
      </c>
      <c r="O1914">
        <v>1</v>
      </c>
      <c r="P1914">
        <v>995</v>
      </c>
      <c r="Q1914">
        <v>890</v>
      </c>
    </row>
    <row r="1915" spans="2:17" x14ac:dyDescent="0.25">
      <c r="B1915" t="s">
        <v>78</v>
      </c>
      <c r="C1915" t="s">
        <v>4544</v>
      </c>
      <c r="D1915" t="s">
        <v>2509</v>
      </c>
      <c r="E1915" t="s">
        <v>6481</v>
      </c>
      <c r="F1915">
        <v>905</v>
      </c>
      <c r="G1915">
        <v>905</v>
      </c>
      <c r="H1915">
        <v>905</v>
      </c>
      <c r="I1915">
        <v>905</v>
      </c>
      <c r="J1915" s="1">
        <v>905</v>
      </c>
      <c r="K1915">
        <v>18100</v>
      </c>
      <c r="L1915">
        <v>20</v>
      </c>
      <c r="M1915" t="s">
        <v>78</v>
      </c>
      <c r="N1915" t="s">
        <v>17</v>
      </c>
      <c r="O1915">
        <v>2</v>
      </c>
      <c r="P1915">
        <v>1040</v>
      </c>
      <c r="Q1915">
        <v>800</v>
      </c>
    </row>
    <row r="1916" spans="2:17" x14ac:dyDescent="0.25">
      <c r="B1916" t="s">
        <v>78</v>
      </c>
      <c r="C1916" t="s">
        <v>4544</v>
      </c>
      <c r="D1916" t="s">
        <v>2517</v>
      </c>
      <c r="E1916" t="s">
        <v>6480</v>
      </c>
      <c r="F1916">
        <v>1880</v>
      </c>
      <c r="G1916">
        <v>1900</v>
      </c>
      <c r="H1916">
        <v>1900</v>
      </c>
      <c r="I1916">
        <v>1900</v>
      </c>
      <c r="J1916" s="1">
        <v>1900</v>
      </c>
      <c r="K1916">
        <v>38000</v>
      </c>
      <c r="L1916">
        <v>20</v>
      </c>
      <c r="M1916" t="s">
        <v>78</v>
      </c>
      <c r="N1916" t="s">
        <v>17</v>
      </c>
      <c r="O1916">
        <v>2</v>
      </c>
      <c r="P1916">
        <v>1940</v>
      </c>
      <c r="Q1916">
        <v>1710</v>
      </c>
    </row>
    <row r="1917" spans="2:17" x14ac:dyDescent="0.25">
      <c r="B1917" t="s">
        <v>78</v>
      </c>
      <c r="C1917" t="s">
        <v>3978</v>
      </c>
      <c r="D1917" t="s">
        <v>2509</v>
      </c>
      <c r="E1917" t="s">
        <v>3973</v>
      </c>
      <c r="F1917">
        <v>800</v>
      </c>
      <c r="G1917">
        <v>824</v>
      </c>
      <c r="H1917">
        <v>824</v>
      </c>
      <c r="I1917">
        <v>824</v>
      </c>
      <c r="J1917" s="1">
        <v>824</v>
      </c>
      <c r="K1917">
        <v>82400</v>
      </c>
      <c r="L1917">
        <v>100</v>
      </c>
      <c r="M1917" t="s">
        <v>78</v>
      </c>
      <c r="N1917" t="s">
        <v>17</v>
      </c>
      <c r="O1917">
        <v>20</v>
      </c>
      <c r="P1917">
        <v>1088.8900000000001</v>
      </c>
      <c r="Q1917">
        <v>717</v>
      </c>
    </row>
    <row r="1918" spans="2:17" x14ac:dyDescent="0.25">
      <c r="B1918" t="s">
        <v>78</v>
      </c>
      <c r="C1918" t="s">
        <v>3982</v>
      </c>
      <c r="D1918" t="s">
        <v>2517</v>
      </c>
      <c r="E1918" t="s">
        <v>3983</v>
      </c>
      <c r="F1918">
        <v>963.5</v>
      </c>
      <c r="G1918">
        <v>952</v>
      </c>
      <c r="H1918">
        <v>959.9</v>
      </c>
      <c r="I1918">
        <v>948</v>
      </c>
      <c r="J1918" s="1">
        <v>949.14</v>
      </c>
      <c r="K1918">
        <v>399805.97</v>
      </c>
      <c r="L1918">
        <v>421</v>
      </c>
      <c r="M1918" t="s">
        <v>78</v>
      </c>
      <c r="N1918" t="s">
        <v>17</v>
      </c>
      <c r="O1918">
        <v>25</v>
      </c>
      <c r="P1918">
        <v>1060.9000000000001</v>
      </c>
      <c r="Q1918">
        <v>946.01</v>
      </c>
    </row>
    <row r="1919" spans="2:17" x14ac:dyDescent="0.25">
      <c r="B1919" t="s">
        <v>78</v>
      </c>
      <c r="C1919" t="s">
        <v>3984</v>
      </c>
      <c r="D1919" t="s">
        <v>2517</v>
      </c>
      <c r="E1919" t="s">
        <v>3985</v>
      </c>
      <c r="F1919">
        <v>955</v>
      </c>
      <c r="G1919">
        <v>950.5</v>
      </c>
      <c r="H1919">
        <v>954.6</v>
      </c>
      <c r="I1919">
        <v>949.5</v>
      </c>
      <c r="J1919" s="1">
        <v>949.72</v>
      </c>
      <c r="K1919">
        <v>246017</v>
      </c>
      <c r="L1919">
        <v>258</v>
      </c>
      <c r="M1919" t="s">
        <v>78</v>
      </c>
      <c r="N1919" t="s">
        <v>17</v>
      </c>
      <c r="O1919">
        <v>9</v>
      </c>
      <c r="P1919">
        <v>1052</v>
      </c>
      <c r="Q1919">
        <v>840</v>
      </c>
    </row>
    <row r="1920" spans="2:17" x14ac:dyDescent="0.25">
      <c r="B1920" t="s">
        <v>78</v>
      </c>
      <c r="C1920" t="s">
        <v>4533</v>
      </c>
      <c r="D1920" t="s">
        <v>2509</v>
      </c>
      <c r="E1920" t="s">
        <v>6479</v>
      </c>
      <c r="F1920">
        <v>835</v>
      </c>
      <c r="G1920">
        <v>815</v>
      </c>
      <c r="H1920">
        <v>815</v>
      </c>
      <c r="I1920">
        <v>800</v>
      </c>
      <c r="J1920" s="1">
        <v>800</v>
      </c>
      <c r="K1920">
        <v>48600</v>
      </c>
      <c r="L1920">
        <v>60</v>
      </c>
      <c r="M1920" t="s">
        <v>78</v>
      </c>
      <c r="N1920" t="s">
        <v>17</v>
      </c>
      <c r="O1920">
        <v>3</v>
      </c>
      <c r="P1920">
        <v>1163</v>
      </c>
      <c r="Q1920">
        <v>695</v>
      </c>
    </row>
    <row r="1921" spans="2:17" x14ac:dyDescent="0.25">
      <c r="B1921" t="s">
        <v>78</v>
      </c>
      <c r="C1921" t="s">
        <v>4533</v>
      </c>
      <c r="D1921" t="s">
        <v>2517</v>
      </c>
      <c r="E1921" t="s">
        <v>3997</v>
      </c>
      <c r="F1921">
        <v>1058</v>
      </c>
      <c r="G1921">
        <v>1058</v>
      </c>
      <c r="H1921">
        <v>1059.05</v>
      </c>
      <c r="I1921">
        <v>1057.05</v>
      </c>
      <c r="J1921" s="1">
        <v>1057.05</v>
      </c>
      <c r="K1921">
        <v>377952</v>
      </c>
      <c r="L1921">
        <v>357</v>
      </c>
      <c r="M1921" t="s">
        <v>78</v>
      </c>
      <c r="N1921" t="s">
        <v>17</v>
      </c>
      <c r="O1921">
        <v>16</v>
      </c>
      <c r="P1921">
        <v>1069</v>
      </c>
      <c r="Q1921">
        <v>912</v>
      </c>
    </row>
    <row r="1922" spans="2:17" x14ac:dyDescent="0.25">
      <c r="B1922" t="s">
        <v>78</v>
      </c>
      <c r="C1922" t="s">
        <v>3986</v>
      </c>
      <c r="D1922" t="s">
        <v>2517</v>
      </c>
      <c r="E1922" t="s">
        <v>3987</v>
      </c>
      <c r="F1922">
        <v>1040</v>
      </c>
      <c r="G1922">
        <v>1040.01</v>
      </c>
      <c r="H1922">
        <v>1040.01</v>
      </c>
      <c r="I1922">
        <v>1040</v>
      </c>
      <c r="J1922" s="1">
        <v>1040</v>
      </c>
      <c r="K1922">
        <v>135201</v>
      </c>
      <c r="L1922">
        <v>130</v>
      </c>
      <c r="M1922" t="s">
        <v>78</v>
      </c>
      <c r="N1922" t="s">
        <v>17</v>
      </c>
      <c r="O1922">
        <v>2</v>
      </c>
      <c r="P1922">
        <v>1070</v>
      </c>
      <c r="Q1922">
        <v>936.36</v>
      </c>
    </row>
    <row r="1923" spans="2:17" x14ac:dyDescent="0.25">
      <c r="B1923" t="s">
        <v>78</v>
      </c>
      <c r="C1923" t="s">
        <v>3988</v>
      </c>
      <c r="D1923" t="s">
        <v>2517</v>
      </c>
      <c r="E1923" t="s">
        <v>3989</v>
      </c>
      <c r="F1923">
        <v>954.9</v>
      </c>
      <c r="G1923">
        <v>954.9</v>
      </c>
      <c r="H1923">
        <v>954.9</v>
      </c>
      <c r="I1923">
        <v>954</v>
      </c>
      <c r="J1923" s="1">
        <v>954</v>
      </c>
      <c r="K1923">
        <v>38187</v>
      </c>
      <c r="L1923">
        <v>40</v>
      </c>
      <c r="M1923" t="s">
        <v>78</v>
      </c>
      <c r="N1923" t="s">
        <v>17</v>
      </c>
      <c r="O1923">
        <v>2</v>
      </c>
      <c r="P1923">
        <v>1047</v>
      </c>
      <c r="Q1923">
        <v>822.4</v>
      </c>
    </row>
    <row r="1924" spans="2:17" x14ac:dyDescent="0.25">
      <c r="B1924" t="s">
        <v>78</v>
      </c>
      <c r="C1924" t="s">
        <v>3990</v>
      </c>
      <c r="D1924" t="s">
        <v>2517</v>
      </c>
      <c r="E1924" t="s">
        <v>3991</v>
      </c>
      <c r="F1924">
        <v>1025.02</v>
      </c>
      <c r="G1924">
        <v>1026</v>
      </c>
      <c r="H1924">
        <v>1026</v>
      </c>
      <c r="I1924">
        <v>1020.25</v>
      </c>
      <c r="J1924" s="1">
        <v>1020.25</v>
      </c>
      <c r="K1924">
        <v>533043.52</v>
      </c>
      <c r="L1924">
        <v>520</v>
      </c>
      <c r="M1924" t="s">
        <v>78</v>
      </c>
      <c r="N1924" t="s">
        <v>17</v>
      </c>
      <c r="O1924">
        <v>13</v>
      </c>
      <c r="P1924">
        <v>1040</v>
      </c>
      <c r="Q1924">
        <v>960</v>
      </c>
    </row>
    <row r="1925" spans="2:17" x14ac:dyDescent="0.25">
      <c r="B1925" t="s">
        <v>78</v>
      </c>
      <c r="C1925" t="s">
        <v>3992</v>
      </c>
      <c r="D1925" t="s">
        <v>2517</v>
      </c>
      <c r="E1925" t="s">
        <v>3993</v>
      </c>
      <c r="F1925">
        <v>1020</v>
      </c>
      <c r="G1925">
        <v>1010.1</v>
      </c>
      <c r="H1925">
        <v>1010.1</v>
      </c>
      <c r="I1925">
        <v>1010</v>
      </c>
      <c r="J1925" s="1">
        <v>1010</v>
      </c>
      <c r="K1925">
        <v>133330</v>
      </c>
      <c r="L1925">
        <v>132</v>
      </c>
      <c r="M1925" t="s">
        <v>78</v>
      </c>
      <c r="N1925" t="s">
        <v>17</v>
      </c>
      <c r="O1925">
        <v>5</v>
      </c>
      <c r="P1925">
        <v>1039</v>
      </c>
      <c r="Q1925">
        <v>963</v>
      </c>
    </row>
    <row r="1926" spans="2:17" x14ac:dyDescent="0.25">
      <c r="B1926" t="s">
        <v>78</v>
      </c>
      <c r="C1926" t="s">
        <v>3998</v>
      </c>
      <c r="D1926" t="s">
        <v>2517</v>
      </c>
      <c r="E1926" t="s">
        <v>3987</v>
      </c>
      <c r="F1926">
        <v>1001</v>
      </c>
      <c r="G1926">
        <v>1005</v>
      </c>
      <c r="H1926">
        <v>1005</v>
      </c>
      <c r="I1926">
        <v>1005</v>
      </c>
      <c r="J1926" s="1">
        <v>1005</v>
      </c>
      <c r="K1926">
        <v>110550</v>
      </c>
      <c r="L1926">
        <v>110</v>
      </c>
      <c r="M1926" t="s">
        <v>78</v>
      </c>
      <c r="N1926" t="s">
        <v>17</v>
      </c>
      <c r="O1926">
        <v>3</v>
      </c>
      <c r="P1926">
        <v>1039</v>
      </c>
      <c r="Q1926">
        <v>960</v>
      </c>
    </row>
    <row r="1927" spans="2:17" x14ac:dyDescent="0.25">
      <c r="B1927" t="s">
        <v>78</v>
      </c>
      <c r="C1927" t="s">
        <v>3999</v>
      </c>
      <c r="D1927" t="s">
        <v>2517</v>
      </c>
      <c r="E1927" t="s">
        <v>3989</v>
      </c>
      <c r="F1927">
        <v>980</v>
      </c>
      <c r="G1927">
        <v>1004</v>
      </c>
      <c r="H1927">
        <v>1004</v>
      </c>
      <c r="I1927">
        <v>1003.5</v>
      </c>
      <c r="J1927" s="1">
        <v>1004</v>
      </c>
      <c r="K1927">
        <v>36143.5</v>
      </c>
      <c r="L1927">
        <v>36</v>
      </c>
      <c r="M1927" t="s">
        <v>78</v>
      </c>
      <c r="N1927" t="s">
        <v>17</v>
      </c>
      <c r="O1927">
        <v>3</v>
      </c>
      <c r="P1927">
        <v>1088</v>
      </c>
      <c r="Q1927">
        <v>940</v>
      </c>
    </row>
    <row r="1928" spans="2:17" x14ac:dyDescent="0.25">
      <c r="B1928" t="s">
        <v>78</v>
      </c>
      <c r="C1928" t="s">
        <v>4000</v>
      </c>
      <c r="D1928" t="s">
        <v>2517</v>
      </c>
      <c r="E1928" t="s">
        <v>4001</v>
      </c>
      <c r="F1928">
        <v>1007</v>
      </c>
      <c r="G1928">
        <v>950</v>
      </c>
      <c r="H1928">
        <v>950</v>
      </c>
      <c r="I1928">
        <v>950</v>
      </c>
      <c r="J1928" s="1">
        <v>950</v>
      </c>
      <c r="K1928">
        <v>166250</v>
      </c>
      <c r="L1928">
        <v>175</v>
      </c>
      <c r="M1928" t="s">
        <v>78</v>
      </c>
      <c r="N1928" t="s">
        <v>17</v>
      </c>
      <c r="O1928">
        <v>4</v>
      </c>
      <c r="P1928">
        <v>1067</v>
      </c>
      <c r="Q1928">
        <v>900</v>
      </c>
    </row>
    <row r="1929" spans="2:17" x14ac:dyDescent="0.25">
      <c r="B1929" t="s">
        <v>78</v>
      </c>
      <c r="C1929" t="s">
        <v>6478</v>
      </c>
      <c r="D1929" t="s">
        <v>2517</v>
      </c>
      <c r="E1929" t="s">
        <v>3991</v>
      </c>
      <c r="F1929">
        <v>1007</v>
      </c>
      <c r="G1929">
        <v>1009</v>
      </c>
      <c r="H1929">
        <v>1009</v>
      </c>
      <c r="I1929">
        <v>1009</v>
      </c>
      <c r="J1929" s="1">
        <v>1009</v>
      </c>
      <c r="K1929">
        <v>15135</v>
      </c>
      <c r="L1929">
        <v>15</v>
      </c>
      <c r="M1929" t="s">
        <v>78</v>
      </c>
      <c r="N1929" t="s">
        <v>17</v>
      </c>
      <c r="O1929">
        <v>1</v>
      </c>
      <c r="P1929">
        <v>1039.99</v>
      </c>
      <c r="Q1929">
        <v>800.5</v>
      </c>
    </row>
    <row r="1930" spans="2:17" x14ac:dyDescent="0.25">
      <c r="B1930" t="s">
        <v>78</v>
      </c>
      <c r="C1930" t="s">
        <v>4002</v>
      </c>
      <c r="D1930" t="s">
        <v>2517</v>
      </c>
      <c r="E1930" t="s">
        <v>3995</v>
      </c>
      <c r="F1930">
        <v>1015</v>
      </c>
      <c r="G1930">
        <v>1010.5</v>
      </c>
      <c r="H1930">
        <v>1010.5</v>
      </c>
      <c r="I1930">
        <v>1010.5</v>
      </c>
      <c r="J1930" s="1">
        <v>1010.5</v>
      </c>
      <c r="K1930">
        <v>121260</v>
      </c>
      <c r="L1930">
        <v>120</v>
      </c>
      <c r="M1930" t="s">
        <v>78</v>
      </c>
      <c r="N1930" t="s">
        <v>17</v>
      </c>
      <c r="O1930">
        <v>12</v>
      </c>
      <c r="P1930">
        <v>1079</v>
      </c>
      <c r="Q1930">
        <v>917</v>
      </c>
    </row>
    <row r="1931" spans="2:17" x14ac:dyDescent="0.25">
      <c r="B1931" t="s">
        <v>17</v>
      </c>
      <c r="C1931" t="s">
        <v>2959</v>
      </c>
      <c r="D1931" t="s">
        <v>17</v>
      </c>
      <c r="E1931" t="s">
        <v>17</v>
      </c>
      <c r="F1931" t="s">
        <v>17</v>
      </c>
      <c r="G1931" t="s">
        <v>17</v>
      </c>
      <c r="H1931" t="s">
        <v>17</v>
      </c>
      <c r="I1931" t="s">
        <v>17</v>
      </c>
      <c r="J1931" s="1" t="s">
        <v>17</v>
      </c>
      <c r="K1931" t="s">
        <v>17</v>
      </c>
      <c r="L1931" t="s">
        <v>17</v>
      </c>
      <c r="M1931" t="s">
        <v>17</v>
      </c>
      <c r="N1931" t="s">
        <v>17</v>
      </c>
      <c r="O1931" t="s">
        <v>17</v>
      </c>
      <c r="P1931" t="s">
        <v>17</v>
      </c>
      <c r="Q1931" t="s">
        <v>17</v>
      </c>
    </row>
    <row r="1932" spans="2:17" x14ac:dyDescent="0.25">
      <c r="B1932" t="s">
        <v>17</v>
      </c>
      <c r="C1932" t="s">
        <v>2959</v>
      </c>
      <c r="D1932" t="s">
        <v>17</v>
      </c>
      <c r="E1932" t="s">
        <v>4015</v>
      </c>
      <c r="F1932" t="s">
        <v>17</v>
      </c>
      <c r="G1932" t="s">
        <v>17</v>
      </c>
      <c r="H1932" t="s">
        <v>17</v>
      </c>
      <c r="I1932" t="s">
        <v>17</v>
      </c>
      <c r="J1932" s="1" t="s">
        <v>17</v>
      </c>
      <c r="K1932" t="s">
        <v>17</v>
      </c>
      <c r="L1932" t="s">
        <v>17</v>
      </c>
      <c r="M1932" t="s">
        <v>17</v>
      </c>
      <c r="N1932" t="s">
        <v>17</v>
      </c>
      <c r="O1932" t="s">
        <v>17</v>
      </c>
      <c r="P1932" t="s">
        <v>17</v>
      </c>
      <c r="Q1932" t="s">
        <v>17</v>
      </c>
    </row>
    <row r="1933" spans="2:17" x14ac:dyDescent="0.25">
      <c r="B1933" t="s">
        <v>17</v>
      </c>
      <c r="C1933" t="s">
        <v>17</v>
      </c>
      <c r="D1933" t="s">
        <v>17</v>
      </c>
      <c r="E1933" t="s">
        <v>17</v>
      </c>
      <c r="F1933" t="s">
        <v>17</v>
      </c>
      <c r="G1933" t="s">
        <v>17</v>
      </c>
      <c r="H1933" t="s">
        <v>17</v>
      </c>
      <c r="I1933" t="s">
        <v>17</v>
      </c>
      <c r="J1933" s="1" t="s">
        <v>17</v>
      </c>
      <c r="K1933" t="s">
        <v>17</v>
      </c>
      <c r="L1933" t="s">
        <v>17</v>
      </c>
      <c r="M1933" t="s">
        <v>17</v>
      </c>
      <c r="N1933" t="s">
        <v>17</v>
      </c>
      <c r="O1933" t="s">
        <v>17</v>
      </c>
      <c r="P1933" t="s">
        <v>17</v>
      </c>
      <c r="Q1933" t="s">
        <v>17</v>
      </c>
    </row>
    <row r="1934" spans="2:17" x14ac:dyDescent="0.25">
      <c r="B1934" t="s">
        <v>17</v>
      </c>
      <c r="C1934" t="s">
        <v>17</v>
      </c>
      <c r="D1934" t="s">
        <v>17</v>
      </c>
      <c r="E1934" t="s">
        <v>4018</v>
      </c>
      <c r="F1934" t="s">
        <v>17</v>
      </c>
      <c r="G1934" t="s">
        <v>17</v>
      </c>
      <c r="H1934" t="s">
        <v>17</v>
      </c>
      <c r="I1934" t="s">
        <v>17</v>
      </c>
      <c r="J1934" s="1" t="s">
        <v>17</v>
      </c>
      <c r="K1934" t="s">
        <v>17</v>
      </c>
      <c r="L1934" t="s">
        <v>17</v>
      </c>
      <c r="M1934" t="s">
        <v>17</v>
      </c>
      <c r="N1934" t="s">
        <v>17</v>
      </c>
      <c r="O1934" t="s">
        <v>17</v>
      </c>
      <c r="P1934" t="s">
        <v>17</v>
      </c>
      <c r="Q1934" t="s">
        <v>17</v>
      </c>
    </row>
    <row r="1935" spans="2:17" x14ac:dyDescent="0.25">
      <c r="B1935" t="s">
        <v>78</v>
      </c>
      <c r="C1935" t="s">
        <v>79</v>
      </c>
      <c r="D1935" t="s">
        <v>4021</v>
      </c>
      <c r="E1935" t="s">
        <v>4022</v>
      </c>
      <c r="F1935">
        <v>274.36</v>
      </c>
      <c r="G1935">
        <v>271.60000000000002</v>
      </c>
      <c r="H1935">
        <v>271.60000000000002</v>
      </c>
      <c r="I1935">
        <v>265.24</v>
      </c>
      <c r="J1935" s="1">
        <v>265.24</v>
      </c>
      <c r="K1935">
        <v>4284283.42</v>
      </c>
      <c r="L1935">
        <v>16007</v>
      </c>
      <c r="M1935" t="s">
        <v>78</v>
      </c>
      <c r="N1935" t="s">
        <v>17</v>
      </c>
      <c r="O1935">
        <v>6</v>
      </c>
      <c r="P1935">
        <v>338.05</v>
      </c>
      <c r="Q1935">
        <v>250.1</v>
      </c>
    </row>
    <row r="1936" spans="2:17" x14ac:dyDescent="0.25">
      <c r="B1936" t="s">
        <v>78</v>
      </c>
      <c r="C1936" t="s">
        <v>79</v>
      </c>
      <c r="D1936" t="s">
        <v>4027</v>
      </c>
      <c r="E1936" t="s">
        <v>4028</v>
      </c>
      <c r="F1936">
        <v>3050.85</v>
      </c>
      <c r="G1936">
        <v>3072</v>
      </c>
      <c r="H1936">
        <v>3100</v>
      </c>
      <c r="I1936">
        <v>3070</v>
      </c>
      <c r="J1936" s="1">
        <v>3075.9</v>
      </c>
      <c r="K1936">
        <v>891594.5</v>
      </c>
      <c r="L1936">
        <v>289</v>
      </c>
      <c r="M1936" t="s">
        <v>78</v>
      </c>
      <c r="N1936" t="s">
        <v>17</v>
      </c>
      <c r="O1936">
        <v>58</v>
      </c>
      <c r="P1936">
        <v>3100</v>
      </c>
      <c r="Q1936">
        <v>2591</v>
      </c>
    </row>
    <row r="1937" spans="2:17" x14ac:dyDescent="0.25">
      <c r="B1937" t="s">
        <v>78</v>
      </c>
      <c r="C1937" t="s">
        <v>79</v>
      </c>
      <c r="D1937" t="s">
        <v>4031</v>
      </c>
      <c r="E1937" t="s">
        <v>4032</v>
      </c>
      <c r="F1937">
        <v>1196</v>
      </c>
      <c r="G1937">
        <v>1188.3699999999999</v>
      </c>
      <c r="H1937">
        <v>1188.3699999999999</v>
      </c>
      <c r="I1937">
        <v>1174.5999999999999</v>
      </c>
      <c r="J1937" s="1">
        <v>1176.3499999999999</v>
      </c>
      <c r="K1937">
        <v>84845.53</v>
      </c>
      <c r="L1937">
        <v>72</v>
      </c>
      <c r="M1937" t="s">
        <v>78</v>
      </c>
      <c r="N1937" t="s">
        <v>17</v>
      </c>
      <c r="O1937">
        <v>12</v>
      </c>
      <c r="P1937">
        <v>1434.34</v>
      </c>
      <c r="Q1937">
        <v>1011</v>
      </c>
    </row>
    <row r="1938" spans="2:17" x14ac:dyDescent="0.25">
      <c r="B1938" t="s">
        <v>78</v>
      </c>
      <c r="C1938" t="s">
        <v>79</v>
      </c>
      <c r="D1938" t="s">
        <v>4035</v>
      </c>
      <c r="E1938" t="s">
        <v>6477</v>
      </c>
      <c r="F1938">
        <v>3100.1</v>
      </c>
      <c r="G1938">
        <v>3162.1</v>
      </c>
      <c r="H1938">
        <v>3224.1</v>
      </c>
      <c r="I1938">
        <v>3028.25</v>
      </c>
      <c r="J1938" s="1">
        <v>3031.59</v>
      </c>
      <c r="K1938">
        <v>28160727.5</v>
      </c>
      <c r="L1938">
        <v>9173</v>
      </c>
      <c r="M1938" t="s">
        <v>78</v>
      </c>
      <c r="N1938" t="s">
        <v>17</v>
      </c>
      <c r="O1938">
        <v>1136</v>
      </c>
      <c r="P1938">
        <v>3298.88</v>
      </c>
      <c r="Q1938">
        <v>2450</v>
      </c>
    </row>
    <row r="1939" spans="2:17" x14ac:dyDescent="0.25">
      <c r="B1939" t="s">
        <v>78</v>
      </c>
      <c r="C1939" t="s">
        <v>79</v>
      </c>
      <c r="D1939" t="s">
        <v>4037</v>
      </c>
      <c r="E1939" t="s">
        <v>4038</v>
      </c>
      <c r="F1939">
        <v>3229</v>
      </c>
      <c r="G1939">
        <v>3230</v>
      </c>
      <c r="H1939">
        <v>3294</v>
      </c>
      <c r="I1939">
        <v>3211</v>
      </c>
      <c r="J1939" s="1">
        <v>3240.5</v>
      </c>
      <c r="K1939">
        <v>52074.1</v>
      </c>
      <c r="L1939">
        <v>16</v>
      </c>
      <c r="M1939" t="s">
        <v>78</v>
      </c>
      <c r="N1939" t="s">
        <v>17</v>
      </c>
      <c r="O1939">
        <v>12</v>
      </c>
      <c r="P1939">
        <v>3795.05</v>
      </c>
      <c r="Q1939">
        <v>2712</v>
      </c>
    </row>
    <row r="1940" spans="2:17" x14ac:dyDescent="0.25">
      <c r="B1940" t="s">
        <v>78</v>
      </c>
      <c r="C1940" t="s">
        <v>79</v>
      </c>
      <c r="D1940" t="s">
        <v>4039</v>
      </c>
      <c r="E1940" t="s">
        <v>4040</v>
      </c>
      <c r="F1940">
        <v>126.1</v>
      </c>
      <c r="G1940">
        <v>125.56</v>
      </c>
      <c r="H1940">
        <v>125.56</v>
      </c>
      <c r="I1940">
        <v>124.85</v>
      </c>
      <c r="J1940" s="1">
        <v>124.85</v>
      </c>
      <c r="K1940">
        <v>4871.7</v>
      </c>
      <c r="L1940">
        <v>39</v>
      </c>
      <c r="M1940" t="s">
        <v>78</v>
      </c>
      <c r="N1940" t="s">
        <v>17</v>
      </c>
      <c r="O1940">
        <v>7</v>
      </c>
      <c r="P1940">
        <v>140</v>
      </c>
      <c r="Q1940">
        <v>105</v>
      </c>
    </row>
    <row r="1941" spans="2:17" x14ac:dyDescent="0.25">
      <c r="B1941" t="s">
        <v>78</v>
      </c>
      <c r="C1941" t="s">
        <v>79</v>
      </c>
      <c r="D1941" t="s">
        <v>4041</v>
      </c>
      <c r="E1941" t="s">
        <v>4042</v>
      </c>
      <c r="F1941">
        <v>25.3</v>
      </c>
      <c r="G1941">
        <v>25.28</v>
      </c>
      <c r="H1941">
        <v>25.69</v>
      </c>
      <c r="I1941">
        <v>25.11</v>
      </c>
      <c r="J1941" s="1">
        <v>25.34</v>
      </c>
      <c r="K1941">
        <v>251899392.81999999</v>
      </c>
      <c r="L1941">
        <v>9931412</v>
      </c>
      <c r="M1941" t="s">
        <v>78</v>
      </c>
      <c r="N1941" t="s">
        <v>17</v>
      </c>
      <c r="O1941">
        <v>5207</v>
      </c>
      <c r="P1941">
        <v>31.7</v>
      </c>
      <c r="Q1941">
        <v>20.95</v>
      </c>
    </row>
    <row r="1942" spans="2:17" x14ac:dyDescent="0.25">
      <c r="B1942" t="s">
        <v>78</v>
      </c>
      <c r="C1942" t="s">
        <v>79</v>
      </c>
      <c r="D1942" t="s">
        <v>6476</v>
      </c>
      <c r="E1942" t="s">
        <v>6475</v>
      </c>
      <c r="F1942">
        <v>3190</v>
      </c>
      <c r="G1942">
        <v>3250</v>
      </c>
      <c r="H1942">
        <v>3250</v>
      </c>
      <c r="I1942">
        <v>3250</v>
      </c>
      <c r="J1942" s="1">
        <v>3250</v>
      </c>
      <c r="K1942">
        <v>6500</v>
      </c>
      <c r="L1942">
        <v>2</v>
      </c>
      <c r="M1942" t="s">
        <v>78</v>
      </c>
      <c r="N1942" t="s">
        <v>17</v>
      </c>
      <c r="O1942">
        <v>2</v>
      </c>
      <c r="P1942">
        <v>3599</v>
      </c>
      <c r="Q1942">
        <v>2500</v>
      </c>
    </row>
    <row r="1943" spans="2:17" x14ac:dyDescent="0.25">
      <c r="B1943" t="s">
        <v>78</v>
      </c>
      <c r="C1943" t="s">
        <v>79</v>
      </c>
      <c r="D1943" t="s">
        <v>4051</v>
      </c>
      <c r="E1943" t="s">
        <v>4052</v>
      </c>
      <c r="F1943">
        <v>320</v>
      </c>
      <c r="G1943">
        <v>310</v>
      </c>
      <c r="H1943">
        <v>325</v>
      </c>
      <c r="I1943">
        <v>306</v>
      </c>
      <c r="J1943" s="1">
        <v>325</v>
      </c>
      <c r="K1943">
        <v>1561</v>
      </c>
      <c r="L1943">
        <v>5</v>
      </c>
      <c r="M1943" t="s">
        <v>78</v>
      </c>
      <c r="N1943" t="s">
        <v>17</v>
      </c>
      <c r="O1943">
        <v>5</v>
      </c>
      <c r="P1943">
        <v>346</v>
      </c>
      <c r="Q1943">
        <v>256</v>
      </c>
    </row>
    <row r="1944" spans="2:17" x14ac:dyDescent="0.25">
      <c r="B1944" t="s">
        <v>78</v>
      </c>
      <c r="C1944" t="s">
        <v>79</v>
      </c>
      <c r="D1944" t="s">
        <v>4053</v>
      </c>
      <c r="E1944" t="s">
        <v>6474</v>
      </c>
      <c r="F1944">
        <v>3096.25</v>
      </c>
      <c r="G1944">
        <v>3130.5</v>
      </c>
      <c r="H1944">
        <v>3163.9</v>
      </c>
      <c r="I1944">
        <v>3106.5</v>
      </c>
      <c r="J1944" s="1">
        <v>3118.35</v>
      </c>
      <c r="K1944">
        <v>93737576.900000006</v>
      </c>
      <c r="L1944">
        <v>29923</v>
      </c>
      <c r="M1944" t="s">
        <v>78</v>
      </c>
      <c r="N1944" t="s">
        <v>17</v>
      </c>
      <c r="O1944">
        <v>2683</v>
      </c>
      <c r="P1944">
        <v>3163.9</v>
      </c>
      <c r="Q1944">
        <v>2410.1</v>
      </c>
    </row>
    <row r="1945" spans="2:17" x14ac:dyDescent="0.25">
      <c r="B1945" t="s">
        <v>78</v>
      </c>
      <c r="C1945" t="s">
        <v>79</v>
      </c>
      <c r="D1945" t="s">
        <v>4055</v>
      </c>
      <c r="E1945" t="s">
        <v>4056</v>
      </c>
      <c r="F1945">
        <v>3102.5</v>
      </c>
      <c r="G1945">
        <v>3112.5</v>
      </c>
      <c r="H1945">
        <v>3160</v>
      </c>
      <c r="I1945">
        <v>3112.5</v>
      </c>
      <c r="J1945" s="1">
        <v>3134.7</v>
      </c>
      <c r="K1945">
        <v>7758827.0999999996</v>
      </c>
      <c r="L1945">
        <v>2471</v>
      </c>
      <c r="M1945" t="s">
        <v>78</v>
      </c>
      <c r="N1945" t="s">
        <v>17</v>
      </c>
      <c r="O1945">
        <v>218</v>
      </c>
      <c r="P1945">
        <v>3160</v>
      </c>
      <c r="Q1945">
        <v>2600</v>
      </c>
    </row>
    <row r="1946" spans="2:17" x14ac:dyDescent="0.25">
      <c r="B1946" t="s">
        <v>78</v>
      </c>
      <c r="C1946" t="s">
        <v>79</v>
      </c>
      <c r="D1946" t="s">
        <v>4059</v>
      </c>
      <c r="E1946" t="s">
        <v>4060</v>
      </c>
      <c r="F1946">
        <v>3169.95</v>
      </c>
      <c r="G1946">
        <v>3185.5</v>
      </c>
      <c r="H1946">
        <v>3220</v>
      </c>
      <c r="I1946">
        <v>3185.5</v>
      </c>
      <c r="J1946" s="1">
        <v>3204.7</v>
      </c>
      <c r="K1946">
        <v>7397583.0499999998</v>
      </c>
      <c r="L1946">
        <v>2310</v>
      </c>
      <c r="M1946" t="s">
        <v>78</v>
      </c>
      <c r="N1946" t="s">
        <v>17</v>
      </c>
      <c r="O1946">
        <v>226</v>
      </c>
      <c r="P1946">
        <v>3220</v>
      </c>
      <c r="Q1946">
        <v>2675.35</v>
      </c>
    </row>
    <row r="1947" spans="2:17" x14ac:dyDescent="0.25">
      <c r="B1947" t="s">
        <v>78</v>
      </c>
      <c r="C1947" t="s">
        <v>79</v>
      </c>
      <c r="D1947" t="s">
        <v>4061</v>
      </c>
      <c r="E1947" t="s">
        <v>4062</v>
      </c>
      <c r="F1947">
        <v>1216.02</v>
      </c>
      <c r="G1947">
        <v>1213</v>
      </c>
      <c r="H1947">
        <v>1213</v>
      </c>
      <c r="I1947">
        <v>1193</v>
      </c>
      <c r="J1947" s="1">
        <v>1197.4000000000001</v>
      </c>
      <c r="K1947">
        <v>2812480.33</v>
      </c>
      <c r="L1947">
        <v>2343</v>
      </c>
      <c r="M1947" t="s">
        <v>78</v>
      </c>
      <c r="N1947" t="s">
        <v>17</v>
      </c>
      <c r="O1947">
        <v>130</v>
      </c>
      <c r="P1947">
        <v>1392</v>
      </c>
      <c r="Q1947">
        <v>978.3</v>
      </c>
    </row>
    <row r="1948" spans="2:17" x14ac:dyDescent="0.25">
      <c r="B1948" t="s">
        <v>78</v>
      </c>
      <c r="C1948" t="s">
        <v>79</v>
      </c>
      <c r="D1948" t="s">
        <v>4063</v>
      </c>
      <c r="E1948" t="s">
        <v>4064</v>
      </c>
      <c r="F1948">
        <v>4120.8500000000004</v>
      </c>
      <c r="G1948">
        <v>4097.09</v>
      </c>
      <c r="H1948">
        <v>4148.9799999999996</v>
      </c>
      <c r="I1948">
        <v>4025</v>
      </c>
      <c r="J1948" s="1">
        <v>4043.46</v>
      </c>
      <c r="K1948">
        <v>1033833.56</v>
      </c>
      <c r="L1948">
        <v>253</v>
      </c>
      <c r="M1948" t="s">
        <v>78</v>
      </c>
      <c r="N1948" t="s">
        <v>17</v>
      </c>
      <c r="O1948">
        <v>42</v>
      </c>
      <c r="P1948">
        <v>4772.1099999999997</v>
      </c>
      <c r="Q1948">
        <v>3490.86</v>
      </c>
    </row>
    <row r="1949" spans="2:17" x14ac:dyDescent="0.25">
      <c r="B1949" t="s">
        <v>78</v>
      </c>
      <c r="C1949" t="s">
        <v>79</v>
      </c>
      <c r="D1949" t="s">
        <v>4065</v>
      </c>
      <c r="E1949" t="s">
        <v>6473</v>
      </c>
      <c r="F1949">
        <v>2975.07</v>
      </c>
      <c r="G1949">
        <v>3115</v>
      </c>
      <c r="H1949">
        <v>3115</v>
      </c>
      <c r="I1949">
        <v>2975</v>
      </c>
      <c r="J1949" s="1">
        <v>3006</v>
      </c>
      <c r="K1949">
        <v>525185.62</v>
      </c>
      <c r="L1949">
        <v>174</v>
      </c>
      <c r="M1949" t="s">
        <v>78</v>
      </c>
      <c r="N1949" t="s">
        <v>17</v>
      </c>
      <c r="O1949">
        <v>42</v>
      </c>
      <c r="P1949">
        <v>3722.9</v>
      </c>
      <c r="Q1949">
        <v>2525</v>
      </c>
    </row>
    <row r="1950" spans="2:17" x14ac:dyDescent="0.25">
      <c r="B1950" t="s">
        <v>78</v>
      </c>
      <c r="C1950" t="s">
        <v>79</v>
      </c>
      <c r="D1950" t="s">
        <v>4067</v>
      </c>
      <c r="E1950" t="s">
        <v>4068</v>
      </c>
      <c r="F1950">
        <v>115.03</v>
      </c>
      <c r="G1950">
        <v>113.82</v>
      </c>
      <c r="H1950">
        <v>115</v>
      </c>
      <c r="I1950">
        <v>112.5</v>
      </c>
      <c r="J1950" s="1">
        <v>113.58</v>
      </c>
      <c r="K1950">
        <v>32890.74</v>
      </c>
      <c r="L1950">
        <v>289</v>
      </c>
      <c r="M1950" t="s">
        <v>78</v>
      </c>
      <c r="N1950" t="s">
        <v>17</v>
      </c>
      <c r="O1950">
        <v>12</v>
      </c>
      <c r="P1950">
        <v>140</v>
      </c>
      <c r="Q1950">
        <v>100.58</v>
      </c>
    </row>
    <row r="1951" spans="2:17" x14ac:dyDescent="0.25">
      <c r="B1951" t="s">
        <v>78</v>
      </c>
      <c r="C1951" t="s">
        <v>79</v>
      </c>
      <c r="D1951" t="s">
        <v>4069</v>
      </c>
      <c r="E1951" t="s">
        <v>4070</v>
      </c>
      <c r="F1951">
        <v>152.41999999999999</v>
      </c>
      <c r="G1951">
        <v>157</v>
      </c>
      <c r="H1951">
        <v>157</v>
      </c>
      <c r="I1951">
        <v>149.32</v>
      </c>
      <c r="J1951" s="1">
        <v>149.85</v>
      </c>
      <c r="K1951">
        <v>12460721</v>
      </c>
      <c r="L1951">
        <v>82424</v>
      </c>
      <c r="M1951" t="s">
        <v>78</v>
      </c>
      <c r="N1951" t="s">
        <v>17</v>
      </c>
      <c r="O1951">
        <v>147</v>
      </c>
      <c r="P1951">
        <v>181.6</v>
      </c>
      <c r="Q1951">
        <v>132</v>
      </c>
    </row>
    <row r="1952" spans="2:17" x14ac:dyDescent="0.25">
      <c r="B1952" t="s">
        <v>78</v>
      </c>
      <c r="C1952" t="s">
        <v>79</v>
      </c>
      <c r="D1952" t="s">
        <v>4073</v>
      </c>
      <c r="E1952" t="s">
        <v>4074</v>
      </c>
      <c r="F1952">
        <v>37.659999999999997</v>
      </c>
      <c r="G1952">
        <v>38</v>
      </c>
      <c r="H1952">
        <v>38</v>
      </c>
      <c r="I1952">
        <v>36.25</v>
      </c>
      <c r="J1952" s="1">
        <v>36.46</v>
      </c>
      <c r="K1952">
        <v>9167983.6300000008</v>
      </c>
      <c r="L1952">
        <v>250901</v>
      </c>
      <c r="M1952" t="s">
        <v>78</v>
      </c>
      <c r="N1952" t="s">
        <v>17</v>
      </c>
      <c r="O1952">
        <v>3985</v>
      </c>
      <c r="P1952">
        <v>39.9</v>
      </c>
      <c r="Q1952">
        <v>32.1</v>
      </c>
    </row>
    <row r="1953" spans="2:17" x14ac:dyDescent="0.25">
      <c r="B1953" t="s">
        <v>78</v>
      </c>
      <c r="C1953" t="s">
        <v>79</v>
      </c>
      <c r="D1953" t="s">
        <v>4079</v>
      </c>
      <c r="E1953" t="s">
        <v>4080</v>
      </c>
      <c r="F1953">
        <v>31.4</v>
      </c>
      <c r="G1953">
        <v>30.55</v>
      </c>
      <c r="H1953">
        <v>32</v>
      </c>
      <c r="I1953">
        <v>30.55</v>
      </c>
      <c r="J1953" s="1">
        <v>31.65</v>
      </c>
      <c r="K1953">
        <v>609163.85</v>
      </c>
      <c r="L1953">
        <v>19184</v>
      </c>
      <c r="M1953" t="s">
        <v>78</v>
      </c>
      <c r="N1953" t="s">
        <v>17</v>
      </c>
      <c r="O1953">
        <v>240</v>
      </c>
      <c r="P1953">
        <v>292.10000000000002</v>
      </c>
      <c r="Q1953">
        <v>24.5</v>
      </c>
    </row>
    <row r="1954" spans="2:17" x14ac:dyDescent="0.25">
      <c r="B1954" t="s">
        <v>78</v>
      </c>
      <c r="C1954" t="s">
        <v>79</v>
      </c>
      <c r="D1954" t="s">
        <v>4081</v>
      </c>
      <c r="E1954" t="s">
        <v>4082</v>
      </c>
      <c r="F1954">
        <v>1000</v>
      </c>
      <c r="G1954">
        <v>1000</v>
      </c>
      <c r="H1954">
        <v>1000</v>
      </c>
      <c r="I1954">
        <v>999.99</v>
      </c>
      <c r="J1954" s="1">
        <v>999.99</v>
      </c>
      <c r="K1954">
        <v>14505999.640000001</v>
      </c>
      <c r="L1954">
        <v>14506</v>
      </c>
      <c r="M1954" t="s">
        <v>78</v>
      </c>
      <c r="N1954" t="s">
        <v>17</v>
      </c>
      <c r="O1954">
        <v>35</v>
      </c>
      <c r="P1954">
        <v>1011</v>
      </c>
      <c r="Q1954">
        <v>810.9</v>
      </c>
    </row>
    <row r="1955" spans="2:17" x14ac:dyDescent="0.25">
      <c r="B1955" t="s">
        <v>78</v>
      </c>
      <c r="C1955" t="s">
        <v>79</v>
      </c>
      <c r="D1955" t="s">
        <v>4083</v>
      </c>
      <c r="E1955" t="s">
        <v>4084</v>
      </c>
      <c r="F1955">
        <v>88.68</v>
      </c>
      <c r="G1955">
        <v>88.7</v>
      </c>
      <c r="H1955">
        <v>88.7</v>
      </c>
      <c r="I1955">
        <v>87.01</v>
      </c>
      <c r="J1955" s="1">
        <v>87.3</v>
      </c>
      <c r="K1955">
        <v>453062.91</v>
      </c>
      <c r="L1955">
        <v>5171</v>
      </c>
      <c r="M1955" t="s">
        <v>78</v>
      </c>
      <c r="N1955" t="s">
        <v>17</v>
      </c>
      <c r="O1955">
        <v>37</v>
      </c>
      <c r="P1955">
        <v>107.8</v>
      </c>
      <c r="Q1955">
        <v>72.3</v>
      </c>
    </row>
    <row r="1956" spans="2:17" x14ac:dyDescent="0.25">
      <c r="B1956" t="s">
        <v>78</v>
      </c>
      <c r="C1956" t="s">
        <v>79</v>
      </c>
      <c r="D1956" t="s">
        <v>4087</v>
      </c>
      <c r="E1956" t="s">
        <v>4088</v>
      </c>
      <c r="F1956">
        <v>64.209999999999994</v>
      </c>
      <c r="G1956">
        <v>68</v>
      </c>
      <c r="H1956">
        <v>68</v>
      </c>
      <c r="I1956">
        <v>62.91</v>
      </c>
      <c r="J1956" s="1">
        <v>62.97</v>
      </c>
      <c r="K1956">
        <v>703974.58</v>
      </c>
      <c r="L1956">
        <v>11082</v>
      </c>
      <c r="M1956" t="s">
        <v>78</v>
      </c>
      <c r="N1956" t="s">
        <v>17</v>
      </c>
      <c r="O1956">
        <v>191</v>
      </c>
      <c r="P1956">
        <v>79</v>
      </c>
      <c r="Q1956">
        <v>56.7</v>
      </c>
    </row>
    <row r="1957" spans="2:17" x14ac:dyDescent="0.25">
      <c r="B1957" t="s">
        <v>78</v>
      </c>
      <c r="C1957" t="s">
        <v>79</v>
      </c>
      <c r="D1957" t="s">
        <v>4089</v>
      </c>
      <c r="E1957" t="s">
        <v>4090</v>
      </c>
      <c r="F1957">
        <v>124.91</v>
      </c>
      <c r="G1957">
        <v>124.5</v>
      </c>
      <c r="H1957">
        <v>124.5</v>
      </c>
      <c r="I1957">
        <v>123</v>
      </c>
      <c r="J1957" s="1">
        <v>123.03</v>
      </c>
      <c r="K1957">
        <v>92057.75</v>
      </c>
      <c r="L1957">
        <v>742</v>
      </c>
      <c r="M1957" t="s">
        <v>78</v>
      </c>
      <c r="N1957" t="s">
        <v>17</v>
      </c>
      <c r="O1957">
        <v>33</v>
      </c>
      <c r="P1957">
        <v>140</v>
      </c>
      <c r="Q1957">
        <v>105.5</v>
      </c>
    </row>
    <row r="1958" spans="2:17" x14ac:dyDescent="0.25">
      <c r="B1958" t="s">
        <v>78</v>
      </c>
      <c r="C1958" t="s">
        <v>79</v>
      </c>
      <c r="D1958" t="s">
        <v>4091</v>
      </c>
      <c r="E1958" t="s">
        <v>4092</v>
      </c>
      <c r="F1958">
        <v>121.86</v>
      </c>
      <c r="G1958">
        <v>121.86</v>
      </c>
      <c r="H1958">
        <v>122.89</v>
      </c>
      <c r="I1958">
        <v>119.8</v>
      </c>
      <c r="J1958" s="1">
        <v>120.1</v>
      </c>
      <c r="K1958">
        <v>31234469.460000001</v>
      </c>
      <c r="L1958">
        <v>259706</v>
      </c>
      <c r="M1958" t="s">
        <v>78</v>
      </c>
      <c r="N1958" t="s">
        <v>17</v>
      </c>
      <c r="O1958">
        <v>3101</v>
      </c>
      <c r="P1958">
        <v>126.47</v>
      </c>
      <c r="Q1958">
        <v>95</v>
      </c>
    </row>
    <row r="1959" spans="2:17" x14ac:dyDescent="0.25">
      <c r="B1959" t="s">
        <v>78</v>
      </c>
      <c r="C1959" t="s">
        <v>79</v>
      </c>
      <c r="D1959" t="s">
        <v>4093</v>
      </c>
      <c r="E1959" t="s">
        <v>4094</v>
      </c>
      <c r="F1959">
        <v>54.75</v>
      </c>
      <c r="G1959">
        <v>54.75</v>
      </c>
      <c r="H1959">
        <v>55.08</v>
      </c>
      <c r="I1959">
        <v>54.45</v>
      </c>
      <c r="J1959" s="1">
        <v>54.53</v>
      </c>
      <c r="K1959">
        <v>596216.55000000005</v>
      </c>
      <c r="L1959">
        <v>10908</v>
      </c>
      <c r="M1959" t="s">
        <v>78</v>
      </c>
      <c r="N1959" t="s">
        <v>17</v>
      </c>
      <c r="O1959">
        <v>75</v>
      </c>
      <c r="P1959">
        <v>68.5</v>
      </c>
      <c r="Q1959">
        <v>46</v>
      </c>
    </row>
    <row r="1960" spans="2:17" x14ac:dyDescent="0.25">
      <c r="B1960" t="s">
        <v>78</v>
      </c>
      <c r="C1960" t="s">
        <v>79</v>
      </c>
      <c r="D1960" t="s">
        <v>4095</v>
      </c>
      <c r="E1960" t="s">
        <v>4096</v>
      </c>
      <c r="F1960">
        <v>27.4</v>
      </c>
      <c r="G1960">
        <v>27.65</v>
      </c>
      <c r="H1960">
        <v>27.65</v>
      </c>
      <c r="I1960">
        <v>26.75</v>
      </c>
      <c r="J1960" s="1">
        <v>26.91</v>
      </c>
      <c r="K1960">
        <v>5454767.8499999996</v>
      </c>
      <c r="L1960">
        <v>202173</v>
      </c>
      <c r="M1960" t="s">
        <v>78</v>
      </c>
      <c r="N1960" t="s">
        <v>17</v>
      </c>
      <c r="O1960">
        <v>263</v>
      </c>
      <c r="P1960">
        <v>320</v>
      </c>
      <c r="Q1960">
        <v>25.31</v>
      </c>
    </row>
    <row r="1961" spans="2:17" x14ac:dyDescent="0.25">
      <c r="B1961" t="s">
        <v>78</v>
      </c>
      <c r="C1961" t="s">
        <v>79</v>
      </c>
      <c r="D1961" t="s">
        <v>4099</v>
      </c>
      <c r="E1961" t="s">
        <v>4100</v>
      </c>
      <c r="F1961">
        <v>411.66</v>
      </c>
      <c r="G1961">
        <v>414.59</v>
      </c>
      <c r="H1961">
        <v>414.59</v>
      </c>
      <c r="I1961">
        <v>407.09</v>
      </c>
      <c r="J1961" s="1">
        <v>407.34</v>
      </c>
      <c r="K1961">
        <v>99049.63</v>
      </c>
      <c r="L1961">
        <v>242</v>
      </c>
      <c r="M1961" t="s">
        <v>78</v>
      </c>
      <c r="N1961" t="s">
        <v>17</v>
      </c>
      <c r="O1961">
        <v>29</v>
      </c>
      <c r="P1961">
        <v>503</v>
      </c>
      <c r="Q1961">
        <v>335.95</v>
      </c>
    </row>
    <row r="1962" spans="2:17" x14ac:dyDescent="0.25">
      <c r="B1962" t="s">
        <v>78</v>
      </c>
      <c r="C1962" t="s">
        <v>79</v>
      </c>
      <c r="D1962" t="s">
        <v>4103</v>
      </c>
      <c r="E1962" t="s">
        <v>4104</v>
      </c>
      <c r="F1962">
        <v>3212</v>
      </c>
      <c r="G1962">
        <v>3235</v>
      </c>
      <c r="H1962">
        <v>3264</v>
      </c>
      <c r="I1962">
        <v>3235</v>
      </c>
      <c r="J1962" s="1">
        <v>3240.5</v>
      </c>
      <c r="K1962">
        <v>441781.25</v>
      </c>
      <c r="L1962">
        <v>136</v>
      </c>
      <c r="M1962" t="s">
        <v>78</v>
      </c>
      <c r="N1962" t="s">
        <v>17</v>
      </c>
      <c r="O1962">
        <v>24</v>
      </c>
      <c r="P1962">
        <v>3265</v>
      </c>
      <c r="Q1962">
        <v>2715</v>
      </c>
    </row>
    <row r="1963" spans="2:17" x14ac:dyDescent="0.25">
      <c r="B1963" t="s">
        <v>78</v>
      </c>
      <c r="C1963" t="s">
        <v>79</v>
      </c>
      <c r="D1963" t="s">
        <v>4105</v>
      </c>
      <c r="E1963" t="s">
        <v>4106</v>
      </c>
      <c r="F1963">
        <v>120.03</v>
      </c>
      <c r="G1963">
        <v>118.7</v>
      </c>
      <c r="H1963">
        <v>118.86</v>
      </c>
      <c r="I1963">
        <v>116.66</v>
      </c>
      <c r="J1963" s="1">
        <v>116.66</v>
      </c>
      <c r="K1963">
        <v>826.3</v>
      </c>
      <c r="L1963">
        <v>7</v>
      </c>
      <c r="M1963" t="s">
        <v>78</v>
      </c>
      <c r="N1963" t="s">
        <v>17</v>
      </c>
      <c r="O1963">
        <v>4</v>
      </c>
      <c r="P1963">
        <v>134.5</v>
      </c>
      <c r="Q1963">
        <v>86</v>
      </c>
    </row>
    <row r="1964" spans="2:17" x14ac:dyDescent="0.25">
      <c r="B1964" t="s">
        <v>78</v>
      </c>
      <c r="C1964" t="s">
        <v>79</v>
      </c>
      <c r="D1964" t="s">
        <v>4107</v>
      </c>
      <c r="E1964" t="s">
        <v>6472</v>
      </c>
      <c r="F1964">
        <v>329.2</v>
      </c>
      <c r="G1964">
        <v>329.2</v>
      </c>
      <c r="H1964">
        <v>329.2</v>
      </c>
      <c r="I1964">
        <v>325.33</v>
      </c>
      <c r="J1964" s="1">
        <v>326.93</v>
      </c>
      <c r="K1964">
        <v>94558.26</v>
      </c>
      <c r="L1964">
        <v>289</v>
      </c>
      <c r="M1964" t="s">
        <v>78</v>
      </c>
      <c r="N1964" t="s">
        <v>17</v>
      </c>
      <c r="O1964">
        <v>36</v>
      </c>
      <c r="P1964">
        <v>389.23</v>
      </c>
      <c r="Q1964">
        <v>284.01</v>
      </c>
    </row>
    <row r="1965" spans="2:17" x14ac:dyDescent="0.25">
      <c r="B1965" t="s">
        <v>78</v>
      </c>
      <c r="C1965" t="s">
        <v>79</v>
      </c>
      <c r="D1965" t="s">
        <v>4109</v>
      </c>
      <c r="E1965" t="s">
        <v>4110</v>
      </c>
      <c r="F1965">
        <v>3165</v>
      </c>
      <c r="G1965">
        <v>3200</v>
      </c>
      <c r="H1965">
        <v>3216</v>
      </c>
      <c r="I1965">
        <v>3157</v>
      </c>
      <c r="J1965" s="1">
        <v>3187</v>
      </c>
      <c r="K1965">
        <v>143533.1</v>
      </c>
      <c r="L1965">
        <v>45</v>
      </c>
      <c r="M1965" t="s">
        <v>78</v>
      </c>
      <c r="N1965" t="s">
        <v>17</v>
      </c>
      <c r="O1965">
        <v>13</v>
      </c>
      <c r="P1965">
        <v>3350</v>
      </c>
      <c r="Q1965">
        <v>2616.6</v>
      </c>
    </row>
    <row r="1966" spans="2:17" x14ac:dyDescent="0.25">
      <c r="B1966" t="s">
        <v>78</v>
      </c>
      <c r="C1966" t="s">
        <v>79</v>
      </c>
      <c r="D1966" t="s">
        <v>4113</v>
      </c>
      <c r="E1966" t="s">
        <v>6471</v>
      </c>
      <c r="F1966">
        <v>280.51</v>
      </c>
      <c r="G1966">
        <v>284</v>
      </c>
      <c r="H1966">
        <v>284</v>
      </c>
      <c r="I1966">
        <v>275</v>
      </c>
      <c r="J1966" s="1">
        <v>275.38</v>
      </c>
      <c r="K1966">
        <v>24560872.879999999</v>
      </c>
      <c r="L1966">
        <v>88787</v>
      </c>
      <c r="M1966" t="s">
        <v>78</v>
      </c>
      <c r="N1966" t="s">
        <v>17</v>
      </c>
      <c r="O1966">
        <v>1600</v>
      </c>
      <c r="P1966">
        <v>325.7</v>
      </c>
      <c r="Q1966">
        <v>257.85000000000002</v>
      </c>
    </row>
    <row r="1967" spans="2:17" x14ac:dyDescent="0.25">
      <c r="B1967" t="s">
        <v>78</v>
      </c>
      <c r="C1967" t="s">
        <v>79</v>
      </c>
      <c r="D1967" t="s">
        <v>4115</v>
      </c>
      <c r="E1967" t="s">
        <v>4116</v>
      </c>
      <c r="F1967">
        <v>312.95999999999998</v>
      </c>
      <c r="G1967">
        <v>313.32</v>
      </c>
      <c r="H1967">
        <v>314.52</v>
      </c>
      <c r="I1967">
        <v>305.3</v>
      </c>
      <c r="J1967" s="1">
        <v>305.82</v>
      </c>
      <c r="K1967">
        <v>8356097.6600000001</v>
      </c>
      <c r="L1967">
        <v>26947</v>
      </c>
      <c r="M1967" t="s">
        <v>78</v>
      </c>
      <c r="N1967" t="s">
        <v>17</v>
      </c>
      <c r="O1967">
        <v>488</v>
      </c>
      <c r="P1967">
        <v>368</v>
      </c>
      <c r="Q1967">
        <v>240</v>
      </c>
    </row>
    <row r="1968" spans="2:17" x14ac:dyDescent="0.25">
      <c r="B1968" t="s">
        <v>78</v>
      </c>
      <c r="C1968" t="s">
        <v>79</v>
      </c>
      <c r="D1968" t="s">
        <v>4117</v>
      </c>
      <c r="E1968" t="s">
        <v>4118</v>
      </c>
      <c r="F1968">
        <v>305.05</v>
      </c>
      <c r="G1968">
        <v>308.95</v>
      </c>
      <c r="H1968">
        <v>312</v>
      </c>
      <c r="I1968">
        <v>307.05</v>
      </c>
      <c r="J1968" s="1">
        <v>310.64999999999998</v>
      </c>
      <c r="K1968">
        <v>33029378.100000001</v>
      </c>
      <c r="L1968">
        <v>106218</v>
      </c>
      <c r="M1968" t="s">
        <v>78</v>
      </c>
      <c r="N1968" t="s">
        <v>17</v>
      </c>
      <c r="O1968">
        <v>612</v>
      </c>
      <c r="P1968">
        <v>312</v>
      </c>
      <c r="Q1968">
        <v>257.25</v>
      </c>
    </row>
    <row r="1969" spans="2:17" x14ac:dyDescent="0.25">
      <c r="B1969" t="s">
        <v>78</v>
      </c>
      <c r="C1969" t="s">
        <v>79</v>
      </c>
      <c r="D1969" t="s">
        <v>4121</v>
      </c>
      <c r="E1969" t="s">
        <v>4122</v>
      </c>
      <c r="F1969">
        <v>120.37</v>
      </c>
      <c r="G1969">
        <v>120.42</v>
      </c>
      <c r="H1969">
        <v>120.48</v>
      </c>
      <c r="I1969">
        <v>118.11</v>
      </c>
      <c r="J1969" s="1">
        <v>118.17</v>
      </c>
      <c r="K1969">
        <v>12879404.85</v>
      </c>
      <c r="L1969">
        <v>108217</v>
      </c>
      <c r="M1969" t="s">
        <v>78</v>
      </c>
      <c r="N1969" t="s">
        <v>17</v>
      </c>
      <c r="O1969">
        <v>629</v>
      </c>
      <c r="P1969">
        <v>132.9</v>
      </c>
      <c r="Q1969">
        <v>102.73</v>
      </c>
    </row>
    <row r="1970" spans="2:17" x14ac:dyDescent="0.25">
      <c r="B1970" t="s">
        <v>78</v>
      </c>
      <c r="C1970" t="s">
        <v>79</v>
      </c>
      <c r="D1970" t="s">
        <v>4123</v>
      </c>
      <c r="E1970" t="s">
        <v>4124</v>
      </c>
      <c r="F1970">
        <v>56.49</v>
      </c>
      <c r="G1970">
        <v>56.35</v>
      </c>
      <c r="H1970">
        <v>56.98</v>
      </c>
      <c r="I1970">
        <v>55.26</v>
      </c>
      <c r="J1970" s="1">
        <v>55.69</v>
      </c>
      <c r="K1970">
        <v>881033.63</v>
      </c>
      <c r="L1970">
        <v>15757</v>
      </c>
      <c r="M1970" t="s">
        <v>78</v>
      </c>
      <c r="N1970" t="s">
        <v>17</v>
      </c>
      <c r="O1970">
        <v>250</v>
      </c>
      <c r="P1970">
        <v>69</v>
      </c>
      <c r="Q1970">
        <v>43.25</v>
      </c>
    </row>
    <row r="1971" spans="2:17" x14ac:dyDescent="0.25">
      <c r="B1971" t="s">
        <v>78</v>
      </c>
      <c r="C1971" t="s">
        <v>79</v>
      </c>
      <c r="D1971" t="s">
        <v>4125</v>
      </c>
      <c r="E1971" t="s">
        <v>4126</v>
      </c>
      <c r="F1971">
        <v>306</v>
      </c>
      <c r="G1971">
        <v>310</v>
      </c>
      <c r="H1971">
        <v>311.99</v>
      </c>
      <c r="I1971">
        <v>299</v>
      </c>
      <c r="J1971" s="1">
        <v>301.93</v>
      </c>
      <c r="K1971">
        <v>2185318.7000000002</v>
      </c>
      <c r="L1971">
        <v>7264</v>
      </c>
      <c r="M1971" t="s">
        <v>78</v>
      </c>
      <c r="N1971" t="s">
        <v>17</v>
      </c>
      <c r="O1971">
        <v>124</v>
      </c>
      <c r="P1971">
        <v>373.2</v>
      </c>
      <c r="Q1971">
        <v>254</v>
      </c>
    </row>
    <row r="1972" spans="2:17" x14ac:dyDescent="0.25">
      <c r="B1972" t="s">
        <v>78</v>
      </c>
      <c r="C1972" t="s">
        <v>79</v>
      </c>
      <c r="D1972" t="s">
        <v>4127</v>
      </c>
      <c r="E1972" t="s">
        <v>4128</v>
      </c>
      <c r="F1972">
        <v>19.57</v>
      </c>
      <c r="G1972">
        <v>19.84</v>
      </c>
      <c r="H1972">
        <v>19.97</v>
      </c>
      <c r="I1972">
        <v>19.52</v>
      </c>
      <c r="J1972" s="1">
        <v>19.78</v>
      </c>
      <c r="K1972">
        <v>28750.41</v>
      </c>
      <c r="L1972">
        <v>1460</v>
      </c>
      <c r="M1972" t="s">
        <v>78</v>
      </c>
      <c r="N1972" t="s">
        <v>17</v>
      </c>
      <c r="O1972">
        <v>28</v>
      </c>
      <c r="P1972">
        <v>22.99</v>
      </c>
      <c r="Q1972">
        <v>13.93</v>
      </c>
    </row>
    <row r="1973" spans="2:17" x14ac:dyDescent="0.25">
      <c r="B1973" t="s">
        <v>78</v>
      </c>
      <c r="C1973" t="s">
        <v>79</v>
      </c>
      <c r="D1973" t="s">
        <v>4129</v>
      </c>
      <c r="E1973" t="s">
        <v>4130</v>
      </c>
      <c r="F1973">
        <v>119.75</v>
      </c>
      <c r="G1973">
        <v>121.25</v>
      </c>
      <c r="H1973">
        <v>121.25</v>
      </c>
      <c r="I1973">
        <v>117.75</v>
      </c>
      <c r="J1973" s="1">
        <v>117.75</v>
      </c>
      <c r="K1973">
        <v>158244.9</v>
      </c>
      <c r="L1973">
        <v>1327</v>
      </c>
      <c r="M1973" t="s">
        <v>78</v>
      </c>
      <c r="N1973" t="s">
        <v>17</v>
      </c>
      <c r="O1973">
        <v>16</v>
      </c>
      <c r="P1973">
        <v>144</v>
      </c>
      <c r="Q1973">
        <v>87.9</v>
      </c>
    </row>
    <row r="1974" spans="2:17" x14ac:dyDescent="0.25">
      <c r="B1974" t="s">
        <v>78</v>
      </c>
      <c r="C1974" t="s">
        <v>79</v>
      </c>
      <c r="D1974" t="s">
        <v>4131</v>
      </c>
      <c r="E1974" t="s">
        <v>4132</v>
      </c>
      <c r="F1974">
        <v>482</v>
      </c>
      <c r="G1974">
        <v>460</v>
      </c>
      <c r="H1974">
        <v>481.5</v>
      </c>
      <c r="I1974">
        <v>460</v>
      </c>
      <c r="J1974" s="1">
        <v>468.3</v>
      </c>
      <c r="K1974">
        <v>3261.5</v>
      </c>
      <c r="L1974">
        <v>7</v>
      </c>
      <c r="M1974" t="s">
        <v>78</v>
      </c>
      <c r="N1974" t="s">
        <v>17</v>
      </c>
      <c r="O1974">
        <v>3</v>
      </c>
      <c r="P1974">
        <v>501.93</v>
      </c>
      <c r="Q1974">
        <v>338.8</v>
      </c>
    </row>
    <row r="1975" spans="2:17" x14ac:dyDescent="0.25">
      <c r="B1975" t="s">
        <v>78</v>
      </c>
      <c r="C1975" t="s">
        <v>79</v>
      </c>
      <c r="D1975" t="s">
        <v>4133</v>
      </c>
      <c r="E1975" t="s">
        <v>4134</v>
      </c>
      <c r="F1975">
        <v>121.95</v>
      </c>
      <c r="G1975">
        <v>121.05</v>
      </c>
      <c r="H1975">
        <v>121.05</v>
      </c>
      <c r="I1975">
        <v>118.05</v>
      </c>
      <c r="J1975" s="1">
        <v>118.05</v>
      </c>
      <c r="K1975">
        <v>3114.3</v>
      </c>
      <c r="L1975">
        <v>26</v>
      </c>
      <c r="M1975" t="s">
        <v>78</v>
      </c>
      <c r="N1975" t="s">
        <v>17</v>
      </c>
      <c r="O1975">
        <v>7</v>
      </c>
      <c r="P1975">
        <v>135</v>
      </c>
      <c r="Q1975">
        <v>105</v>
      </c>
    </row>
    <row r="1976" spans="2:17" x14ac:dyDescent="0.25">
      <c r="B1976" t="s">
        <v>78</v>
      </c>
      <c r="C1976" t="s">
        <v>79</v>
      </c>
      <c r="D1976" t="s">
        <v>4135</v>
      </c>
      <c r="E1976" t="s">
        <v>6470</v>
      </c>
      <c r="F1976">
        <v>1000</v>
      </c>
      <c r="G1976">
        <v>1000</v>
      </c>
      <c r="H1976">
        <v>1000.01</v>
      </c>
      <c r="I1976">
        <v>999.99</v>
      </c>
      <c r="J1976" s="1">
        <v>1000</v>
      </c>
      <c r="K1976">
        <v>911103285.42999995</v>
      </c>
      <c r="L1976">
        <v>911104</v>
      </c>
      <c r="M1976" t="s">
        <v>78</v>
      </c>
      <c r="N1976" t="s">
        <v>17</v>
      </c>
      <c r="O1976">
        <v>3121</v>
      </c>
      <c r="P1976">
        <v>1014.44</v>
      </c>
      <c r="Q1976">
        <v>990.5</v>
      </c>
    </row>
    <row r="1977" spans="2:17" x14ac:dyDescent="0.25">
      <c r="B1977" t="s">
        <v>78</v>
      </c>
      <c r="C1977" t="s">
        <v>79</v>
      </c>
      <c r="D1977" t="s">
        <v>4137</v>
      </c>
      <c r="E1977" t="s">
        <v>4138</v>
      </c>
      <c r="F1977">
        <v>1000</v>
      </c>
      <c r="G1977">
        <v>999.99</v>
      </c>
      <c r="H1977">
        <v>1000.04</v>
      </c>
      <c r="I1977">
        <v>999.99</v>
      </c>
      <c r="J1977" s="1">
        <v>1000</v>
      </c>
      <c r="K1977">
        <v>22298080.829999998</v>
      </c>
      <c r="L1977">
        <v>22298</v>
      </c>
      <c r="M1977" t="s">
        <v>78</v>
      </c>
      <c r="N1977" t="s">
        <v>17</v>
      </c>
      <c r="O1977">
        <v>108</v>
      </c>
      <c r="P1977">
        <v>1000.04</v>
      </c>
      <c r="Q1977">
        <v>926.7</v>
      </c>
    </row>
    <row r="1978" spans="2:17" x14ac:dyDescent="0.25">
      <c r="B1978" t="s">
        <v>78</v>
      </c>
      <c r="C1978" t="s">
        <v>79</v>
      </c>
      <c r="D1978" t="s">
        <v>6469</v>
      </c>
      <c r="E1978" t="s">
        <v>6468</v>
      </c>
      <c r="F1978">
        <v>17.61</v>
      </c>
      <c r="G1978">
        <v>17.8</v>
      </c>
      <c r="H1978">
        <v>17.8</v>
      </c>
      <c r="I1978">
        <v>17.2</v>
      </c>
      <c r="J1978" s="1">
        <v>17.309999999999999</v>
      </c>
      <c r="K1978">
        <v>1116738.77</v>
      </c>
      <c r="L1978">
        <v>63996</v>
      </c>
      <c r="M1978" t="s">
        <v>78</v>
      </c>
      <c r="N1978" t="s">
        <v>17</v>
      </c>
      <c r="O1978">
        <v>285</v>
      </c>
      <c r="P1978">
        <v>22</v>
      </c>
      <c r="Q1978">
        <v>14.8</v>
      </c>
    </row>
    <row r="1979" spans="2:17" x14ac:dyDescent="0.25">
      <c r="B1979" t="s">
        <v>78</v>
      </c>
      <c r="C1979" t="s">
        <v>79</v>
      </c>
      <c r="D1979" t="s">
        <v>6467</v>
      </c>
      <c r="E1979" t="s">
        <v>6466</v>
      </c>
      <c r="F1979">
        <v>113.55</v>
      </c>
      <c r="G1979">
        <v>114.04</v>
      </c>
      <c r="H1979">
        <v>114.04</v>
      </c>
      <c r="I1979">
        <v>111</v>
      </c>
      <c r="J1979" s="1">
        <v>111.45</v>
      </c>
      <c r="K1979">
        <v>77733.399999999994</v>
      </c>
      <c r="L1979">
        <v>695</v>
      </c>
      <c r="M1979" t="s">
        <v>78</v>
      </c>
      <c r="N1979" t="s">
        <v>17</v>
      </c>
      <c r="O1979">
        <v>20</v>
      </c>
      <c r="P1979">
        <v>117.5</v>
      </c>
      <c r="Q1979">
        <v>98.5</v>
      </c>
    </row>
    <row r="1980" spans="2:17" x14ac:dyDescent="0.25">
      <c r="B1980" t="s">
        <v>78</v>
      </c>
      <c r="C1980" t="s">
        <v>79</v>
      </c>
      <c r="D1980" t="s">
        <v>4143</v>
      </c>
      <c r="E1980" t="s">
        <v>4144</v>
      </c>
      <c r="F1980">
        <v>116.6</v>
      </c>
      <c r="G1980">
        <v>116.25</v>
      </c>
      <c r="H1980">
        <v>116.25</v>
      </c>
      <c r="I1980">
        <v>114.6</v>
      </c>
      <c r="J1980" s="1">
        <v>115</v>
      </c>
      <c r="K1980">
        <v>82462.05</v>
      </c>
      <c r="L1980">
        <v>714</v>
      </c>
      <c r="M1980" t="s">
        <v>78</v>
      </c>
      <c r="N1980" t="s">
        <v>17</v>
      </c>
      <c r="O1980">
        <v>10</v>
      </c>
      <c r="P1980">
        <v>131</v>
      </c>
      <c r="Q1980">
        <v>90.73</v>
      </c>
    </row>
    <row r="1981" spans="2:17" x14ac:dyDescent="0.25">
      <c r="B1981" t="s">
        <v>78</v>
      </c>
      <c r="C1981" t="s">
        <v>79</v>
      </c>
      <c r="D1981" t="s">
        <v>6465</v>
      </c>
      <c r="E1981" t="s">
        <v>6464</v>
      </c>
      <c r="F1981">
        <v>537.53</v>
      </c>
      <c r="G1981">
        <v>537.5</v>
      </c>
      <c r="H1981">
        <v>539.39</v>
      </c>
      <c r="I1981">
        <v>529.5</v>
      </c>
      <c r="J1981" s="1">
        <v>536.70000000000005</v>
      </c>
      <c r="K1981">
        <v>5582433.3899999997</v>
      </c>
      <c r="L1981">
        <v>10434</v>
      </c>
      <c r="M1981" t="s">
        <v>78</v>
      </c>
      <c r="N1981" t="s">
        <v>17</v>
      </c>
      <c r="O1981">
        <v>383</v>
      </c>
      <c r="P1981">
        <v>655.89</v>
      </c>
      <c r="Q1981">
        <v>410</v>
      </c>
    </row>
    <row r="1982" spans="2:17" x14ac:dyDescent="0.25">
      <c r="B1982" t="s">
        <v>78</v>
      </c>
      <c r="C1982" t="s">
        <v>79</v>
      </c>
      <c r="D1982" t="s">
        <v>4157</v>
      </c>
      <c r="E1982" t="s">
        <v>4158</v>
      </c>
      <c r="F1982">
        <v>117.06</v>
      </c>
      <c r="G1982">
        <v>116.3</v>
      </c>
      <c r="H1982">
        <v>116.3</v>
      </c>
      <c r="I1982">
        <v>114.8</v>
      </c>
      <c r="J1982" s="1">
        <v>114.96</v>
      </c>
      <c r="K1982">
        <v>461.2</v>
      </c>
      <c r="L1982">
        <v>4</v>
      </c>
      <c r="M1982" t="s">
        <v>78</v>
      </c>
      <c r="N1982" t="s">
        <v>17</v>
      </c>
      <c r="O1982">
        <v>3</v>
      </c>
      <c r="P1982">
        <v>132</v>
      </c>
      <c r="Q1982">
        <v>91.67</v>
      </c>
    </row>
    <row r="1983" spans="2:17" x14ac:dyDescent="0.25">
      <c r="B1983" t="s">
        <v>78</v>
      </c>
      <c r="C1983" t="s">
        <v>79</v>
      </c>
      <c r="D1983" t="s">
        <v>4179</v>
      </c>
      <c r="E1983" t="s">
        <v>6463</v>
      </c>
      <c r="F1983">
        <v>1225.57</v>
      </c>
      <c r="G1983">
        <v>1260</v>
      </c>
      <c r="H1983">
        <v>1260</v>
      </c>
      <c r="I1983">
        <v>1205.5</v>
      </c>
      <c r="J1983" s="1">
        <v>1207.17</v>
      </c>
      <c r="K1983">
        <v>71063129.150000006</v>
      </c>
      <c r="L1983">
        <v>58646</v>
      </c>
      <c r="M1983" t="s">
        <v>78</v>
      </c>
      <c r="N1983" t="s">
        <v>17</v>
      </c>
      <c r="O1983">
        <v>2995</v>
      </c>
      <c r="P1983">
        <v>1279</v>
      </c>
      <c r="Q1983">
        <v>990.1</v>
      </c>
    </row>
    <row r="1984" spans="2:17" x14ac:dyDescent="0.25">
      <c r="B1984" t="s">
        <v>78</v>
      </c>
      <c r="C1984" t="s">
        <v>79</v>
      </c>
      <c r="D1984" t="s">
        <v>4183</v>
      </c>
      <c r="E1984" t="s">
        <v>6462</v>
      </c>
      <c r="F1984">
        <v>339.89</v>
      </c>
      <c r="G1984">
        <v>339.8</v>
      </c>
      <c r="H1984">
        <v>340</v>
      </c>
      <c r="I1984">
        <v>331</v>
      </c>
      <c r="J1984" s="1">
        <v>332.42</v>
      </c>
      <c r="K1984">
        <v>1034995.98</v>
      </c>
      <c r="L1984">
        <v>3095</v>
      </c>
      <c r="M1984" t="s">
        <v>78</v>
      </c>
      <c r="N1984" t="s">
        <v>17</v>
      </c>
      <c r="O1984">
        <v>110</v>
      </c>
      <c r="P1984">
        <v>410</v>
      </c>
      <c r="Q1984">
        <v>273.7</v>
      </c>
    </row>
    <row r="1985" spans="2:17" x14ac:dyDescent="0.25">
      <c r="B1985" t="s">
        <v>78</v>
      </c>
      <c r="C1985" t="s">
        <v>79</v>
      </c>
      <c r="D1985" t="s">
        <v>4185</v>
      </c>
      <c r="E1985" t="s">
        <v>4186</v>
      </c>
      <c r="F1985">
        <v>1540</v>
      </c>
      <c r="G1985">
        <v>1560.1</v>
      </c>
      <c r="H1985">
        <v>1574</v>
      </c>
      <c r="I1985">
        <v>1546.15</v>
      </c>
      <c r="J1985" s="1">
        <v>1552.05</v>
      </c>
      <c r="K1985">
        <v>1529284.2</v>
      </c>
      <c r="L1985">
        <v>980</v>
      </c>
      <c r="M1985" t="s">
        <v>78</v>
      </c>
      <c r="N1985" t="s">
        <v>17</v>
      </c>
      <c r="O1985">
        <v>151</v>
      </c>
      <c r="P1985">
        <v>1574</v>
      </c>
      <c r="Q1985">
        <v>1276</v>
      </c>
    </row>
    <row r="1986" spans="2:17" x14ac:dyDescent="0.25">
      <c r="B1986" t="s">
        <v>78</v>
      </c>
      <c r="C1986" t="s">
        <v>79</v>
      </c>
      <c r="D1986" t="s">
        <v>4187</v>
      </c>
      <c r="E1986" t="s">
        <v>4188</v>
      </c>
      <c r="F1986">
        <v>1182.5</v>
      </c>
      <c r="G1986">
        <v>1186</v>
      </c>
      <c r="H1986">
        <v>1186</v>
      </c>
      <c r="I1986">
        <v>1166</v>
      </c>
      <c r="J1986" s="1">
        <v>1167.42</v>
      </c>
      <c r="K1986">
        <v>51681.7</v>
      </c>
      <c r="L1986">
        <v>44</v>
      </c>
      <c r="M1986" t="s">
        <v>78</v>
      </c>
      <c r="N1986" t="s">
        <v>17</v>
      </c>
      <c r="O1986">
        <v>9</v>
      </c>
      <c r="P1986">
        <v>1319.4</v>
      </c>
      <c r="Q1986">
        <v>880.9</v>
      </c>
    </row>
    <row r="1987" spans="2:17" x14ac:dyDescent="0.25">
      <c r="B1987" t="s">
        <v>78</v>
      </c>
      <c r="C1987" t="s">
        <v>79</v>
      </c>
      <c r="D1987" t="s">
        <v>6461</v>
      </c>
      <c r="E1987" t="s">
        <v>6460</v>
      </c>
      <c r="F1987">
        <v>120.6</v>
      </c>
      <c r="G1987">
        <v>120.13</v>
      </c>
      <c r="H1987">
        <v>120.13</v>
      </c>
      <c r="I1987">
        <v>118.3</v>
      </c>
      <c r="J1987" s="1">
        <v>118.9</v>
      </c>
      <c r="K1987">
        <v>30973.41</v>
      </c>
      <c r="L1987">
        <v>260</v>
      </c>
      <c r="M1987" t="s">
        <v>78</v>
      </c>
      <c r="N1987" t="s">
        <v>17</v>
      </c>
      <c r="O1987">
        <v>10</v>
      </c>
      <c r="P1987">
        <v>132.99</v>
      </c>
      <c r="Q1987">
        <v>105</v>
      </c>
    </row>
    <row r="1988" spans="2:17" x14ac:dyDescent="0.25">
      <c r="B1988" t="s">
        <v>78</v>
      </c>
      <c r="C1988" t="s">
        <v>79</v>
      </c>
      <c r="D1988" t="s">
        <v>6459</v>
      </c>
      <c r="E1988" t="s">
        <v>6458</v>
      </c>
      <c r="F1988">
        <v>49.22</v>
      </c>
      <c r="G1988">
        <v>49</v>
      </c>
      <c r="H1988">
        <v>49</v>
      </c>
      <c r="I1988">
        <v>48.4</v>
      </c>
      <c r="J1988" s="1">
        <v>48.47</v>
      </c>
      <c r="K1988">
        <v>464473.07</v>
      </c>
      <c r="L1988">
        <v>9542</v>
      </c>
      <c r="M1988" t="s">
        <v>78</v>
      </c>
      <c r="N1988" t="s">
        <v>17</v>
      </c>
      <c r="O1988">
        <v>72</v>
      </c>
      <c r="P1988">
        <v>61</v>
      </c>
      <c r="Q1988">
        <v>40.1</v>
      </c>
    </row>
    <row r="1989" spans="2:17" x14ac:dyDescent="0.25">
      <c r="B1989" t="s">
        <v>78</v>
      </c>
      <c r="C1989" t="s">
        <v>79</v>
      </c>
      <c r="D1989" t="s">
        <v>6457</v>
      </c>
      <c r="E1989" t="s">
        <v>6456</v>
      </c>
      <c r="F1989">
        <v>29.5</v>
      </c>
      <c r="G1989">
        <v>29.4</v>
      </c>
      <c r="H1989">
        <v>29.4</v>
      </c>
      <c r="I1989">
        <v>29.03</v>
      </c>
      <c r="J1989" s="1">
        <v>29.25</v>
      </c>
      <c r="K1989">
        <v>39113.29</v>
      </c>
      <c r="L1989">
        <v>1336</v>
      </c>
      <c r="M1989" t="s">
        <v>78</v>
      </c>
      <c r="N1989" t="s">
        <v>17</v>
      </c>
      <c r="O1989">
        <v>21</v>
      </c>
      <c r="P1989">
        <v>35</v>
      </c>
      <c r="Q1989">
        <v>27.39</v>
      </c>
    </row>
    <row r="1990" spans="2:17" x14ac:dyDescent="0.25">
      <c r="B1990" t="s">
        <v>78</v>
      </c>
      <c r="C1990" t="s">
        <v>79</v>
      </c>
      <c r="D1990" t="s">
        <v>6455</v>
      </c>
      <c r="E1990" t="s">
        <v>6454</v>
      </c>
      <c r="F1990">
        <v>562.79</v>
      </c>
      <c r="G1990">
        <v>560.70000000000005</v>
      </c>
      <c r="H1990">
        <v>560.74</v>
      </c>
      <c r="I1990">
        <v>557.26</v>
      </c>
      <c r="J1990" s="1">
        <v>557.91</v>
      </c>
      <c r="K1990">
        <v>280547.12</v>
      </c>
      <c r="L1990">
        <v>502</v>
      </c>
      <c r="M1990" t="s">
        <v>78</v>
      </c>
      <c r="N1990" t="s">
        <v>17</v>
      </c>
      <c r="O1990">
        <v>57</v>
      </c>
      <c r="P1990">
        <v>690</v>
      </c>
      <c r="Q1990">
        <v>465</v>
      </c>
    </row>
    <row r="1991" spans="2:17" x14ac:dyDescent="0.25">
      <c r="B1991" t="s">
        <v>78</v>
      </c>
      <c r="C1991" t="s">
        <v>79</v>
      </c>
      <c r="D1991" t="s">
        <v>6453</v>
      </c>
      <c r="E1991" t="s">
        <v>6452</v>
      </c>
      <c r="F1991">
        <v>60.79</v>
      </c>
      <c r="G1991">
        <v>60.77</v>
      </c>
      <c r="H1991">
        <v>60.82</v>
      </c>
      <c r="I1991">
        <v>59.55</v>
      </c>
      <c r="J1991" s="1">
        <v>59.69</v>
      </c>
      <c r="K1991">
        <v>17624642.039999999</v>
      </c>
      <c r="L1991">
        <v>294961</v>
      </c>
      <c r="M1991" t="s">
        <v>78</v>
      </c>
      <c r="N1991" t="s">
        <v>17</v>
      </c>
      <c r="O1991">
        <v>120</v>
      </c>
      <c r="P1991">
        <v>75.7</v>
      </c>
      <c r="Q1991">
        <v>56.5</v>
      </c>
    </row>
    <row r="1992" spans="2:17" x14ac:dyDescent="0.25">
      <c r="B1992" t="s">
        <v>78</v>
      </c>
      <c r="C1992" t="s">
        <v>79</v>
      </c>
      <c r="D1992" t="s">
        <v>6451</v>
      </c>
      <c r="E1992" t="s">
        <v>6450</v>
      </c>
      <c r="F1992">
        <v>19.97</v>
      </c>
      <c r="G1992">
        <v>20.07</v>
      </c>
      <c r="H1992">
        <v>20.09</v>
      </c>
      <c r="I1992">
        <v>20.05</v>
      </c>
      <c r="J1992" s="1">
        <v>20.09</v>
      </c>
      <c r="K1992">
        <v>214326.93</v>
      </c>
      <c r="L1992">
        <v>10672</v>
      </c>
      <c r="M1992" t="s">
        <v>78</v>
      </c>
      <c r="N1992" t="s">
        <v>17</v>
      </c>
      <c r="O1992">
        <v>29</v>
      </c>
      <c r="P1992">
        <v>20.399999999999999</v>
      </c>
      <c r="Q1992">
        <v>14.2</v>
      </c>
    </row>
    <row r="1993" spans="2:17" x14ac:dyDescent="0.25">
      <c r="B1993" t="s">
        <v>78</v>
      </c>
      <c r="C1993" t="s">
        <v>79</v>
      </c>
      <c r="D1993" t="s">
        <v>4193</v>
      </c>
      <c r="E1993" t="s">
        <v>4194</v>
      </c>
      <c r="F1993">
        <v>93.59</v>
      </c>
      <c r="G1993">
        <v>95</v>
      </c>
      <c r="H1993">
        <v>96.4</v>
      </c>
      <c r="I1993">
        <v>91.9</v>
      </c>
      <c r="J1993" s="1">
        <v>92.02</v>
      </c>
      <c r="K1993">
        <v>154325.65</v>
      </c>
      <c r="L1993">
        <v>1670</v>
      </c>
      <c r="M1993" t="s">
        <v>78</v>
      </c>
      <c r="N1993" t="s">
        <v>17</v>
      </c>
      <c r="O1993">
        <v>111</v>
      </c>
      <c r="P1993">
        <v>113</v>
      </c>
      <c r="Q1993">
        <v>88.6</v>
      </c>
    </row>
    <row r="1994" spans="2:17" x14ac:dyDescent="0.25">
      <c r="B1994" t="s">
        <v>78</v>
      </c>
      <c r="C1994" t="s">
        <v>79</v>
      </c>
      <c r="D1994" t="s">
        <v>4195</v>
      </c>
      <c r="E1994" t="s">
        <v>4196</v>
      </c>
      <c r="F1994">
        <v>189.95</v>
      </c>
      <c r="G1994">
        <v>187.99</v>
      </c>
      <c r="H1994">
        <v>189</v>
      </c>
      <c r="I1994">
        <v>187.99</v>
      </c>
      <c r="J1994" s="1">
        <v>189</v>
      </c>
      <c r="K1994">
        <v>57819.7</v>
      </c>
      <c r="L1994">
        <v>307</v>
      </c>
      <c r="M1994" t="s">
        <v>78</v>
      </c>
      <c r="N1994" t="s">
        <v>17</v>
      </c>
      <c r="O1994">
        <v>11</v>
      </c>
      <c r="P1994">
        <v>212.18</v>
      </c>
      <c r="Q1994">
        <v>150</v>
      </c>
    </row>
    <row r="1995" spans="2:17" x14ac:dyDescent="0.25">
      <c r="B1995" t="s">
        <v>78</v>
      </c>
      <c r="C1995" t="s">
        <v>79</v>
      </c>
      <c r="D1995" t="s">
        <v>4197</v>
      </c>
      <c r="E1995" t="s">
        <v>4198</v>
      </c>
      <c r="F1995">
        <v>3124.95</v>
      </c>
      <c r="G1995">
        <v>3149</v>
      </c>
      <c r="H1995">
        <v>3167</v>
      </c>
      <c r="I1995">
        <v>3140.15</v>
      </c>
      <c r="J1995" s="1">
        <v>3149.7</v>
      </c>
      <c r="K1995">
        <v>9096063.75</v>
      </c>
      <c r="L1995">
        <v>2885</v>
      </c>
      <c r="M1995" t="s">
        <v>78</v>
      </c>
      <c r="N1995" t="s">
        <v>17</v>
      </c>
      <c r="O1995">
        <v>1230</v>
      </c>
      <c r="P1995">
        <v>3434</v>
      </c>
      <c r="Q1995">
        <v>2641.1</v>
      </c>
    </row>
    <row r="1996" spans="2:17" x14ac:dyDescent="0.25">
      <c r="B1996" t="s">
        <v>78</v>
      </c>
      <c r="C1996" t="s">
        <v>79</v>
      </c>
      <c r="D1996" t="s">
        <v>4199</v>
      </c>
      <c r="E1996" t="s">
        <v>4200</v>
      </c>
      <c r="F1996">
        <v>119.23</v>
      </c>
      <c r="G1996">
        <v>120</v>
      </c>
      <c r="H1996">
        <v>120</v>
      </c>
      <c r="I1996">
        <v>117.35</v>
      </c>
      <c r="J1996" s="1">
        <v>117.66</v>
      </c>
      <c r="K1996">
        <v>38890696.159999996</v>
      </c>
      <c r="L1996">
        <v>330435</v>
      </c>
      <c r="M1996" t="s">
        <v>78</v>
      </c>
      <c r="N1996" t="s">
        <v>17</v>
      </c>
      <c r="O1996">
        <v>1083</v>
      </c>
      <c r="P1996">
        <v>125</v>
      </c>
      <c r="Q1996">
        <v>101.75</v>
      </c>
    </row>
    <row r="1997" spans="2:17" x14ac:dyDescent="0.25">
      <c r="B1997" t="s">
        <v>78</v>
      </c>
      <c r="C1997" t="s">
        <v>79</v>
      </c>
      <c r="D1997" t="s">
        <v>4201</v>
      </c>
      <c r="E1997" t="s">
        <v>4202</v>
      </c>
      <c r="F1997">
        <v>309.02999999999997</v>
      </c>
      <c r="G1997">
        <v>309</v>
      </c>
      <c r="H1997">
        <v>309</v>
      </c>
      <c r="I1997">
        <v>301</v>
      </c>
      <c r="J1997" s="1">
        <v>301.60000000000002</v>
      </c>
      <c r="K1997">
        <v>3987729.22</v>
      </c>
      <c r="L1997">
        <v>13122</v>
      </c>
      <c r="M1997" t="s">
        <v>78</v>
      </c>
      <c r="N1997" t="s">
        <v>17</v>
      </c>
      <c r="O1997">
        <v>438</v>
      </c>
      <c r="P1997">
        <v>323</v>
      </c>
      <c r="Q1997">
        <v>243.91</v>
      </c>
    </row>
    <row r="1998" spans="2:17" x14ac:dyDescent="0.25">
      <c r="B1998" t="s">
        <v>78</v>
      </c>
      <c r="C1998" t="s">
        <v>79</v>
      </c>
      <c r="D1998" t="s">
        <v>4203</v>
      </c>
      <c r="E1998" t="s">
        <v>4204</v>
      </c>
      <c r="F1998">
        <v>278.3</v>
      </c>
      <c r="G1998">
        <v>281.69</v>
      </c>
      <c r="H1998">
        <v>281.69</v>
      </c>
      <c r="I1998">
        <v>273</v>
      </c>
      <c r="J1998" s="1">
        <v>273.02999999999997</v>
      </c>
      <c r="K1998">
        <v>3436652.34</v>
      </c>
      <c r="L1998">
        <v>12496</v>
      </c>
      <c r="M1998" t="s">
        <v>78</v>
      </c>
      <c r="N1998" t="s">
        <v>17</v>
      </c>
      <c r="O1998">
        <v>182</v>
      </c>
      <c r="P1998">
        <v>345</v>
      </c>
      <c r="Q1998">
        <v>250</v>
      </c>
    </row>
    <row r="1999" spans="2:17" x14ac:dyDescent="0.25">
      <c r="B1999" t="s">
        <v>78</v>
      </c>
      <c r="C1999" t="s">
        <v>79</v>
      </c>
      <c r="D1999" t="s">
        <v>4205</v>
      </c>
      <c r="E1999" t="s">
        <v>6449</v>
      </c>
      <c r="F1999">
        <v>253.05</v>
      </c>
      <c r="G1999">
        <v>246.31</v>
      </c>
      <c r="H1999">
        <v>246.31</v>
      </c>
      <c r="I1999">
        <v>245.2</v>
      </c>
      <c r="J1999" s="1">
        <v>246</v>
      </c>
      <c r="K1999">
        <v>13530.25</v>
      </c>
      <c r="L1999">
        <v>55</v>
      </c>
      <c r="M1999" t="s">
        <v>78</v>
      </c>
      <c r="N1999" t="s">
        <v>17</v>
      </c>
      <c r="O1999">
        <v>3</v>
      </c>
      <c r="P1999">
        <v>281.99</v>
      </c>
      <c r="Q1999">
        <v>212</v>
      </c>
    </row>
    <row r="2000" spans="2:17" x14ac:dyDescent="0.25">
      <c r="B2000" t="s">
        <v>78</v>
      </c>
      <c r="C2000" t="s">
        <v>79</v>
      </c>
      <c r="D2000" t="s">
        <v>4209</v>
      </c>
      <c r="E2000" t="s">
        <v>4210</v>
      </c>
      <c r="F2000">
        <v>279.16000000000003</v>
      </c>
      <c r="G2000">
        <v>280</v>
      </c>
      <c r="H2000">
        <v>285</v>
      </c>
      <c r="I2000">
        <v>274.32</v>
      </c>
      <c r="J2000" s="1">
        <v>277.89999999999998</v>
      </c>
      <c r="K2000">
        <v>76277.95</v>
      </c>
      <c r="L2000">
        <v>275</v>
      </c>
      <c r="M2000" t="s">
        <v>78</v>
      </c>
      <c r="N2000" t="s">
        <v>17</v>
      </c>
      <c r="O2000">
        <v>11</v>
      </c>
      <c r="P2000">
        <v>329</v>
      </c>
      <c r="Q2000">
        <v>255.2</v>
      </c>
    </row>
    <row r="2001" spans="2:17" x14ac:dyDescent="0.25">
      <c r="B2001" t="s">
        <v>78</v>
      </c>
      <c r="C2001" t="s">
        <v>79</v>
      </c>
      <c r="D2001" t="s">
        <v>4211</v>
      </c>
      <c r="E2001" t="s">
        <v>4212</v>
      </c>
      <c r="F2001">
        <v>1227.2</v>
      </c>
      <c r="G2001">
        <v>1220</v>
      </c>
      <c r="H2001">
        <v>1220</v>
      </c>
      <c r="I2001">
        <v>1201.95</v>
      </c>
      <c r="J2001" s="1">
        <v>1206.8599999999999</v>
      </c>
      <c r="K2001">
        <v>915390.6</v>
      </c>
      <c r="L2001">
        <v>756</v>
      </c>
      <c r="M2001" t="s">
        <v>78</v>
      </c>
      <c r="N2001" t="s">
        <v>17</v>
      </c>
      <c r="O2001">
        <v>61</v>
      </c>
      <c r="P2001">
        <v>1404</v>
      </c>
      <c r="Q2001">
        <v>1038.9000000000001</v>
      </c>
    </row>
    <row r="2002" spans="2:17" x14ac:dyDescent="0.25">
      <c r="B2002" t="s">
        <v>78</v>
      </c>
      <c r="C2002" t="s">
        <v>79</v>
      </c>
      <c r="D2002" t="s">
        <v>4213</v>
      </c>
      <c r="E2002" t="s">
        <v>4214</v>
      </c>
      <c r="F2002">
        <v>413.5</v>
      </c>
      <c r="G2002">
        <v>414</v>
      </c>
      <c r="H2002">
        <v>415.99</v>
      </c>
      <c r="I2002">
        <v>409.01</v>
      </c>
      <c r="J2002" s="1">
        <v>410</v>
      </c>
      <c r="K2002">
        <v>132427.91</v>
      </c>
      <c r="L2002">
        <v>320</v>
      </c>
      <c r="M2002" t="s">
        <v>78</v>
      </c>
      <c r="N2002" t="s">
        <v>17</v>
      </c>
      <c r="O2002">
        <v>32</v>
      </c>
      <c r="P2002">
        <v>471.45</v>
      </c>
      <c r="Q2002">
        <v>340</v>
      </c>
    </row>
    <row r="2003" spans="2:17" x14ac:dyDescent="0.25">
      <c r="B2003" t="s">
        <v>78</v>
      </c>
      <c r="C2003" t="s">
        <v>79</v>
      </c>
      <c r="D2003" t="s">
        <v>4215</v>
      </c>
      <c r="E2003" t="s">
        <v>4216</v>
      </c>
      <c r="F2003">
        <v>325.75</v>
      </c>
      <c r="G2003">
        <v>319</v>
      </c>
      <c r="H2003">
        <v>327.5</v>
      </c>
      <c r="I2003">
        <v>317</v>
      </c>
      <c r="J2003" s="1">
        <v>317.10000000000002</v>
      </c>
      <c r="K2003">
        <v>16366.2</v>
      </c>
      <c r="L2003">
        <v>51</v>
      </c>
      <c r="M2003" t="s">
        <v>78</v>
      </c>
      <c r="N2003" t="s">
        <v>17</v>
      </c>
      <c r="O2003">
        <v>5</v>
      </c>
      <c r="P2003">
        <v>405</v>
      </c>
      <c r="Q2003">
        <v>300.2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Pd180724</vt:lpstr>
      <vt:lpstr>Pd190721</vt:lpstr>
      <vt:lpstr>Pd190719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dhawal123</dc:creator>
  <cp:lastModifiedBy>j b</cp:lastModifiedBy>
  <dcterms:created xsi:type="dcterms:W3CDTF">2024-07-19T05:20:36Z</dcterms:created>
  <dcterms:modified xsi:type="dcterms:W3CDTF">2024-07-19T13:43:21Z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2024-07-19T05:20:36Z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c21ef95b-6469-464c-9194-a98c297ffa32</vt:lpwstr>
  </property>
  <property fmtid="{D5CDD505-2E9C-101B-9397-08002B2CF9AE}" pid="8" name="MSIP_Label_defa4170-0d19-0005-0004-bc88714345d2_ContentBits">
    <vt:lpwstr>0</vt:lpwstr>
  </property>
</Properties>
</file>